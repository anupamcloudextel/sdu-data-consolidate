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netorg1056155-my.sharepoint.com/personal/k_prajapati_cloudextel_com/Documents/SDU/Master Tracker/"/>
    </mc:Choice>
  </mc:AlternateContent>
  <xr:revisionPtr revIDLastSave="735" documentId="11_807E594573C2759E3C21E57A123EAC0DF6310937" xr6:coauthVersionLast="47" xr6:coauthVersionMax="47" xr10:uidLastSave="{963A75A5-EBDD-4936-9578-ED695ACFDA94}"/>
  <bookViews>
    <workbookView xWindow="-120" yWindow="-120" windowWidth="20730" windowHeight="11040" tabRatio="796" firstSheet="1" activeTab="2" xr2:uid="{00000000-000D-0000-FFFF-FFFF00000000}"/>
  </bookViews>
  <sheets>
    <sheet name="Terminologies" sheetId="1" r:id="rId1"/>
    <sheet name="Instructions" sheetId="2" r:id="rId2"/>
    <sheet name="Route-Details" sheetId="4" r:id="rId3"/>
    <sheet name="Node Details" sheetId="5" r:id="rId4"/>
    <sheet name="Other Material" sheetId="6" r:id="rId5"/>
    <sheet name="Other Services" sheetId="7" r:id="rId6"/>
    <sheet name="PO Details" sheetId="9" r:id="rId7"/>
    <sheet name="Other Revenue" sheetId="10" r:id="rId8"/>
    <sheet name="HP" sheetId="8" r:id="rId9"/>
  </sheets>
  <definedNames>
    <definedName name="_xlnm._FilterDatabase" localSheetId="8" hidden="1">HP!$A$2:$CE$2</definedName>
    <definedName name="_xlnm._FilterDatabase" localSheetId="4" hidden="1">'Other Material'!$A$2:$X$526</definedName>
    <definedName name="_xlnm._FilterDatabase" localSheetId="5" hidden="1">'Other Services'!$A$2:$Z$451</definedName>
    <definedName name="_xlnm._FilterDatabase" localSheetId="2" hidden="1">'Route-Details'!$A$2:$BD$86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4" l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I85" i="4"/>
  <c r="AN85" i="4"/>
  <c r="AQ85" i="4"/>
  <c r="AR85" i="4"/>
  <c r="AV85" i="4"/>
  <c r="AW85" i="4" s="1"/>
  <c r="BA85" i="4"/>
  <c r="BB85" i="4"/>
  <c r="BC85" i="4"/>
  <c r="A93" i="7"/>
  <c r="A94" i="7"/>
  <c r="A95" i="7"/>
  <c r="A96" i="7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1" i="5"/>
  <c r="A42" i="5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E41" i="5"/>
  <c r="F41" i="5"/>
  <c r="G41" i="5"/>
  <c r="H41" i="5"/>
  <c r="I41" i="5"/>
  <c r="J41" i="5"/>
  <c r="E42" i="5"/>
  <c r="F42" i="5"/>
  <c r="G42" i="5"/>
  <c r="H42" i="5"/>
  <c r="I42" i="5"/>
  <c r="J42" i="5"/>
  <c r="E43" i="5"/>
  <c r="F43" i="5"/>
  <c r="G43" i="5"/>
  <c r="H43" i="5"/>
  <c r="I43" i="5"/>
  <c r="J43" i="5"/>
  <c r="E44" i="5"/>
  <c r="F44" i="5"/>
  <c r="G44" i="5"/>
  <c r="H44" i="5"/>
  <c r="I44" i="5"/>
  <c r="J44" i="5"/>
  <c r="E45" i="5"/>
  <c r="F45" i="5"/>
  <c r="G45" i="5"/>
  <c r="H45" i="5"/>
  <c r="I45" i="5"/>
  <c r="J45" i="5"/>
  <c r="E46" i="5"/>
  <c r="F46" i="5"/>
  <c r="G46" i="5"/>
  <c r="H46" i="5"/>
  <c r="I46" i="5"/>
  <c r="J46" i="5"/>
  <c r="E47" i="5"/>
  <c r="F47" i="5"/>
  <c r="G47" i="5"/>
  <c r="H47" i="5"/>
  <c r="I47" i="5"/>
  <c r="J47" i="5"/>
  <c r="E48" i="5"/>
  <c r="F48" i="5"/>
  <c r="G48" i="5"/>
  <c r="H48" i="5"/>
  <c r="I48" i="5"/>
  <c r="J48" i="5"/>
  <c r="E49" i="5"/>
  <c r="F49" i="5"/>
  <c r="G49" i="5"/>
  <c r="H49" i="5"/>
  <c r="I49" i="5"/>
  <c r="J49" i="5"/>
  <c r="E50" i="5"/>
  <c r="F50" i="5"/>
  <c r="G50" i="5"/>
  <c r="H50" i="5"/>
  <c r="I50" i="5"/>
  <c r="J50" i="5"/>
  <c r="E51" i="5"/>
  <c r="F51" i="5"/>
  <c r="G51" i="5"/>
  <c r="H51" i="5"/>
  <c r="I51" i="5"/>
  <c r="J51" i="5"/>
  <c r="E52" i="5"/>
  <c r="F52" i="5"/>
  <c r="G52" i="5"/>
  <c r="H52" i="5"/>
  <c r="I52" i="5"/>
  <c r="J52" i="5"/>
  <c r="E53" i="5"/>
  <c r="F53" i="5"/>
  <c r="G53" i="5"/>
  <c r="H53" i="5"/>
  <c r="I53" i="5"/>
  <c r="J53" i="5"/>
  <c r="E54" i="5"/>
  <c r="F54" i="5"/>
  <c r="G54" i="5"/>
  <c r="H54" i="5"/>
  <c r="I54" i="5"/>
  <c r="J54" i="5"/>
  <c r="E55" i="5"/>
  <c r="F55" i="5"/>
  <c r="G55" i="5"/>
  <c r="H55" i="5"/>
  <c r="I55" i="5"/>
  <c r="J55" i="5"/>
  <c r="E56" i="5"/>
  <c r="F56" i="5"/>
  <c r="G56" i="5"/>
  <c r="H56" i="5"/>
  <c r="I56" i="5"/>
  <c r="J56" i="5"/>
  <c r="E57" i="5"/>
  <c r="F57" i="5"/>
  <c r="G57" i="5"/>
  <c r="H57" i="5"/>
  <c r="I57" i="5"/>
  <c r="J57" i="5"/>
  <c r="E58" i="5"/>
  <c r="F58" i="5"/>
  <c r="G58" i="5"/>
  <c r="H58" i="5"/>
  <c r="I58" i="5"/>
  <c r="J58" i="5"/>
  <c r="E59" i="5"/>
  <c r="F59" i="5"/>
  <c r="G59" i="5"/>
  <c r="H59" i="5"/>
  <c r="I59" i="5"/>
  <c r="J59" i="5"/>
  <c r="E60" i="5"/>
  <c r="F60" i="5"/>
  <c r="G60" i="5"/>
  <c r="H60" i="5"/>
  <c r="I60" i="5"/>
  <c r="J60" i="5"/>
  <c r="E61" i="5"/>
  <c r="F61" i="5"/>
  <c r="G61" i="5"/>
  <c r="H61" i="5"/>
  <c r="I61" i="5"/>
  <c r="J61" i="5"/>
  <c r="E62" i="5"/>
  <c r="F62" i="5"/>
  <c r="G62" i="5"/>
  <c r="H62" i="5"/>
  <c r="I62" i="5"/>
  <c r="J62" i="5"/>
  <c r="E63" i="5"/>
  <c r="F63" i="5"/>
  <c r="G63" i="5"/>
  <c r="H63" i="5"/>
  <c r="I63" i="5"/>
  <c r="J63" i="5"/>
  <c r="E64" i="5"/>
  <c r="F64" i="5"/>
  <c r="G64" i="5"/>
  <c r="H64" i="5"/>
  <c r="I64" i="5"/>
  <c r="J64" i="5"/>
  <c r="E65" i="5"/>
  <c r="F65" i="5"/>
  <c r="G65" i="5"/>
  <c r="H65" i="5"/>
  <c r="I65" i="5"/>
  <c r="J65" i="5"/>
  <c r="E66" i="5"/>
  <c r="F66" i="5"/>
  <c r="G66" i="5"/>
  <c r="H66" i="5"/>
  <c r="I66" i="5"/>
  <c r="J66" i="5"/>
  <c r="E67" i="5"/>
  <c r="F67" i="5"/>
  <c r="G67" i="5"/>
  <c r="H67" i="5"/>
  <c r="I67" i="5"/>
  <c r="J67" i="5"/>
  <c r="E68" i="5"/>
  <c r="F68" i="5"/>
  <c r="G68" i="5"/>
  <c r="H68" i="5"/>
  <c r="I68" i="5"/>
  <c r="J68" i="5"/>
  <c r="E69" i="5"/>
  <c r="F69" i="5"/>
  <c r="G69" i="5"/>
  <c r="H69" i="5"/>
  <c r="I69" i="5"/>
  <c r="J69" i="5"/>
  <c r="E70" i="5"/>
  <c r="F70" i="5"/>
  <c r="G70" i="5"/>
  <c r="H70" i="5"/>
  <c r="I70" i="5"/>
  <c r="J70" i="5"/>
  <c r="E71" i="5"/>
  <c r="F71" i="5"/>
  <c r="G71" i="5"/>
  <c r="H71" i="5"/>
  <c r="I71" i="5"/>
  <c r="J71" i="5"/>
  <c r="E72" i="5"/>
  <c r="F72" i="5"/>
  <c r="G72" i="5"/>
  <c r="H72" i="5"/>
  <c r="I72" i="5"/>
  <c r="J72" i="5"/>
  <c r="E73" i="5"/>
  <c r="F73" i="5"/>
  <c r="G73" i="5"/>
  <c r="H73" i="5"/>
  <c r="I73" i="5"/>
  <c r="J73" i="5"/>
  <c r="E74" i="5"/>
  <c r="F74" i="5"/>
  <c r="G74" i="5"/>
  <c r="H74" i="5"/>
  <c r="I74" i="5"/>
  <c r="J74" i="5"/>
  <c r="E75" i="5"/>
  <c r="F75" i="5"/>
  <c r="G75" i="5"/>
  <c r="H75" i="5"/>
  <c r="I75" i="5"/>
  <c r="J75" i="5"/>
  <c r="E76" i="5"/>
  <c r="F76" i="5"/>
  <c r="G76" i="5"/>
  <c r="H76" i="5"/>
  <c r="I76" i="5"/>
  <c r="J76" i="5"/>
  <c r="E77" i="5"/>
  <c r="F77" i="5"/>
  <c r="G77" i="5"/>
  <c r="H77" i="5"/>
  <c r="I77" i="5"/>
  <c r="J77" i="5"/>
  <c r="E78" i="5"/>
  <c r="F78" i="5"/>
  <c r="G78" i="5"/>
  <c r="H78" i="5"/>
  <c r="I78" i="5"/>
  <c r="J78" i="5"/>
  <c r="E79" i="5"/>
  <c r="F79" i="5"/>
  <c r="G79" i="5"/>
  <c r="H79" i="5"/>
  <c r="I79" i="5"/>
  <c r="J79" i="5"/>
  <c r="E80" i="5"/>
  <c r="F80" i="5"/>
  <c r="G80" i="5"/>
  <c r="H80" i="5"/>
  <c r="I80" i="5"/>
  <c r="J80" i="5"/>
  <c r="E81" i="5"/>
  <c r="F81" i="5"/>
  <c r="G81" i="5"/>
  <c r="H81" i="5"/>
  <c r="I81" i="5"/>
  <c r="J81" i="5"/>
  <c r="E82" i="5"/>
  <c r="F82" i="5"/>
  <c r="G82" i="5"/>
  <c r="H82" i="5"/>
  <c r="I82" i="5"/>
  <c r="J82" i="5"/>
  <c r="E83" i="5"/>
  <c r="F83" i="5"/>
  <c r="G83" i="5"/>
  <c r="H83" i="5"/>
  <c r="I83" i="5"/>
  <c r="J83" i="5"/>
  <c r="E84" i="5"/>
  <c r="F84" i="5"/>
  <c r="G84" i="5"/>
  <c r="H84" i="5"/>
  <c r="I84" i="5"/>
  <c r="J84" i="5"/>
  <c r="E85" i="5"/>
  <c r="F85" i="5"/>
  <c r="G85" i="5"/>
  <c r="H85" i="5"/>
  <c r="I85" i="5"/>
  <c r="J85" i="5"/>
  <c r="E86" i="5"/>
  <c r="F86" i="5"/>
  <c r="G86" i="5"/>
  <c r="H86" i="5"/>
  <c r="I86" i="5"/>
  <c r="J86" i="5"/>
  <c r="E87" i="5"/>
  <c r="F87" i="5"/>
  <c r="G87" i="5"/>
  <c r="H87" i="5"/>
  <c r="I87" i="5"/>
  <c r="J87" i="5"/>
  <c r="E88" i="5"/>
  <c r="F88" i="5"/>
  <c r="G88" i="5"/>
  <c r="H88" i="5"/>
  <c r="I88" i="5"/>
  <c r="J88" i="5"/>
  <c r="E89" i="5"/>
  <c r="F89" i="5"/>
  <c r="G89" i="5"/>
  <c r="H89" i="5"/>
  <c r="I89" i="5"/>
  <c r="J89" i="5"/>
  <c r="E90" i="5"/>
  <c r="F90" i="5"/>
  <c r="G90" i="5"/>
  <c r="H90" i="5"/>
  <c r="I90" i="5"/>
  <c r="J90" i="5"/>
  <c r="E91" i="5"/>
  <c r="F91" i="5"/>
  <c r="G91" i="5"/>
  <c r="H91" i="5"/>
  <c r="I91" i="5"/>
  <c r="J91" i="5"/>
  <c r="E92" i="5"/>
  <c r="F92" i="5"/>
  <c r="G92" i="5"/>
  <c r="H92" i="5"/>
  <c r="I92" i="5"/>
  <c r="J92" i="5"/>
  <c r="E93" i="5"/>
  <c r="F93" i="5"/>
  <c r="G93" i="5"/>
  <c r="H93" i="5"/>
  <c r="I93" i="5"/>
  <c r="J93" i="5"/>
  <c r="E94" i="5"/>
  <c r="F94" i="5"/>
  <c r="G94" i="5"/>
  <c r="H94" i="5"/>
  <c r="I94" i="5"/>
  <c r="J94" i="5"/>
  <c r="E95" i="5"/>
  <c r="F95" i="5"/>
  <c r="G95" i="5"/>
  <c r="H95" i="5"/>
  <c r="I95" i="5"/>
  <c r="J95" i="5"/>
  <c r="E96" i="5"/>
  <c r="F96" i="5"/>
  <c r="G96" i="5"/>
  <c r="H96" i="5"/>
  <c r="I96" i="5"/>
  <c r="J96" i="5"/>
  <c r="E97" i="5"/>
  <c r="F97" i="5"/>
  <c r="G97" i="5"/>
  <c r="H97" i="5"/>
  <c r="I97" i="5"/>
  <c r="J97" i="5"/>
  <c r="E98" i="5"/>
  <c r="F98" i="5"/>
  <c r="G98" i="5"/>
  <c r="H98" i="5"/>
  <c r="I98" i="5"/>
  <c r="J98" i="5"/>
  <c r="E99" i="5"/>
  <c r="F99" i="5"/>
  <c r="G99" i="5"/>
  <c r="H99" i="5"/>
  <c r="I99" i="5"/>
  <c r="J99" i="5"/>
  <c r="E100" i="5"/>
  <c r="F100" i="5"/>
  <c r="G100" i="5"/>
  <c r="H100" i="5"/>
  <c r="I100" i="5"/>
  <c r="J100" i="5"/>
  <c r="E101" i="5"/>
  <c r="F101" i="5"/>
  <c r="G101" i="5"/>
  <c r="H101" i="5"/>
  <c r="I101" i="5"/>
  <c r="J101" i="5"/>
  <c r="E102" i="5"/>
  <c r="F102" i="5"/>
  <c r="G102" i="5"/>
  <c r="H102" i="5"/>
  <c r="I102" i="5"/>
  <c r="J102" i="5"/>
  <c r="E103" i="5"/>
  <c r="F103" i="5"/>
  <c r="G103" i="5"/>
  <c r="H103" i="5"/>
  <c r="I103" i="5"/>
  <c r="J103" i="5"/>
  <c r="E104" i="5"/>
  <c r="F104" i="5"/>
  <c r="G104" i="5"/>
  <c r="H104" i="5"/>
  <c r="I104" i="5"/>
  <c r="J104" i="5"/>
  <c r="E105" i="5"/>
  <c r="F105" i="5"/>
  <c r="G105" i="5"/>
  <c r="H105" i="5"/>
  <c r="I105" i="5"/>
  <c r="J105" i="5"/>
  <c r="E106" i="5"/>
  <c r="F106" i="5"/>
  <c r="G106" i="5"/>
  <c r="H106" i="5"/>
  <c r="I106" i="5"/>
  <c r="J106" i="5"/>
  <c r="E107" i="5"/>
  <c r="F107" i="5"/>
  <c r="G107" i="5"/>
  <c r="H107" i="5"/>
  <c r="I107" i="5"/>
  <c r="J107" i="5"/>
  <c r="E108" i="5"/>
  <c r="F108" i="5"/>
  <c r="G108" i="5"/>
  <c r="H108" i="5"/>
  <c r="I108" i="5"/>
  <c r="J108" i="5"/>
  <c r="E109" i="5"/>
  <c r="F109" i="5"/>
  <c r="G109" i="5"/>
  <c r="H109" i="5"/>
  <c r="I109" i="5"/>
  <c r="J109" i="5"/>
  <c r="E110" i="5"/>
  <c r="F110" i="5"/>
  <c r="G110" i="5"/>
  <c r="H110" i="5"/>
  <c r="I110" i="5"/>
  <c r="J110" i="5"/>
  <c r="E111" i="5"/>
  <c r="F111" i="5"/>
  <c r="G111" i="5"/>
  <c r="H111" i="5"/>
  <c r="I111" i="5"/>
  <c r="J111" i="5"/>
  <c r="E112" i="5"/>
  <c r="F112" i="5"/>
  <c r="G112" i="5"/>
  <c r="H112" i="5"/>
  <c r="I112" i="5"/>
  <c r="J112" i="5"/>
  <c r="E113" i="5"/>
  <c r="F113" i="5"/>
  <c r="G113" i="5"/>
  <c r="H113" i="5"/>
  <c r="I113" i="5"/>
  <c r="J113" i="5"/>
  <c r="E114" i="5"/>
  <c r="F114" i="5"/>
  <c r="G114" i="5"/>
  <c r="H114" i="5"/>
  <c r="I114" i="5"/>
  <c r="J114" i="5"/>
  <c r="E115" i="5"/>
  <c r="F115" i="5"/>
  <c r="G115" i="5"/>
  <c r="H115" i="5"/>
  <c r="I115" i="5"/>
  <c r="J115" i="5"/>
  <c r="E116" i="5"/>
  <c r="F116" i="5"/>
  <c r="G116" i="5"/>
  <c r="H116" i="5"/>
  <c r="I116" i="5"/>
  <c r="J116" i="5"/>
  <c r="E117" i="5"/>
  <c r="F117" i="5"/>
  <c r="G117" i="5"/>
  <c r="H117" i="5"/>
  <c r="I117" i="5"/>
  <c r="J117" i="5"/>
  <c r="E118" i="5"/>
  <c r="F118" i="5"/>
  <c r="G118" i="5"/>
  <c r="H118" i="5"/>
  <c r="I118" i="5"/>
  <c r="J118" i="5"/>
  <c r="E119" i="5"/>
  <c r="F119" i="5"/>
  <c r="G119" i="5"/>
  <c r="H119" i="5"/>
  <c r="I119" i="5"/>
  <c r="J119" i="5"/>
  <c r="E120" i="5"/>
  <c r="F120" i="5"/>
  <c r="G120" i="5"/>
  <c r="H120" i="5"/>
  <c r="I120" i="5"/>
  <c r="J120" i="5"/>
  <c r="E121" i="5"/>
  <c r="F121" i="5"/>
  <c r="G121" i="5"/>
  <c r="H121" i="5"/>
  <c r="I121" i="5"/>
  <c r="J121" i="5"/>
  <c r="E122" i="5"/>
  <c r="F122" i="5"/>
  <c r="G122" i="5"/>
  <c r="H122" i="5"/>
  <c r="I122" i="5"/>
  <c r="J122" i="5"/>
  <c r="E123" i="5"/>
  <c r="F123" i="5"/>
  <c r="G123" i="5"/>
  <c r="H123" i="5"/>
  <c r="I123" i="5"/>
  <c r="J123" i="5"/>
  <c r="E124" i="5"/>
  <c r="F124" i="5"/>
  <c r="G124" i="5"/>
  <c r="H124" i="5"/>
  <c r="I124" i="5"/>
  <c r="J124" i="5"/>
  <c r="E125" i="5"/>
  <c r="F125" i="5"/>
  <c r="G125" i="5"/>
  <c r="H125" i="5"/>
  <c r="I125" i="5"/>
  <c r="J125" i="5"/>
  <c r="E126" i="5"/>
  <c r="F126" i="5"/>
  <c r="G126" i="5"/>
  <c r="H126" i="5"/>
  <c r="I126" i="5"/>
  <c r="J126" i="5"/>
  <c r="E127" i="5"/>
  <c r="F127" i="5"/>
  <c r="G127" i="5"/>
  <c r="H127" i="5"/>
  <c r="I127" i="5"/>
  <c r="J127" i="5"/>
  <c r="E128" i="5"/>
  <c r="F128" i="5"/>
  <c r="G128" i="5"/>
  <c r="H128" i="5"/>
  <c r="I128" i="5"/>
  <c r="J128" i="5"/>
  <c r="E129" i="5"/>
  <c r="F129" i="5"/>
  <c r="G129" i="5"/>
  <c r="H129" i="5"/>
  <c r="I129" i="5"/>
  <c r="J129" i="5"/>
  <c r="E130" i="5"/>
  <c r="F130" i="5"/>
  <c r="G130" i="5"/>
  <c r="H130" i="5"/>
  <c r="I130" i="5"/>
  <c r="J130" i="5"/>
  <c r="E131" i="5"/>
  <c r="F131" i="5"/>
  <c r="G131" i="5"/>
  <c r="H131" i="5"/>
  <c r="I131" i="5"/>
  <c r="J131" i="5"/>
  <c r="E132" i="5"/>
  <c r="F132" i="5"/>
  <c r="G132" i="5"/>
  <c r="H132" i="5"/>
  <c r="I132" i="5"/>
  <c r="J132" i="5"/>
  <c r="E133" i="5"/>
  <c r="F133" i="5"/>
  <c r="G133" i="5"/>
  <c r="H133" i="5"/>
  <c r="I133" i="5"/>
  <c r="J133" i="5"/>
  <c r="E134" i="5"/>
  <c r="F134" i="5"/>
  <c r="G134" i="5"/>
  <c r="H134" i="5"/>
  <c r="I134" i="5"/>
  <c r="J134" i="5"/>
  <c r="E135" i="5"/>
  <c r="F135" i="5"/>
  <c r="G135" i="5"/>
  <c r="H135" i="5"/>
  <c r="I135" i="5"/>
  <c r="J135" i="5"/>
  <c r="E136" i="5"/>
  <c r="F136" i="5"/>
  <c r="G136" i="5"/>
  <c r="H136" i="5"/>
  <c r="I136" i="5"/>
  <c r="J136" i="5"/>
  <c r="E137" i="5"/>
  <c r="F137" i="5"/>
  <c r="G137" i="5"/>
  <c r="H137" i="5"/>
  <c r="I137" i="5"/>
  <c r="J137" i="5"/>
  <c r="E138" i="5"/>
  <c r="F138" i="5"/>
  <c r="G138" i="5"/>
  <c r="H138" i="5"/>
  <c r="I138" i="5"/>
  <c r="J138" i="5"/>
  <c r="E139" i="5"/>
  <c r="F139" i="5"/>
  <c r="G139" i="5"/>
  <c r="H139" i="5"/>
  <c r="I139" i="5"/>
  <c r="J139" i="5"/>
  <c r="E140" i="5"/>
  <c r="F140" i="5"/>
  <c r="G140" i="5"/>
  <c r="H140" i="5"/>
  <c r="I140" i="5"/>
  <c r="J140" i="5"/>
  <c r="E141" i="5"/>
  <c r="F141" i="5"/>
  <c r="G141" i="5"/>
  <c r="H141" i="5"/>
  <c r="I141" i="5"/>
  <c r="J141" i="5"/>
  <c r="E142" i="5"/>
  <c r="F142" i="5"/>
  <c r="G142" i="5"/>
  <c r="H142" i="5"/>
  <c r="I142" i="5"/>
  <c r="J142" i="5"/>
  <c r="E143" i="5"/>
  <c r="F143" i="5"/>
  <c r="G143" i="5"/>
  <c r="H143" i="5"/>
  <c r="I143" i="5"/>
  <c r="J143" i="5"/>
  <c r="E144" i="5"/>
  <c r="F144" i="5"/>
  <c r="G144" i="5"/>
  <c r="H144" i="5"/>
  <c r="I144" i="5"/>
  <c r="J144" i="5"/>
  <c r="E145" i="5"/>
  <c r="F145" i="5"/>
  <c r="G145" i="5"/>
  <c r="H145" i="5"/>
  <c r="I145" i="5"/>
  <c r="J145" i="5"/>
  <c r="E146" i="5"/>
  <c r="F146" i="5"/>
  <c r="G146" i="5"/>
  <c r="H146" i="5"/>
  <c r="I146" i="5"/>
  <c r="J146" i="5"/>
  <c r="E147" i="5"/>
  <c r="F147" i="5"/>
  <c r="G147" i="5"/>
  <c r="H147" i="5"/>
  <c r="I147" i="5"/>
  <c r="J147" i="5"/>
  <c r="E148" i="5"/>
  <c r="F148" i="5"/>
  <c r="G148" i="5"/>
  <c r="H148" i="5"/>
  <c r="I148" i="5"/>
  <c r="J148" i="5"/>
  <c r="E149" i="5"/>
  <c r="F149" i="5"/>
  <c r="G149" i="5"/>
  <c r="H149" i="5"/>
  <c r="I149" i="5"/>
  <c r="J149" i="5"/>
  <c r="E150" i="5"/>
  <c r="F150" i="5"/>
  <c r="G150" i="5"/>
  <c r="H150" i="5"/>
  <c r="I150" i="5"/>
  <c r="J150" i="5"/>
  <c r="E151" i="5"/>
  <c r="F151" i="5"/>
  <c r="G151" i="5"/>
  <c r="H151" i="5"/>
  <c r="I151" i="5"/>
  <c r="J151" i="5"/>
  <c r="E152" i="5"/>
  <c r="F152" i="5"/>
  <c r="G152" i="5"/>
  <c r="H152" i="5"/>
  <c r="I152" i="5"/>
  <c r="J152" i="5"/>
  <c r="E153" i="5"/>
  <c r="F153" i="5"/>
  <c r="G153" i="5"/>
  <c r="H153" i="5"/>
  <c r="I153" i="5"/>
  <c r="J153" i="5"/>
  <c r="E154" i="5"/>
  <c r="F154" i="5"/>
  <c r="G154" i="5"/>
  <c r="H154" i="5"/>
  <c r="I154" i="5"/>
  <c r="J154" i="5"/>
  <c r="E155" i="5"/>
  <c r="F155" i="5"/>
  <c r="G155" i="5"/>
  <c r="H155" i="5"/>
  <c r="I155" i="5"/>
  <c r="J155" i="5"/>
  <c r="E156" i="5"/>
  <c r="F156" i="5"/>
  <c r="G156" i="5"/>
  <c r="H156" i="5"/>
  <c r="I156" i="5"/>
  <c r="J156" i="5"/>
  <c r="E157" i="5"/>
  <c r="F157" i="5"/>
  <c r="G157" i="5"/>
  <c r="H157" i="5"/>
  <c r="I157" i="5"/>
  <c r="J157" i="5"/>
  <c r="E158" i="5"/>
  <c r="F158" i="5"/>
  <c r="G158" i="5"/>
  <c r="H158" i="5"/>
  <c r="I158" i="5"/>
  <c r="J158" i="5"/>
  <c r="E159" i="5"/>
  <c r="F159" i="5"/>
  <c r="G159" i="5"/>
  <c r="H159" i="5"/>
  <c r="I159" i="5"/>
  <c r="J159" i="5"/>
  <c r="E160" i="5"/>
  <c r="F160" i="5"/>
  <c r="G160" i="5"/>
  <c r="H160" i="5"/>
  <c r="I160" i="5"/>
  <c r="J160" i="5"/>
  <c r="E161" i="5"/>
  <c r="F161" i="5"/>
  <c r="G161" i="5"/>
  <c r="H161" i="5"/>
  <c r="I161" i="5"/>
  <c r="J161" i="5"/>
  <c r="E162" i="5"/>
  <c r="F162" i="5"/>
  <c r="G162" i="5"/>
  <c r="H162" i="5"/>
  <c r="I162" i="5"/>
  <c r="J162" i="5"/>
  <c r="E163" i="5"/>
  <c r="F163" i="5"/>
  <c r="G163" i="5"/>
  <c r="H163" i="5"/>
  <c r="I163" i="5"/>
  <c r="J163" i="5"/>
  <c r="E164" i="5"/>
  <c r="F164" i="5"/>
  <c r="G164" i="5"/>
  <c r="H164" i="5"/>
  <c r="I164" i="5"/>
  <c r="J164" i="5"/>
  <c r="E165" i="5"/>
  <c r="F165" i="5"/>
  <c r="G165" i="5"/>
  <c r="H165" i="5"/>
  <c r="I165" i="5"/>
  <c r="J165" i="5"/>
  <c r="E166" i="5"/>
  <c r="F166" i="5"/>
  <c r="G166" i="5"/>
  <c r="H166" i="5"/>
  <c r="I166" i="5"/>
  <c r="J166" i="5"/>
  <c r="E167" i="5"/>
  <c r="F167" i="5"/>
  <c r="G167" i="5"/>
  <c r="H167" i="5"/>
  <c r="I167" i="5"/>
  <c r="J167" i="5"/>
  <c r="E168" i="5"/>
  <c r="F168" i="5"/>
  <c r="G168" i="5"/>
  <c r="H168" i="5"/>
  <c r="I168" i="5"/>
  <c r="J168" i="5"/>
  <c r="E169" i="5"/>
  <c r="F169" i="5"/>
  <c r="G169" i="5"/>
  <c r="H169" i="5"/>
  <c r="I169" i="5"/>
  <c r="J169" i="5"/>
  <c r="E170" i="5"/>
  <c r="F170" i="5"/>
  <c r="G170" i="5"/>
  <c r="H170" i="5"/>
  <c r="I170" i="5"/>
  <c r="J170" i="5"/>
  <c r="E171" i="5"/>
  <c r="F171" i="5"/>
  <c r="G171" i="5"/>
  <c r="H171" i="5"/>
  <c r="I171" i="5"/>
  <c r="J171" i="5"/>
  <c r="E172" i="5"/>
  <c r="F172" i="5"/>
  <c r="G172" i="5"/>
  <c r="H172" i="5"/>
  <c r="I172" i="5"/>
  <c r="J172" i="5"/>
  <c r="E173" i="5"/>
  <c r="F173" i="5"/>
  <c r="G173" i="5"/>
  <c r="H173" i="5"/>
  <c r="I173" i="5"/>
  <c r="J173" i="5"/>
  <c r="E174" i="5"/>
  <c r="F174" i="5"/>
  <c r="G174" i="5"/>
  <c r="H174" i="5"/>
  <c r="I174" i="5"/>
  <c r="J174" i="5"/>
  <c r="E175" i="5"/>
  <c r="F175" i="5"/>
  <c r="G175" i="5"/>
  <c r="H175" i="5"/>
  <c r="I175" i="5"/>
  <c r="J175" i="5"/>
  <c r="E176" i="5"/>
  <c r="F176" i="5"/>
  <c r="G176" i="5"/>
  <c r="H176" i="5"/>
  <c r="I176" i="5"/>
  <c r="J176" i="5"/>
  <c r="E177" i="5"/>
  <c r="F177" i="5"/>
  <c r="G177" i="5"/>
  <c r="H177" i="5"/>
  <c r="I177" i="5"/>
  <c r="J177" i="5"/>
  <c r="E178" i="5"/>
  <c r="F178" i="5"/>
  <c r="G178" i="5"/>
  <c r="H178" i="5"/>
  <c r="I178" i="5"/>
  <c r="J178" i="5"/>
  <c r="E179" i="5"/>
  <c r="F179" i="5"/>
  <c r="G179" i="5"/>
  <c r="H179" i="5"/>
  <c r="I179" i="5"/>
  <c r="J179" i="5"/>
  <c r="E180" i="5"/>
  <c r="F180" i="5"/>
  <c r="G180" i="5"/>
  <c r="H180" i="5"/>
  <c r="I180" i="5"/>
  <c r="J180" i="5"/>
  <c r="E181" i="5"/>
  <c r="F181" i="5"/>
  <c r="G181" i="5"/>
  <c r="H181" i="5"/>
  <c r="I181" i="5"/>
  <c r="J181" i="5"/>
  <c r="E182" i="5"/>
  <c r="F182" i="5"/>
  <c r="G182" i="5"/>
  <c r="H182" i="5"/>
  <c r="I182" i="5"/>
  <c r="J182" i="5"/>
  <c r="E183" i="5"/>
  <c r="F183" i="5"/>
  <c r="G183" i="5"/>
  <c r="H183" i="5"/>
  <c r="I183" i="5"/>
  <c r="J183" i="5"/>
  <c r="E184" i="5"/>
  <c r="F184" i="5"/>
  <c r="G184" i="5"/>
  <c r="H184" i="5"/>
  <c r="I184" i="5"/>
  <c r="J184" i="5"/>
  <c r="E185" i="5"/>
  <c r="F185" i="5"/>
  <c r="G185" i="5"/>
  <c r="H185" i="5"/>
  <c r="I185" i="5"/>
  <c r="J185" i="5"/>
  <c r="C385" i="6"/>
  <c r="C389" i="6"/>
  <c r="C121" i="6"/>
  <c r="C397" i="6"/>
  <c r="C429" i="6"/>
  <c r="C153" i="6"/>
  <c r="C155" i="6"/>
  <c r="C180" i="6"/>
  <c r="C331" i="6"/>
  <c r="C208" i="6"/>
  <c r="C216" i="6"/>
  <c r="C363" i="6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6" i="4"/>
  <c r="AN18" i="4"/>
  <c r="AQ18" i="4"/>
  <c r="AN19" i="4"/>
  <c r="AQ19" i="4"/>
  <c r="AN20" i="4"/>
  <c r="AQ20" i="4"/>
  <c r="AN21" i="4"/>
  <c r="AQ21" i="4"/>
  <c r="AN22" i="4"/>
  <c r="AQ22" i="4"/>
  <c r="AN23" i="4"/>
  <c r="AQ23" i="4"/>
  <c r="AN24" i="4"/>
  <c r="AQ24" i="4"/>
  <c r="AN25" i="4"/>
  <c r="AQ25" i="4"/>
  <c r="AN26" i="4"/>
  <c r="AQ26" i="4"/>
  <c r="AN27" i="4"/>
  <c r="AQ27" i="4"/>
  <c r="AN28" i="4"/>
  <c r="AQ28" i="4"/>
  <c r="AN29" i="4"/>
  <c r="AQ29" i="4"/>
  <c r="AN30" i="4"/>
  <c r="AQ30" i="4"/>
  <c r="AN31" i="4"/>
  <c r="AQ31" i="4"/>
  <c r="AN32" i="4"/>
  <c r="AQ32" i="4"/>
  <c r="AN33" i="4"/>
  <c r="AQ33" i="4"/>
  <c r="AN34" i="4"/>
  <c r="AQ34" i="4"/>
  <c r="AN35" i="4"/>
  <c r="AQ35" i="4"/>
  <c r="AN36" i="4"/>
  <c r="AQ36" i="4"/>
  <c r="AN37" i="4"/>
  <c r="AQ37" i="4"/>
  <c r="AN38" i="4"/>
  <c r="AQ38" i="4"/>
  <c r="AN39" i="4"/>
  <c r="AQ39" i="4"/>
  <c r="AN40" i="4"/>
  <c r="AQ40" i="4"/>
  <c r="AN41" i="4"/>
  <c r="AQ41" i="4"/>
  <c r="AN42" i="4"/>
  <c r="AQ42" i="4"/>
  <c r="AN43" i="4"/>
  <c r="AQ43" i="4"/>
  <c r="AN44" i="4"/>
  <c r="AQ44" i="4"/>
  <c r="AN45" i="4"/>
  <c r="AQ45" i="4"/>
  <c r="AN46" i="4"/>
  <c r="AQ46" i="4"/>
  <c r="AN47" i="4"/>
  <c r="AQ47" i="4"/>
  <c r="AN48" i="4"/>
  <c r="AQ48" i="4"/>
  <c r="AN49" i="4"/>
  <c r="AQ49" i="4"/>
  <c r="AN50" i="4"/>
  <c r="AQ50" i="4"/>
  <c r="AN51" i="4"/>
  <c r="AQ51" i="4"/>
  <c r="AN52" i="4"/>
  <c r="AQ52" i="4"/>
  <c r="AN53" i="4"/>
  <c r="AQ53" i="4"/>
  <c r="AN54" i="4"/>
  <c r="AQ54" i="4"/>
  <c r="AN55" i="4"/>
  <c r="AQ55" i="4"/>
  <c r="AN56" i="4"/>
  <c r="AQ56" i="4"/>
  <c r="AN57" i="4"/>
  <c r="AQ57" i="4"/>
  <c r="AN58" i="4"/>
  <c r="AQ58" i="4"/>
  <c r="AN59" i="4"/>
  <c r="AQ59" i="4"/>
  <c r="AN60" i="4"/>
  <c r="AQ60" i="4"/>
  <c r="AN61" i="4"/>
  <c r="AQ61" i="4"/>
  <c r="AN62" i="4"/>
  <c r="AQ62" i="4"/>
  <c r="AN63" i="4"/>
  <c r="AQ63" i="4"/>
  <c r="AN64" i="4"/>
  <c r="AQ64" i="4"/>
  <c r="AN65" i="4"/>
  <c r="AQ65" i="4"/>
  <c r="AN66" i="4"/>
  <c r="AQ66" i="4"/>
  <c r="AN67" i="4"/>
  <c r="AQ67" i="4"/>
  <c r="AN68" i="4"/>
  <c r="AQ68" i="4"/>
  <c r="AN69" i="4"/>
  <c r="AQ69" i="4"/>
  <c r="AN70" i="4"/>
  <c r="AQ70" i="4"/>
  <c r="AN71" i="4"/>
  <c r="AQ71" i="4"/>
  <c r="AN72" i="4"/>
  <c r="AQ72" i="4"/>
  <c r="AN73" i="4"/>
  <c r="AQ73" i="4"/>
  <c r="AN74" i="4"/>
  <c r="AQ74" i="4"/>
  <c r="AN75" i="4"/>
  <c r="AQ75" i="4"/>
  <c r="AN76" i="4"/>
  <c r="AQ76" i="4"/>
  <c r="AN77" i="4"/>
  <c r="AQ77" i="4"/>
  <c r="AN78" i="4"/>
  <c r="AQ78" i="4"/>
  <c r="AN79" i="4"/>
  <c r="AQ79" i="4"/>
  <c r="AN80" i="4"/>
  <c r="AQ80" i="4"/>
  <c r="AN81" i="4"/>
  <c r="AQ81" i="4"/>
  <c r="AN82" i="4"/>
  <c r="AQ82" i="4"/>
  <c r="AN83" i="4"/>
  <c r="AQ83" i="4"/>
  <c r="AN84" i="4"/>
  <c r="AQ84" i="4"/>
  <c r="AN86" i="4"/>
  <c r="AQ86" i="4"/>
  <c r="AV18" i="4"/>
  <c r="AW18" i="4" s="1"/>
  <c r="BA18" i="4"/>
  <c r="BB18" i="4"/>
  <c r="AV19" i="4"/>
  <c r="AW19" i="4" s="1"/>
  <c r="BA19" i="4"/>
  <c r="BB19" i="4"/>
  <c r="AV20" i="4"/>
  <c r="AW20" i="4" s="1"/>
  <c r="BA20" i="4"/>
  <c r="BB20" i="4"/>
  <c r="AV21" i="4"/>
  <c r="AW21" i="4" s="1"/>
  <c r="BA21" i="4"/>
  <c r="BB21" i="4"/>
  <c r="AV22" i="4"/>
  <c r="AW22" i="4" s="1"/>
  <c r="BA22" i="4"/>
  <c r="BB22" i="4"/>
  <c r="AV23" i="4"/>
  <c r="AW23" i="4" s="1"/>
  <c r="BA23" i="4"/>
  <c r="BB23" i="4"/>
  <c r="AV24" i="4"/>
  <c r="AW24" i="4" s="1"/>
  <c r="BA24" i="4"/>
  <c r="BB24" i="4"/>
  <c r="AV25" i="4"/>
  <c r="AW25" i="4" s="1"/>
  <c r="BA25" i="4"/>
  <c r="BB25" i="4"/>
  <c r="AV26" i="4"/>
  <c r="AW26" i="4" s="1"/>
  <c r="BA26" i="4"/>
  <c r="BB26" i="4"/>
  <c r="AV27" i="4"/>
  <c r="AW27" i="4" s="1"/>
  <c r="BA27" i="4"/>
  <c r="BB27" i="4"/>
  <c r="AV28" i="4"/>
  <c r="AW28" i="4" s="1"/>
  <c r="BA28" i="4"/>
  <c r="BB28" i="4"/>
  <c r="AV29" i="4"/>
  <c r="AW29" i="4" s="1"/>
  <c r="BA29" i="4"/>
  <c r="BB29" i="4"/>
  <c r="AV30" i="4"/>
  <c r="AW30" i="4" s="1"/>
  <c r="BA30" i="4"/>
  <c r="BB30" i="4"/>
  <c r="AV31" i="4"/>
  <c r="AW31" i="4" s="1"/>
  <c r="BA31" i="4"/>
  <c r="BB31" i="4"/>
  <c r="AV32" i="4"/>
  <c r="AW32" i="4" s="1"/>
  <c r="BA32" i="4"/>
  <c r="BB32" i="4"/>
  <c r="AV33" i="4"/>
  <c r="AW33" i="4" s="1"/>
  <c r="BA33" i="4"/>
  <c r="BB33" i="4"/>
  <c r="AV34" i="4"/>
  <c r="AW34" i="4" s="1"/>
  <c r="BA34" i="4"/>
  <c r="BB34" i="4"/>
  <c r="AV35" i="4"/>
  <c r="AW35" i="4" s="1"/>
  <c r="BA35" i="4"/>
  <c r="BB35" i="4"/>
  <c r="AV36" i="4"/>
  <c r="AW36" i="4" s="1"/>
  <c r="BA36" i="4"/>
  <c r="BB36" i="4"/>
  <c r="AV37" i="4"/>
  <c r="AW37" i="4" s="1"/>
  <c r="BA37" i="4"/>
  <c r="BB37" i="4"/>
  <c r="AV38" i="4"/>
  <c r="AW38" i="4" s="1"/>
  <c r="BA38" i="4"/>
  <c r="BB38" i="4"/>
  <c r="AV39" i="4"/>
  <c r="AW39" i="4" s="1"/>
  <c r="BA39" i="4"/>
  <c r="BB39" i="4"/>
  <c r="AV40" i="4"/>
  <c r="AW40" i="4" s="1"/>
  <c r="BA40" i="4"/>
  <c r="BB40" i="4"/>
  <c r="AV41" i="4"/>
  <c r="AW41" i="4" s="1"/>
  <c r="BA41" i="4"/>
  <c r="BB41" i="4"/>
  <c r="AV42" i="4"/>
  <c r="AW42" i="4" s="1"/>
  <c r="BA42" i="4"/>
  <c r="BB42" i="4"/>
  <c r="AV43" i="4"/>
  <c r="AW43" i="4" s="1"/>
  <c r="BA43" i="4"/>
  <c r="BB43" i="4"/>
  <c r="AV44" i="4"/>
  <c r="AW44" i="4" s="1"/>
  <c r="BA44" i="4"/>
  <c r="BB44" i="4"/>
  <c r="AV45" i="4"/>
  <c r="AW45" i="4" s="1"/>
  <c r="BA45" i="4"/>
  <c r="BB45" i="4"/>
  <c r="AV46" i="4"/>
  <c r="AW46" i="4" s="1"/>
  <c r="BA46" i="4"/>
  <c r="BB46" i="4"/>
  <c r="AV47" i="4"/>
  <c r="AW47" i="4" s="1"/>
  <c r="BA47" i="4"/>
  <c r="BB47" i="4"/>
  <c r="AV48" i="4"/>
  <c r="AW48" i="4" s="1"/>
  <c r="BA48" i="4"/>
  <c r="BB48" i="4"/>
  <c r="AV49" i="4"/>
  <c r="AW49" i="4" s="1"/>
  <c r="BA49" i="4"/>
  <c r="BB49" i="4"/>
  <c r="AV50" i="4"/>
  <c r="AW50" i="4" s="1"/>
  <c r="BA50" i="4"/>
  <c r="BB50" i="4"/>
  <c r="AV51" i="4"/>
  <c r="AW51" i="4" s="1"/>
  <c r="BA51" i="4"/>
  <c r="BB51" i="4"/>
  <c r="AV52" i="4"/>
  <c r="AW52" i="4" s="1"/>
  <c r="BA52" i="4"/>
  <c r="BB52" i="4"/>
  <c r="AV53" i="4"/>
  <c r="AW53" i="4" s="1"/>
  <c r="BA53" i="4"/>
  <c r="BB53" i="4"/>
  <c r="AV54" i="4"/>
  <c r="AW54" i="4" s="1"/>
  <c r="BA54" i="4"/>
  <c r="BB54" i="4"/>
  <c r="AV55" i="4"/>
  <c r="AW55" i="4" s="1"/>
  <c r="BA55" i="4"/>
  <c r="BB55" i="4"/>
  <c r="AV56" i="4"/>
  <c r="AW56" i="4" s="1"/>
  <c r="BA56" i="4"/>
  <c r="BB56" i="4"/>
  <c r="AV57" i="4"/>
  <c r="AW57" i="4" s="1"/>
  <c r="BA57" i="4"/>
  <c r="BB57" i="4"/>
  <c r="AV58" i="4"/>
  <c r="AW58" i="4" s="1"/>
  <c r="BA58" i="4"/>
  <c r="BB58" i="4"/>
  <c r="AV59" i="4"/>
  <c r="AW59" i="4" s="1"/>
  <c r="BA59" i="4"/>
  <c r="BB59" i="4"/>
  <c r="AV60" i="4"/>
  <c r="AW60" i="4" s="1"/>
  <c r="BA60" i="4"/>
  <c r="BB60" i="4"/>
  <c r="AV61" i="4"/>
  <c r="AW61" i="4" s="1"/>
  <c r="BA61" i="4"/>
  <c r="BB61" i="4"/>
  <c r="AV62" i="4"/>
  <c r="AW62" i="4" s="1"/>
  <c r="BA62" i="4"/>
  <c r="BB62" i="4"/>
  <c r="AV63" i="4"/>
  <c r="AW63" i="4" s="1"/>
  <c r="BA63" i="4"/>
  <c r="BB63" i="4"/>
  <c r="AV64" i="4"/>
  <c r="AW64" i="4" s="1"/>
  <c r="BA64" i="4"/>
  <c r="BB64" i="4"/>
  <c r="AV65" i="4"/>
  <c r="AW65" i="4" s="1"/>
  <c r="BA65" i="4"/>
  <c r="BB65" i="4"/>
  <c r="AV66" i="4"/>
  <c r="AW66" i="4" s="1"/>
  <c r="BA66" i="4"/>
  <c r="BB66" i="4"/>
  <c r="AV67" i="4"/>
  <c r="AW67" i="4" s="1"/>
  <c r="BA67" i="4"/>
  <c r="BB67" i="4"/>
  <c r="AV68" i="4"/>
  <c r="AW68" i="4" s="1"/>
  <c r="BA68" i="4"/>
  <c r="BB68" i="4"/>
  <c r="AV69" i="4"/>
  <c r="AW69" i="4" s="1"/>
  <c r="BA69" i="4"/>
  <c r="BB69" i="4"/>
  <c r="AV70" i="4"/>
  <c r="AW70" i="4" s="1"/>
  <c r="BA70" i="4"/>
  <c r="BB70" i="4"/>
  <c r="AV71" i="4"/>
  <c r="AW71" i="4" s="1"/>
  <c r="BA71" i="4"/>
  <c r="BB71" i="4"/>
  <c r="AV72" i="4"/>
  <c r="AW72" i="4" s="1"/>
  <c r="BA72" i="4"/>
  <c r="BB72" i="4"/>
  <c r="AV73" i="4"/>
  <c r="AW73" i="4" s="1"/>
  <c r="BA73" i="4"/>
  <c r="BB73" i="4"/>
  <c r="AV74" i="4"/>
  <c r="AW74" i="4" s="1"/>
  <c r="BA74" i="4"/>
  <c r="BB74" i="4"/>
  <c r="AV75" i="4"/>
  <c r="AW75" i="4" s="1"/>
  <c r="BA75" i="4"/>
  <c r="BB75" i="4"/>
  <c r="AV76" i="4"/>
  <c r="AW76" i="4" s="1"/>
  <c r="BA76" i="4"/>
  <c r="BB76" i="4"/>
  <c r="AV77" i="4"/>
  <c r="AW77" i="4" s="1"/>
  <c r="BA77" i="4"/>
  <c r="BB77" i="4"/>
  <c r="AV78" i="4"/>
  <c r="AW78" i="4" s="1"/>
  <c r="BA78" i="4"/>
  <c r="BB78" i="4"/>
  <c r="AV79" i="4"/>
  <c r="AW79" i="4" s="1"/>
  <c r="BA79" i="4"/>
  <c r="BB79" i="4"/>
  <c r="AV80" i="4"/>
  <c r="AW80" i="4" s="1"/>
  <c r="BA80" i="4"/>
  <c r="BB80" i="4"/>
  <c r="AV81" i="4"/>
  <c r="AW81" i="4" s="1"/>
  <c r="BA81" i="4"/>
  <c r="BB81" i="4"/>
  <c r="AV82" i="4"/>
  <c r="AW82" i="4" s="1"/>
  <c r="BA82" i="4"/>
  <c r="BB82" i="4"/>
  <c r="AV83" i="4"/>
  <c r="AW83" i="4" s="1"/>
  <c r="BA83" i="4"/>
  <c r="BB83" i="4"/>
  <c r="AV84" i="4"/>
  <c r="AW84" i="4" s="1"/>
  <c r="BA84" i="4"/>
  <c r="BB84" i="4"/>
  <c r="AV86" i="4"/>
  <c r="AW86" i="4" s="1"/>
  <c r="BA86" i="4"/>
  <c r="BB86" i="4"/>
  <c r="K381" i="7"/>
  <c r="P93" i="7"/>
  <c r="Q93" i="7" s="1"/>
  <c r="U93" i="7"/>
  <c r="V93" i="7"/>
  <c r="P94" i="7"/>
  <c r="Q94" i="7" s="1"/>
  <c r="U94" i="7"/>
  <c r="V94" i="7"/>
  <c r="P95" i="7"/>
  <c r="Q95" i="7" s="1"/>
  <c r="U95" i="7"/>
  <c r="V95" i="7"/>
  <c r="W95" i="7" s="1"/>
  <c r="P96" i="7"/>
  <c r="Q96" i="7" s="1"/>
  <c r="U96" i="7"/>
  <c r="V96" i="7"/>
  <c r="P97" i="7"/>
  <c r="Q97" i="7" s="1"/>
  <c r="U97" i="7"/>
  <c r="V97" i="7"/>
  <c r="P98" i="7"/>
  <c r="Q98" i="7" s="1"/>
  <c r="U98" i="7"/>
  <c r="V98" i="7"/>
  <c r="P99" i="7"/>
  <c r="Q99" i="7" s="1"/>
  <c r="U99" i="7"/>
  <c r="V99" i="7"/>
  <c r="W99" i="7" s="1"/>
  <c r="P100" i="7"/>
  <c r="Q100" i="7" s="1"/>
  <c r="U100" i="7"/>
  <c r="V100" i="7"/>
  <c r="P101" i="7"/>
  <c r="Q101" i="7" s="1"/>
  <c r="U101" i="7"/>
  <c r="V101" i="7"/>
  <c r="P102" i="7"/>
  <c r="Q102" i="7" s="1"/>
  <c r="U102" i="7"/>
  <c r="V102" i="7"/>
  <c r="P103" i="7"/>
  <c r="Q103" i="7" s="1"/>
  <c r="U103" i="7"/>
  <c r="V103" i="7"/>
  <c r="P104" i="7"/>
  <c r="Q104" i="7" s="1"/>
  <c r="U104" i="7"/>
  <c r="V104" i="7"/>
  <c r="P105" i="7"/>
  <c r="Q105" i="7" s="1"/>
  <c r="U105" i="7"/>
  <c r="V105" i="7"/>
  <c r="P106" i="7"/>
  <c r="Q106" i="7" s="1"/>
  <c r="U106" i="7"/>
  <c r="V106" i="7"/>
  <c r="P107" i="7"/>
  <c r="Q107" i="7" s="1"/>
  <c r="U107" i="7"/>
  <c r="V107" i="7"/>
  <c r="W107" i="7" s="1"/>
  <c r="P108" i="7"/>
  <c r="Q108" i="7" s="1"/>
  <c r="U108" i="7"/>
  <c r="V108" i="7"/>
  <c r="P109" i="7"/>
  <c r="Q109" i="7" s="1"/>
  <c r="U109" i="7"/>
  <c r="V109" i="7"/>
  <c r="P110" i="7"/>
  <c r="Q110" i="7" s="1"/>
  <c r="U110" i="7"/>
  <c r="V110" i="7"/>
  <c r="P111" i="7"/>
  <c r="Q111" i="7" s="1"/>
  <c r="U111" i="7"/>
  <c r="V111" i="7"/>
  <c r="P112" i="7"/>
  <c r="Q112" i="7" s="1"/>
  <c r="U112" i="7"/>
  <c r="V112" i="7"/>
  <c r="P113" i="7"/>
  <c r="Q113" i="7" s="1"/>
  <c r="U113" i="7"/>
  <c r="V113" i="7"/>
  <c r="P114" i="7"/>
  <c r="Q114" i="7" s="1"/>
  <c r="U114" i="7"/>
  <c r="V114" i="7"/>
  <c r="P115" i="7"/>
  <c r="Q115" i="7" s="1"/>
  <c r="U115" i="7"/>
  <c r="V115" i="7"/>
  <c r="W115" i="7" s="1"/>
  <c r="P116" i="7"/>
  <c r="Q116" i="7" s="1"/>
  <c r="U116" i="7"/>
  <c r="V116" i="7"/>
  <c r="P117" i="7"/>
  <c r="Q117" i="7" s="1"/>
  <c r="U117" i="7"/>
  <c r="V117" i="7"/>
  <c r="P118" i="7"/>
  <c r="Q118" i="7" s="1"/>
  <c r="U118" i="7"/>
  <c r="V118" i="7"/>
  <c r="P119" i="7"/>
  <c r="Q119" i="7" s="1"/>
  <c r="U119" i="7"/>
  <c r="V119" i="7"/>
  <c r="W119" i="7" s="1"/>
  <c r="P120" i="7"/>
  <c r="Q120" i="7" s="1"/>
  <c r="U120" i="7"/>
  <c r="V120" i="7"/>
  <c r="P121" i="7"/>
  <c r="Q121" i="7" s="1"/>
  <c r="U121" i="7"/>
  <c r="V121" i="7"/>
  <c r="P122" i="7"/>
  <c r="Q122" i="7" s="1"/>
  <c r="U122" i="7"/>
  <c r="V122" i="7"/>
  <c r="P123" i="7"/>
  <c r="Q123" i="7" s="1"/>
  <c r="U123" i="7"/>
  <c r="V123" i="7"/>
  <c r="P124" i="7"/>
  <c r="Q124" i="7" s="1"/>
  <c r="U124" i="7"/>
  <c r="V124" i="7"/>
  <c r="P125" i="7"/>
  <c r="Q125" i="7" s="1"/>
  <c r="U125" i="7"/>
  <c r="V125" i="7"/>
  <c r="P126" i="7"/>
  <c r="Q126" i="7" s="1"/>
  <c r="U126" i="7"/>
  <c r="V126" i="7"/>
  <c r="P127" i="7"/>
  <c r="Q127" i="7" s="1"/>
  <c r="U127" i="7"/>
  <c r="V127" i="7"/>
  <c r="P128" i="7"/>
  <c r="Q128" i="7" s="1"/>
  <c r="U128" i="7"/>
  <c r="V128" i="7"/>
  <c r="P129" i="7"/>
  <c r="Q129" i="7" s="1"/>
  <c r="U129" i="7"/>
  <c r="V129" i="7"/>
  <c r="P130" i="7"/>
  <c r="Q130" i="7" s="1"/>
  <c r="U130" i="7"/>
  <c r="V130" i="7"/>
  <c r="P131" i="7"/>
  <c r="Q131" i="7" s="1"/>
  <c r="U131" i="7"/>
  <c r="V131" i="7"/>
  <c r="P132" i="7"/>
  <c r="Q132" i="7" s="1"/>
  <c r="U132" i="7"/>
  <c r="V132" i="7"/>
  <c r="P133" i="7"/>
  <c r="Q133" i="7" s="1"/>
  <c r="U133" i="7"/>
  <c r="V133" i="7"/>
  <c r="P134" i="7"/>
  <c r="Q134" i="7" s="1"/>
  <c r="U134" i="7"/>
  <c r="V134" i="7"/>
  <c r="P135" i="7"/>
  <c r="Q135" i="7" s="1"/>
  <c r="U135" i="7"/>
  <c r="V135" i="7"/>
  <c r="P136" i="7"/>
  <c r="Q136" i="7" s="1"/>
  <c r="U136" i="7"/>
  <c r="W136" i="7" s="1"/>
  <c r="V136" i="7"/>
  <c r="P137" i="7"/>
  <c r="Q137" i="7" s="1"/>
  <c r="U137" i="7"/>
  <c r="V137" i="7"/>
  <c r="P138" i="7"/>
  <c r="Q138" i="7" s="1"/>
  <c r="U138" i="7"/>
  <c r="V138" i="7"/>
  <c r="P139" i="7"/>
  <c r="Q139" i="7" s="1"/>
  <c r="U139" i="7"/>
  <c r="V139" i="7"/>
  <c r="W139" i="7" s="1"/>
  <c r="P140" i="7"/>
  <c r="Q140" i="7" s="1"/>
  <c r="U140" i="7"/>
  <c r="V140" i="7"/>
  <c r="P141" i="7"/>
  <c r="Q141" i="7" s="1"/>
  <c r="U141" i="7"/>
  <c r="V141" i="7"/>
  <c r="P142" i="7"/>
  <c r="Q142" i="7" s="1"/>
  <c r="U142" i="7"/>
  <c r="V142" i="7"/>
  <c r="P143" i="7"/>
  <c r="Q143" i="7" s="1"/>
  <c r="U143" i="7"/>
  <c r="V143" i="7"/>
  <c r="W143" i="7" s="1"/>
  <c r="P144" i="7"/>
  <c r="Q144" i="7" s="1"/>
  <c r="U144" i="7"/>
  <c r="V144" i="7"/>
  <c r="P145" i="7"/>
  <c r="Q145" i="7" s="1"/>
  <c r="U145" i="7"/>
  <c r="V145" i="7"/>
  <c r="P146" i="7"/>
  <c r="Q146" i="7" s="1"/>
  <c r="U146" i="7"/>
  <c r="V146" i="7"/>
  <c r="P147" i="7"/>
  <c r="Q147" i="7" s="1"/>
  <c r="U147" i="7"/>
  <c r="V147" i="7"/>
  <c r="P148" i="7"/>
  <c r="Q148" i="7" s="1"/>
  <c r="U148" i="7"/>
  <c r="V148" i="7"/>
  <c r="P149" i="7"/>
  <c r="Q149" i="7" s="1"/>
  <c r="U149" i="7"/>
  <c r="V149" i="7"/>
  <c r="P150" i="7"/>
  <c r="Q150" i="7" s="1"/>
  <c r="U150" i="7"/>
  <c r="V150" i="7"/>
  <c r="P151" i="7"/>
  <c r="Q151" i="7" s="1"/>
  <c r="U151" i="7"/>
  <c r="V151" i="7"/>
  <c r="P152" i="7"/>
  <c r="Q152" i="7" s="1"/>
  <c r="U152" i="7"/>
  <c r="V152" i="7"/>
  <c r="P153" i="7"/>
  <c r="Q153" i="7" s="1"/>
  <c r="U153" i="7"/>
  <c r="V153" i="7"/>
  <c r="P154" i="7"/>
  <c r="Q154" i="7" s="1"/>
  <c r="U154" i="7"/>
  <c r="V154" i="7"/>
  <c r="P155" i="7"/>
  <c r="Q155" i="7" s="1"/>
  <c r="U155" i="7"/>
  <c r="V155" i="7"/>
  <c r="P156" i="7"/>
  <c r="Q156" i="7" s="1"/>
  <c r="U156" i="7"/>
  <c r="V156" i="7"/>
  <c r="P157" i="7"/>
  <c r="Q157" i="7" s="1"/>
  <c r="U157" i="7"/>
  <c r="V157" i="7"/>
  <c r="P158" i="7"/>
  <c r="Q158" i="7" s="1"/>
  <c r="U158" i="7"/>
  <c r="V158" i="7"/>
  <c r="P159" i="7"/>
  <c r="Q159" i="7" s="1"/>
  <c r="U159" i="7"/>
  <c r="V159" i="7"/>
  <c r="P160" i="7"/>
  <c r="Q160" i="7" s="1"/>
  <c r="U160" i="7"/>
  <c r="V160" i="7"/>
  <c r="P161" i="7"/>
  <c r="Q161" i="7" s="1"/>
  <c r="U161" i="7"/>
  <c r="V161" i="7"/>
  <c r="P162" i="7"/>
  <c r="Q162" i="7" s="1"/>
  <c r="U162" i="7"/>
  <c r="V162" i="7"/>
  <c r="P163" i="7"/>
  <c r="Q163" i="7" s="1"/>
  <c r="U163" i="7"/>
  <c r="V163" i="7"/>
  <c r="P164" i="7"/>
  <c r="Q164" i="7" s="1"/>
  <c r="U164" i="7"/>
  <c r="V164" i="7"/>
  <c r="P165" i="7"/>
  <c r="Q165" i="7" s="1"/>
  <c r="U165" i="7"/>
  <c r="V165" i="7"/>
  <c r="P166" i="7"/>
  <c r="Q166" i="7" s="1"/>
  <c r="U166" i="7"/>
  <c r="V166" i="7"/>
  <c r="P167" i="7"/>
  <c r="Q167" i="7" s="1"/>
  <c r="U167" i="7"/>
  <c r="V167" i="7"/>
  <c r="P168" i="7"/>
  <c r="Q168" i="7" s="1"/>
  <c r="U168" i="7"/>
  <c r="V168" i="7"/>
  <c r="P169" i="7"/>
  <c r="Q169" i="7" s="1"/>
  <c r="U169" i="7"/>
  <c r="V169" i="7"/>
  <c r="P170" i="7"/>
  <c r="Q170" i="7" s="1"/>
  <c r="U170" i="7"/>
  <c r="V170" i="7"/>
  <c r="P171" i="7"/>
  <c r="Q171" i="7" s="1"/>
  <c r="U171" i="7"/>
  <c r="V171" i="7"/>
  <c r="P172" i="7"/>
  <c r="Q172" i="7" s="1"/>
  <c r="U172" i="7"/>
  <c r="V172" i="7"/>
  <c r="P173" i="7"/>
  <c r="Q173" i="7" s="1"/>
  <c r="U173" i="7"/>
  <c r="V173" i="7"/>
  <c r="P174" i="7"/>
  <c r="Q174" i="7" s="1"/>
  <c r="U174" i="7"/>
  <c r="V174" i="7"/>
  <c r="P175" i="7"/>
  <c r="Q175" i="7" s="1"/>
  <c r="U175" i="7"/>
  <c r="V175" i="7"/>
  <c r="P176" i="7"/>
  <c r="Q176" i="7" s="1"/>
  <c r="U176" i="7"/>
  <c r="V176" i="7"/>
  <c r="P177" i="7"/>
  <c r="Q177" i="7" s="1"/>
  <c r="U177" i="7"/>
  <c r="V177" i="7"/>
  <c r="P178" i="7"/>
  <c r="Q178" i="7" s="1"/>
  <c r="U178" i="7"/>
  <c r="V178" i="7"/>
  <c r="P179" i="7"/>
  <c r="Q179" i="7" s="1"/>
  <c r="U179" i="7"/>
  <c r="V179" i="7"/>
  <c r="P180" i="7"/>
  <c r="Q180" i="7" s="1"/>
  <c r="U180" i="7"/>
  <c r="V180" i="7"/>
  <c r="P181" i="7"/>
  <c r="Q181" i="7" s="1"/>
  <c r="U181" i="7"/>
  <c r="V181" i="7"/>
  <c r="P182" i="7"/>
  <c r="Q182" i="7" s="1"/>
  <c r="U182" i="7"/>
  <c r="V182" i="7"/>
  <c r="P183" i="7"/>
  <c r="Q183" i="7" s="1"/>
  <c r="U183" i="7"/>
  <c r="V183" i="7"/>
  <c r="P184" i="7"/>
  <c r="Q184" i="7" s="1"/>
  <c r="U184" i="7"/>
  <c r="V184" i="7"/>
  <c r="P185" i="7"/>
  <c r="Q185" i="7" s="1"/>
  <c r="U185" i="7"/>
  <c r="V185" i="7"/>
  <c r="P186" i="7"/>
  <c r="Q186" i="7" s="1"/>
  <c r="U186" i="7"/>
  <c r="V186" i="7"/>
  <c r="P187" i="7"/>
  <c r="Q187" i="7" s="1"/>
  <c r="U187" i="7"/>
  <c r="V187" i="7"/>
  <c r="P188" i="7"/>
  <c r="Q188" i="7" s="1"/>
  <c r="U188" i="7"/>
  <c r="V188" i="7"/>
  <c r="P189" i="7"/>
  <c r="Q189" i="7" s="1"/>
  <c r="U189" i="7"/>
  <c r="V189" i="7"/>
  <c r="P190" i="7"/>
  <c r="Q190" i="7" s="1"/>
  <c r="U190" i="7"/>
  <c r="V190" i="7"/>
  <c r="P191" i="7"/>
  <c r="Q191" i="7" s="1"/>
  <c r="U191" i="7"/>
  <c r="V191" i="7"/>
  <c r="P192" i="7"/>
  <c r="Q192" i="7" s="1"/>
  <c r="U192" i="7"/>
  <c r="V192" i="7"/>
  <c r="P193" i="7"/>
  <c r="Q193" i="7" s="1"/>
  <c r="U193" i="7"/>
  <c r="V193" i="7"/>
  <c r="P194" i="7"/>
  <c r="Q194" i="7" s="1"/>
  <c r="U194" i="7"/>
  <c r="V194" i="7"/>
  <c r="W194" i="7" s="1"/>
  <c r="P195" i="7"/>
  <c r="Q195" i="7" s="1"/>
  <c r="U195" i="7"/>
  <c r="V195" i="7"/>
  <c r="P196" i="7"/>
  <c r="Q196" i="7" s="1"/>
  <c r="U196" i="7"/>
  <c r="V196" i="7"/>
  <c r="P197" i="7"/>
  <c r="Q197" i="7" s="1"/>
  <c r="U197" i="7"/>
  <c r="V197" i="7"/>
  <c r="P198" i="7"/>
  <c r="Q198" i="7" s="1"/>
  <c r="U198" i="7"/>
  <c r="V198" i="7"/>
  <c r="P199" i="7"/>
  <c r="Q199" i="7" s="1"/>
  <c r="U199" i="7"/>
  <c r="V199" i="7"/>
  <c r="P200" i="7"/>
  <c r="Q200" i="7" s="1"/>
  <c r="U200" i="7"/>
  <c r="V200" i="7"/>
  <c r="P201" i="7"/>
  <c r="Q201" i="7" s="1"/>
  <c r="U201" i="7"/>
  <c r="V201" i="7"/>
  <c r="P202" i="7"/>
  <c r="Q202" i="7" s="1"/>
  <c r="U202" i="7"/>
  <c r="V202" i="7"/>
  <c r="P203" i="7"/>
  <c r="Q203" i="7" s="1"/>
  <c r="U203" i="7"/>
  <c r="V203" i="7"/>
  <c r="P204" i="7"/>
  <c r="Q204" i="7" s="1"/>
  <c r="U204" i="7"/>
  <c r="V204" i="7"/>
  <c r="P205" i="7"/>
  <c r="Q205" i="7" s="1"/>
  <c r="U205" i="7"/>
  <c r="V205" i="7"/>
  <c r="P206" i="7"/>
  <c r="Q206" i="7" s="1"/>
  <c r="U206" i="7"/>
  <c r="V206" i="7"/>
  <c r="P207" i="7"/>
  <c r="Q207" i="7" s="1"/>
  <c r="U207" i="7"/>
  <c r="V207" i="7"/>
  <c r="W207" i="7" s="1"/>
  <c r="P208" i="7"/>
  <c r="Q208" i="7" s="1"/>
  <c r="U208" i="7"/>
  <c r="V208" i="7"/>
  <c r="P209" i="7"/>
  <c r="Q209" i="7" s="1"/>
  <c r="U209" i="7"/>
  <c r="V209" i="7"/>
  <c r="P210" i="7"/>
  <c r="Q210" i="7" s="1"/>
  <c r="U210" i="7"/>
  <c r="V210" i="7"/>
  <c r="P211" i="7"/>
  <c r="Q211" i="7" s="1"/>
  <c r="U211" i="7"/>
  <c r="V211" i="7"/>
  <c r="P212" i="7"/>
  <c r="Q212" i="7" s="1"/>
  <c r="U212" i="7"/>
  <c r="V212" i="7"/>
  <c r="P213" i="7"/>
  <c r="Q213" i="7" s="1"/>
  <c r="U213" i="7"/>
  <c r="V213" i="7"/>
  <c r="P214" i="7"/>
  <c r="Q214" i="7" s="1"/>
  <c r="U214" i="7"/>
  <c r="V214" i="7"/>
  <c r="P215" i="7"/>
  <c r="Q215" i="7" s="1"/>
  <c r="U215" i="7"/>
  <c r="V215" i="7"/>
  <c r="P216" i="7"/>
  <c r="Q216" i="7" s="1"/>
  <c r="U216" i="7"/>
  <c r="V216" i="7"/>
  <c r="P217" i="7"/>
  <c r="Q217" i="7" s="1"/>
  <c r="U217" i="7"/>
  <c r="V217" i="7"/>
  <c r="P218" i="7"/>
  <c r="Q218" i="7" s="1"/>
  <c r="U218" i="7"/>
  <c r="V218" i="7"/>
  <c r="P219" i="7"/>
  <c r="Q219" i="7" s="1"/>
  <c r="U219" i="7"/>
  <c r="V219" i="7"/>
  <c r="P220" i="7"/>
  <c r="Q220" i="7" s="1"/>
  <c r="U220" i="7"/>
  <c r="V220" i="7"/>
  <c r="P221" i="7"/>
  <c r="Q221" i="7" s="1"/>
  <c r="U221" i="7"/>
  <c r="V221" i="7"/>
  <c r="P222" i="7"/>
  <c r="Q222" i="7" s="1"/>
  <c r="U222" i="7"/>
  <c r="V222" i="7"/>
  <c r="P223" i="7"/>
  <c r="Q223" i="7" s="1"/>
  <c r="U223" i="7"/>
  <c r="V223" i="7"/>
  <c r="P224" i="7"/>
  <c r="Q224" i="7" s="1"/>
  <c r="U224" i="7"/>
  <c r="V224" i="7"/>
  <c r="P225" i="7"/>
  <c r="Q225" i="7" s="1"/>
  <c r="U225" i="7"/>
  <c r="V225" i="7"/>
  <c r="P226" i="7"/>
  <c r="Q226" i="7" s="1"/>
  <c r="U226" i="7"/>
  <c r="V226" i="7"/>
  <c r="P227" i="7"/>
  <c r="Q227" i="7" s="1"/>
  <c r="U227" i="7"/>
  <c r="V227" i="7"/>
  <c r="P228" i="7"/>
  <c r="Q228" i="7" s="1"/>
  <c r="U228" i="7"/>
  <c r="V228" i="7"/>
  <c r="P229" i="7"/>
  <c r="Q229" i="7" s="1"/>
  <c r="U229" i="7"/>
  <c r="V229" i="7"/>
  <c r="P230" i="7"/>
  <c r="Q230" i="7" s="1"/>
  <c r="U230" i="7"/>
  <c r="V230" i="7"/>
  <c r="P231" i="7"/>
  <c r="Q231" i="7" s="1"/>
  <c r="U231" i="7"/>
  <c r="V231" i="7"/>
  <c r="P232" i="7"/>
  <c r="Q232" i="7" s="1"/>
  <c r="U232" i="7"/>
  <c r="V232" i="7"/>
  <c r="P233" i="7"/>
  <c r="Q233" i="7" s="1"/>
  <c r="U233" i="7"/>
  <c r="V233" i="7"/>
  <c r="P234" i="7"/>
  <c r="Q234" i="7" s="1"/>
  <c r="U234" i="7"/>
  <c r="V234" i="7"/>
  <c r="P235" i="7"/>
  <c r="Q235" i="7" s="1"/>
  <c r="U235" i="7"/>
  <c r="V235" i="7"/>
  <c r="P236" i="7"/>
  <c r="Q236" i="7" s="1"/>
  <c r="U236" i="7"/>
  <c r="V236" i="7"/>
  <c r="P237" i="7"/>
  <c r="Q237" i="7" s="1"/>
  <c r="U237" i="7"/>
  <c r="V237" i="7"/>
  <c r="P238" i="7"/>
  <c r="Q238" i="7" s="1"/>
  <c r="U238" i="7"/>
  <c r="V238" i="7"/>
  <c r="P239" i="7"/>
  <c r="Q239" i="7" s="1"/>
  <c r="U239" i="7"/>
  <c r="V239" i="7"/>
  <c r="P240" i="7"/>
  <c r="Q240" i="7" s="1"/>
  <c r="U240" i="7"/>
  <c r="V240" i="7"/>
  <c r="P241" i="7"/>
  <c r="Q241" i="7" s="1"/>
  <c r="U241" i="7"/>
  <c r="V241" i="7"/>
  <c r="P242" i="7"/>
  <c r="Q242" i="7" s="1"/>
  <c r="U242" i="7"/>
  <c r="V242" i="7"/>
  <c r="P243" i="7"/>
  <c r="Q243" i="7" s="1"/>
  <c r="U243" i="7"/>
  <c r="V243" i="7"/>
  <c r="P244" i="7"/>
  <c r="Q244" i="7" s="1"/>
  <c r="U244" i="7"/>
  <c r="V244" i="7"/>
  <c r="P245" i="7"/>
  <c r="Q245" i="7" s="1"/>
  <c r="U245" i="7"/>
  <c r="V245" i="7"/>
  <c r="P246" i="7"/>
  <c r="Q246" i="7" s="1"/>
  <c r="U246" i="7"/>
  <c r="V246" i="7"/>
  <c r="P247" i="7"/>
  <c r="Q247" i="7" s="1"/>
  <c r="U247" i="7"/>
  <c r="V247" i="7"/>
  <c r="P248" i="7"/>
  <c r="Q248" i="7" s="1"/>
  <c r="U248" i="7"/>
  <c r="V248" i="7"/>
  <c r="P249" i="7"/>
  <c r="Q249" i="7" s="1"/>
  <c r="U249" i="7"/>
  <c r="V249" i="7"/>
  <c r="P250" i="7"/>
  <c r="Q250" i="7" s="1"/>
  <c r="U250" i="7"/>
  <c r="V250" i="7"/>
  <c r="W250" i="7" s="1"/>
  <c r="P251" i="7"/>
  <c r="Q251" i="7" s="1"/>
  <c r="U251" i="7"/>
  <c r="V251" i="7"/>
  <c r="P252" i="7"/>
  <c r="Q252" i="7" s="1"/>
  <c r="U252" i="7"/>
  <c r="V252" i="7"/>
  <c r="P253" i="7"/>
  <c r="Q253" i="7" s="1"/>
  <c r="U253" i="7"/>
  <c r="V253" i="7"/>
  <c r="P254" i="7"/>
  <c r="Q254" i="7" s="1"/>
  <c r="U254" i="7"/>
  <c r="V254" i="7"/>
  <c r="P255" i="7"/>
  <c r="Q255" i="7" s="1"/>
  <c r="U255" i="7"/>
  <c r="V255" i="7"/>
  <c r="P256" i="7"/>
  <c r="Q256" i="7" s="1"/>
  <c r="U256" i="7"/>
  <c r="V256" i="7"/>
  <c r="P257" i="7"/>
  <c r="Q257" i="7"/>
  <c r="U257" i="7"/>
  <c r="V257" i="7"/>
  <c r="P258" i="7"/>
  <c r="Q258" i="7"/>
  <c r="U258" i="7"/>
  <c r="V258" i="7"/>
  <c r="P259" i="7"/>
  <c r="Q259" i="7" s="1"/>
  <c r="U259" i="7"/>
  <c r="V259" i="7"/>
  <c r="P260" i="7"/>
  <c r="Q260" i="7" s="1"/>
  <c r="U260" i="7"/>
  <c r="V260" i="7"/>
  <c r="W260" i="7" s="1"/>
  <c r="P261" i="7"/>
  <c r="Q261" i="7" s="1"/>
  <c r="U261" i="7"/>
  <c r="V261" i="7"/>
  <c r="P262" i="7"/>
  <c r="Q262" i="7" s="1"/>
  <c r="U262" i="7"/>
  <c r="V262" i="7"/>
  <c r="P263" i="7"/>
  <c r="Q263" i="7" s="1"/>
  <c r="U263" i="7"/>
  <c r="V263" i="7"/>
  <c r="P264" i="7"/>
  <c r="Q264" i="7" s="1"/>
  <c r="U264" i="7"/>
  <c r="V264" i="7"/>
  <c r="W264" i="7" s="1"/>
  <c r="P265" i="7"/>
  <c r="Q265" i="7" s="1"/>
  <c r="U265" i="7"/>
  <c r="V265" i="7"/>
  <c r="P266" i="7"/>
  <c r="Q266" i="7" s="1"/>
  <c r="U266" i="7"/>
  <c r="V266" i="7"/>
  <c r="P267" i="7"/>
  <c r="Q267" i="7" s="1"/>
  <c r="U267" i="7"/>
  <c r="V267" i="7"/>
  <c r="P268" i="7"/>
  <c r="Q268" i="7" s="1"/>
  <c r="U268" i="7"/>
  <c r="V268" i="7"/>
  <c r="W268" i="7" s="1"/>
  <c r="P269" i="7"/>
  <c r="Q269" i="7" s="1"/>
  <c r="U269" i="7"/>
  <c r="V269" i="7"/>
  <c r="P270" i="7"/>
  <c r="Q270" i="7" s="1"/>
  <c r="U270" i="7"/>
  <c r="V270" i="7"/>
  <c r="P271" i="7"/>
  <c r="Q271" i="7" s="1"/>
  <c r="U271" i="7"/>
  <c r="V271" i="7"/>
  <c r="P272" i="7"/>
  <c r="Q272" i="7" s="1"/>
  <c r="U272" i="7"/>
  <c r="V272" i="7"/>
  <c r="P273" i="7"/>
  <c r="Q273" i="7" s="1"/>
  <c r="U273" i="7"/>
  <c r="V273" i="7"/>
  <c r="P274" i="7"/>
  <c r="Q274" i="7" s="1"/>
  <c r="U274" i="7"/>
  <c r="V274" i="7"/>
  <c r="P275" i="7"/>
  <c r="Q275" i="7" s="1"/>
  <c r="U275" i="7"/>
  <c r="V275" i="7"/>
  <c r="P276" i="7"/>
  <c r="Q276" i="7" s="1"/>
  <c r="U276" i="7"/>
  <c r="V276" i="7"/>
  <c r="P277" i="7"/>
  <c r="Q277" i="7" s="1"/>
  <c r="U277" i="7"/>
  <c r="V277" i="7"/>
  <c r="P278" i="7"/>
  <c r="Q278" i="7" s="1"/>
  <c r="U278" i="7"/>
  <c r="V278" i="7"/>
  <c r="P279" i="7"/>
  <c r="Q279" i="7" s="1"/>
  <c r="U279" i="7"/>
  <c r="V279" i="7"/>
  <c r="P280" i="7"/>
  <c r="Q280" i="7" s="1"/>
  <c r="U280" i="7"/>
  <c r="V280" i="7"/>
  <c r="P281" i="7"/>
  <c r="Q281" i="7" s="1"/>
  <c r="U281" i="7"/>
  <c r="V281" i="7"/>
  <c r="P282" i="7"/>
  <c r="Q282" i="7" s="1"/>
  <c r="U282" i="7"/>
  <c r="V282" i="7"/>
  <c r="P283" i="7"/>
  <c r="Q283" i="7" s="1"/>
  <c r="U283" i="7"/>
  <c r="V283" i="7"/>
  <c r="P284" i="7"/>
  <c r="Q284" i="7" s="1"/>
  <c r="U284" i="7"/>
  <c r="V284" i="7"/>
  <c r="P285" i="7"/>
  <c r="Q285" i="7" s="1"/>
  <c r="U285" i="7"/>
  <c r="V285" i="7"/>
  <c r="P286" i="7"/>
  <c r="Q286" i="7" s="1"/>
  <c r="U286" i="7"/>
  <c r="V286" i="7"/>
  <c r="P287" i="7"/>
  <c r="Q287" i="7" s="1"/>
  <c r="U287" i="7"/>
  <c r="V287" i="7"/>
  <c r="P288" i="7"/>
  <c r="Q288" i="7" s="1"/>
  <c r="U288" i="7"/>
  <c r="V288" i="7"/>
  <c r="P289" i="7"/>
  <c r="Q289" i="7" s="1"/>
  <c r="U289" i="7"/>
  <c r="V289" i="7"/>
  <c r="P290" i="7"/>
  <c r="Q290" i="7" s="1"/>
  <c r="U290" i="7"/>
  <c r="V290" i="7"/>
  <c r="P291" i="7"/>
  <c r="Q291" i="7" s="1"/>
  <c r="U291" i="7"/>
  <c r="V291" i="7"/>
  <c r="P292" i="7"/>
  <c r="Q292" i="7" s="1"/>
  <c r="U292" i="7"/>
  <c r="V292" i="7"/>
  <c r="P293" i="7"/>
  <c r="Q293" i="7" s="1"/>
  <c r="U293" i="7"/>
  <c r="V293" i="7"/>
  <c r="P294" i="7"/>
  <c r="Q294" i="7" s="1"/>
  <c r="U294" i="7"/>
  <c r="V294" i="7"/>
  <c r="P295" i="7"/>
  <c r="Q295" i="7" s="1"/>
  <c r="U295" i="7"/>
  <c r="V295" i="7"/>
  <c r="P296" i="7"/>
  <c r="Q296" i="7" s="1"/>
  <c r="U296" i="7"/>
  <c r="V296" i="7"/>
  <c r="P297" i="7"/>
  <c r="Q297" i="7" s="1"/>
  <c r="U297" i="7"/>
  <c r="V297" i="7"/>
  <c r="P298" i="7"/>
  <c r="Q298" i="7" s="1"/>
  <c r="U298" i="7"/>
  <c r="V298" i="7"/>
  <c r="P299" i="7"/>
  <c r="Q299" i="7" s="1"/>
  <c r="U299" i="7"/>
  <c r="V299" i="7"/>
  <c r="P300" i="7"/>
  <c r="Q300" i="7" s="1"/>
  <c r="U300" i="7"/>
  <c r="V300" i="7"/>
  <c r="P301" i="7"/>
  <c r="Q301" i="7" s="1"/>
  <c r="U301" i="7"/>
  <c r="V301" i="7"/>
  <c r="P302" i="7"/>
  <c r="Q302" i="7" s="1"/>
  <c r="U302" i="7"/>
  <c r="V302" i="7"/>
  <c r="P303" i="7"/>
  <c r="Q303" i="7" s="1"/>
  <c r="U303" i="7"/>
  <c r="V303" i="7"/>
  <c r="P304" i="7"/>
  <c r="Q304" i="7" s="1"/>
  <c r="U304" i="7"/>
  <c r="V304" i="7"/>
  <c r="P305" i="7"/>
  <c r="Q305" i="7" s="1"/>
  <c r="U305" i="7"/>
  <c r="V305" i="7"/>
  <c r="P306" i="7"/>
  <c r="Q306" i="7" s="1"/>
  <c r="U306" i="7"/>
  <c r="V306" i="7"/>
  <c r="P307" i="7"/>
  <c r="Q307" i="7" s="1"/>
  <c r="U307" i="7"/>
  <c r="V307" i="7"/>
  <c r="P308" i="7"/>
  <c r="Q308" i="7" s="1"/>
  <c r="U308" i="7"/>
  <c r="V308" i="7"/>
  <c r="W308" i="7"/>
  <c r="P309" i="7"/>
  <c r="Q309" i="7" s="1"/>
  <c r="U309" i="7"/>
  <c r="V309" i="7"/>
  <c r="P310" i="7"/>
  <c r="Q310" i="7" s="1"/>
  <c r="U310" i="7"/>
  <c r="V310" i="7"/>
  <c r="P311" i="7"/>
  <c r="Q311" i="7" s="1"/>
  <c r="U311" i="7"/>
  <c r="V311" i="7"/>
  <c r="P312" i="7"/>
  <c r="Q312" i="7" s="1"/>
  <c r="U312" i="7"/>
  <c r="V312" i="7"/>
  <c r="W312" i="7" s="1"/>
  <c r="P313" i="7"/>
  <c r="Q313" i="7" s="1"/>
  <c r="U313" i="7"/>
  <c r="V313" i="7"/>
  <c r="P314" i="7"/>
  <c r="Q314" i="7" s="1"/>
  <c r="U314" i="7"/>
  <c r="V314" i="7"/>
  <c r="P315" i="7"/>
  <c r="Q315" i="7" s="1"/>
  <c r="U315" i="7"/>
  <c r="W315" i="7" s="1"/>
  <c r="V315" i="7"/>
  <c r="P316" i="7"/>
  <c r="Q316" i="7" s="1"/>
  <c r="U316" i="7"/>
  <c r="V316" i="7"/>
  <c r="P317" i="7"/>
  <c r="Q317" i="7" s="1"/>
  <c r="U317" i="7"/>
  <c r="V317" i="7"/>
  <c r="P318" i="7"/>
  <c r="Q318" i="7" s="1"/>
  <c r="U318" i="7"/>
  <c r="V318" i="7"/>
  <c r="P319" i="7"/>
  <c r="Q319" i="7" s="1"/>
  <c r="U319" i="7"/>
  <c r="V319" i="7"/>
  <c r="P320" i="7"/>
  <c r="Q320" i="7" s="1"/>
  <c r="U320" i="7"/>
  <c r="V320" i="7"/>
  <c r="W320" i="7" s="1"/>
  <c r="P321" i="7"/>
  <c r="Q321" i="7" s="1"/>
  <c r="U321" i="7"/>
  <c r="V321" i="7"/>
  <c r="P322" i="7"/>
  <c r="Q322" i="7" s="1"/>
  <c r="U322" i="7"/>
  <c r="V322" i="7"/>
  <c r="P323" i="7"/>
  <c r="Q323" i="7" s="1"/>
  <c r="U323" i="7"/>
  <c r="W323" i="7" s="1"/>
  <c r="V323" i="7"/>
  <c r="P324" i="7"/>
  <c r="Q324" i="7" s="1"/>
  <c r="U324" i="7"/>
  <c r="V324" i="7"/>
  <c r="W324" i="7" s="1"/>
  <c r="P325" i="7"/>
  <c r="Q325" i="7" s="1"/>
  <c r="U325" i="7"/>
  <c r="V325" i="7"/>
  <c r="P326" i="7"/>
  <c r="Q326" i="7" s="1"/>
  <c r="U326" i="7"/>
  <c r="V326" i="7"/>
  <c r="P327" i="7"/>
  <c r="Q327" i="7" s="1"/>
  <c r="U327" i="7"/>
  <c r="V327" i="7"/>
  <c r="P328" i="7"/>
  <c r="Q328" i="7" s="1"/>
  <c r="U328" i="7"/>
  <c r="V328" i="7"/>
  <c r="P329" i="7"/>
  <c r="Q329" i="7" s="1"/>
  <c r="U329" i="7"/>
  <c r="V329" i="7"/>
  <c r="P330" i="7"/>
  <c r="Q330" i="7" s="1"/>
  <c r="U330" i="7"/>
  <c r="V330" i="7"/>
  <c r="P331" i="7"/>
  <c r="Q331" i="7" s="1"/>
  <c r="U331" i="7"/>
  <c r="V331" i="7"/>
  <c r="P332" i="7"/>
  <c r="Q332" i="7" s="1"/>
  <c r="U332" i="7"/>
  <c r="V332" i="7"/>
  <c r="P333" i="7"/>
  <c r="Q333" i="7" s="1"/>
  <c r="U333" i="7"/>
  <c r="V333" i="7"/>
  <c r="P334" i="7"/>
  <c r="Q334" i="7" s="1"/>
  <c r="U334" i="7"/>
  <c r="V334" i="7"/>
  <c r="P335" i="7"/>
  <c r="Q335" i="7" s="1"/>
  <c r="U335" i="7"/>
  <c r="V335" i="7"/>
  <c r="P336" i="7"/>
  <c r="Q336" i="7" s="1"/>
  <c r="U336" i="7"/>
  <c r="V336" i="7"/>
  <c r="P337" i="7"/>
  <c r="Q337" i="7" s="1"/>
  <c r="U337" i="7"/>
  <c r="V337" i="7"/>
  <c r="P338" i="7"/>
  <c r="Q338" i="7" s="1"/>
  <c r="U338" i="7"/>
  <c r="V338" i="7"/>
  <c r="P339" i="7"/>
  <c r="Q339" i="7" s="1"/>
  <c r="U339" i="7"/>
  <c r="V339" i="7"/>
  <c r="P340" i="7"/>
  <c r="Q340" i="7" s="1"/>
  <c r="U340" i="7"/>
  <c r="V340" i="7"/>
  <c r="P341" i="7"/>
  <c r="Q341" i="7" s="1"/>
  <c r="U341" i="7"/>
  <c r="V341" i="7"/>
  <c r="P342" i="7"/>
  <c r="Q342" i="7" s="1"/>
  <c r="U342" i="7"/>
  <c r="V342" i="7"/>
  <c r="P343" i="7"/>
  <c r="Q343" i="7" s="1"/>
  <c r="U343" i="7"/>
  <c r="V343" i="7"/>
  <c r="P344" i="7"/>
  <c r="Q344" i="7" s="1"/>
  <c r="U344" i="7"/>
  <c r="V344" i="7"/>
  <c r="P345" i="7"/>
  <c r="Q345" i="7" s="1"/>
  <c r="U345" i="7"/>
  <c r="V345" i="7"/>
  <c r="P346" i="7"/>
  <c r="Q346" i="7" s="1"/>
  <c r="U346" i="7"/>
  <c r="V346" i="7"/>
  <c r="P347" i="7"/>
  <c r="Q347" i="7" s="1"/>
  <c r="U347" i="7"/>
  <c r="W347" i="7" s="1"/>
  <c r="V347" i="7"/>
  <c r="P348" i="7"/>
  <c r="Q348" i="7" s="1"/>
  <c r="U348" i="7"/>
  <c r="V348" i="7"/>
  <c r="W348" i="7" s="1"/>
  <c r="P349" i="7"/>
  <c r="Q349" i="7" s="1"/>
  <c r="U349" i="7"/>
  <c r="V349" i="7"/>
  <c r="P350" i="7"/>
  <c r="Q350" i="7" s="1"/>
  <c r="U350" i="7"/>
  <c r="V350" i="7"/>
  <c r="P351" i="7"/>
  <c r="Q351" i="7" s="1"/>
  <c r="U351" i="7"/>
  <c r="V351" i="7"/>
  <c r="P352" i="7"/>
  <c r="Q352" i="7" s="1"/>
  <c r="U352" i="7"/>
  <c r="V352" i="7"/>
  <c r="W352" i="7" s="1"/>
  <c r="P353" i="7"/>
  <c r="Q353" i="7" s="1"/>
  <c r="U353" i="7"/>
  <c r="V353" i="7"/>
  <c r="P354" i="7"/>
  <c r="Q354" i="7" s="1"/>
  <c r="U354" i="7"/>
  <c r="V354" i="7"/>
  <c r="P355" i="7"/>
  <c r="Q355" i="7" s="1"/>
  <c r="U355" i="7"/>
  <c r="W355" i="7" s="1"/>
  <c r="V355" i="7"/>
  <c r="P356" i="7"/>
  <c r="Q356" i="7" s="1"/>
  <c r="U356" i="7"/>
  <c r="V356" i="7"/>
  <c r="W356" i="7" s="1"/>
  <c r="P357" i="7"/>
  <c r="Q357" i="7" s="1"/>
  <c r="U357" i="7"/>
  <c r="V357" i="7"/>
  <c r="P358" i="7"/>
  <c r="Q358" i="7" s="1"/>
  <c r="U358" i="7"/>
  <c r="V358" i="7"/>
  <c r="P359" i="7"/>
  <c r="Q359" i="7" s="1"/>
  <c r="U359" i="7"/>
  <c r="V359" i="7"/>
  <c r="P360" i="7"/>
  <c r="Q360" i="7" s="1"/>
  <c r="U360" i="7"/>
  <c r="V360" i="7"/>
  <c r="P361" i="7"/>
  <c r="Q361" i="7" s="1"/>
  <c r="U361" i="7"/>
  <c r="V361" i="7"/>
  <c r="P362" i="7"/>
  <c r="Q362" i="7" s="1"/>
  <c r="U362" i="7"/>
  <c r="V362" i="7"/>
  <c r="P363" i="7"/>
  <c r="Q363" i="7" s="1"/>
  <c r="U363" i="7"/>
  <c r="V363" i="7"/>
  <c r="P364" i="7"/>
  <c r="Q364" i="7" s="1"/>
  <c r="U364" i="7"/>
  <c r="V364" i="7"/>
  <c r="P365" i="7"/>
  <c r="Q365" i="7" s="1"/>
  <c r="U365" i="7"/>
  <c r="V365" i="7"/>
  <c r="P366" i="7"/>
  <c r="Q366" i="7" s="1"/>
  <c r="U366" i="7"/>
  <c r="V366" i="7"/>
  <c r="P367" i="7"/>
  <c r="Q367" i="7" s="1"/>
  <c r="U367" i="7"/>
  <c r="V367" i="7"/>
  <c r="P368" i="7"/>
  <c r="Q368" i="7" s="1"/>
  <c r="U368" i="7"/>
  <c r="V368" i="7"/>
  <c r="P369" i="7"/>
  <c r="Q369" i="7" s="1"/>
  <c r="U369" i="7"/>
  <c r="V369" i="7"/>
  <c r="P370" i="7"/>
  <c r="Q370" i="7" s="1"/>
  <c r="U370" i="7"/>
  <c r="V370" i="7"/>
  <c r="P371" i="7"/>
  <c r="Q371" i="7" s="1"/>
  <c r="U371" i="7"/>
  <c r="V371" i="7"/>
  <c r="P372" i="7"/>
  <c r="Q372" i="7" s="1"/>
  <c r="U372" i="7"/>
  <c r="V372" i="7"/>
  <c r="W372" i="7" s="1"/>
  <c r="P373" i="7"/>
  <c r="Q373" i="7" s="1"/>
  <c r="U373" i="7"/>
  <c r="V373" i="7"/>
  <c r="P374" i="7"/>
  <c r="Q374" i="7" s="1"/>
  <c r="U374" i="7"/>
  <c r="V374" i="7"/>
  <c r="P375" i="7"/>
  <c r="Q375" i="7" s="1"/>
  <c r="U375" i="7"/>
  <c r="V375" i="7"/>
  <c r="P376" i="7"/>
  <c r="Q376" i="7" s="1"/>
  <c r="U376" i="7"/>
  <c r="V376" i="7"/>
  <c r="P377" i="7"/>
  <c r="Q377" i="7" s="1"/>
  <c r="U377" i="7"/>
  <c r="V377" i="7"/>
  <c r="P378" i="7"/>
  <c r="Q378" i="7" s="1"/>
  <c r="U378" i="7"/>
  <c r="V378" i="7"/>
  <c r="P379" i="7"/>
  <c r="Q379" i="7" s="1"/>
  <c r="U379" i="7"/>
  <c r="W379" i="7" s="1"/>
  <c r="V379" i="7"/>
  <c r="P380" i="7"/>
  <c r="Q380" i="7" s="1"/>
  <c r="U380" i="7"/>
  <c r="V380" i="7"/>
  <c r="P381" i="7"/>
  <c r="Q381" i="7" s="1"/>
  <c r="U381" i="7"/>
  <c r="V381" i="7"/>
  <c r="P382" i="7"/>
  <c r="Q382" i="7" s="1"/>
  <c r="U382" i="7"/>
  <c r="V382" i="7"/>
  <c r="P383" i="7"/>
  <c r="Q383" i="7" s="1"/>
  <c r="U383" i="7"/>
  <c r="V383" i="7"/>
  <c r="P384" i="7"/>
  <c r="Q384" i="7" s="1"/>
  <c r="U384" i="7"/>
  <c r="V384" i="7"/>
  <c r="P385" i="7"/>
  <c r="Q385" i="7" s="1"/>
  <c r="U385" i="7"/>
  <c r="V385" i="7"/>
  <c r="P386" i="7"/>
  <c r="Q386" i="7" s="1"/>
  <c r="U386" i="7"/>
  <c r="V386" i="7"/>
  <c r="P387" i="7"/>
  <c r="Q387" i="7" s="1"/>
  <c r="U387" i="7"/>
  <c r="W387" i="7" s="1"/>
  <c r="V387" i="7"/>
  <c r="P388" i="7"/>
  <c r="Q388" i="7" s="1"/>
  <c r="U388" i="7"/>
  <c r="V388" i="7"/>
  <c r="P389" i="7"/>
  <c r="Q389" i="7" s="1"/>
  <c r="U389" i="7"/>
  <c r="V389" i="7"/>
  <c r="P390" i="7"/>
  <c r="Q390" i="7" s="1"/>
  <c r="U390" i="7"/>
  <c r="V390" i="7"/>
  <c r="P391" i="7"/>
  <c r="Q391" i="7" s="1"/>
  <c r="U391" i="7"/>
  <c r="V391" i="7"/>
  <c r="P392" i="7"/>
  <c r="Q392" i="7" s="1"/>
  <c r="U392" i="7"/>
  <c r="V392" i="7"/>
  <c r="P393" i="7"/>
  <c r="Q393" i="7" s="1"/>
  <c r="U393" i="7"/>
  <c r="V393" i="7"/>
  <c r="P394" i="7"/>
  <c r="Q394" i="7" s="1"/>
  <c r="U394" i="7"/>
  <c r="V394" i="7"/>
  <c r="P395" i="7"/>
  <c r="Q395" i="7" s="1"/>
  <c r="U395" i="7"/>
  <c r="V395" i="7"/>
  <c r="P396" i="7"/>
  <c r="Q396" i="7" s="1"/>
  <c r="U396" i="7"/>
  <c r="V396" i="7"/>
  <c r="P397" i="7"/>
  <c r="Q397" i="7" s="1"/>
  <c r="U397" i="7"/>
  <c r="V397" i="7"/>
  <c r="P398" i="7"/>
  <c r="Q398" i="7" s="1"/>
  <c r="U398" i="7"/>
  <c r="V398" i="7"/>
  <c r="P399" i="7"/>
  <c r="Q399" i="7" s="1"/>
  <c r="U399" i="7"/>
  <c r="V399" i="7"/>
  <c r="P400" i="7"/>
  <c r="Q400" i="7" s="1"/>
  <c r="U400" i="7"/>
  <c r="V400" i="7"/>
  <c r="P401" i="7"/>
  <c r="Q401" i="7" s="1"/>
  <c r="U401" i="7"/>
  <c r="V401" i="7"/>
  <c r="P402" i="7"/>
  <c r="Q402" i="7" s="1"/>
  <c r="U402" i="7"/>
  <c r="V402" i="7"/>
  <c r="P403" i="7"/>
  <c r="Q403" i="7" s="1"/>
  <c r="U403" i="7"/>
  <c r="V403" i="7"/>
  <c r="P404" i="7"/>
  <c r="Q404" i="7" s="1"/>
  <c r="U404" i="7"/>
  <c r="V404" i="7"/>
  <c r="P405" i="7"/>
  <c r="Q405" i="7" s="1"/>
  <c r="U405" i="7"/>
  <c r="V405" i="7"/>
  <c r="P406" i="7"/>
  <c r="Q406" i="7" s="1"/>
  <c r="U406" i="7"/>
  <c r="V406" i="7"/>
  <c r="P407" i="7"/>
  <c r="Q407" i="7" s="1"/>
  <c r="U407" i="7"/>
  <c r="V407" i="7"/>
  <c r="P408" i="7"/>
  <c r="Q408" i="7" s="1"/>
  <c r="U408" i="7"/>
  <c r="V408" i="7"/>
  <c r="P409" i="7"/>
  <c r="Q409" i="7" s="1"/>
  <c r="U409" i="7"/>
  <c r="V409" i="7"/>
  <c r="P410" i="7"/>
  <c r="Q410" i="7" s="1"/>
  <c r="U410" i="7"/>
  <c r="V410" i="7"/>
  <c r="P411" i="7"/>
  <c r="Q411" i="7" s="1"/>
  <c r="U411" i="7"/>
  <c r="W411" i="7" s="1"/>
  <c r="V411" i="7"/>
  <c r="P412" i="7"/>
  <c r="Q412" i="7" s="1"/>
  <c r="U412" i="7"/>
  <c r="V412" i="7"/>
  <c r="P413" i="7"/>
  <c r="Q413" i="7" s="1"/>
  <c r="U413" i="7"/>
  <c r="V413" i="7"/>
  <c r="P414" i="7"/>
  <c r="Q414" i="7" s="1"/>
  <c r="U414" i="7"/>
  <c r="V414" i="7"/>
  <c r="P415" i="7"/>
  <c r="Q415" i="7" s="1"/>
  <c r="U415" i="7"/>
  <c r="V415" i="7"/>
  <c r="P416" i="7"/>
  <c r="Q416" i="7" s="1"/>
  <c r="U416" i="7"/>
  <c r="V416" i="7"/>
  <c r="P417" i="7"/>
  <c r="Q417" i="7" s="1"/>
  <c r="U417" i="7"/>
  <c r="V417" i="7"/>
  <c r="P418" i="7"/>
  <c r="Q418" i="7" s="1"/>
  <c r="U418" i="7"/>
  <c r="V418" i="7"/>
  <c r="P419" i="7"/>
  <c r="Q419" i="7" s="1"/>
  <c r="U419" i="7"/>
  <c r="W419" i="7" s="1"/>
  <c r="V419" i="7"/>
  <c r="P420" i="7"/>
  <c r="Q420" i="7" s="1"/>
  <c r="U420" i="7"/>
  <c r="V420" i="7"/>
  <c r="P421" i="7"/>
  <c r="Q421" i="7" s="1"/>
  <c r="U421" i="7"/>
  <c r="V421" i="7"/>
  <c r="P422" i="7"/>
  <c r="Q422" i="7" s="1"/>
  <c r="U422" i="7"/>
  <c r="V422" i="7"/>
  <c r="P423" i="7"/>
  <c r="Q423" i="7" s="1"/>
  <c r="U423" i="7"/>
  <c r="V423" i="7"/>
  <c r="P424" i="7"/>
  <c r="Q424" i="7" s="1"/>
  <c r="U424" i="7"/>
  <c r="V424" i="7"/>
  <c r="P425" i="7"/>
  <c r="Q425" i="7" s="1"/>
  <c r="U425" i="7"/>
  <c r="V425" i="7"/>
  <c r="P426" i="7"/>
  <c r="Q426" i="7" s="1"/>
  <c r="U426" i="7"/>
  <c r="V426" i="7"/>
  <c r="P427" i="7"/>
  <c r="Q427" i="7" s="1"/>
  <c r="U427" i="7"/>
  <c r="V427" i="7"/>
  <c r="P428" i="7"/>
  <c r="Q428" i="7" s="1"/>
  <c r="U428" i="7"/>
  <c r="V428" i="7"/>
  <c r="W428" i="7" s="1"/>
  <c r="P429" i="7"/>
  <c r="Q429" i="7" s="1"/>
  <c r="U429" i="7"/>
  <c r="V429" i="7"/>
  <c r="P430" i="7"/>
  <c r="Q430" i="7" s="1"/>
  <c r="U430" i="7"/>
  <c r="V430" i="7"/>
  <c r="P431" i="7"/>
  <c r="Q431" i="7" s="1"/>
  <c r="U431" i="7"/>
  <c r="V431" i="7"/>
  <c r="P432" i="7"/>
  <c r="Q432" i="7" s="1"/>
  <c r="U432" i="7"/>
  <c r="V432" i="7"/>
  <c r="P433" i="7"/>
  <c r="Q433" i="7" s="1"/>
  <c r="U433" i="7"/>
  <c r="V433" i="7"/>
  <c r="P434" i="7"/>
  <c r="Q434" i="7" s="1"/>
  <c r="U434" i="7"/>
  <c r="V434" i="7"/>
  <c r="P435" i="7"/>
  <c r="Q435" i="7" s="1"/>
  <c r="U435" i="7"/>
  <c r="V435" i="7"/>
  <c r="P436" i="7"/>
  <c r="Q436" i="7" s="1"/>
  <c r="U436" i="7"/>
  <c r="V436" i="7"/>
  <c r="P437" i="7"/>
  <c r="Q437" i="7" s="1"/>
  <c r="U437" i="7"/>
  <c r="V437" i="7"/>
  <c r="P438" i="7"/>
  <c r="Q438" i="7" s="1"/>
  <c r="U438" i="7"/>
  <c r="V438" i="7"/>
  <c r="P439" i="7"/>
  <c r="Q439" i="7" s="1"/>
  <c r="U439" i="7"/>
  <c r="V439" i="7"/>
  <c r="P440" i="7"/>
  <c r="Q440" i="7" s="1"/>
  <c r="U440" i="7"/>
  <c r="V440" i="7"/>
  <c r="P441" i="7"/>
  <c r="Q441" i="7" s="1"/>
  <c r="U441" i="7"/>
  <c r="V441" i="7"/>
  <c r="P442" i="7"/>
  <c r="Q442" i="7" s="1"/>
  <c r="U442" i="7"/>
  <c r="V442" i="7"/>
  <c r="P443" i="7"/>
  <c r="Q443" i="7" s="1"/>
  <c r="U443" i="7"/>
  <c r="V443" i="7"/>
  <c r="P444" i="7"/>
  <c r="Q444" i="7" s="1"/>
  <c r="U444" i="7"/>
  <c r="V444" i="7"/>
  <c r="P445" i="7"/>
  <c r="Q445" i="7" s="1"/>
  <c r="U445" i="7"/>
  <c r="V445" i="7"/>
  <c r="P446" i="7"/>
  <c r="Q446" i="7" s="1"/>
  <c r="U446" i="7"/>
  <c r="V446" i="7"/>
  <c r="P447" i="7"/>
  <c r="Q447" i="7" s="1"/>
  <c r="U447" i="7"/>
  <c r="V447" i="7"/>
  <c r="P448" i="7"/>
  <c r="Q448" i="7" s="1"/>
  <c r="U448" i="7"/>
  <c r="V448" i="7"/>
  <c r="P449" i="7"/>
  <c r="Q449" i="7" s="1"/>
  <c r="U449" i="7"/>
  <c r="V449" i="7"/>
  <c r="W449" i="7" s="1"/>
  <c r="P450" i="7"/>
  <c r="Q450" i="7" s="1"/>
  <c r="U450" i="7"/>
  <c r="V450" i="7"/>
  <c r="P451" i="7"/>
  <c r="Q451" i="7" s="1"/>
  <c r="U451" i="7"/>
  <c r="V451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3" i="7"/>
  <c r="K314" i="7"/>
  <c r="K315" i="7"/>
  <c r="K316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93" i="7"/>
  <c r="A111" i="6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A403" i="6" s="1"/>
  <c r="A404" i="6" s="1"/>
  <c r="A405" i="6" s="1"/>
  <c r="A406" i="6" s="1"/>
  <c r="A407" i="6" s="1"/>
  <c r="A408" i="6" s="1"/>
  <c r="A409" i="6" s="1"/>
  <c r="A410" i="6" s="1"/>
  <c r="A411" i="6" s="1"/>
  <c r="A412" i="6" s="1"/>
  <c r="A413" i="6" s="1"/>
  <c r="A414" i="6" s="1"/>
  <c r="A415" i="6" s="1"/>
  <c r="A416" i="6" s="1"/>
  <c r="A417" i="6" s="1"/>
  <c r="A418" i="6" s="1"/>
  <c r="A419" i="6" s="1"/>
  <c r="A420" i="6" s="1"/>
  <c r="A421" i="6" s="1"/>
  <c r="A422" i="6" s="1"/>
  <c r="A423" i="6" s="1"/>
  <c r="A424" i="6" s="1"/>
  <c r="A425" i="6" s="1"/>
  <c r="A426" i="6" s="1"/>
  <c r="A427" i="6" s="1"/>
  <c r="A428" i="6" s="1"/>
  <c r="A429" i="6" s="1"/>
  <c r="A430" i="6" s="1"/>
  <c r="A431" i="6" s="1"/>
  <c r="A432" i="6" s="1"/>
  <c r="A433" i="6" s="1"/>
  <c r="A434" i="6" s="1"/>
  <c r="A435" i="6" s="1"/>
  <c r="A436" i="6" s="1"/>
  <c r="A437" i="6" s="1"/>
  <c r="A438" i="6" s="1"/>
  <c r="A439" i="6" s="1"/>
  <c r="A440" i="6" s="1"/>
  <c r="A441" i="6" s="1"/>
  <c r="A442" i="6" s="1"/>
  <c r="A443" i="6" s="1"/>
  <c r="A444" i="6" s="1"/>
  <c r="A445" i="6" s="1"/>
  <c r="A446" i="6" s="1"/>
  <c r="A447" i="6" s="1"/>
  <c r="A448" i="6" s="1"/>
  <c r="A449" i="6" s="1"/>
  <c r="A450" i="6" s="1"/>
  <c r="A451" i="6" s="1"/>
  <c r="A452" i="6" s="1"/>
  <c r="A453" i="6" s="1"/>
  <c r="A454" i="6" s="1"/>
  <c r="A455" i="6" s="1"/>
  <c r="A456" i="6" s="1"/>
  <c r="A457" i="6" s="1"/>
  <c r="A458" i="6" s="1"/>
  <c r="A459" i="6" s="1"/>
  <c r="A460" i="6" s="1"/>
  <c r="A461" i="6" s="1"/>
  <c r="A462" i="6" s="1"/>
  <c r="A463" i="6" s="1"/>
  <c r="A464" i="6" s="1"/>
  <c r="A465" i="6" s="1"/>
  <c r="A466" i="6" s="1"/>
  <c r="A467" i="6" s="1"/>
  <c r="A468" i="6" s="1"/>
  <c r="A469" i="6" s="1"/>
  <c r="A470" i="6" s="1"/>
  <c r="A471" i="6" s="1"/>
  <c r="A472" i="6" s="1"/>
  <c r="A473" i="6" s="1"/>
  <c r="A474" i="6" s="1"/>
  <c r="A475" i="6" s="1"/>
  <c r="A476" i="6" s="1"/>
  <c r="A477" i="6" s="1"/>
  <c r="A478" i="6" s="1"/>
  <c r="A479" i="6" s="1"/>
  <c r="A480" i="6" s="1"/>
  <c r="A481" i="6" s="1"/>
  <c r="A482" i="6" s="1"/>
  <c r="A483" i="6" s="1"/>
  <c r="A484" i="6" s="1"/>
  <c r="A485" i="6" s="1"/>
  <c r="A486" i="6" s="1"/>
  <c r="A487" i="6" s="1"/>
  <c r="A488" i="6" s="1"/>
  <c r="A489" i="6" s="1"/>
  <c r="A490" i="6" s="1"/>
  <c r="A491" i="6" s="1"/>
  <c r="A492" i="6" s="1"/>
  <c r="A493" i="6" s="1"/>
  <c r="A494" i="6" s="1"/>
  <c r="A495" i="6" s="1"/>
  <c r="A496" i="6" s="1"/>
  <c r="A497" i="6" s="1"/>
  <c r="A498" i="6" s="1"/>
  <c r="A499" i="6" s="1"/>
  <c r="A500" i="6" s="1"/>
  <c r="A501" i="6" s="1"/>
  <c r="A502" i="6" s="1"/>
  <c r="A503" i="6" s="1"/>
  <c r="A504" i="6" s="1"/>
  <c r="A505" i="6" s="1"/>
  <c r="A506" i="6" s="1"/>
  <c r="A507" i="6" s="1"/>
  <c r="A508" i="6" s="1"/>
  <c r="A509" i="6" s="1"/>
  <c r="A510" i="6" s="1"/>
  <c r="A511" i="6" s="1"/>
  <c r="A512" i="6" s="1"/>
  <c r="A513" i="6" s="1"/>
  <c r="A514" i="6" s="1"/>
  <c r="A515" i="6" s="1"/>
  <c r="A516" i="6" s="1"/>
  <c r="A517" i="6" s="1"/>
  <c r="A518" i="6" s="1"/>
  <c r="A519" i="6" s="1"/>
  <c r="A520" i="6" s="1"/>
  <c r="A521" i="6" s="1"/>
  <c r="A522" i="6" s="1"/>
  <c r="A523" i="6" s="1"/>
  <c r="A524" i="6" s="1"/>
  <c r="A525" i="6" s="1"/>
  <c r="A526" i="6" s="1"/>
  <c r="C111" i="6"/>
  <c r="C112" i="6"/>
  <c r="C114" i="6"/>
  <c r="C115" i="6"/>
  <c r="C118" i="6"/>
  <c r="C120" i="6"/>
  <c r="C122" i="6"/>
  <c r="C123" i="6"/>
  <c r="C124" i="6"/>
  <c r="C125" i="6"/>
  <c r="C127" i="6"/>
  <c r="C128" i="6"/>
  <c r="C129" i="6"/>
  <c r="C131" i="6"/>
  <c r="C132" i="6"/>
  <c r="C133" i="6"/>
  <c r="C135" i="6"/>
  <c r="C136" i="6"/>
  <c r="C138" i="6"/>
  <c r="C139" i="6"/>
  <c r="C140" i="6"/>
  <c r="C142" i="6"/>
  <c r="C143" i="6"/>
  <c r="C146" i="6"/>
  <c r="C147" i="6"/>
  <c r="C148" i="6"/>
  <c r="C150" i="6"/>
  <c r="C151" i="6"/>
  <c r="C154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70" i="6"/>
  <c r="C171" i="6"/>
  <c r="C172" i="6"/>
  <c r="C174" i="6"/>
  <c r="C175" i="6"/>
  <c r="C176" i="6"/>
  <c r="C178" i="6"/>
  <c r="C179" i="6"/>
  <c r="C182" i="6"/>
  <c r="C183" i="6"/>
  <c r="C184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9" i="6"/>
  <c r="C200" i="6"/>
  <c r="C202" i="6"/>
  <c r="C203" i="6"/>
  <c r="C204" i="6"/>
  <c r="C206" i="6"/>
  <c r="C207" i="6"/>
  <c r="C210" i="6"/>
  <c r="C211" i="6"/>
  <c r="C212" i="6"/>
  <c r="C214" i="6"/>
  <c r="C215" i="6"/>
  <c r="C217" i="6"/>
  <c r="C218" i="6"/>
  <c r="C219" i="6"/>
  <c r="C220" i="6"/>
  <c r="C221" i="6"/>
  <c r="C222" i="6"/>
  <c r="C223" i="6"/>
  <c r="C224" i="6"/>
  <c r="C225" i="6"/>
  <c r="C227" i="6"/>
  <c r="C228" i="6"/>
  <c r="C229" i="6"/>
  <c r="C231" i="6"/>
  <c r="C232" i="6"/>
  <c r="C234" i="6"/>
  <c r="C235" i="6"/>
  <c r="C236" i="6"/>
  <c r="C238" i="6"/>
  <c r="C239" i="6"/>
  <c r="C240" i="6"/>
  <c r="C242" i="6"/>
  <c r="C243" i="6"/>
  <c r="C244" i="6"/>
  <c r="C245" i="6"/>
  <c r="C246" i="6"/>
  <c r="C247" i="6"/>
  <c r="C248" i="6"/>
  <c r="C250" i="6"/>
  <c r="C251" i="6"/>
  <c r="C252" i="6"/>
  <c r="C254" i="6"/>
  <c r="C255" i="6"/>
  <c r="C256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1" i="6"/>
  <c r="C272" i="6"/>
  <c r="C273" i="6"/>
  <c r="C275" i="6"/>
  <c r="C276" i="6"/>
  <c r="C277" i="6"/>
  <c r="C278" i="6"/>
  <c r="C279" i="6"/>
  <c r="C280" i="6"/>
  <c r="C282" i="6"/>
  <c r="C283" i="6"/>
  <c r="C284" i="6"/>
  <c r="C286" i="6"/>
  <c r="C287" i="6"/>
  <c r="C290" i="6"/>
  <c r="C291" i="6"/>
  <c r="C292" i="6"/>
  <c r="C294" i="6"/>
  <c r="C295" i="6"/>
  <c r="C297" i="6"/>
  <c r="C298" i="6"/>
  <c r="C299" i="6"/>
  <c r="C300" i="6"/>
  <c r="C301" i="6"/>
  <c r="C303" i="6"/>
  <c r="C304" i="6"/>
  <c r="C305" i="6"/>
  <c r="C307" i="6"/>
  <c r="C308" i="6"/>
  <c r="C309" i="6"/>
  <c r="C311" i="6"/>
  <c r="C312" i="6"/>
  <c r="C314" i="6"/>
  <c r="C315" i="6"/>
  <c r="C316" i="6"/>
  <c r="C318" i="6"/>
  <c r="C319" i="6"/>
  <c r="C320" i="6"/>
  <c r="C322" i="6"/>
  <c r="C323" i="6"/>
  <c r="C324" i="6"/>
  <c r="C326" i="6"/>
  <c r="C327" i="6"/>
  <c r="C330" i="6"/>
  <c r="C332" i="6"/>
  <c r="C333" i="6"/>
  <c r="C334" i="6"/>
  <c r="C336" i="6"/>
  <c r="C337" i="6"/>
  <c r="C338" i="6"/>
  <c r="C339" i="6"/>
  <c r="C340" i="6"/>
  <c r="C341" i="6"/>
  <c r="C342" i="6"/>
  <c r="C343" i="6"/>
  <c r="C344" i="6"/>
  <c r="C346" i="6"/>
  <c r="C347" i="6"/>
  <c r="C348" i="6"/>
  <c r="C350" i="6"/>
  <c r="C351" i="6"/>
  <c r="C352" i="6"/>
  <c r="C354" i="6"/>
  <c r="C355" i="6"/>
  <c r="C358" i="6"/>
  <c r="C359" i="6"/>
  <c r="C360" i="6"/>
  <c r="C361" i="6"/>
  <c r="C362" i="6"/>
  <c r="C364" i="6"/>
  <c r="C365" i="6"/>
  <c r="C366" i="6"/>
  <c r="C368" i="6"/>
  <c r="C369" i="6"/>
  <c r="C370" i="6"/>
  <c r="C371" i="6"/>
  <c r="C372" i="6"/>
  <c r="C373" i="6"/>
  <c r="C374" i="6"/>
  <c r="C375" i="6"/>
  <c r="C376" i="6"/>
  <c r="C378" i="6"/>
  <c r="C379" i="6"/>
  <c r="C380" i="6"/>
  <c r="C382" i="6"/>
  <c r="C383" i="6"/>
  <c r="C384" i="6"/>
  <c r="C386" i="6"/>
  <c r="C387" i="6"/>
  <c r="C388" i="6"/>
  <c r="C390" i="6"/>
  <c r="C391" i="6"/>
  <c r="C392" i="6"/>
  <c r="C394" i="6"/>
  <c r="C395" i="6"/>
  <c r="C396" i="6"/>
  <c r="C398" i="6"/>
  <c r="C399" i="6"/>
  <c r="C400" i="6"/>
  <c r="C402" i="6"/>
  <c r="C403" i="6"/>
  <c r="C404" i="6"/>
  <c r="C406" i="6"/>
  <c r="C407" i="6"/>
  <c r="C408" i="6"/>
  <c r="C410" i="6"/>
  <c r="C411" i="6"/>
  <c r="C412" i="6"/>
  <c r="C414" i="6"/>
  <c r="C415" i="6"/>
  <c r="C416" i="6"/>
  <c r="C418" i="6"/>
  <c r="C419" i="6"/>
  <c r="C420" i="6"/>
  <c r="C422" i="6"/>
  <c r="C423" i="6"/>
  <c r="C424" i="6"/>
  <c r="C426" i="6"/>
  <c r="C427" i="6"/>
  <c r="C428" i="6"/>
  <c r="C430" i="6"/>
  <c r="C431" i="6"/>
  <c r="C432" i="6"/>
  <c r="C434" i="6"/>
  <c r="C435" i="6"/>
  <c r="C436" i="6"/>
  <c r="C438" i="6"/>
  <c r="C439" i="6"/>
  <c r="C440" i="6"/>
  <c r="C442" i="6"/>
  <c r="C443" i="6"/>
  <c r="C444" i="6"/>
  <c r="C446" i="6"/>
  <c r="C447" i="6"/>
  <c r="C448" i="6"/>
  <c r="C450" i="6"/>
  <c r="C451" i="6"/>
  <c r="C452" i="6"/>
  <c r="C454" i="6"/>
  <c r="C455" i="6"/>
  <c r="C456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P111" i="6"/>
  <c r="Q111" i="6" s="1"/>
  <c r="P112" i="6"/>
  <c r="Q112" i="6"/>
  <c r="P113" i="6"/>
  <c r="Q113" i="6" s="1"/>
  <c r="P114" i="6"/>
  <c r="Q114" i="6"/>
  <c r="P115" i="6"/>
  <c r="Q115" i="6" s="1"/>
  <c r="P116" i="6"/>
  <c r="Q116" i="6"/>
  <c r="P117" i="6"/>
  <c r="Q117" i="6" s="1"/>
  <c r="P118" i="6"/>
  <c r="Q118" i="6"/>
  <c r="P119" i="6"/>
  <c r="Q119" i="6" s="1"/>
  <c r="P120" i="6"/>
  <c r="Q120" i="6"/>
  <c r="P121" i="6"/>
  <c r="Q121" i="6" s="1"/>
  <c r="P122" i="6"/>
  <c r="Q122" i="6"/>
  <c r="P123" i="6"/>
  <c r="Q123" i="6" s="1"/>
  <c r="P124" i="6"/>
  <c r="Q124" i="6"/>
  <c r="P125" i="6"/>
  <c r="Q125" i="6" s="1"/>
  <c r="P126" i="6"/>
  <c r="Q126" i="6"/>
  <c r="P127" i="6"/>
  <c r="Q127" i="6" s="1"/>
  <c r="P128" i="6"/>
  <c r="Q128" i="6"/>
  <c r="P129" i="6"/>
  <c r="Q129" i="6" s="1"/>
  <c r="P130" i="6"/>
  <c r="Q130" i="6"/>
  <c r="P131" i="6"/>
  <c r="Q131" i="6" s="1"/>
  <c r="P132" i="6"/>
  <c r="Q132" i="6"/>
  <c r="P133" i="6"/>
  <c r="Q133" i="6" s="1"/>
  <c r="P134" i="6"/>
  <c r="Q134" i="6"/>
  <c r="P135" i="6"/>
  <c r="Q135" i="6" s="1"/>
  <c r="P136" i="6"/>
  <c r="Q136" i="6"/>
  <c r="P137" i="6"/>
  <c r="Q137" i="6" s="1"/>
  <c r="P138" i="6"/>
  <c r="Q138" i="6"/>
  <c r="P139" i="6"/>
  <c r="Q139" i="6" s="1"/>
  <c r="P140" i="6"/>
  <c r="Q140" i="6"/>
  <c r="P141" i="6"/>
  <c r="Q141" i="6" s="1"/>
  <c r="P142" i="6"/>
  <c r="Q142" i="6"/>
  <c r="P143" i="6"/>
  <c r="Q143" i="6" s="1"/>
  <c r="P144" i="6"/>
  <c r="Q144" i="6"/>
  <c r="P145" i="6"/>
  <c r="Q145" i="6" s="1"/>
  <c r="P146" i="6"/>
  <c r="Q146" i="6"/>
  <c r="P147" i="6"/>
  <c r="Q147" i="6" s="1"/>
  <c r="P148" i="6"/>
  <c r="Q148" i="6"/>
  <c r="P149" i="6"/>
  <c r="Q149" i="6" s="1"/>
  <c r="P150" i="6"/>
  <c r="Q150" i="6"/>
  <c r="P151" i="6"/>
  <c r="Q151" i="6" s="1"/>
  <c r="P152" i="6"/>
  <c r="Q152" i="6"/>
  <c r="P153" i="6"/>
  <c r="Q153" i="6" s="1"/>
  <c r="P154" i="6"/>
  <c r="Q154" i="6"/>
  <c r="P155" i="6"/>
  <c r="Q155" i="6" s="1"/>
  <c r="P156" i="6"/>
  <c r="Q156" i="6"/>
  <c r="P157" i="6"/>
  <c r="Q157" i="6" s="1"/>
  <c r="P158" i="6"/>
  <c r="Q158" i="6"/>
  <c r="P159" i="6"/>
  <c r="Q159" i="6" s="1"/>
  <c r="P160" i="6"/>
  <c r="Q160" i="6"/>
  <c r="P161" i="6"/>
  <c r="Q161" i="6" s="1"/>
  <c r="P162" i="6"/>
  <c r="Q162" i="6"/>
  <c r="P163" i="6"/>
  <c r="Q163" i="6" s="1"/>
  <c r="P164" i="6"/>
  <c r="Q164" i="6"/>
  <c r="P165" i="6"/>
  <c r="Q165" i="6" s="1"/>
  <c r="P166" i="6"/>
  <c r="Q166" i="6"/>
  <c r="P167" i="6"/>
  <c r="Q167" i="6" s="1"/>
  <c r="P168" i="6"/>
  <c r="Q168" i="6"/>
  <c r="P169" i="6"/>
  <c r="Q169" i="6" s="1"/>
  <c r="P170" i="6"/>
  <c r="Q170" i="6"/>
  <c r="P171" i="6"/>
  <c r="Q171" i="6" s="1"/>
  <c r="P172" i="6"/>
  <c r="Q172" i="6"/>
  <c r="P173" i="6"/>
  <c r="Q173" i="6" s="1"/>
  <c r="P174" i="6"/>
  <c r="Q174" i="6"/>
  <c r="P175" i="6"/>
  <c r="Q175" i="6" s="1"/>
  <c r="P176" i="6"/>
  <c r="Q176" i="6"/>
  <c r="P177" i="6"/>
  <c r="Q177" i="6" s="1"/>
  <c r="P178" i="6"/>
  <c r="Q178" i="6"/>
  <c r="P179" i="6"/>
  <c r="Q179" i="6" s="1"/>
  <c r="P180" i="6"/>
  <c r="Q180" i="6"/>
  <c r="P181" i="6"/>
  <c r="Q181" i="6" s="1"/>
  <c r="P182" i="6"/>
  <c r="Q182" i="6"/>
  <c r="P183" i="6"/>
  <c r="Q183" i="6" s="1"/>
  <c r="P184" i="6"/>
  <c r="Q184" i="6"/>
  <c r="P185" i="6"/>
  <c r="Q185" i="6" s="1"/>
  <c r="P186" i="6"/>
  <c r="Q186" i="6"/>
  <c r="P187" i="6"/>
  <c r="Q187" i="6" s="1"/>
  <c r="P188" i="6"/>
  <c r="Q188" i="6"/>
  <c r="P189" i="6"/>
  <c r="Q189" i="6" s="1"/>
  <c r="P190" i="6"/>
  <c r="Q190" i="6"/>
  <c r="P191" i="6"/>
  <c r="Q191" i="6" s="1"/>
  <c r="P192" i="6"/>
  <c r="Q192" i="6"/>
  <c r="P193" i="6"/>
  <c r="Q193" i="6" s="1"/>
  <c r="P194" i="6"/>
  <c r="Q194" i="6"/>
  <c r="P195" i="6"/>
  <c r="Q195" i="6" s="1"/>
  <c r="P196" i="6"/>
  <c r="Q196" i="6"/>
  <c r="P197" i="6"/>
  <c r="Q197" i="6" s="1"/>
  <c r="P198" i="6"/>
  <c r="Q198" i="6"/>
  <c r="P199" i="6"/>
  <c r="Q199" i="6" s="1"/>
  <c r="P200" i="6"/>
  <c r="Q200" i="6"/>
  <c r="P201" i="6"/>
  <c r="Q201" i="6" s="1"/>
  <c r="P202" i="6"/>
  <c r="Q202" i="6"/>
  <c r="P203" i="6"/>
  <c r="Q203" i="6" s="1"/>
  <c r="P204" i="6"/>
  <c r="Q204" i="6"/>
  <c r="P205" i="6"/>
  <c r="Q205" i="6" s="1"/>
  <c r="P206" i="6"/>
  <c r="Q206" i="6"/>
  <c r="P207" i="6"/>
  <c r="Q207" i="6" s="1"/>
  <c r="P208" i="6"/>
  <c r="Q208" i="6"/>
  <c r="P209" i="6"/>
  <c r="Q209" i="6" s="1"/>
  <c r="P210" i="6"/>
  <c r="Q210" i="6"/>
  <c r="P211" i="6"/>
  <c r="Q211" i="6" s="1"/>
  <c r="P212" i="6"/>
  <c r="Q212" i="6"/>
  <c r="P213" i="6"/>
  <c r="Q213" i="6" s="1"/>
  <c r="P214" i="6"/>
  <c r="Q214" i="6"/>
  <c r="P215" i="6"/>
  <c r="Q215" i="6" s="1"/>
  <c r="P216" i="6"/>
  <c r="Q216" i="6"/>
  <c r="P217" i="6"/>
  <c r="Q217" i="6" s="1"/>
  <c r="P218" i="6"/>
  <c r="Q218" i="6"/>
  <c r="P219" i="6"/>
  <c r="Q219" i="6" s="1"/>
  <c r="P220" i="6"/>
  <c r="Q220" i="6"/>
  <c r="P221" i="6"/>
  <c r="Q221" i="6" s="1"/>
  <c r="P222" i="6"/>
  <c r="Q222" i="6"/>
  <c r="P223" i="6"/>
  <c r="Q223" i="6" s="1"/>
  <c r="P224" i="6"/>
  <c r="Q224" i="6"/>
  <c r="P225" i="6"/>
  <c r="Q225" i="6" s="1"/>
  <c r="P226" i="6"/>
  <c r="Q226" i="6"/>
  <c r="P227" i="6"/>
  <c r="Q227" i="6" s="1"/>
  <c r="P228" i="6"/>
  <c r="Q228" i="6"/>
  <c r="P229" i="6"/>
  <c r="Q229" i="6" s="1"/>
  <c r="P230" i="6"/>
  <c r="Q230" i="6"/>
  <c r="P231" i="6"/>
  <c r="Q231" i="6" s="1"/>
  <c r="P232" i="6"/>
  <c r="Q232" i="6"/>
  <c r="P233" i="6"/>
  <c r="Q233" i="6" s="1"/>
  <c r="P234" i="6"/>
  <c r="Q234" i="6"/>
  <c r="P235" i="6"/>
  <c r="Q235" i="6" s="1"/>
  <c r="P236" i="6"/>
  <c r="Q236" i="6"/>
  <c r="P237" i="6"/>
  <c r="Q237" i="6" s="1"/>
  <c r="P238" i="6"/>
  <c r="Q238" i="6"/>
  <c r="P239" i="6"/>
  <c r="Q239" i="6" s="1"/>
  <c r="P240" i="6"/>
  <c r="Q240" i="6"/>
  <c r="P241" i="6"/>
  <c r="Q241" i="6" s="1"/>
  <c r="P242" i="6"/>
  <c r="Q242" i="6"/>
  <c r="P243" i="6"/>
  <c r="Q243" i="6" s="1"/>
  <c r="P244" i="6"/>
  <c r="Q244" i="6"/>
  <c r="P245" i="6"/>
  <c r="Q245" i="6" s="1"/>
  <c r="P246" i="6"/>
  <c r="Q246" i="6"/>
  <c r="P247" i="6"/>
  <c r="Q247" i="6" s="1"/>
  <c r="P248" i="6"/>
  <c r="Q248" i="6"/>
  <c r="P249" i="6"/>
  <c r="Q249" i="6" s="1"/>
  <c r="P250" i="6"/>
  <c r="Q250" i="6"/>
  <c r="P251" i="6"/>
  <c r="Q251" i="6" s="1"/>
  <c r="P252" i="6"/>
  <c r="Q252" i="6"/>
  <c r="P253" i="6"/>
  <c r="Q253" i="6" s="1"/>
  <c r="P254" i="6"/>
  <c r="Q254" i="6"/>
  <c r="P255" i="6"/>
  <c r="Q255" i="6" s="1"/>
  <c r="P256" i="6"/>
  <c r="Q256" i="6" s="1"/>
  <c r="P257" i="6"/>
  <c r="Q257" i="6" s="1"/>
  <c r="P258" i="6"/>
  <c r="Q258" i="6" s="1"/>
  <c r="P259" i="6"/>
  <c r="Q259" i="6" s="1"/>
  <c r="P260" i="6"/>
  <c r="Q260" i="6" s="1"/>
  <c r="P261" i="6"/>
  <c r="Q261" i="6" s="1"/>
  <c r="P262" i="6"/>
  <c r="Q262" i="6" s="1"/>
  <c r="P263" i="6"/>
  <c r="Q263" i="6" s="1"/>
  <c r="P264" i="6"/>
  <c r="Q264" i="6" s="1"/>
  <c r="P265" i="6"/>
  <c r="Q265" i="6" s="1"/>
  <c r="P266" i="6"/>
  <c r="Q266" i="6" s="1"/>
  <c r="P267" i="6"/>
  <c r="Q267" i="6" s="1"/>
  <c r="P268" i="6"/>
  <c r="Q268" i="6" s="1"/>
  <c r="P269" i="6"/>
  <c r="Q269" i="6" s="1"/>
  <c r="P270" i="6"/>
  <c r="Q270" i="6" s="1"/>
  <c r="P271" i="6"/>
  <c r="Q271" i="6" s="1"/>
  <c r="P272" i="6"/>
  <c r="Q272" i="6"/>
  <c r="P273" i="6"/>
  <c r="Q273" i="6" s="1"/>
  <c r="P274" i="6"/>
  <c r="Q274" i="6" s="1"/>
  <c r="P275" i="6"/>
  <c r="Q275" i="6" s="1"/>
  <c r="P276" i="6"/>
  <c r="Q276" i="6" s="1"/>
  <c r="P277" i="6"/>
  <c r="Q277" i="6" s="1"/>
  <c r="P278" i="6"/>
  <c r="Q278" i="6" s="1"/>
  <c r="P279" i="6"/>
  <c r="Q279" i="6" s="1"/>
  <c r="P280" i="6"/>
  <c r="Q280" i="6" s="1"/>
  <c r="P281" i="6"/>
  <c r="Q281" i="6" s="1"/>
  <c r="P282" i="6"/>
  <c r="Q282" i="6" s="1"/>
  <c r="P283" i="6"/>
  <c r="Q283" i="6" s="1"/>
  <c r="P284" i="6"/>
  <c r="Q284" i="6" s="1"/>
  <c r="P285" i="6"/>
  <c r="Q285" i="6" s="1"/>
  <c r="P286" i="6"/>
  <c r="Q286" i="6" s="1"/>
  <c r="P287" i="6"/>
  <c r="Q287" i="6" s="1"/>
  <c r="P288" i="6"/>
  <c r="Q288" i="6" s="1"/>
  <c r="P289" i="6"/>
  <c r="Q289" i="6" s="1"/>
  <c r="P290" i="6"/>
  <c r="Q290" i="6" s="1"/>
  <c r="P291" i="6"/>
  <c r="Q291" i="6" s="1"/>
  <c r="P292" i="6"/>
  <c r="Q292" i="6"/>
  <c r="P293" i="6"/>
  <c r="Q293" i="6" s="1"/>
  <c r="P294" i="6"/>
  <c r="Q294" i="6" s="1"/>
  <c r="P295" i="6"/>
  <c r="Q295" i="6" s="1"/>
  <c r="P296" i="6"/>
  <c r="Q296" i="6" s="1"/>
  <c r="P297" i="6"/>
  <c r="Q297" i="6" s="1"/>
  <c r="P298" i="6"/>
  <c r="Q298" i="6" s="1"/>
  <c r="P299" i="6"/>
  <c r="Q299" i="6" s="1"/>
  <c r="P300" i="6"/>
  <c r="Q300" i="6" s="1"/>
  <c r="P301" i="6"/>
  <c r="Q301" i="6" s="1"/>
  <c r="P302" i="6"/>
  <c r="Q302" i="6" s="1"/>
  <c r="P303" i="6"/>
  <c r="Q303" i="6" s="1"/>
  <c r="P304" i="6"/>
  <c r="Q304" i="6" s="1"/>
  <c r="P305" i="6"/>
  <c r="Q305" i="6" s="1"/>
  <c r="P306" i="6"/>
  <c r="Q306" i="6" s="1"/>
  <c r="P307" i="6"/>
  <c r="Q307" i="6" s="1"/>
  <c r="P308" i="6"/>
  <c r="Q308" i="6" s="1"/>
  <c r="P309" i="6"/>
  <c r="Q309" i="6" s="1"/>
  <c r="P310" i="6"/>
  <c r="Q310" i="6" s="1"/>
  <c r="P311" i="6"/>
  <c r="Q311" i="6" s="1"/>
  <c r="P312" i="6"/>
  <c r="Q312" i="6" s="1"/>
  <c r="P313" i="6"/>
  <c r="Q313" i="6" s="1"/>
  <c r="P314" i="6"/>
  <c r="Q314" i="6" s="1"/>
  <c r="P315" i="6"/>
  <c r="Q315" i="6" s="1"/>
  <c r="P316" i="6"/>
  <c r="Q316" i="6" s="1"/>
  <c r="P317" i="6"/>
  <c r="Q317" i="6" s="1"/>
  <c r="P318" i="6"/>
  <c r="Q318" i="6" s="1"/>
  <c r="P319" i="6"/>
  <c r="Q319" i="6" s="1"/>
  <c r="P320" i="6"/>
  <c r="Q320" i="6" s="1"/>
  <c r="P321" i="6"/>
  <c r="Q321" i="6" s="1"/>
  <c r="P322" i="6"/>
  <c r="Q322" i="6" s="1"/>
  <c r="P323" i="6"/>
  <c r="Q323" i="6" s="1"/>
  <c r="P324" i="6"/>
  <c r="Q324" i="6" s="1"/>
  <c r="P325" i="6"/>
  <c r="Q325" i="6" s="1"/>
  <c r="P326" i="6"/>
  <c r="Q326" i="6" s="1"/>
  <c r="P327" i="6"/>
  <c r="Q327" i="6" s="1"/>
  <c r="P328" i="6"/>
  <c r="Q328" i="6" s="1"/>
  <c r="P329" i="6"/>
  <c r="Q329" i="6" s="1"/>
  <c r="P330" i="6"/>
  <c r="Q330" i="6" s="1"/>
  <c r="P331" i="6"/>
  <c r="Q331" i="6" s="1"/>
  <c r="P332" i="6"/>
  <c r="Q332" i="6" s="1"/>
  <c r="P333" i="6"/>
  <c r="Q333" i="6" s="1"/>
  <c r="P334" i="6"/>
  <c r="Q334" i="6" s="1"/>
  <c r="P335" i="6"/>
  <c r="Q335" i="6" s="1"/>
  <c r="P336" i="6"/>
  <c r="Q336" i="6" s="1"/>
  <c r="P337" i="6"/>
  <c r="Q337" i="6" s="1"/>
  <c r="P338" i="6"/>
  <c r="Q338" i="6" s="1"/>
  <c r="P339" i="6"/>
  <c r="Q339" i="6" s="1"/>
  <c r="P340" i="6"/>
  <c r="Q340" i="6" s="1"/>
  <c r="P341" i="6"/>
  <c r="Q341" i="6" s="1"/>
  <c r="P342" i="6"/>
  <c r="Q342" i="6" s="1"/>
  <c r="P343" i="6"/>
  <c r="Q343" i="6" s="1"/>
  <c r="P344" i="6"/>
  <c r="Q344" i="6" s="1"/>
  <c r="P345" i="6"/>
  <c r="Q345" i="6" s="1"/>
  <c r="P346" i="6"/>
  <c r="Q346" i="6" s="1"/>
  <c r="P347" i="6"/>
  <c r="Q347" i="6" s="1"/>
  <c r="P348" i="6"/>
  <c r="Q348" i="6" s="1"/>
  <c r="P349" i="6"/>
  <c r="Q349" i="6" s="1"/>
  <c r="P350" i="6"/>
  <c r="Q350" i="6" s="1"/>
  <c r="P351" i="6"/>
  <c r="Q351" i="6" s="1"/>
  <c r="P352" i="6"/>
  <c r="Q352" i="6" s="1"/>
  <c r="P353" i="6"/>
  <c r="Q353" i="6" s="1"/>
  <c r="P354" i="6"/>
  <c r="Q354" i="6" s="1"/>
  <c r="P355" i="6"/>
  <c r="Q355" i="6" s="1"/>
  <c r="P356" i="6"/>
  <c r="Q356" i="6" s="1"/>
  <c r="P357" i="6"/>
  <c r="Q357" i="6" s="1"/>
  <c r="P358" i="6"/>
  <c r="Q358" i="6" s="1"/>
  <c r="P359" i="6"/>
  <c r="Q359" i="6" s="1"/>
  <c r="P360" i="6"/>
  <c r="Q360" i="6" s="1"/>
  <c r="P361" i="6"/>
  <c r="Q361" i="6" s="1"/>
  <c r="P362" i="6"/>
  <c r="Q362" i="6" s="1"/>
  <c r="P363" i="6"/>
  <c r="Q363" i="6" s="1"/>
  <c r="P364" i="6"/>
  <c r="Q364" i="6" s="1"/>
  <c r="P365" i="6"/>
  <c r="Q365" i="6" s="1"/>
  <c r="P366" i="6"/>
  <c r="Q366" i="6" s="1"/>
  <c r="P367" i="6"/>
  <c r="Q367" i="6" s="1"/>
  <c r="P368" i="6"/>
  <c r="Q368" i="6" s="1"/>
  <c r="P369" i="6"/>
  <c r="Q369" i="6" s="1"/>
  <c r="P370" i="6"/>
  <c r="Q370" i="6" s="1"/>
  <c r="P371" i="6"/>
  <c r="Q371" i="6" s="1"/>
  <c r="P372" i="6"/>
  <c r="Q372" i="6" s="1"/>
  <c r="P373" i="6"/>
  <c r="Q373" i="6" s="1"/>
  <c r="P374" i="6"/>
  <c r="Q374" i="6" s="1"/>
  <c r="P375" i="6"/>
  <c r="Q375" i="6" s="1"/>
  <c r="P376" i="6"/>
  <c r="Q376" i="6" s="1"/>
  <c r="P377" i="6"/>
  <c r="Q377" i="6" s="1"/>
  <c r="P378" i="6"/>
  <c r="Q378" i="6" s="1"/>
  <c r="P379" i="6"/>
  <c r="Q379" i="6" s="1"/>
  <c r="P380" i="6"/>
  <c r="Q380" i="6" s="1"/>
  <c r="P381" i="6"/>
  <c r="Q381" i="6" s="1"/>
  <c r="P382" i="6"/>
  <c r="Q382" i="6" s="1"/>
  <c r="P383" i="6"/>
  <c r="Q383" i="6" s="1"/>
  <c r="P384" i="6"/>
  <c r="Q384" i="6" s="1"/>
  <c r="P385" i="6"/>
  <c r="Q385" i="6" s="1"/>
  <c r="P386" i="6"/>
  <c r="Q386" i="6" s="1"/>
  <c r="P387" i="6"/>
  <c r="Q387" i="6" s="1"/>
  <c r="P388" i="6"/>
  <c r="Q388" i="6" s="1"/>
  <c r="P389" i="6"/>
  <c r="Q389" i="6" s="1"/>
  <c r="P390" i="6"/>
  <c r="Q390" i="6" s="1"/>
  <c r="P391" i="6"/>
  <c r="Q391" i="6" s="1"/>
  <c r="P392" i="6"/>
  <c r="Q392" i="6" s="1"/>
  <c r="P393" i="6"/>
  <c r="Q393" i="6" s="1"/>
  <c r="P394" i="6"/>
  <c r="Q394" i="6" s="1"/>
  <c r="P395" i="6"/>
  <c r="Q395" i="6" s="1"/>
  <c r="P396" i="6"/>
  <c r="Q396" i="6" s="1"/>
  <c r="P397" i="6"/>
  <c r="Q397" i="6" s="1"/>
  <c r="P398" i="6"/>
  <c r="Q398" i="6" s="1"/>
  <c r="P399" i="6"/>
  <c r="Q399" i="6" s="1"/>
  <c r="P400" i="6"/>
  <c r="Q400" i="6" s="1"/>
  <c r="P401" i="6"/>
  <c r="Q401" i="6" s="1"/>
  <c r="P402" i="6"/>
  <c r="Q402" i="6" s="1"/>
  <c r="P403" i="6"/>
  <c r="Q403" i="6" s="1"/>
  <c r="P404" i="6"/>
  <c r="Q404" i="6" s="1"/>
  <c r="P405" i="6"/>
  <c r="Q405" i="6" s="1"/>
  <c r="P406" i="6"/>
  <c r="Q406" i="6" s="1"/>
  <c r="P407" i="6"/>
  <c r="Q407" i="6" s="1"/>
  <c r="P408" i="6"/>
  <c r="Q408" i="6" s="1"/>
  <c r="P409" i="6"/>
  <c r="Q409" i="6" s="1"/>
  <c r="P410" i="6"/>
  <c r="Q410" i="6" s="1"/>
  <c r="P411" i="6"/>
  <c r="Q411" i="6" s="1"/>
  <c r="P412" i="6"/>
  <c r="Q412" i="6" s="1"/>
  <c r="P413" i="6"/>
  <c r="Q413" i="6" s="1"/>
  <c r="P414" i="6"/>
  <c r="Q414" i="6" s="1"/>
  <c r="P415" i="6"/>
  <c r="Q415" i="6" s="1"/>
  <c r="P416" i="6"/>
  <c r="Q416" i="6" s="1"/>
  <c r="P417" i="6"/>
  <c r="Q417" i="6" s="1"/>
  <c r="P418" i="6"/>
  <c r="Q418" i="6" s="1"/>
  <c r="P419" i="6"/>
  <c r="Q419" i="6" s="1"/>
  <c r="P420" i="6"/>
  <c r="Q420" i="6" s="1"/>
  <c r="P421" i="6"/>
  <c r="Q421" i="6" s="1"/>
  <c r="P422" i="6"/>
  <c r="Q422" i="6" s="1"/>
  <c r="P423" i="6"/>
  <c r="Q423" i="6" s="1"/>
  <c r="P424" i="6"/>
  <c r="Q424" i="6" s="1"/>
  <c r="P425" i="6"/>
  <c r="Q425" i="6" s="1"/>
  <c r="P426" i="6"/>
  <c r="Q426" i="6" s="1"/>
  <c r="P427" i="6"/>
  <c r="Q427" i="6" s="1"/>
  <c r="P428" i="6"/>
  <c r="Q428" i="6" s="1"/>
  <c r="P429" i="6"/>
  <c r="Q429" i="6" s="1"/>
  <c r="P430" i="6"/>
  <c r="Q430" i="6" s="1"/>
  <c r="P431" i="6"/>
  <c r="Q431" i="6" s="1"/>
  <c r="P432" i="6"/>
  <c r="Q432" i="6" s="1"/>
  <c r="P433" i="6"/>
  <c r="Q433" i="6" s="1"/>
  <c r="P434" i="6"/>
  <c r="Q434" i="6" s="1"/>
  <c r="P435" i="6"/>
  <c r="Q435" i="6" s="1"/>
  <c r="P436" i="6"/>
  <c r="Q436" i="6" s="1"/>
  <c r="P437" i="6"/>
  <c r="Q437" i="6" s="1"/>
  <c r="P438" i="6"/>
  <c r="Q438" i="6" s="1"/>
  <c r="P439" i="6"/>
  <c r="Q439" i="6" s="1"/>
  <c r="P440" i="6"/>
  <c r="Q440" i="6" s="1"/>
  <c r="P441" i="6"/>
  <c r="Q441" i="6" s="1"/>
  <c r="P442" i="6"/>
  <c r="Q442" i="6" s="1"/>
  <c r="P443" i="6"/>
  <c r="Q443" i="6" s="1"/>
  <c r="P444" i="6"/>
  <c r="Q444" i="6" s="1"/>
  <c r="P445" i="6"/>
  <c r="Q445" i="6" s="1"/>
  <c r="P446" i="6"/>
  <c r="Q446" i="6" s="1"/>
  <c r="P447" i="6"/>
  <c r="Q447" i="6" s="1"/>
  <c r="P448" i="6"/>
  <c r="Q448" i="6" s="1"/>
  <c r="P449" i="6"/>
  <c r="Q449" i="6" s="1"/>
  <c r="P450" i="6"/>
  <c r="Q450" i="6" s="1"/>
  <c r="P451" i="6"/>
  <c r="Q451" i="6" s="1"/>
  <c r="P452" i="6"/>
  <c r="Q452" i="6" s="1"/>
  <c r="P453" i="6"/>
  <c r="Q453" i="6" s="1"/>
  <c r="P454" i="6"/>
  <c r="Q454" i="6" s="1"/>
  <c r="P455" i="6"/>
  <c r="Q455" i="6" s="1"/>
  <c r="P456" i="6"/>
  <c r="Q456" i="6" s="1"/>
  <c r="P457" i="6"/>
  <c r="Q457" i="6" s="1"/>
  <c r="P458" i="6"/>
  <c r="Q458" i="6" s="1"/>
  <c r="P459" i="6"/>
  <c r="Q459" i="6" s="1"/>
  <c r="P460" i="6"/>
  <c r="Q460" i="6" s="1"/>
  <c r="P461" i="6"/>
  <c r="Q461" i="6" s="1"/>
  <c r="P462" i="6"/>
  <c r="Q462" i="6" s="1"/>
  <c r="P463" i="6"/>
  <c r="Q463" i="6" s="1"/>
  <c r="P464" i="6"/>
  <c r="Q464" i="6" s="1"/>
  <c r="P465" i="6"/>
  <c r="Q465" i="6" s="1"/>
  <c r="P466" i="6"/>
  <c r="Q466" i="6" s="1"/>
  <c r="P467" i="6"/>
  <c r="Q467" i="6" s="1"/>
  <c r="P468" i="6"/>
  <c r="Q468" i="6" s="1"/>
  <c r="P469" i="6"/>
  <c r="Q469" i="6" s="1"/>
  <c r="P470" i="6"/>
  <c r="Q470" i="6" s="1"/>
  <c r="P471" i="6"/>
  <c r="Q471" i="6" s="1"/>
  <c r="P472" i="6"/>
  <c r="Q472" i="6" s="1"/>
  <c r="P473" i="6"/>
  <c r="Q473" i="6" s="1"/>
  <c r="P474" i="6"/>
  <c r="Q474" i="6" s="1"/>
  <c r="P475" i="6"/>
  <c r="Q475" i="6" s="1"/>
  <c r="P476" i="6"/>
  <c r="Q476" i="6" s="1"/>
  <c r="P477" i="6"/>
  <c r="Q477" i="6" s="1"/>
  <c r="P478" i="6"/>
  <c r="Q478" i="6" s="1"/>
  <c r="P479" i="6"/>
  <c r="Q479" i="6" s="1"/>
  <c r="P480" i="6"/>
  <c r="Q480" i="6" s="1"/>
  <c r="P481" i="6"/>
  <c r="Q481" i="6" s="1"/>
  <c r="P482" i="6"/>
  <c r="Q482" i="6" s="1"/>
  <c r="P483" i="6"/>
  <c r="Q483" i="6" s="1"/>
  <c r="P484" i="6"/>
  <c r="Q484" i="6" s="1"/>
  <c r="P485" i="6"/>
  <c r="Q485" i="6" s="1"/>
  <c r="P486" i="6"/>
  <c r="Q486" i="6" s="1"/>
  <c r="P487" i="6"/>
  <c r="Q487" i="6" s="1"/>
  <c r="P488" i="6"/>
  <c r="Q488" i="6" s="1"/>
  <c r="P489" i="6"/>
  <c r="Q489" i="6" s="1"/>
  <c r="P490" i="6"/>
  <c r="Q490" i="6" s="1"/>
  <c r="P491" i="6"/>
  <c r="Q491" i="6" s="1"/>
  <c r="P492" i="6"/>
  <c r="Q492" i="6" s="1"/>
  <c r="P493" i="6"/>
  <c r="Q493" i="6" s="1"/>
  <c r="P494" i="6"/>
  <c r="Q494" i="6" s="1"/>
  <c r="P495" i="6"/>
  <c r="Q495" i="6" s="1"/>
  <c r="P496" i="6"/>
  <c r="Q496" i="6" s="1"/>
  <c r="P497" i="6"/>
  <c r="Q497" i="6" s="1"/>
  <c r="P498" i="6"/>
  <c r="Q498" i="6" s="1"/>
  <c r="P499" i="6"/>
  <c r="Q499" i="6" s="1"/>
  <c r="P500" i="6"/>
  <c r="Q500" i="6" s="1"/>
  <c r="P501" i="6"/>
  <c r="Q501" i="6" s="1"/>
  <c r="P502" i="6"/>
  <c r="Q502" i="6" s="1"/>
  <c r="P503" i="6"/>
  <c r="Q503" i="6" s="1"/>
  <c r="P504" i="6"/>
  <c r="Q504" i="6" s="1"/>
  <c r="P505" i="6"/>
  <c r="Q505" i="6" s="1"/>
  <c r="P506" i="6"/>
  <c r="Q506" i="6" s="1"/>
  <c r="P507" i="6"/>
  <c r="Q507" i="6" s="1"/>
  <c r="P508" i="6"/>
  <c r="Q508" i="6" s="1"/>
  <c r="P509" i="6"/>
  <c r="Q509" i="6" s="1"/>
  <c r="P510" i="6"/>
  <c r="Q510" i="6" s="1"/>
  <c r="P511" i="6"/>
  <c r="Q511" i="6" s="1"/>
  <c r="P512" i="6"/>
  <c r="Q512" i="6" s="1"/>
  <c r="P513" i="6"/>
  <c r="Q513" i="6" s="1"/>
  <c r="P514" i="6"/>
  <c r="Q514" i="6" s="1"/>
  <c r="P515" i="6"/>
  <c r="Q515" i="6" s="1"/>
  <c r="P516" i="6"/>
  <c r="Q516" i="6" s="1"/>
  <c r="P517" i="6"/>
  <c r="Q517" i="6" s="1"/>
  <c r="P518" i="6"/>
  <c r="Q518" i="6" s="1"/>
  <c r="P519" i="6"/>
  <c r="Q519" i="6" s="1"/>
  <c r="P520" i="6"/>
  <c r="Q520" i="6" s="1"/>
  <c r="P521" i="6"/>
  <c r="Q521" i="6" s="1"/>
  <c r="P522" i="6"/>
  <c r="Q522" i="6" s="1"/>
  <c r="P523" i="6"/>
  <c r="Q523" i="6" s="1"/>
  <c r="P524" i="6"/>
  <c r="Q524" i="6"/>
  <c r="P525" i="6"/>
  <c r="Q525" i="6" s="1"/>
  <c r="P526" i="6"/>
  <c r="Q526" i="6" s="1"/>
  <c r="U111" i="6"/>
  <c r="V111" i="6"/>
  <c r="U112" i="6"/>
  <c r="V112" i="6"/>
  <c r="U113" i="6"/>
  <c r="V113" i="6"/>
  <c r="U114" i="6"/>
  <c r="V114" i="6"/>
  <c r="U115" i="6"/>
  <c r="V115" i="6"/>
  <c r="U116" i="6"/>
  <c r="V116" i="6"/>
  <c r="U117" i="6"/>
  <c r="V117" i="6"/>
  <c r="U118" i="6"/>
  <c r="V118" i="6"/>
  <c r="U119" i="6"/>
  <c r="V119" i="6"/>
  <c r="U120" i="6"/>
  <c r="V120" i="6"/>
  <c r="U121" i="6"/>
  <c r="V121" i="6"/>
  <c r="U122" i="6"/>
  <c r="V122" i="6"/>
  <c r="U123" i="6"/>
  <c r="V123" i="6"/>
  <c r="U124" i="6"/>
  <c r="V124" i="6"/>
  <c r="U125" i="6"/>
  <c r="V125" i="6"/>
  <c r="U126" i="6"/>
  <c r="V126" i="6"/>
  <c r="U127" i="6"/>
  <c r="V127" i="6"/>
  <c r="U128" i="6"/>
  <c r="V128" i="6"/>
  <c r="U129" i="6"/>
  <c r="V129" i="6"/>
  <c r="U130" i="6"/>
  <c r="V130" i="6"/>
  <c r="U131" i="6"/>
  <c r="V131" i="6"/>
  <c r="U132" i="6"/>
  <c r="V132" i="6"/>
  <c r="U133" i="6"/>
  <c r="V133" i="6"/>
  <c r="U134" i="6"/>
  <c r="V134" i="6"/>
  <c r="U135" i="6"/>
  <c r="V135" i="6"/>
  <c r="U136" i="6"/>
  <c r="V136" i="6"/>
  <c r="U137" i="6"/>
  <c r="V137" i="6"/>
  <c r="U138" i="6"/>
  <c r="V138" i="6"/>
  <c r="U139" i="6"/>
  <c r="V139" i="6"/>
  <c r="U140" i="6"/>
  <c r="V140" i="6"/>
  <c r="U141" i="6"/>
  <c r="V141" i="6"/>
  <c r="W141" i="6" s="1"/>
  <c r="U142" i="6"/>
  <c r="V142" i="6"/>
  <c r="U143" i="6"/>
  <c r="V143" i="6"/>
  <c r="W143" i="6" s="1"/>
  <c r="U144" i="6"/>
  <c r="V144" i="6"/>
  <c r="U145" i="6"/>
  <c r="V145" i="6"/>
  <c r="U146" i="6"/>
  <c r="V146" i="6"/>
  <c r="U147" i="6"/>
  <c r="V147" i="6"/>
  <c r="W147" i="6" s="1"/>
  <c r="U148" i="6"/>
  <c r="V148" i="6"/>
  <c r="U149" i="6"/>
  <c r="V149" i="6"/>
  <c r="W149" i="6" s="1"/>
  <c r="U150" i="6"/>
  <c r="V150" i="6"/>
  <c r="U151" i="6"/>
  <c r="V151" i="6"/>
  <c r="W151" i="6" s="1"/>
  <c r="U152" i="6"/>
  <c r="V152" i="6"/>
  <c r="U153" i="6"/>
  <c r="V153" i="6"/>
  <c r="U154" i="6"/>
  <c r="V154" i="6"/>
  <c r="U155" i="6"/>
  <c r="V155" i="6"/>
  <c r="U156" i="6"/>
  <c r="V156" i="6"/>
  <c r="U157" i="6"/>
  <c r="V157" i="6"/>
  <c r="W157" i="6" s="1"/>
  <c r="U158" i="6"/>
  <c r="V158" i="6"/>
  <c r="U159" i="6"/>
  <c r="V159" i="6"/>
  <c r="W159" i="6" s="1"/>
  <c r="U160" i="6"/>
  <c r="V160" i="6"/>
  <c r="U161" i="6"/>
  <c r="V161" i="6"/>
  <c r="W161" i="6" s="1"/>
  <c r="U162" i="6"/>
  <c r="V162" i="6"/>
  <c r="U163" i="6"/>
  <c r="V163" i="6"/>
  <c r="W163" i="6" s="1"/>
  <c r="U164" i="6"/>
  <c r="V164" i="6"/>
  <c r="U165" i="6"/>
  <c r="V165" i="6"/>
  <c r="W165" i="6" s="1"/>
  <c r="U166" i="6"/>
  <c r="V166" i="6"/>
  <c r="U167" i="6"/>
  <c r="V167" i="6"/>
  <c r="U168" i="6"/>
  <c r="V168" i="6"/>
  <c r="U169" i="6"/>
  <c r="V169" i="6"/>
  <c r="U170" i="6"/>
  <c r="V170" i="6"/>
  <c r="U171" i="6"/>
  <c r="V171" i="6"/>
  <c r="W171" i="6" s="1"/>
  <c r="U172" i="6"/>
  <c r="V172" i="6"/>
  <c r="U173" i="6"/>
  <c r="V173" i="6"/>
  <c r="W173" i="6" s="1"/>
  <c r="U174" i="6"/>
  <c r="V174" i="6"/>
  <c r="U175" i="6"/>
  <c r="V175" i="6"/>
  <c r="W175" i="6" s="1"/>
  <c r="U176" i="6"/>
  <c r="V176" i="6"/>
  <c r="U177" i="6"/>
  <c r="V177" i="6"/>
  <c r="W177" i="6" s="1"/>
  <c r="U178" i="6"/>
  <c r="V178" i="6"/>
  <c r="U179" i="6"/>
  <c r="V179" i="6"/>
  <c r="W179" i="6" s="1"/>
  <c r="U180" i="6"/>
  <c r="V180" i="6"/>
  <c r="U181" i="6"/>
  <c r="V181" i="6"/>
  <c r="W181" i="6" s="1"/>
  <c r="U182" i="6"/>
  <c r="V182" i="6"/>
  <c r="U183" i="6"/>
  <c r="V183" i="6"/>
  <c r="U184" i="6"/>
  <c r="V184" i="6"/>
  <c r="U185" i="6"/>
  <c r="V185" i="6"/>
  <c r="U186" i="6"/>
  <c r="V186" i="6"/>
  <c r="U187" i="6"/>
  <c r="V187" i="6"/>
  <c r="W187" i="6" s="1"/>
  <c r="U188" i="6"/>
  <c r="V188" i="6"/>
  <c r="U189" i="6"/>
  <c r="V189" i="6"/>
  <c r="W189" i="6" s="1"/>
  <c r="U190" i="6"/>
  <c r="V190" i="6"/>
  <c r="U191" i="6"/>
  <c r="V191" i="6"/>
  <c r="W191" i="6" s="1"/>
  <c r="U192" i="6"/>
  <c r="V192" i="6"/>
  <c r="U193" i="6"/>
  <c r="V193" i="6"/>
  <c r="W193" i="6" s="1"/>
  <c r="U194" i="6"/>
  <c r="V194" i="6"/>
  <c r="U195" i="6"/>
  <c r="V195" i="6"/>
  <c r="W195" i="6" s="1"/>
  <c r="U196" i="6"/>
  <c r="V196" i="6"/>
  <c r="U197" i="6"/>
  <c r="V197" i="6"/>
  <c r="W197" i="6" s="1"/>
  <c r="U198" i="6"/>
  <c r="V198" i="6"/>
  <c r="U199" i="6"/>
  <c r="V199" i="6"/>
  <c r="U200" i="6"/>
  <c r="V200" i="6"/>
  <c r="U201" i="6"/>
  <c r="V201" i="6"/>
  <c r="U202" i="6"/>
  <c r="V202" i="6"/>
  <c r="U203" i="6"/>
  <c r="V203" i="6"/>
  <c r="U204" i="6"/>
  <c r="V204" i="6"/>
  <c r="U205" i="6"/>
  <c r="V205" i="6"/>
  <c r="U206" i="6"/>
  <c r="V206" i="6"/>
  <c r="U207" i="6"/>
  <c r="V207" i="6"/>
  <c r="U208" i="6"/>
  <c r="V208" i="6"/>
  <c r="U209" i="6"/>
  <c r="V209" i="6"/>
  <c r="U210" i="6"/>
  <c r="V210" i="6"/>
  <c r="U211" i="6"/>
  <c r="V211" i="6"/>
  <c r="U212" i="6"/>
  <c r="V212" i="6"/>
  <c r="U213" i="6"/>
  <c r="V213" i="6"/>
  <c r="U214" i="6"/>
  <c r="V214" i="6"/>
  <c r="U215" i="6"/>
  <c r="V215" i="6"/>
  <c r="U216" i="6"/>
  <c r="V216" i="6"/>
  <c r="U217" i="6"/>
  <c r="V217" i="6"/>
  <c r="U218" i="6"/>
  <c r="V218" i="6"/>
  <c r="U219" i="6"/>
  <c r="V219" i="6"/>
  <c r="U220" i="6"/>
  <c r="V220" i="6"/>
  <c r="U221" i="6"/>
  <c r="V221" i="6"/>
  <c r="U222" i="6"/>
  <c r="V222" i="6"/>
  <c r="U223" i="6"/>
  <c r="V223" i="6"/>
  <c r="U224" i="6"/>
  <c r="V224" i="6"/>
  <c r="U225" i="6"/>
  <c r="V225" i="6"/>
  <c r="U226" i="6"/>
  <c r="V226" i="6"/>
  <c r="U227" i="6"/>
  <c r="V227" i="6"/>
  <c r="U228" i="6"/>
  <c r="V228" i="6"/>
  <c r="U229" i="6"/>
  <c r="V229" i="6"/>
  <c r="U230" i="6"/>
  <c r="V230" i="6"/>
  <c r="U231" i="6"/>
  <c r="V231" i="6"/>
  <c r="U232" i="6"/>
  <c r="V232" i="6"/>
  <c r="U233" i="6"/>
  <c r="V233" i="6"/>
  <c r="U234" i="6"/>
  <c r="V234" i="6"/>
  <c r="U235" i="6"/>
  <c r="V235" i="6"/>
  <c r="U236" i="6"/>
  <c r="V236" i="6"/>
  <c r="U237" i="6"/>
  <c r="V237" i="6"/>
  <c r="U238" i="6"/>
  <c r="V238" i="6"/>
  <c r="U239" i="6"/>
  <c r="V239" i="6"/>
  <c r="U240" i="6"/>
  <c r="V240" i="6"/>
  <c r="U241" i="6"/>
  <c r="V241" i="6"/>
  <c r="U242" i="6"/>
  <c r="V242" i="6"/>
  <c r="U243" i="6"/>
  <c r="V243" i="6"/>
  <c r="U244" i="6"/>
  <c r="V244" i="6"/>
  <c r="U245" i="6"/>
  <c r="V245" i="6"/>
  <c r="U246" i="6"/>
  <c r="V246" i="6"/>
  <c r="U247" i="6"/>
  <c r="V247" i="6"/>
  <c r="U248" i="6"/>
  <c r="V248" i="6"/>
  <c r="U249" i="6"/>
  <c r="V249" i="6"/>
  <c r="U250" i="6"/>
  <c r="V250" i="6"/>
  <c r="U251" i="6"/>
  <c r="V251" i="6"/>
  <c r="U252" i="6"/>
  <c r="V252" i="6"/>
  <c r="U253" i="6"/>
  <c r="V253" i="6"/>
  <c r="U254" i="6"/>
  <c r="V254" i="6"/>
  <c r="U255" i="6"/>
  <c r="V255" i="6"/>
  <c r="U256" i="6"/>
  <c r="V256" i="6"/>
  <c r="U257" i="6"/>
  <c r="V257" i="6"/>
  <c r="U258" i="6"/>
  <c r="V258" i="6"/>
  <c r="U259" i="6"/>
  <c r="V259" i="6"/>
  <c r="U260" i="6"/>
  <c r="V260" i="6"/>
  <c r="U261" i="6"/>
  <c r="V261" i="6"/>
  <c r="U262" i="6"/>
  <c r="V262" i="6"/>
  <c r="U263" i="6"/>
  <c r="V263" i="6"/>
  <c r="U264" i="6"/>
  <c r="V264" i="6"/>
  <c r="U265" i="6"/>
  <c r="V265" i="6"/>
  <c r="U266" i="6"/>
  <c r="V266" i="6"/>
  <c r="U267" i="6"/>
  <c r="V267" i="6"/>
  <c r="U268" i="6"/>
  <c r="V268" i="6"/>
  <c r="U269" i="6"/>
  <c r="V269" i="6"/>
  <c r="U270" i="6"/>
  <c r="V270" i="6"/>
  <c r="U271" i="6"/>
  <c r="V271" i="6"/>
  <c r="U272" i="6"/>
  <c r="V272" i="6"/>
  <c r="U273" i="6"/>
  <c r="V273" i="6"/>
  <c r="U274" i="6"/>
  <c r="V274" i="6"/>
  <c r="U275" i="6"/>
  <c r="V275" i="6"/>
  <c r="U276" i="6"/>
  <c r="V276" i="6"/>
  <c r="U277" i="6"/>
  <c r="V277" i="6"/>
  <c r="U278" i="6"/>
  <c r="V278" i="6"/>
  <c r="U279" i="6"/>
  <c r="V279" i="6"/>
  <c r="U280" i="6"/>
  <c r="V280" i="6"/>
  <c r="U281" i="6"/>
  <c r="V281" i="6"/>
  <c r="U282" i="6"/>
  <c r="V282" i="6"/>
  <c r="U283" i="6"/>
  <c r="V283" i="6"/>
  <c r="U284" i="6"/>
  <c r="V284" i="6"/>
  <c r="U285" i="6"/>
  <c r="V285" i="6"/>
  <c r="U286" i="6"/>
  <c r="V286" i="6"/>
  <c r="U287" i="6"/>
  <c r="V287" i="6"/>
  <c r="U288" i="6"/>
  <c r="V288" i="6"/>
  <c r="U289" i="6"/>
  <c r="V289" i="6"/>
  <c r="U290" i="6"/>
  <c r="V290" i="6"/>
  <c r="U291" i="6"/>
  <c r="V291" i="6"/>
  <c r="U292" i="6"/>
  <c r="V292" i="6"/>
  <c r="U293" i="6"/>
  <c r="V293" i="6"/>
  <c r="U294" i="6"/>
  <c r="V294" i="6"/>
  <c r="U295" i="6"/>
  <c r="V295" i="6"/>
  <c r="U296" i="6"/>
  <c r="V296" i="6"/>
  <c r="U297" i="6"/>
  <c r="V297" i="6"/>
  <c r="U298" i="6"/>
  <c r="V298" i="6"/>
  <c r="U299" i="6"/>
  <c r="V299" i="6"/>
  <c r="U300" i="6"/>
  <c r="V300" i="6"/>
  <c r="U301" i="6"/>
  <c r="V301" i="6"/>
  <c r="U302" i="6"/>
  <c r="V302" i="6"/>
  <c r="U303" i="6"/>
  <c r="V303" i="6"/>
  <c r="U304" i="6"/>
  <c r="V304" i="6"/>
  <c r="U305" i="6"/>
  <c r="V305" i="6"/>
  <c r="U306" i="6"/>
  <c r="V306" i="6"/>
  <c r="U307" i="6"/>
  <c r="V307" i="6"/>
  <c r="U308" i="6"/>
  <c r="V308" i="6"/>
  <c r="U309" i="6"/>
  <c r="V309" i="6"/>
  <c r="U310" i="6"/>
  <c r="V310" i="6"/>
  <c r="U311" i="6"/>
  <c r="V311" i="6"/>
  <c r="U312" i="6"/>
  <c r="V312" i="6"/>
  <c r="U313" i="6"/>
  <c r="V313" i="6"/>
  <c r="U314" i="6"/>
  <c r="V314" i="6"/>
  <c r="U315" i="6"/>
  <c r="V315" i="6"/>
  <c r="U316" i="6"/>
  <c r="V316" i="6"/>
  <c r="U317" i="6"/>
  <c r="V317" i="6"/>
  <c r="U318" i="6"/>
  <c r="V318" i="6"/>
  <c r="U319" i="6"/>
  <c r="V319" i="6"/>
  <c r="U320" i="6"/>
  <c r="V320" i="6"/>
  <c r="U321" i="6"/>
  <c r="V321" i="6"/>
  <c r="U322" i="6"/>
  <c r="V322" i="6"/>
  <c r="U323" i="6"/>
  <c r="V323" i="6"/>
  <c r="U324" i="6"/>
  <c r="V324" i="6"/>
  <c r="U325" i="6"/>
  <c r="V325" i="6"/>
  <c r="U326" i="6"/>
  <c r="V326" i="6"/>
  <c r="U327" i="6"/>
  <c r="V327" i="6"/>
  <c r="U328" i="6"/>
  <c r="V328" i="6"/>
  <c r="U329" i="6"/>
  <c r="V329" i="6"/>
  <c r="U330" i="6"/>
  <c r="V330" i="6"/>
  <c r="U331" i="6"/>
  <c r="V331" i="6"/>
  <c r="U332" i="6"/>
  <c r="V332" i="6"/>
  <c r="U333" i="6"/>
  <c r="V333" i="6"/>
  <c r="U334" i="6"/>
  <c r="V334" i="6"/>
  <c r="U335" i="6"/>
  <c r="V335" i="6"/>
  <c r="U336" i="6"/>
  <c r="V336" i="6"/>
  <c r="U337" i="6"/>
  <c r="V337" i="6"/>
  <c r="U338" i="6"/>
  <c r="V338" i="6"/>
  <c r="U339" i="6"/>
  <c r="V339" i="6"/>
  <c r="U340" i="6"/>
  <c r="V340" i="6"/>
  <c r="U341" i="6"/>
  <c r="V341" i="6"/>
  <c r="U342" i="6"/>
  <c r="V342" i="6"/>
  <c r="U343" i="6"/>
  <c r="V343" i="6"/>
  <c r="U344" i="6"/>
  <c r="V344" i="6"/>
  <c r="U345" i="6"/>
  <c r="V345" i="6"/>
  <c r="U346" i="6"/>
  <c r="V346" i="6"/>
  <c r="U347" i="6"/>
  <c r="V347" i="6"/>
  <c r="U348" i="6"/>
  <c r="V348" i="6"/>
  <c r="U349" i="6"/>
  <c r="V349" i="6"/>
  <c r="U350" i="6"/>
  <c r="V350" i="6"/>
  <c r="U351" i="6"/>
  <c r="V351" i="6"/>
  <c r="U352" i="6"/>
  <c r="V352" i="6"/>
  <c r="U353" i="6"/>
  <c r="V353" i="6"/>
  <c r="U354" i="6"/>
  <c r="V354" i="6"/>
  <c r="U355" i="6"/>
  <c r="V355" i="6"/>
  <c r="U356" i="6"/>
  <c r="V356" i="6"/>
  <c r="U357" i="6"/>
  <c r="V357" i="6"/>
  <c r="U358" i="6"/>
  <c r="V358" i="6"/>
  <c r="U359" i="6"/>
  <c r="V359" i="6"/>
  <c r="U360" i="6"/>
  <c r="V360" i="6"/>
  <c r="U361" i="6"/>
  <c r="V361" i="6"/>
  <c r="U362" i="6"/>
  <c r="V362" i="6"/>
  <c r="U363" i="6"/>
  <c r="V363" i="6"/>
  <c r="U364" i="6"/>
  <c r="V364" i="6"/>
  <c r="U365" i="6"/>
  <c r="V365" i="6"/>
  <c r="U366" i="6"/>
  <c r="V366" i="6"/>
  <c r="U367" i="6"/>
  <c r="V367" i="6"/>
  <c r="U368" i="6"/>
  <c r="V368" i="6"/>
  <c r="U369" i="6"/>
  <c r="V369" i="6"/>
  <c r="U370" i="6"/>
  <c r="V370" i="6"/>
  <c r="U371" i="6"/>
  <c r="V371" i="6"/>
  <c r="U372" i="6"/>
  <c r="V372" i="6"/>
  <c r="U373" i="6"/>
  <c r="V373" i="6"/>
  <c r="U374" i="6"/>
  <c r="V374" i="6"/>
  <c r="U375" i="6"/>
  <c r="V375" i="6"/>
  <c r="U376" i="6"/>
  <c r="V376" i="6"/>
  <c r="U377" i="6"/>
  <c r="V377" i="6"/>
  <c r="U378" i="6"/>
  <c r="V378" i="6"/>
  <c r="U379" i="6"/>
  <c r="V379" i="6"/>
  <c r="U380" i="6"/>
  <c r="V380" i="6"/>
  <c r="U381" i="6"/>
  <c r="V381" i="6"/>
  <c r="U382" i="6"/>
  <c r="V382" i="6"/>
  <c r="U383" i="6"/>
  <c r="V383" i="6"/>
  <c r="U384" i="6"/>
  <c r="V384" i="6"/>
  <c r="U385" i="6"/>
  <c r="V385" i="6"/>
  <c r="U386" i="6"/>
  <c r="V386" i="6"/>
  <c r="U387" i="6"/>
  <c r="V387" i="6"/>
  <c r="U388" i="6"/>
  <c r="V388" i="6"/>
  <c r="U389" i="6"/>
  <c r="V389" i="6"/>
  <c r="U390" i="6"/>
  <c r="V390" i="6"/>
  <c r="U391" i="6"/>
  <c r="V391" i="6"/>
  <c r="U392" i="6"/>
  <c r="V392" i="6"/>
  <c r="U393" i="6"/>
  <c r="V393" i="6"/>
  <c r="U394" i="6"/>
  <c r="V394" i="6"/>
  <c r="U395" i="6"/>
  <c r="V395" i="6"/>
  <c r="U396" i="6"/>
  <c r="V396" i="6"/>
  <c r="U397" i="6"/>
  <c r="V397" i="6"/>
  <c r="U398" i="6"/>
  <c r="V398" i="6"/>
  <c r="U399" i="6"/>
  <c r="V399" i="6"/>
  <c r="U400" i="6"/>
  <c r="V400" i="6"/>
  <c r="U401" i="6"/>
  <c r="V401" i="6"/>
  <c r="U402" i="6"/>
  <c r="V402" i="6"/>
  <c r="U403" i="6"/>
  <c r="V403" i="6"/>
  <c r="U404" i="6"/>
  <c r="V404" i="6"/>
  <c r="U405" i="6"/>
  <c r="V405" i="6"/>
  <c r="U406" i="6"/>
  <c r="V406" i="6"/>
  <c r="U407" i="6"/>
  <c r="V407" i="6"/>
  <c r="U408" i="6"/>
  <c r="V408" i="6"/>
  <c r="U409" i="6"/>
  <c r="V409" i="6"/>
  <c r="U410" i="6"/>
  <c r="V410" i="6"/>
  <c r="U411" i="6"/>
  <c r="V411" i="6"/>
  <c r="U412" i="6"/>
  <c r="V412" i="6"/>
  <c r="U413" i="6"/>
  <c r="V413" i="6"/>
  <c r="U414" i="6"/>
  <c r="V414" i="6"/>
  <c r="U415" i="6"/>
  <c r="V415" i="6"/>
  <c r="U416" i="6"/>
  <c r="V416" i="6"/>
  <c r="U417" i="6"/>
  <c r="V417" i="6"/>
  <c r="U418" i="6"/>
  <c r="V418" i="6"/>
  <c r="U419" i="6"/>
  <c r="V419" i="6"/>
  <c r="U420" i="6"/>
  <c r="V420" i="6"/>
  <c r="U421" i="6"/>
  <c r="V421" i="6"/>
  <c r="U422" i="6"/>
  <c r="V422" i="6"/>
  <c r="U423" i="6"/>
  <c r="V423" i="6"/>
  <c r="U424" i="6"/>
  <c r="V424" i="6"/>
  <c r="U425" i="6"/>
  <c r="V425" i="6"/>
  <c r="U426" i="6"/>
  <c r="V426" i="6"/>
  <c r="U427" i="6"/>
  <c r="V427" i="6"/>
  <c r="U428" i="6"/>
  <c r="V428" i="6"/>
  <c r="U429" i="6"/>
  <c r="V429" i="6"/>
  <c r="U430" i="6"/>
  <c r="V430" i="6"/>
  <c r="U431" i="6"/>
  <c r="V431" i="6"/>
  <c r="U432" i="6"/>
  <c r="V432" i="6"/>
  <c r="U433" i="6"/>
  <c r="V433" i="6"/>
  <c r="U434" i="6"/>
  <c r="V434" i="6"/>
  <c r="U435" i="6"/>
  <c r="V435" i="6"/>
  <c r="U436" i="6"/>
  <c r="V436" i="6"/>
  <c r="U437" i="6"/>
  <c r="V437" i="6"/>
  <c r="U438" i="6"/>
  <c r="V438" i="6"/>
  <c r="U439" i="6"/>
  <c r="V439" i="6"/>
  <c r="U440" i="6"/>
  <c r="V440" i="6"/>
  <c r="U441" i="6"/>
  <c r="V441" i="6"/>
  <c r="U442" i="6"/>
  <c r="V442" i="6"/>
  <c r="U443" i="6"/>
  <c r="V443" i="6"/>
  <c r="U444" i="6"/>
  <c r="V444" i="6"/>
  <c r="U445" i="6"/>
  <c r="V445" i="6"/>
  <c r="U446" i="6"/>
  <c r="V446" i="6"/>
  <c r="U447" i="6"/>
  <c r="V447" i="6"/>
  <c r="U448" i="6"/>
  <c r="V448" i="6"/>
  <c r="U449" i="6"/>
  <c r="V449" i="6"/>
  <c r="U450" i="6"/>
  <c r="V450" i="6"/>
  <c r="U451" i="6"/>
  <c r="V451" i="6"/>
  <c r="U452" i="6"/>
  <c r="V452" i="6"/>
  <c r="U453" i="6"/>
  <c r="V453" i="6"/>
  <c r="U454" i="6"/>
  <c r="V454" i="6"/>
  <c r="U455" i="6"/>
  <c r="V455" i="6"/>
  <c r="U456" i="6"/>
  <c r="V456" i="6"/>
  <c r="U457" i="6"/>
  <c r="V457" i="6"/>
  <c r="U458" i="6"/>
  <c r="V458" i="6"/>
  <c r="U459" i="6"/>
  <c r="V459" i="6"/>
  <c r="U460" i="6"/>
  <c r="V460" i="6"/>
  <c r="U461" i="6"/>
  <c r="V461" i="6"/>
  <c r="U462" i="6"/>
  <c r="V462" i="6"/>
  <c r="U463" i="6"/>
  <c r="V463" i="6"/>
  <c r="U464" i="6"/>
  <c r="V464" i="6"/>
  <c r="U465" i="6"/>
  <c r="V465" i="6"/>
  <c r="U466" i="6"/>
  <c r="V466" i="6"/>
  <c r="U467" i="6"/>
  <c r="V467" i="6"/>
  <c r="U468" i="6"/>
  <c r="V468" i="6"/>
  <c r="U469" i="6"/>
  <c r="V469" i="6"/>
  <c r="U470" i="6"/>
  <c r="V470" i="6"/>
  <c r="U471" i="6"/>
  <c r="V471" i="6"/>
  <c r="U472" i="6"/>
  <c r="V472" i="6"/>
  <c r="U473" i="6"/>
  <c r="V473" i="6"/>
  <c r="U474" i="6"/>
  <c r="V474" i="6"/>
  <c r="U475" i="6"/>
  <c r="V475" i="6"/>
  <c r="U476" i="6"/>
  <c r="V476" i="6"/>
  <c r="U477" i="6"/>
  <c r="V477" i="6"/>
  <c r="U478" i="6"/>
  <c r="V478" i="6"/>
  <c r="U479" i="6"/>
  <c r="V479" i="6"/>
  <c r="U480" i="6"/>
  <c r="V480" i="6"/>
  <c r="U481" i="6"/>
  <c r="V481" i="6"/>
  <c r="U482" i="6"/>
  <c r="V482" i="6"/>
  <c r="U483" i="6"/>
  <c r="V483" i="6"/>
  <c r="U484" i="6"/>
  <c r="V484" i="6"/>
  <c r="U485" i="6"/>
  <c r="V485" i="6"/>
  <c r="U486" i="6"/>
  <c r="V486" i="6"/>
  <c r="U487" i="6"/>
  <c r="V487" i="6"/>
  <c r="U488" i="6"/>
  <c r="V488" i="6"/>
  <c r="U489" i="6"/>
  <c r="V489" i="6"/>
  <c r="U490" i="6"/>
  <c r="V490" i="6"/>
  <c r="U491" i="6"/>
  <c r="V491" i="6"/>
  <c r="U492" i="6"/>
  <c r="V492" i="6"/>
  <c r="U493" i="6"/>
  <c r="V493" i="6"/>
  <c r="U494" i="6"/>
  <c r="V494" i="6"/>
  <c r="U495" i="6"/>
  <c r="V495" i="6"/>
  <c r="U496" i="6"/>
  <c r="V496" i="6"/>
  <c r="U497" i="6"/>
  <c r="V497" i="6"/>
  <c r="U498" i="6"/>
  <c r="V498" i="6"/>
  <c r="U499" i="6"/>
  <c r="V499" i="6"/>
  <c r="U500" i="6"/>
  <c r="V500" i="6"/>
  <c r="U501" i="6"/>
  <c r="V501" i="6"/>
  <c r="U502" i="6"/>
  <c r="V502" i="6"/>
  <c r="U503" i="6"/>
  <c r="V503" i="6"/>
  <c r="U504" i="6"/>
  <c r="V504" i="6"/>
  <c r="U505" i="6"/>
  <c r="V505" i="6"/>
  <c r="U506" i="6"/>
  <c r="V506" i="6"/>
  <c r="U507" i="6"/>
  <c r="V507" i="6"/>
  <c r="U508" i="6"/>
  <c r="V508" i="6"/>
  <c r="U509" i="6"/>
  <c r="V509" i="6"/>
  <c r="U510" i="6"/>
  <c r="V510" i="6"/>
  <c r="U511" i="6"/>
  <c r="V511" i="6"/>
  <c r="U512" i="6"/>
  <c r="V512" i="6"/>
  <c r="U513" i="6"/>
  <c r="V513" i="6"/>
  <c r="U514" i="6"/>
  <c r="V514" i="6"/>
  <c r="U515" i="6"/>
  <c r="V515" i="6"/>
  <c r="U516" i="6"/>
  <c r="V516" i="6"/>
  <c r="U517" i="6"/>
  <c r="V517" i="6"/>
  <c r="U518" i="6"/>
  <c r="V518" i="6"/>
  <c r="U519" i="6"/>
  <c r="V519" i="6"/>
  <c r="U520" i="6"/>
  <c r="V520" i="6"/>
  <c r="U521" i="6"/>
  <c r="V521" i="6"/>
  <c r="U522" i="6"/>
  <c r="V522" i="6"/>
  <c r="U523" i="6"/>
  <c r="V523" i="6"/>
  <c r="U524" i="6"/>
  <c r="V524" i="6"/>
  <c r="U525" i="6"/>
  <c r="V525" i="6"/>
  <c r="U526" i="6"/>
  <c r="V526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111" i="6"/>
  <c r="AR70" i="4" l="1"/>
  <c r="AR66" i="4"/>
  <c r="AR62" i="4"/>
  <c r="AR58" i="4"/>
  <c r="AR54" i="4"/>
  <c r="C367" i="6"/>
  <c r="C356" i="6"/>
  <c r="C335" i="6"/>
  <c r="C328" i="6"/>
  <c r="C296" i="6"/>
  <c r="C230" i="6"/>
  <c r="C226" i="6"/>
  <c r="C198" i="6"/>
  <c r="C152" i="6"/>
  <c r="C253" i="6"/>
  <c r="C213" i="6"/>
  <c r="C357" i="6"/>
  <c r="C209" i="6"/>
  <c r="C353" i="6"/>
  <c r="C185" i="6"/>
  <c r="C329" i="6"/>
  <c r="C181" i="6"/>
  <c r="C325" i="6"/>
  <c r="C149" i="6"/>
  <c r="C293" i="6"/>
  <c r="C145" i="6"/>
  <c r="C289" i="6"/>
  <c r="C134" i="6"/>
  <c r="C241" i="6"/>
  <c r="C116" i="6"/>
  <c r="C113" i="6"/>
  <c r="C257" i="6"/>
  <c r="C237" i="6"/>
  <c r="C381" i="6"/>
  <c r="C233" i="6"/>
  <c r="C377" i="6"/>
  <c r="C205" i="6"/>
  <c r="C349" i="6"/>
  <c r="C201" i="6"/>
  <c r="C345" i="6"/>
  <c r="C249" i="6"/>
  <c r="C177" i="6"/>
  <c r="C321" i="6"/>
  <c r="C457" i="6"/>
  <c r="C173" i="6"/>
  <c r="C317" i="6"/>
  <c r="C453" i="6"/>
  <c r="C169" i="6"/>
  <c r="C313" i="6"/>
  <c r="C449" i="6"/>
  <c r="C445" i="6"/>
  <c r="C441" i="6"/>
  <c r="C437" i="6"/>
  <c r="C433" i="6"/>
  <c r="C425" i="6"/>
  <c r="C144" i="6"/>
  <c r="C421" i="6"/>
  <c r="C141" i="6"/>
  <c r="C285" i="6"/>
  <c r="C417" i="6"/>
  <c r="C137" i="6"/>
  <c r="C281" i="6"/>
  <c r="C413" i="6"/>
  <c r="C409" i="6"/>
  <c r="C130" i="6"/>
  <c r="C405" i="6"/>
  <c r="C126" i="6"/>
  <c r="C401" i="6"/>
  <c r="C119" i="6"/>
  <c r="C393" i="6"/>
  <c r="C310" i="6"/>
  <c r="C306" i="6"/>
  <c r="C302" i="6"/>
  <c r="C288" i="6"/>
  <c r="C274" i="6"/>
  <c r="C270" i="6"/>
  <c r="C117" i="6"/>
  <c r="BC62" i="4"/>
  <c r="BC30" i="4"/>
  <c r="BC65" i="4"/>
  <c r="AR73" i="4"/>
  <c r="AR65" i="4"/>
  <c r="AR63" i="4"/>
  <c r="AR61" i="4"/>
  <c r="AR59" i="4"/>
  <c r="AR49" i="4"/>
  <c r="AR41" i="4"/>
  <c r="AR33" i="4"/>
  <c r="AR31" i="4"/>
  <c r="AR29" i="4"/>
  <c r="AR27" i="4"/>
  <c r="AR50" i="4"/>
  <c r="BC64" i="4"/>
  <c r="BC60" i="4"/>
  <c r="BC48" i="4"/>
  <c r="BC36" i="4"/>
  <c r="AR82" i="4"/>
  <c r="BC69" i="4"/>
  <c r="BC32" i="4"/>
  <c r="BC74" i="4"/>
  <c r="BC70" i="4"/>
  <c r="BC66" i="4"/>
  <c r="BC61" i="4"/>
  <c r="BC57" i="4"/>
  <c r="BC29" i="4"/>
  <c r="BC53" i="4"/>
  <c r="BC25" i="4"/>
  <c r="BC58" i="4"/>
  <c r="BC54" i="4"/>
  <c r="BC49" i="4"/>
  <c r="BC41" i="4"/>
  <c r="BC37" i="4"/>
  <c r="BC20" i="4"/>
  <c r="BC81" i="4"/>
  <c r="BC46" i="4"/>
  <c r="BC38" i="4"/>
  <c r="BC21" i="4"/>
  <c r="AR81" i="4"/>
  <c r="BC75" i="4"/>
  <c r="BC33" i="4"/>
  <c r="BC86" i="4"/>
  <c r="BC77" i="4"/>
  <c r="BC72" i="4"/>
  <c r="BC28" i="4"/>
  <c r="AR57" i="4"/>
  <c r="AR25" i="4"/>
  <c r="BC44" i="4"/>
  <c r="AR38" i="4"/>
  <c r="AR34" i="4"/>
  <c r="AR30" i="4"/>
  <c r="AR28" i="4"/>
  <c r="AR26" i="4"/>
  <c r="AR22" i="4"/>
  <c r="AR20" i="4"/>
  <c r="AR18" i="4"/>
  <c r="BC45" i="4"/>
  <c r="AR86" i="4"/>
  <c r="AR53" i="4"/>
  <c r="AR19" i="4"/>
  <c r="BC27" i="4"/>
  <c r="AR77" i="4"/>
  <c r="AR75" i="4"/>
  <c r="AR45" i="4"/>
  <c r="AR43" i="4"/>
  <c r="AR83" i="4"/>
  <c r="AR55" i="4"/>
  <c r="AR51" i="4"/>
  <c r="AR21" i="4"/>
  <c r="BC84" i="4"/>
  <c r="BC82" i="4"/>
  <c r="BC80" i="4"/>
  <c r="BC73" i="4"/>
  <c r="BC68" i="4"/>
  <c r="BC55" i="4"/>
  <c r="BC52" i="4"/>
  <c r="BC43" i="4"/>
  <c r="BC40" i="4"/>
  <c r="BC34" i="4"/>
  <c r="BC24" i="4"/>
  <c r="AR78" i="4"/>
  <c r="AR76" i="4"/>
  <c r="AR74" i="4"/>
  <c r="AR71" i="4"/>
  <c r="AR69" i="4"/>
  <c r="AR67" i="4"/>
  <c r="AR46" i="4"/>
  <c r="AR42" i="4"/>
  <c r="AR39" i="4"/>
  <c r="AR37" i="4"/>
  <c r="AR35" i="4"/>
  <c r="BC83" i="4"/>
  <c r="BC79" i="4"/>
  <c r="BC63" i="4"/>
  <c r="BC56" i="4"/>
  <c r="BC50" i="4"/>
  <c r="BC39" i="4"/>
  <c r="AR84" i="4"/>
  <c r="AR68" i="4"/>
  <c r="AR60" i="4"/>
  <c r="AR52" i="4"/>
  <c r="AR44" i="4"/>
  <c r="AR36" i="4"/>
  <c r="BC67" i="4"/>
  <c r="BC59" i="4"/>
  <c r="BC35" i="4"/>
  <c r="AR79" i="4"/>
  <c r="AR47" i="4"/>
  <c r="AR23" i="4"/>
  <c r="BC78" i="4"/>
  <c r="BC76" i="4"/>
  <c r="BC71" i="4"/>
  <c r="BC51" i="4"/>
  <c r="BC47" i="4"/>
  <c r="BC42" i="4"/>
  <c r="BC31" i="4"/>
  <c r="BC26" i="4"/>
  <c r="BC23" i="4"/>
  <c r="BC22" i="4"/>
  <c r="BC19" i="4"/>
  <c r="BC18" i="4"/>
  <c r="AR80" i="4"/>
  <c r="AR72" i="4"/>
  <c r="AR64" i="4"/>
  <c r="AR56" i="4"/>
  <c r="AR48" i="4"/>
  <c r="AR40" i="4"/>
  <c r="AR32" i="4"/>
  <c r="AR24" i="4"/>
  <c r="W210" i="7"/>
  <c r="W110" i="7"/>
  <c r="W102" i="7"/>
  <c r="W199" i="7"/>
  <c r="W429" i="7"/>
  <c r="W288" i="7"/>
  <c r="W202" i="7"/>
  <c r="W443" i="7"/>
  <c r="W425" i="7"/>
  <c r="W404" i="7"/>
  <c r="W304" i="7"/>
  <c r="W296" i="7"/>
  <c r="W292" i="7"/>
  <c r="W284" i="7"/>
  <c r="W280" i="7"/>
  <c r="W273" i="7"/>
  <c r="W247" i="7"/>
  <c r="W243" i="7"/>
  <c r="W235" i="7"/>
  <c r="W227" i="7"/>
  <c r="W223" i="7"/>
  <c r="W193" i="7"/>
  <c r="W146" i="7"/>
  <c r="W130" i="7"/>
  <c r="W450" i="7"/>
  <c r="W298" i="7"/>
  <c r="W240" i="7"/>
  <c r="W232" i="7"/>
  <c r="W182" i="7"/>
  <c r="W174" i="7"/>
  <c r="W166" i="7"/>
  <c r="W151" i="7"/>
  <c r="W135" i="7"/>
  <c r="W209" i="7"/>
  <c r="W201" i="7"/>
  <c r="W196" i="7"/>
  <c r="W129" i="7"/>
  <c r="W437" i="7"/>
  <c r="W413" i="7"/>
  <c r="W405" i="7"/>
  <c r="W381" i="7"/>
  <c r="W373" i="7"/>
  <c r="W340" i="7"/>
  <c r="W303" i="7"/>
  <c r="W267" i="7"/>
  <c r="W263" i="7"/>
  <c r="W203" i="7"/>
  <c r="W176" i="7"/>
  <c r="W168" i="7"/>
  <c r="W447" i="7"/>
  <c r="W431" i="7"/>
  <c r="W423" i="7"/>
  <c r="W399" i="7"/>
  <c r="W391" i="7"/>
  <c r="W349" i="7"/>
  <c r="W341" i="7"/>
  <c r="W317" i="7"/>
  <c r="W309" i="7"/>
  <c r="W300" i="7"/>
  <c r="W291" i="7"/>
  <c r="W246" i="7"/>
  <c r="W238" i="7"/>
  <c r="W230" i="7"/>
  <c r="W216" i="7"/>
  <c r="W204" i="7"/>
  <c r="W186" i="7"/>
  <c r="W142" i="7"/>
  <c r="W112" i="7"/>
  <c r="W104" i="7"/>
  <c r="W448" i="7"/>
  <c r="W444" i="7"/>
  <c r="W440" i="7"/>
  <c r="W436" i="7"/>
  <c r="W433" i="7"/>
  <c r="W420" i="7"/>
  <c r="W416" i="7"/>
  <c r="W412" i="7"/>
  <c r="W408" i="7"/>
  <c r="W388" i="7"/>
  <c r="W384" i="7"/>
  <c r="W380" i="7"/>
  <c r="W376" i="7"/>
  <c r="W367" i="7"/>
  <c r="W359" i="7"/>
  <c r="W335" i="7"/>
  <c r="W327" i="7"/>
  <c r="W297" i="7"/>
  <c r="W293" i="7"/>
  <c r="W281" i="7"/>
  <c r="W258" i="7"/>
  <c r="W183" i="7"/>
  <c r="W179" i="7"/>
  <c r="W171" i="7"/>
  <c r="W163" i="7"/>
  <c r="W159" i="7"/>
  <c r="W156" i="7"/>
  <c r="W132" i="7"/>
  <c r="W122" i="7"/>
  <c r="W439" i="7"/>
  <c r="W427" i="7"/>
  <c r="W424" i="7"/>
  <c r="W415" i="7"/>
  <c r="W407" i="7"/>
  <c r="W397" i="7"/>
  <c r="W389" i="7"/>
  <c r="W371" i="7"/>
  <c r="W368" i="7"/>
  <c r="W364" i="7"/>
  <c r="W363" i="7"/>
  <c r="W360" i="7"/>
  <c r="W351" i="7"/>
  <c r="W343" i="7"/>
  <c r="W333" i="7"/>
  <c r="W325" i="7"/>
  <c r="W316" i="7"/>
  <c r="W307" i="7"/>
  <c r="W294" i="7"/>
  <c r="W272" i="7"/>
  <c r="W269" i="7"/>
  <c r="W265" i="7"/>
  <c r="W255" i="7"/>
  <c r="W252" i="7"/>
  <c r="W242" i="7"/>
  <c r="W234" i="7"/>
  <c r="W226" i="7"/>
  <c r="W225" i="7"/>
  <c r="W218" i="7"/>
  <c r="W214" i="7"/>
  <c r="W195" i="7"/>
  <c r="W184" i="7"/>
  <c r="W175" i="7"/>
  <c r="W172" i="7"/>
  <c r="W167" i="7"/>
  <c r="W164" i="7"/>
  <c r="W154" i="7"/>
  <c r="W150" i="7"/>
  <c r="W147" i="7"/>
  <c r="W138" i="7"/>
  <c r="W127" i="7"/>
  <c r="W124" i="7"/>
  <c r="W114" i="7"/>
  <c r="W106" i="7"/>
  <c r="W98" i="7"/>
  <c r="W97" i="7"/>
  <c r="W445" i="7"/>
  <c r="W441" i="7"/>
  <c r="W421" i="7"/>
  <c r="W403" i="7"/>
  <c r="W400" i="7"/>
  <c r="W396" i="7"/>
  <c r="W395" i="7"/>
  <c r="W383" i="7"/>
  <c r="W375" i="7"/>
  <c r="W365" i="7"/>
  <c r="W357" i="7"/>
  <c r="W339" i="7"/>
  <c r="W336" i="7"/>
  <c r="W332" i="7"/>
  <c r="W331" i="7"/>
  <c r="W328" i="7"/>
  <c r="W319" i="7"/>
  <c r="W311" i="7"/>
  <c r="W287" i="7"/>
  <c r="W282" i="7"/>
  <c r="W277" i="7"/>
  <c r="W259" i="7"/>
  <c r="W256" i="7"/>
  <c r="W248" i="7"/>
  <c r="W239" i="7"/>
  <c r="W236" i="7"/>
  <c r="W231" i="7"/>
  <c r="W228" i="7"/>
  <c r="W220" i="7"/>
  <c r="W211" i="7"/>
  <c r="W205" i="7"/>
  <c r="W197" i="7"/>
  <c r="W191" i="7"/>
  <c r="W188" i="7"/>
  <c r="W178" i="7"/>
  <c r="W170" i="7"/>
  <c r="W162" i="7"/>
  <c r="W161" i="7"/>
  <c r="W152" i="7"/>
  <c r="W144" i="7"/>
  <c r="W140" i="7"/>
  <c r="W134" i="7"/>
  <c r="W131" i="7"/>
  <c r="W120" i="7"/>
  <c r="W116" i="7"/>
  <c r="W108" i="7"/>
  <c r="W100" i="7"/>
  <c r="W451" i="7"/>
  <c r="W446" i="7"/>
  <c r="W442" i="7"/>
  <c r="W432" i="7"/>
  <c r="W430" i="7"/>
  <c r="W426" i="7"/>
  <c r="W422" i="7"/>
  <c r="W417" i="7"/>
  <c r="W406" i="7"/>
  <c r="W401" i="7"/>
  <c r="W390" i="7"/>
  <c r="W385" i="7"/>
  <c r="W374" i="7"/>
  <c r="W369" i="7"/>
  <c r="W358" i="7"/>
  <c r="W353" i="7"/>
  <c r="W342" i="7"/>
  <c r="W337" i="7"/>
  <c r="W326" i="7"/>
  <c r="W321" i="7"/>
  <c r="W310" i="7"/>
  <c r="W305" i="7"/>
  <c r="W301" i="7"/>
  <c r="W299" i="7"/>
  <c r="W295" i="7"/>
  <c r="W289" i="7"/>
  <c r="W285" i="7"/>
  <c r="W283" i="7"/>
  <c r="W279" i="7"/>
  <c r="W215" i="7"/>
  <c r="W438" i="7"/>
  <c r="W392" i="7"/>
  <c r="W344" i="7"/>
  <c r="W435" i="7"/>
  <c r="W414" i="7"/>
  <c r="W409" i="7"/>
  <c r="W398" i="7"/>
  <c r="W393" i="7"/>
  <c r="W382" i="7"/>
  <c r="W377" i="7"/>
  <c r="W366" i="7"/>
  <c r="W361" i="7"/>
  <c r="W350" i="7"/>
  <c r="W345" i="7"/>
  <c r="W334" i="7"/>
  <c r="W329" i="7"/>
  <c r="W318" i="7"/>
  <c r="W313" i="7"/>
  <c r="W276" i="7"/>
  <c r="W111" i="7"/>
  <c r="W103" i="7"/>
  <c r="W278" i="7"/>
  <c r="W266" i="7"/>
  <c r="W262" i="7"/>
  <c r="W261" i="7"/>
  <c r="W251" i="7"/>
  <c r="W249" i="7"/>
  <c r="W244" i="7"/>
  <c r="W224" i="7"/>
  <c r="W222" i="7"/>
  <c r="W187" i="7"/>
  <c r="W185" i="7"/>
  <c r="W180" i="7"/>
  <c r="W160" i="7"/>
  <c r="W158" i="7"/>
  <c r="W145" i="7"/>
  <c r="W141" i="7"/>
  <c r="W137" i="7"/>
  <c r="W133" i="7"/>
  <c r="W123" i="7"/>
  <c r="W121" i="7"/>
  <c r="W96" i="7"/>
  <c r="W94" i="7"/>
  <c r="W257" i="7"/>
  <c r="W208" i="7"/>
  <c r="W206" i="7"/>
  <c r="W200" i="7"/>
  <c r="W198" i="7"/>
  <c r="W118" i="7"/>
  <c r="W275" i="7"/>
  <c r="W271" i="7"/>
  <c r="W254" i="7"/>
  <c r="W241" i="7"/>
  <c r="W237" i="7"/>
  <c r="W233" i="7"/>
  <c r="W229" i="7"/>
  <c r="W219" i="7"/>
  <c r="W217" i="7"/>
  <c r="W212" i="7"/>
  <c r="W192" i="7"/>
  <c r="W190" i="7"/>
  <c r="W177" i="7"/>
  <c r="W173" i="7"/>
  <c r="W169" i="7"/>
  <c r="W165" i="7"/>
  <c r="W155" i="7"/>
  <c r="W153" i="7"/>
  <c r="W148" i="7"/>
  <c r="W128" i="7"/>
  <c r="W126" i="7"/>
  <c r="W113" i="7"/>
  <c r="W109" i="7"/>
  <c r="W105" i="7"/>
  <c r="W101" i="7"/>
  <c r="W434" i="7"/>
  <c r="W306" i="7"/>
  <c r="W290" i="7"/>
  <c r="W274" i="7"/>
  <c r="W253" i="7"/>
  <c r="W221" i="7"/>
  <c r="W189" i="7"/>
  <c r="W157" i="7"/>
  <c r="W125" i="7"/>
  <c r="W93" i="7"/>
  <c r="W418" i="7"/>
  <c r="W410" i="7"/>
  <c r="W402" i="7"/>
  <c r="W394" i="7"/>
  <c r="W386" i="7"/>
  <c r="W378" i="7"/>
  <c r="W370" i="7"/>
  <c r="W362" i="7"/>
  <c r="W354" i="7"/>
  <c r="W346" i="7"/>
  <c r="W338" i="7"/>
  <c r="W330" i="7"/>
  <c r="W322" i="7"/>
  <c r="W314" i="7"/>
  <c r="W302" i="7"/>
  <c r="W286" i="7"/>
  <c r="W270" i="7"/>
  <c r="W245" i="7"/>
  <c r="W213" i="7"/>
  <c r="W181" i="7"/>
  <c r="W149" i="7"/>
  <c r="W117" i="7"/>
  <c r="W378" i="6"/>
  <c r="W250" i="6"/>
  <c r="W202" i="6"/>
  <c r="W198" i="6"/>
  <c r="W190" i="6"/>
  <c r="W174" i="6"/>
  <c r="W166" i="6"/>
  <c r="W158" i="6"/>
  <c r="W494" i="6"/>
  <c r="W446" i="6"/>
  <c r="W408" i="6"/>
  <c r="W406" i="6"/>
  <c r="W400" i="6"/>
  <c r="W390" i="6"/>
  <c r="W384" i="6"/>
  <c r="W449" i="6"/>
  <c r="W405" i="6"/>
  <c r="W403" i="6"/>
  <c r="W401" i="6"/>
  <c r="W399" i="6"/>
  <c r="W397" i="6"/>
  <c r="W395" i="6"/>
  <c r="W393" i="6"/>
  <c r="W389" i="6"/>
  <c r="W387" i="6"/>
  <c r="W385" i="6"/>
  <c r="W383" i="6"/>
  <c r="W381" i="6"/>
  <c r="W379" i="6"/>
  <c r="W346" i="6"/>
  <c r="W342" i="6"/>
  <c r="W334" i="6"/>
  <c r="W326" i="6"/>
  <c r="W318" i="6"/>
  <c r="W282" i="6"/>
  <c r="W278" i="6"/>
  <c r="W270" i="6"/>
  <c r="W262" i="6"/>
  <c r="W466" i="6"/>
  <c r="W442" i="6"/>
  <c r="W430" i="6"/>
  <c r="W426" i="6"/>
  <c r="W362" i="6"/>
  <c r="W314" i="6"/>
  <c r="W298" i="6"/>
  <c r="W526" i="6"/>
  <c r="W498" i="6"/>
  <c r="W473" i="6"/>
  <c r="W457" i="6"/>
  <c r="W341" i="6"/>
  <c r="W339" i="6"/>
  <c r="W337" i="6"/>
  <c r="W335" i="6"/>
  <c r="W333" i="6"/>
  <c r="W331" i="6"/>
  <c r="W325" i="6"/>
  <c r="W323" i="6"/>
  <c r="W321" i="6"/>
  <c r="W319" i="6"/>
  <c r="W317" i="6"/>
  <c r="W315" i="6"/>
  <c r="W277" i="6"/>
  <c r="W275" i="6"/>
  <c r="W273" i="6"/>
  <c r="W271" i="6"/>
  <c r="W269" i="6"/>
  <c r="W267" i="6"/>
  <c r="W261" i="6"/>
  <c r="W259" i="6"/>
  <c r="W257" i="6"/>
  <c r="W255" i="6"/>
  <c r="W234" i="6"/>
  <c r="W138" i="6"/>
  <c r="W134" i="6"/>
  <c r="W132" i="6"/>
  <c r="W122" i="6"/>
  <c r="W118" i="6"/>
  <c r="W116" i="6"/>
  <c r="W254" i="6"/>
  <c r="W253" i="6"/>
  <c r="W251" i="6"/>
  <c r="W522" i="6"/>
  <c r="W520" i="6"/>
  <c r="W514" i="6"/>
  <c r="W512" i="6"/>
  <c r="W506" i="6"/>
  <c r="W504" i="6"/>
  <c r="W482" i="6"/>
  <c r="W480" i="6"/>
  <c r="W468" i="6"/>
  <c r="W392" i="6"/>
  <c r="W374" i="6"/>
  <c r="W366" i="6"/>
  <c r="W358" i="6"/>
  <c r="W350" i="6"/>
  <c r="W309" i="6"/>
  <c r="W307" i="6"/>
  <c r="W305" i="6"/>
  <c r="W303" i="6"/>
  <c r="W301" i="6"/>
  <c r="W299" i="6"/>
  <c r="W293" i="6"/>
  <c r="W291" i="6"/>
  <c r="W289" i="6"/>
  <c r="W287" i="6"/>
  <c r="W285" i="6"/>
  <c r="W283" i="6"/>
  <c r="W266" i="6"/>
  <c r="W246" i="6"/>
  <c r="W238" i="6"/>
  <c r="W230" i="6"/>
  <c r="W222" i="6"/>
  <c r="W206" i="6"/>
  <c r="W131" i="6"/>
  <c r="W127" i="6"/>
  <c r="W125" i="6"/>
  <c r="W115" i="6"/>
  <c r="W111" i="6"/>
  <c r="W436" i="6"/>
  <c r="W432" i="6"/>
  <c r="W420" i="6"/>
  <c r="W416" i="6"/>
  <c r="W410" i="6"/>
  <c r="W373" i="6"/>
  <c r="W371" i="6"/>
  <c r="W369" i="6"/>
  <c r="W367" i="6"/>
  <c r="W365" i="6"/>
  <c r="W363" i="6"/>
  <c r="W357" i="6"/>
  <c r="W355" i="6"/>
  <c r="W353" i="6"/>
  <c r="W351" i="6"/>
  <c r="W349" i="6"/>
  <c r="W347" i="6"/>
  <c r="W330" i="6"/>
  <c r="W310" i="6"/>
  <c r="W302" i="6"/>
  <c r="W294" i="6"/>
  <c r="W286" i="6"/>
  <c r="W245" i="6"/>
  <c r="W243" i="6"/>
  <c r="W241" i="6"/>
  <c r="W239" i="6"/>
  <c r="W237" i="6"/>
  <c r="W235" i="6"/>
  <c r="W229" i="6"/>
  <c r="W227" i="6"/>
  <c r="W225" i="6"/>
  <c r="W223" i="6"/>
  <c r="W221" i="6"/>
  <c r="W219" i="6"/>
  <c r="W213" i="6"/>
  <c r="W211" i="6"/>
  <c r="W209" i="6"/>
  <c r="W207" i="6"/>
  <c r="W205" i="6"/>
  <c r="W203" i="6"/>
  <c r="W170" i="6"/>
  <c r="W489" i="6"/>
  <c r="W487" i="6"/>
  <c r="W485" i="6"/>
  <c r="W481" i="6"/>
  <c r="W479" i="6"/>
  <c r="W477" i="6"/>
  <c r="W452" i="6"/>
  <c r="W441" i="6"/>
  <c r="W439" i="6"/>
  <c r="W437" i="6"/>
  <c r="W425" i="6"/>
  <c r="W423" i="6"/>
  <c r="W421" i="6"/>
  <c r="W417" i="6"/>
  <c r="W415" i="6"/>
  <c r="W413" i="6"/>
  <c r="W411" i="6"/>
  <c r="W409" i="6"/>
  <c r="W521" i="6"/>
  <c r="W519" i="6"/>
  <c r="W517" i="6"/>
  <c r="W515" i="6"/>
  <c r="W509" i="6"/>
  <c r="W507" i="6"/>
  <c r="W505" i="6"/>
  <c r="W503" i="6"/>
  <c r="W501" i="6"/>
  <c r="W499" i="6"/>
  <c r="W471" i="6"/>
  <c r="W469" i="6"/>
  <c r="W462" i="6"/>
  <c r="W456" i="6"/>
  <c r="W447" i="6"/>
  <c r="W433" i="6"/>
  <c r="W429" i="6"/>
  <c r="W422" i="6"/>
  <c r="W414" i="6"/>
  <c r="W412" i="6"/>
  <c r="W386" i="6"/>
  <c r="W354" i="6"/>
  <c r="W352" i="6"/>
  <c r="W322" i="6"/>
  <c r="W320" i="6"/>
  <c r="W290" i="6"/>
  <c r="W288" i="6"/>
  <c r="W258" i="6"/>
  <c r="W256" i="6"/>
  <c r="W226" i="6"/>
  <c r="W224" i="6"/>
  <c r="W218" i="6"/>
  <c r="W214" i="6"/>
  <c r="W210" i="6"/>
  <c r="W208" i="6"/>
  <c r="W162" i="6"/>
  <c r="W160" i="6"/>
  <c r="W154" i="6"/>
  <c r="W146" i="6"/>
  <c r="W142" i="6"/>
  <c r="W140" i="6"/>
  <c r="W123" i="6"/>
  <c r="W117" i="6"/>
  <c r="W114" i="6"/>
  <c r="W518" i="6"/>
  <c r="W510" i="6"/>
  <c r="W502" i="6"/>
  <c r="W493" i="6"/>
  <c r="W486" i="6"/>
  <c r="W478" i="6"/>
  <c r="W476" i="6"/>
  <c r="W474" i="6"/>
  <c r="W472" i="6"/>
  <c r="W465" i="6"/>
  <c r="W463" i="6"/>
  <c r="W461" i="6"/>
  <c r="W450" i="6"/>
  <c r="W448" i="6"/>
  <c r="W438" i="6"/>
  <c r="W402" i="6"/>
  <c r="W370" i="6"/>
  <c r="W368" i="6"/>
  <c r="W338" i="6"/>
  <c r="W336" i="6"/>
  <c r="W306" i="6"/>
  <c r="W304" i="6"/>
  <c r="W274" i="6"/>
  <c r="W272" i="6"/>
  <c r="W242" i="6"/>
  <c r="W240" i="6"/>
  <c r="W194" i="6"/>
  <c r="W192" i="6"/>
  <c r="W186" i="6"/>
  <c r="W182" i="6"/>
  <c r="W178" i="6"/>
  <c r="W176" i="6"/>
  <c r="W155" i="6"/>
  <c r="W139" i="6"/>
  <c r="W133" i="6"/>
  <c r="W130" i="6"/>
  <c r="W126" i="6"/>
  <c r="W124" i="6"/>
  <c r="W150" i="6"/>
  <c r="W500" i="6"/>
  <c r="W460" i="6"/>
  <c r="W458" i="6"/>
  <c r="W382" i="6"/>
  <c r="W380" i="6"/>
  <c r="W348" i="6"/>
  <c r="W316" i="6"/>
  <c r="W284" i="6"/>
  <c r="W252" i="6"/>
  <c r="W220" i="6"/>
  <c r="W188" i="6"/>
  <c r="W156" i="6"/>
  <c r="W470" i="6"/>
  <c r="W434" i="6"/>
  <c r="W525" i="6"/>
  <c r="W523" i="6"/>
  <c r="W516" i="6"/>
  <c r="W484" i="6"/>
  <c r="W424" i="6"/>
  <c r="W398" i="6"/>
  <c r="W396" i="6"/>
  <c r="W394" i="6"/>
  <c r="W364" i="6"/>
  <c r="W332" i="6"/>
  <c r="W300" i="6"/>
  <c r="W268" i="6"/>
  <c r="W236" i="6"/>
  <c r="W204" i="6"/>
  <c r="W172" i="6"/>
  <c r="W153" i="6"/>
  <c r="W148" i="6"/>
  <c r="W135" i="6"/>
  <c r="W119" i="6"/>
  <c r="W496" i="6"/>
  <c r="W454" i="6"/>
  <c r="W444" i="6"/>
  <c r="W418" i="6"/>
  <c r="W376" i="6"/>
  <c r="W360" i="6"/>
  <c r="W344" i="6"/>
  <c r="W328" i="6"/>
  <c r="W312" i="6"/>
  <c r="W296" i="6"/>
  <c r="W280" i="6"/>
  <c r="W264" i="6"/>
  <c r="W248" i="6"/>
  <c r="W232" i="6"/>
  <c r="W216" i="6"/>
  <c r="W200" i="6"/>
  <c r="W184" i="6"/>
  <c r="W168" i="6"/>
  <c r="W144" i="6"/>
  <c r="W136" i="6"/>
  <c r="W128" i="6"/>
  <c r="W120" i="6"/>
  <c r="W112" i="6"/>
  <c r="W524" i="6"/>
  <c r="W513" i="6"/>
  <c r="W511" i="6"/>
  <c r="W508" i="6"/>
  <c r="W497" i="6"/>
  <c r="W495" i="6"/>
  <c r="W492" i="6"/>
  <c r="W490" i="6"/>
  <c r="W488" i="6"/>
  <c r="W464" i="6"/>
  <c r="W455" i="6"/>
  <c r="W453" i="6"/>
  <c r="W445" i="6"/>
  <c r="W440" i="6"/>
  <c r="W431" i="6"/>
  <c r="W428" i="6"/>
  <c r="W407" i="6"/>
  <c r="W404" i="6"/>
  <c r="W391" i="6"/>
  <c r="W388" i="6"/>
  <c r="W377" i="6"/>
  <c r="W375" i="6"/>
  <c r="W372" i="6"/>
  <c r="W361" i="6"/>
  <c r="W359" i="6"/>
  <c r="W356" i="6"/>
  <c r="W345" i="6"/>
  <c r="W343" i="6"/>
  <c r="W340" i="6"/>
  <c r="W329" i="6"/>
  <c r="W327" i="6"/>
  <c r="W324" i="6"/>
  <c r="W313" i="6"/>
  <c r="W311" i="6"/>
  <c r="W308" i="6"/>
  <c r="W297" i="6"/>
  <c r="W295" i="6"/>
  <c r="W292" i="6"/>
  <c r="W281" i="6"/>
  <c r="W279" i="6"/>
  <c r="W276" i="6"/>
  <c r="W265" i="6"/>
  <c r="W263" i="6"/>
  <c r="W260" i="6"/>
  <c r="W249" i="6"/>
  <c r="W247" i="6"/>
  <c r="W244" i="6"/>
  <c r="W233" i="6"/>
  <c r="W231" i="6"/>
  <c r="W228" i="6"/>
  <c r="W217" i="6"/>
  <c r="W215" i="6"/>
  <c r="W212" i="6"/>
  <c r="W201" i="6"/>
  <c r="W199" i="6"/>
  <c r="W196" i="6"/>
  <c r="W185" i="6"/>
  <c r="W183" i="6"/>
  <c r="W180" i="6"/>
  <c r="W169" i="6"/>
  <c r="W167" i="6"/>
  <c r="W164" i="6"/>
  <c r="W152" i="6"/>
  <c r="W145" i="6"/>
  <c r="W137" i="6"/>
  <c r="W129" i="6"/>
  <c r="W121" i="6"/>
  <c r="W113" i="6"/>
  <c r="W491" i="6"/>
  <c r="W475" i="6"/>
  <c r="W459" i="6"/>
  <c r="W443" i="6"/>
  <c r="W427" i="6"/>
  <c r="W483" i="6"/>
  <c r="W467" i="6"/>
  <c r="W451" i="6"/>
  <c r="W435" i="6"/>
  <c r="W419" i="6"/>
  <c r="Q7" i="8" l="1"/>
  <c r="Q8" i="8"/>
  <c r="Q9" i="8"/>
  <c r="Q10" i="8"/>
  <c r="L8" i="8"/>
  <c r="M8" i="8"/>
  <c r="L9" i="8"/>
  <c r="M9" i="8" s="1"/>
  <c r="L10" i="8"/>
  <c r="M10" i="8"/>
  <c r="H40" i="5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N15" i="4"/>
  <c r="AQ15" i="4"/>
  <c r="AV15" i="4"/>
  <c r="AW15" i="4" s="1"/>
  <c r="BA15" i="4"/>
  <c r="BB15" i="4"/>
  <c r="P78" i="7"/>
  <c r="Q78" i="7"/>
  <c r="U78" i="7"/>
  <c r="V78" i="7"/>
  <c r="P79" i="7"/>
  <c r="Q79" i="7"/>
  <c r="U79" i="7"/>
  <c r="V79" i="7"/>
  <c r="P80" i="7"/>
  <c r="Q80" i="7"/>
  <c r="U80" i="7"/>
  <c r="V80" i="7"/>
  <c r="P81" i="7"/>
  <c r="Q81" i="7" s="1"/>
  <c r="U81" i="7"/>
  <c r="V81" i="7"/>
  <c r="P82" i="7"/>
  <c r="Q82" i="7" s="1"/>
  <c r="U82" i="7"/>
  <c r="V82" i="7"/>
  <c r="P83" i="7"/>
  <c r="Q83" i="7" s="1"/>
  <c r="U83" i="7"/>
  <c r="V83" i="7"/>
  <c r="P84" i="7"/>
  <c r="Q84" i="7" s="1"/>
  <c r="U84" i="7"/>
  <c r="V84" i="7"/>
  <c r="P85" i="7"/>
  <c r="Q85" i="7" s="1"/>
  <c r="U85" i="7"/>
  <c r="V85" i="7"/>
  <c r="P86" i="7"/>
  <c r="Q86" i="7" s="1"/>
  <c r="U86" i="7"/>
  <c r="V86" i="7"/>
  <c r="P87" i="7"/>
  <c r="Q87" i="7" s="1"/>
  <c r="U87" i="7"/>
  <c r="V87" i="7"/>
  <c r="P88" i="7"/>
  <c r="Q88" i="7" s="1"/>
  <c r="U88" i="7"/>
  <c r="V88" i="7"/>
  <c r="P89" i="7"/>
  <c r="Q89" i="7" s="1"/>
  <c r="U89" i="7"/>
  <c r="V89" i="7"/>
  <c r="P90" i="7"/>
  <c r="Q90" i="7" s="1"/>
  <c r="U90" i="7"/>
  <c r="V90" i="7"/>
  <c r="P91" i="7"/>
  <c r="Q91" i="7" s="1"/>
  <c r="U91" i="7"/>
  <c r="V91" i="7"/>
  <c r="P92" i="7"/>
  <c r="Q92" i="7" s="1"/>
  <c r="U92" i="7"/>
  <c r="V92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78" i="7"/>
  <c r="AR15" i="4" l="1"/>
  <c r="W84" i="7"/>
  <c r="W80" i="7"/>
  <c r="W92" i="7"/>
  <c r="W83" i="7"/>
  <c r="W78" i="7"/>
  <c r="W89" i="7"/>
  <c r="W85" i="7"/>
  <c r="W91" i="7"/>
  <c r="W88" i="7"/>
  <c r="W86" i="7"/>
  <c r="W81" i="7"/>
  <c r="BC15" i="4"/>
  <c r="W90" i="7"/>
  <c r="W79" i="7"/>
  <c r="W87" i="7"/>
  <c r="W82" i="7"/>
  <c r="U4" i="7" l="1"/>
  <c r="V4" i="7"/>
  <c r="U5" i="7"/>
  <c r="V5" i="7"/>
  <c r="U6" i="7"/>
  <c r="V6" i="7"/>
  <c r="U7" i="7"/>
  <c r="V7" i="7"/>
  <c r="W7" i="7" s="1"/>
  <c r="U8" i="7"/>
  <c r="V8" i="7"/>
  <c r="W8" i="7" s="1"/>
  <c r="U9" i="7"/>
  <c r="V9" i="7"/>
  <c r="U10" i="7"/>
  <c r="V10" i="7"/>
  <c r="W10" i="7" s="1"/>
  <c r="U11" i="7"/>
  <c r="V11" i="7"/>
  <c r="U12" i="7"/>
  <c r="V12" i="7"/>
  <c r="U13" i="7"/>
  <c r="V13" i="7"/>
  <c r="U14" i="7"/>
  <c r="V14" i="7"/>
  <c r="W14" i="7" s="1"/>
  <c r="U15" i="7"/>
  <c r="V15" i="7"/>
  <c r="U16" i="7"/>
  <c r="V16" i="7"/>
  <c r="W16" i="7" s="1"/>
  <c r="U17" i="7"/>
  <c r="V17" i="7"/>
  <c r="U18" i="7"/>
  <c r="V18" i="7"/>
  <c r="U19" i="7"/>
  <c r="V19" i="7"/>
  <c r="U20" i="7"/>
  <c r="V20" i="7"/>
  <c r="U21" i="7"/>
  <c r="V21" i="7"/>
  <c r="U22" i="7"/>
  <c r="V22" i="7"/>
  <c r="U23" i="7"/>
  <c r="V23" i="7"/>
  <c r="U24" i="7"/>
  <c r="V24" i="7"/>
  <c r="U25" i="7"/>
  <c r="V25" i="7"/>
  <c r="U26" i="7"/>
  <c r="V26" i="7"/>
  <c r="U27" i="7"/>
  <c r="V27" i="7"/>
  <c r="U28" i="7"/>
  <c r="V28" i="7"/>
  <c r="U29" i="7"/>
  <c r="V29" i="7"/>
  <c r="U30" i="7"/>
  <c r="V30" i="7"/>
  <c r="U31" i="7"/>
  <c r="V31" i="7"/>
  <c r="U32" i="7"/>
  <c r="V32" i="7"/>
  <c r="U33" i="7"/>
  <c r="V33" i="7"/>
  <c r="U34" i="7"/>
  <c r="V34" i="7"/>
  <c r="U35" i="7"/>
  <c r="V35" i="7"/>
  <c r="U36" i="7"/>
  <c r="V36" i="7"/>
  <c r="U37" i="7"/>
  <c r="V37" i="7"/>
  <c r="U38" i="7"/>
  <c r="V38" i="7"/>
  <c r="U39" i="7"/>
  <c r="V39" i="7"/>
  <c r="U40" i="7"/>
  <c r="V40" i="7"/>
  <c r="U41" i="7"/>
  <c r="V41" i="7"/>
  <c r="U42" i="7"/>
  <c r="V42" i="7"/>
  <c r="U43" i="7"/>
  <c r="V43" i="7"/>
  <c r="U44" i="7"/>
  <c r="V44" i="7"/>
  <c r="U45" i="7"/>
  <c r="V45" i="7"/>
  <c r="U46" i="7"/>
  <c r="V46" i="7"/>
  <c r="U47" i="7"/>
  <c r="V47" i="7"/>
  <c r="U48" i="7"/>
  <c r="V48" i="7"/>
  <c r="U49" i="7"/>
  <c r="V49" i="7"/>
  <c r="U50" i="7"/>
  <c r="V50" i="7"/>
  <c r="U51" i="7"/>
  <c r="V51" i="7"/>
  <c r="W51" i="7" s="1"/>
  <c r="U52" i="7"/>
  <c r="V52" i="7"/>
  <c r="U53" i="7"/>
  <c r="V53" i="7"/>
  <c r="U54" i="7"/>
  <c r="V54" i="7"/>
  <c r="W54" i="7" s="1"/>
  <c r="U55" i="7"/>
  <c r="V55" i="7"/>
  <c r="W55" i="7" s="1"/>
  <c r="U56" i="7"/>
  <c r="V56" i="7"/>
  <c r="W56" i="7" s="1"/>
  <c r="U57" i="7"/>
  <c r="V57" i="7"/>
  <c r="U58" i="7"/>
  <c r="V58" i="7"/>
  <c r="U59" i="7"/>
  <c r="V59" i="7"/>
  <c r="U60" i="7"/>
  <c r="V60" i="7"/>
  <c r="U61" i="7"/>
  <c r="V61" i="7"/>
  <c r="U62" i="7"/>
  <c r="V62" i="7"/>
  <c r="U63" i="7"/>
  <c r="V63" i="7"/>
  <c r="W63" i="7" s="1"/>
  <c r="U64" i="7"/>
  <c r="V64" i="7"/>
  <c r="W64" i="7" s="1"/>
  <c r="U65" i="7"/>
  <c r="V65" i="7"/>
  <c r="U66" i="7"/>
  <c r="V66" i="7"/>
  <c r="W66" i="7" s="1"/>
  <c r="U67" i="7"/>
  <c r="V67" i="7"/>
  <c r="W67" i="7" s="1"/>
  <c r="U68" i="7"/>
  <c r="V68" i="7"/>
  <c r="U69" i="7"/>
  <c r="V69" i="7"/>
  <c r="U70" i="7"/>
  <c r="V70" i="7"/>
  <c r="W70" i="7" s="1"/>
  <c r="U71" i="7"/>
  <c r="V71" i="7"/>
  <c r="W71" i="7" s="1"/>
  <c r="U72" i="7"/>
  <c r="V72" i="7"/>
  <c r="W72" i="7" s="1"/>
  <c r="U73" i="7"/>
  <c r="V73" i="7"/>
  <c r="U74" i="7"/>
  <c r="V74" i="7"/>
  <c r="U75" i="7"/>
  <c r="V75" i="7"/>
  <c r="U76" i="7"/>
  <c r="V76" i="7"/>
  <c r="U77" i="7"/>
  <c r="V77" i="7"/>
  <c r="V3" i="7"/>
  <c r="U3" i="7"/>
  <c r="P4" i="7"/>
  <c r="Q4" i="7" s="1"/>
  <c r="P5" i="7"/>
  <c r="Q5" i="7" s="1"/>
  <c r="P6" i="7"/>
  <c r="Q6" i="7" s="1"/>
  <c r="P7" i="7"/>
  <c r="Q7" i="7" s="1"/>
  <c r="P8" i="7"/>
  <c r="Q8" i="7" s="1"/>
  <c r="P9" i="7"/>
  <c r="Q9" i="7" s="1"/>
  <c r="P10" i="7"/>
  <c r="Q10" i="7" s="1"/>
  <c r="P11" i="7"/>
  <c r="Q11" i="7" s="1"/>
  <c r="P12" i="7"/>
  <c r="Q12" i="7" s="1"/>
  <c r="P13" i="7"/>
  <c r="Q13" i="7" s="1"/>
  <c r="P14" i="7"/>
  <c r="Q14" i="7" s="1"/>
  <c r="P15" i="7"/>
  <c r="Q15" i="7" s="1"/>
  <c r="P16" i="7"/>
  <c r="Q16" i="7" s="1"/>
  <c r="P17" i="7"/>
  <c r="Q17" i="7"/>
  <c r="P18" i="7"/>
  <c r="Q18" i="7" s="1"/>
  <c r="P19" i="7"/>
  <c r="Q19" i="7" s="1"/>
  <c r="P20" i="7"/>
  <c r="Q20" i="7" s="1"/>
  <c r="P21" i="7"/>
  <c r="Q21" i="7"/>
  <c r="P22" i="7"/>
  <c r="Q22" i="7" s="1"/>
  <c r="P23" i="7"/>
  <c r="Q23" i="7"/>
  <c r="P24" i="7"/>
  <c r="Q24" i="7" s="1"/>
  <c r="P25" i="7"/>
  <c r="Q25" i="7" s="1"/>
  <c r="P26" i="7"/>
  <c r="Q26" i="7" s="1"/>
  <c r="P27" i="7"/>
  <c r="Q27" i="7" s="1"/>
  <c r="P28" i="7"/>
  <c r="Q28" i="7" s="1"/>
  <c r="P29" i="7"/>
  <c r="Q29" i="7"/>
  <c r="P30" i="7"/>
  <c r="Q30" i="7" s="1"/>
  <c r="P31" i="7"/>
  <c r="Q31" i="7" s="1"/>
  <c r="P32" i="7"/>
  <c r="Q32" i="7" s="1"/>
  <c r="P33" i="7"/>
  <c r="Q33" i="7" s="1"/>
  <c r="P34" i="7"/>
  <c r="Q34" i="7" s="1"/>
  <c r="P35" i="7"/>
  <c r="Q35" i="7" s="1"/>
  <c r="P36" i="7"/>
  <c r="Q36" i="7" s="1"/>
  <c r="P37" i="7"/>
  <c r="Q37" i="7"/>
  <c r="P38" i="7"/>
  <c r="Q38" i="7" s="1"/>
  <c r="P39" i="7"/>
  <c r="Q39" i="7"/>
  <c r="P40" i="7"/>
  <c r="Q40" i="7" s="1"/>
  <c r="P41" i="7"/>
  <c r="Q41" i="7" s="1"/>
  <c r="P42" i="7"/>
  <c r="Q42" i="7" s="1"/>
  <c r="P43" i="7"/>
  <c r="Q43" i="7"/>
  <c r="P44" i="7"/>
  <c r="Q44" i="7" s="1"/>
  <c r="P45" i="7"/>
  <c r="Q45" i="7"/>
  <c r="P46" i="7"/>
  <c r="Q46" i="7" s="1"/>
  <c r="P47" i="7"/>
  <c r="Q47" i="7" s="1"/>
  <c r="P48" i="7"/>
  <c r="Q48" i="7" s="1"/>
  <c r="P49" i="7"/>
  <c r="Q49" i="7"/>
  <c r="P50" i="7"/>
  <c r="Q50" i="7" s="1"/>
  <c r="P51" i="7"/>
  <c r="Q51" i="7"/>
  <c r="P52" i="7"/>
  <c r="Q52" i="7" s="1"/>
  <c r="P53" i="7"/>
  <c r="Q53" i="7" s="1"/>
  <c r="P54" i="7"/>
  <c r="Q54" i="7" s="1"/>
  <c r="P55" i="7"/>
  <c r="Q55" i="7" s="1"/>
  <c r="P56" i="7"/>
  <c r="Q56" i="7" s="1"/>
  <c r="P57" i="7"/>
  <c r="Q57" i="7" s="1"/>
  <c r="P58" i="7"/>
  <c r="Q58" i="7" s="1"/>
  <c r="P59" i="7"/>
  <c r="Q59" i="7" s="1"/>
  <c r="P60" i="7"/>
  <c r="Q60" i="7" s="1"/>
  <c r="P61" i="7"/>
  <c r="Q61" i="7"/>
  <c r="P62" i="7"/>
  <c r="Q62" i="7" s="1"/>
  <c r="P63" i="7"/>
  <c r="Q63" i="7" s="1"/>
  <c r="P64" i="7"/>
  <c r="Q64" i="7" s="1"/>
  <c r="P65" i="7"/>
  <c r="Q65" i="7"/>
  <c r="P66" i="7"/>
  <c r="Q66" i="7" s="1"/>
  <c r="P67" i="7"/>
  <c r="Q67" i="7" s="1"/>
  <c r="P68" i="7"/>
  <c r="Q68" i="7" s="1"/>
  <c r="P69" i="7"/>
  <c r="Q69" i="7"/>
  <c r="P70" i="7"/>
  <c r="Q70" i="7" s="1"/>
  <c r="P71" i="7"/>
  <c r="Q71" i="7"/>
  <c r="P72" i="7"/>
  <c r="Q72" i="7" s="1"/>
  <c r="P73" i="7"/>
  <c r="Q73" i="7" s="1"/>
  <c r="P74" i="7"/>
  <c r="Q74" i="7" s="1"/>
  <c r="P75" i="7"/>
  <c r="Q75" i="7" s="1"/>
  <c r="P76" i="7"/>
  <c r="Q76" i="7" s="1"/>
  <c r="P77" i="7"/>
  <c r="Q77" i="7"/>
  <c r="AF40" i="5"/>
  <c r="AK40" i="5"/>
  <c r="AO40" i="5" s="1"/>
  <c r="AN40" i="5"/>
  <c r="AS40" i="5"/>
  <c r="AT40" i="5"/>
  <c r="AX40" i="5"/>
  <c r="AY40" i="5"/>
  <c r="A40" i="5"/>
  <c r="AZ40" i="5" l="1"/>
  <c r="W48" i="7"/>
  <c r="W44" i="7"/>
  <c r="W28" i="7"/>
  <c r="W50" i="7"/>
  <c r="W60" i="7"/>
  <c r="W42" i="7"/>
  <c r="W40" i="7"/>
  <c r="W38" i="7"/>
  <c r="W34" i="7"/>
  <c r="W32" i="7"/>
  <c r="W24" i="7"/>
  <c r="W22" i="7"/>
  <c r="W18" i="7"/>
  <c r="W75" i="7"/>
  <c r="W39" i="7"/>
  <c r="W35" i="7"/>
  <c r="W31" i="7"/>
  <c r="W23" i="7"/>
  <c r="W19" i="7"/>
  <c r="W4" i="7"/>
  <c r="W76" i="7"/>
  <c r="W74" i="7"/>
  <c r="W59" i="7"/>
  <c r="W52" i="7"/>
  <c r="W46" i="7"/>
  <c r="W27" i="7"/>
  <c r="W20" i="7"/>
  <c r="W12" i="7"/>
  <c r="W6" i="7"/>
  <c r="W68" i="7"/>
  <c r="W62" i="7"/>
  <c r="W58" i="7"/>
  <c r="W47" i="7"/>
  <c r="W43" i="7"/>
  <c r="W36" i="7"/>
  <c r="W30" i="7"/>
  <c r="W26" i="7"/>
  <c r="W15" i="7"/>
  <c r="W11" i="7"/>
  <c r="W61" i="7"/>
  <c r="W53" i="7"/>
  <c r="W45" i="7"/>
  <c r="W37" i="7"/>
  <c r="W29" i="7"/>
  <c r="W21" i="7"/>
  <c r="W13" i="7"/>
  <c r="W5" i="7"/>
  <c r="W69" i="7"/>
  <c r="W3" i="7"/>
  <c r="W73" i="7"/>
  <c r="W65" i="7"/>
  <c r="W57" i="7"/>
  <c r="W49" i="7"/>
  <c r="W41" i="7"/>
  <c r="W33" i="7"/>
  <c r="W25" i="7"/>
  <c r="W17" i="7"/>
  <c r="W9" i="7"/>
  <c r="W77" i="7"/>
  <c r="A5" i="5" l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" i="5"/>
  <c r="Q4" i="8" l="1"/>
  <c r="Q5" i="8"/>
  <c r="Q6" i="8"/>
  <c r="Q3" i="8"/>
  <c r="O9" i="9" l="1"/>
  <c r="O8" i="9"/>
  <c r="O7" i="9"/>
  <c r="O6" i="9"/>
  <c r="O5" i="9"/>
  <c r="O4" i="9"/>
  <c r="O3" i="9"/>
  <c r="O2" i="9"/>
  <c r="A3" i="10"/>
  <c r="A4" i="10" s="1"/>
  <c r="A5" i="10" s="1"/>
  <c r="A6" i="10" s="1"/>
  <c r="A7" i="10" s="1"/>
  <c r="A8" i="10" s="1"/>
  <c r="A9" i="10" s="1"/>
  <c r="A3" i="9"/>
  <c r="A4" i="9" s="1"/>
  <c r="A5" i="9" s="1"/>
  <c r="A6" i="9" s="1"/>
  <c r="A7" i="9" s="1"/>
  <c r="A8" i="9" s="1"/>
  <c r="A9" i="9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L299" i="8"/>
  <c r="M299" i="8" s="1"/>
  <c r="N299" i="8" s="1"/>
  <c r="I299" i="8"/>
  <c r="A299" i="8"/>
  <c r="L298" i="8"/>
  <c r="M298" i="8" s="1"/>
  <c r="N298" i="8" s="1"/>
  <c r="I298" i="8"/>
  <c r="A298" i="8"/>
  <c r="L297" i="8"/>
  <c r="M297" i="8" s="1"/>
  <c r="N297" i="8" s="1"/>
  <c r="I297" i="8"/>
  <c r="A297" i="8"/>
  <c r="L296" i="8"/>
  <c r="M296" i="8" s="1"/>
  <c r="N296" i="8" s="1"/>
  <c r="I296" i="8"/>
  <c r="A296" i="8"/>
  <c r="L295" i="8"/>
  <c r="M295" i="8" s="1"/>
  <c r="N295" i="8" s="1"/>
  <c r="I295" i="8"/>
  <c r="A295" i="8"/>
  <c r="L294" i="8"/>
  <c r="M294" i="8" s="1"/>
  <c r="N294" i="8" s="1"/>
  <c r="I294" i="8"/>
  <c r="A294" i="8"/>
  <c r="L293" i="8"/>
  <c r="M293" i="8" s="1"/>
  <c r="N293" i="8" s="1"/>
  <c r="I293" i="8"/>
  <c r="A293" i="8"/>
  <c r="L292" i="8"/>
  <c r="M292" i="8" s="1"/>
  <c r="N292" i="8" s="1"/>
  <c r="I292" i="8"/>
  <c r="A292" i="8"/>
  <c r="L291" i="8"/>
  <c r="M291" i="8" s="1"/>
  <c r="N291" i="8" s="1"/>
  <c r="I291" i="8"/>
  <c r="A291" i="8"/>
  <c r="M290" i="8"/>
  <c r="N290" i="8" s="1"/>
  <c r="L290" i="8"/>
  <c r="I290" i="8"/>
  <c r="A290" i="8"/>
  <c r="L289" i="8"/>
  <c r="M289" i="8" s="1"/>
  <c r="N289" i="8" s="1"/>
  <c r="I289" i="8"/>
  <c r="A289" i="8"/>
  <c r="L288" i="8"/>
  <c r="M288" i="8" s="1"/>
  <c r="N288" i="8" s="1"/>
  <c r="I288" i="8"/>
  <c r="A288" i="8"/>
  <c r="L287" i="8"/>
  <c r="M287" i="8" s="1"/>
  <c r="N287" i="8" s="1"/>
  <c r="I287" i="8"/>
  <c r="A287" i="8"/>
  <c r="L286" i="8"/>
  <c r="M286" i="8" s="1"/>
  <c r="N286" i="8" s="1"/>
  <c r="I286" i="8"/>
  <c r="A286" i="8"/>
  <c r="L285" i="8"/>
  <c r="M285" i="8" s="1"/>
  <c r="N285" i="8" s="1"/>
  <c r="I285" i="8"/>
  <c r="A285" i="8"/>
  <c r="L284" i="8"/>
  <c r="M284" i="8" s="1"/>
  <c r="N284" i="8" s="1"/>
  <c r="I284" i="8"/>
  <c r="A284" i="8"/>
  <c r="L283" i="8"/>
  <c r="M283" i="8" s="1"/>
  <c r="N283" i="8" s="1"/>
  <c r="I283" i="8"/>
  <c r="A283" i="8"/>
  <c r="L282" i="8"/>
  <c r="M282" i="8" s="1"/>
  <c r="N282" i="8" s="1"/>
  <c r="I282" i="8"/>
  <c r="A282" i="8"/>
  <c r="L281" i="8"/>
  <c r="M281" i="8" s="1"/>
  <c r="N281" i="8" s="1"/>
  <c r="I281" i="8"/>
  <c r="A281" i="8"/>
  <c r="L280" i="8"/>
  <c r="M280" i="8" s="1"/>
  <c r="N280" i="8" s="1"/>
  <c r="I280" i="8"/>
  <c r="A280" i="8"/>
  <c r="L279" i="8"/>
  <c r="M279" i="8" s="1"/>
  <c r="N279" i="8" s="1"/>
  <c r="I279" i="8"/>
  <c r="A279" i="8"/>
  <c r="L278" i="8"/>
  <c r="M278" i="8" s="1"/>
  <c r="N278" i="8" s="1"/>
  <c r="I278" i="8"/>
  <c r="A278" i="8"/>
  <c r="L277" i="8"/>
  <c r="M277" i="8" s="1"/>
  <c r="N277" i="8" s="1"/>
  <c r="I277" i="8"/>
  <c r="A277" i="8"/>
  <c r="L276" i="8"/>
  <c r="M276" i="8" s="1"/>
  <c r="N276" i="8" s="1"/>
  <c r="I276" i="8"/>
  <c r="A276" i="8"/>
  <c r="L275" i="8"/>
  <c r="M275" i="8" s="1"/>
  <c r="N275" i="8" s="1"/>
  <c r="I275" i="8"/>
  <c r="A275" i="8"/>
  <c r="L274" i="8"/>
  <c r="M274" i="8" s="1"/>
  <c r="N274" i="8" s="1"/>
  <c r="I274" i="8"/>
  <c r="A274" i="8"/>
  <c r="L273" i="8"/>
  <c r="M273" i="8" s="1"/>
  <c r="N273" i="8" s="1"/>
  <c r="I273" i="8"/>
  <c r="A273" i="8"/>
  <c r="L272" i="8"/>
  <c r="M272" i="8" s="1"/>
  <c r="N272" i="8" s="1"/>
  <c r="I272" i="8"/>
  <c r="A272" i="8"/>
  <c r="L271" i="8"/>
  <c r="M271" i="8" s="1"/>
  <c r="N271" i="8" s="1"/>
  <c r="I271" i="8"/>
  <c r="A271" i="8"/>
  <c r="L270" i="8"/>
  <c r="M270" i="8" s="1"/>
  <c r="N270" i="8" s="1"/>
  <c r="I270" i="8"/>
  <c r="A270" i="8"/>
  <c r="L269" i="8"/>
  <c r="M269" i="8" s="1"/>
  <c r="N269" i="8" s="1"/>
  <c r="I269" i="8"/>
  <c r="A269" i="8"/>
  <c r="L268" i="8"/>
  <c r="M268" i="8" s="1"/>
  <c r="N268" i="8" s="1"/>
  <c r="I268" i="8"/>
  <c r="A268" i="8"/>
  <c r="L267" i="8"/>
  <c r="M267" i="8" s="1"/>
  <c r="N267" i="8" s="1"/>
  <c r="I267" i="8"/>
  <c r="A267" i="8"/>
  <c r="L266" i="8"/>
  <c r="M266" i="8" s="1"/>
  <c r="N266" i="8" s="1"/>
  <c r="I266" i="8"/>
  <c r="A266" i="8"/>
  <c r="L265" i="8"/>
  <c r="M265" i="8" s="1"/>
  <c r="N265" i="8" s="1"/>
  <c r="I265" i="8"/>
  <c r="A265" i="8"/>
  <c r="L264" i="8"/>
  <c r="M264" i="8" s="1"/>
  <c r="N264" i="8" s="1"/>
  <c r="I264" i="8"/>
  <c r="A264" i="8"/>
  <c r="L263" i="8"/>
  <c r="M263" i="8" s="1"/>
  <c r="N263" i="8" s="1"/>
  <c r="I263" i="8"/>
  <c r="A263" i="8"/>
  <c r="L262" i="8"/>
  <c r="M262" i="8" s="1"/>
  <c r="N262" i="8" s="1"/>
  <c r="I262" i="8"/>
  <c r="A262" i="8"/>
  <c r="L261" i="8"/>
  <c r="M261" i="8" s="1"/>
  <c r="N261" i="8" s="1"/>
  <c r="I261" i="8"/>
  <c r="A261" i="8"/>
  <c r="L260" i="8"/>
  <c r="M260" i="8" s="1"/>
  <c r="N260" i="8" s="1"/>
  <c r="I260" i="8"/>
  <c r="A260" i="8"/>
  <c r="L259" i="8"/>
  <c r="M259" i="8" s="1"/>
  <c r="N259" i="8" s="1"/>
  <c r="I259" i="8"/>
  <c r="A259" i="8"/>
  <c r="L258" i="8"/>
  <c r="M258" i="8" s="1"/>
  <c r="N258" i="8" s="1"/>
  <c r="I258" i="8"/>
  <c r="A258" i="8"/>
  <c r="L257" i="8"/>
  <c r="M257" i="8" s="1"/>
  <c r="N257" i="8" s="1"/>
  <c r="I257" i="8"/>
  <c r="A257" i="8"/>
  <c r="L256" i="8"/>
  <c r="M256" i="8" s="1"/>
  <c r="N256" i="8" s="1"/>
  <c r="I256" i="8"/>
  <c r="A256" i="8"/>
  <c r="L255" i="8"/>
  <c r="M255" i="8" s="1"/>
  <c r="N255" i="8" s="1"/>
  <c r="I255" i="8"/>
  <c r="A255" i="8"/>
  <c r="L254" i="8"/>
  <c r="M254" i="8" s="1"/>
  <c r="N254" i="8" s="1"/>
  <c r="I254" i="8"/>
  <c r="A254" i="8"/>
  <c r="L253" i="8"/>
  <c r="M253" i="8" s="1"/>
  <c r="N253" i="8" s="1"/>
  <c r="I253" i="8"/>
  <c r="A253" i="8"/>
  <c r="L252" i="8"/>
  <c r="M252" i="8" s="1"/>
  <c r="N252" i="8" s="1"/>
  <c r="I252" i="8"/>
  <c r="A252" i="8"/>
  <c r="L251" i="8"/>
  <c r="M251" i="8" s="1"/>
  <c r="N251" i="8" s="1"/>
  <c r="I251" i="8"/>
  <c r="A251" i="8"/>
  <c r="L250" i="8"/>
  <c r="M250" i="8" s="1"/>
  <c r="N250" i="8" s="1"/>
  <c r="I250" i="8"/>
  <c r="A250" i="8"/>
  <c r="L249" i="8"/>
  <c r="M249" i="8" s="1"/>
  <c r="N249" i="8" s="1"/>
  <c r="I249" i="8"/>
  <c r="A249" i="8"/>
  <c r="L248" i="8"/>
  <c r="M248" i="8" s="1"/>
  <c r="N248" i="8" s="1"/>
  <c r="I248" i="8"/>
  <c r="A248" i="8"/>
  <c r="L247" i="8"/>
  <c r="M247" i="8" s="1"/>
  <c r="N247" i="8" s="1"/>
  <c r="I247" i="8"/>
  <c r="A247" i="8"/>
  <c r="L246" i="8"/>
  <c r="M246" i="8" s="1"/>
  <c r="N246" i="8" s="1"/>
  <c r="I246" i="8"/>
  <c r="A246" i="8"/>
  <c r="L245" i="8"/>
  <c r="M245" i="8" s="1"/>
  <c r="N245" i="8" s="1"/>
  <c r="I245" i="8"/>
  <c r="A245" i="8"/>
  <c r="L244" i="8"/>
  <c r="M244" i="8" s="1"/>
  <c r="N244" i="8" s="1"/>
  <c r="I244" i="8"/>
  <c r="A244" i="8"/>
  <c r="L243" i="8"/>
  <c r="M243" i="8" s="1"/>
  <c r="N243" i="8" s="1"/>
  <c r="I243" i="8"/>
  <c r="A243" i="8"/>
  <c r="L242" i="8"/>
  <c r="M242" i="8" s="1"/>
  <c r="N242" i="8" s="1"/>
  <c r="I242" i="8"/>
  <c r="A242" i="8"/>
  <c r="L241" i="8"/>
  <c r="M241" i="8" s="1"/>
  <c r="N241" i="8" s="1"/>
  <c r="I241" i="8"/>
  <c r="A241" i="8"/>
  <c r="L240" i="8"/>
  <c r="M240" i="8" s="1"/>
  <c r="N240" i="8" s="1"/>
  <c r="I240" i="8"/>
  <c r="A240" i="8"/>
  <c r="L239" i="8"/>
  <c r="M239" i="8" s="1"/>
  <c r="N239" i="8" s="1"/>
  <c r="I239" i="8"/>
  <c r="A239" i="8"/>
  <c r="L238" i="8"/>
  <c r="M238" i="8" s="1"/>
  <c r="N238" i="8" s="1"/>
  <c r="I238" i="8"/>
  <c r="A238" i="8"/>
  <c r="L237" i="8"/>
  <c r="M237" i="8" s="1"/>
  <c r="N237" i="8" s="1"/>
  <c r="I237" i="8"/>
  <c r="A237" i="8"/>
  <c r="L236" i="8"/>
  <c r="M236" i="8" s="1"/>
  <c r="N236" i="8" s="1"/>
  <c r="I236" i="8"/>
  <c r="A236" i="8"/>
  <c r="L235" i="8"/>
  <c r="M235" i="8" s="1"/>
  <c r="N235" i="8" s="1"/>
  <c r="I235" i="8"/>
  <c r="A235" i="8"/>
  <c r="L234" i="8"/>
  <c r="M234" i="8" s="1"/>
  <c r="N234" i="8" s="1"/>
  <c r="I234" i="8"/>
  <c r="A234" i="8"/>
  <c r="L233" i="8"/>
  <c r="M233" i="8" s="1"/>
  <c r="N233" i="8" s="1"/>
  <c r="I233" i="8"/>
  <c r="A233" i="8"/>
  <c r="L232" i="8"/>
  <c r="M232" i="8" s="1"/>
  <c r="N232" i="8" s="1"/>
  <c r="I232" i="8"/>
  <c r="A232" i="8"/>
  <c r="L231" i="8"/>
  <c r="M231" i="8" s="1"/>
  <c r="N231" i="8" s="1"/>
  <c r="I231" i="8"/>
  <c r="A231" i="8"/>
  <c r="L230" i="8"/>
  <c r="M230" i="8" s="1"/>
  <c r="N230" i="8" s="1"/>
  <c r="I230" i="8"/>
  <c r="A230" i="8"/>
  <c r="L229" i="8"/>
  <c r="M229" i="8" s="1"/>
  <c r="N229" i="8" s="1"/>
  <c r="I229" i="8"/>
  <c r="A229" i="8"/>
  <c r="L228" i="8"/>
  <c r="M228" i="8" s="1"/>
  <c r="N228" i="8" s="1"/>
  <c r="I228" i="8"/>
  <c r="A228" i="8"/>
  <c r="L227" i="8"/>
  <c r="M227" i="8" s="1"/>
  <c r="N227" i="8" s="1"/>
  <c r="I227" i="8"/>
  <c r="A227" i="8"/>
  <c r="L226" i="8"/>
  <c r="M226" i="8" s="1"/>
  <c r="N226" i="8" s="1"/>
  <c r="I226" i="8"/>
  <c r="A226" i="8"/>
  <c r="L225" i="8"/>
  <c r="M225" i="8" s="1"/>
  <c r="N225" i="8" s="1"/>
  <c r="I225" i="8"/>
  <c r="A225" i="8"/>
  <c r="L224" i="8"/>
  <c r="M224" i="8" s="1"/>
  <c r="N224" i="8" s="1"/>
  <c r="I224" i="8"/>
  <c r="A224" i="8"/>
  <c r="L223" i="8"/>
  <c r="M223" i="8" s="1"/>
  <c r="N223" i="8" s="1"/>
  <c r="I223" i="8"/>
  <c r="A223" i="8"/>
  <c r="L222" i="8"/>
  <c r="M222" i="8" s="1"/>
  <c r="N222" i="8" s="1"/>
  <c r="I222" i="8"/>
  <c r="A222" i="8"/>
  <c r="L221" i="8"/>
  <c r="M221" i="8" s="1"/>
  <c r="N221" i="8" s="1"/>
  <c r="I221" i="8"/>
  <c r="A221" i="8"/>
  <c r="L220" i="8"/>
  <c r="M220" i="8" s="1"/>
  <c r="N220" i="8" s="1"/>
  <c r="I220" i="8"/>
  <c r="A220" i="8"/>
  <c r="L219" i="8"/>
  <c r="M219" i="8" s="1"/>
  <c r="N219" i="8" s="1"/>
  <c r="I219" i="8"/>
  <c r="A219" i="8"/>
  <c r="L218" i="8"/>
  <c r="M218" i="8" s="1"/>
  <c r="N218" i="8" s="1"/>
  <c r="I218" i="8"/>
  <c r="A218" i="8"/>
  <c r="L217" i="8"/>
  <c r="M217" i="8" s="1"/>
  <c r="N217" i="8" s="1"/>
  <c r="I217" i="8"/>
  <c r="A217" i="8"/>
  <c r="L216" i="8"/>
  <c r="M216" i="8" s="1"/>
  <c r="N216" i="8" s="1"/>
  <c r="I216" i="8"/>
  <c r="A216" i="8"/>
  <c r="L215" i="8"/>
  <c r="M215" i="8" s="1"/>
  <c r="N215" i="8" s="1"/>
  <c r="I215" i="8"/>
  <c r="A215" i="8"/>
  <c r="L214" i="8"/>
  <c r="M214" i="8" s="1"/>
  <c r="N214" i="8" s="1"/>
  <c r="I214" i="8"/>
  <c r="A214" i="8"/>
  <c r="L213" i="8"/>
  <c r="M213" i="8" s="1"/>
  <c r="N213" i="8" s="1"/>
  <c r="I213" i="8"/>
  <c r="A213" i="8"/>
  <c r="L212" i="8"/>
  <c r="M212" i="8" s="1"/>
  <c r="N212" i="8" s="1"/>
  <c r="I212" i="8"/>
  <c r="A212" i="8"/>
  <c r="L211" i="8"/>
  <c r="M211" i="8" s="1"/>
  <c r="N211" i="8" s="1"/>
  <c r="I211" i="8"/>
  <c r="A211" i="8"/>
  <c r="L210" i="8"/>
  <c r="M210" i="8" s="1"/>
  <c r="N210" i="8" s="1"/>
  <c r="I210" i="8"/>
  <c r="A210" i="8"/>
  <c r="L209" i="8"/>
  <c r="M209" i="8" s="1"/>
  <c r="N209" i="8" s="1"/>
  <c r="I209" i="8"/>
  <c r="A209" i="8"/>
  <c r="L208" i="8"/>
  <c r="M208" i="8" s="1"/>
  <c r="N208" i="8" s="1"/>
  <c r="I208" i="8"/>
  <c r="A208" i="8"/>
  <c r="L207" i="8"/>
  <c r="M207" i="8" s="1"/>
  <c r="N207" i="8" s="1"/>
  <c r="I207" i="8"/>
  <c r="A207" i="8"/>
  <c r="L206" i="8"/>
  <c r="M206" i="8" s="1"/>
  <c r="N206" i="8" s="1"/>
  <c r="I206" i="8"/>
  <c r="A206" i="8"/>
  <c r="L205" i="8"/>
  <c r="M205" i="8" s="1"/>
  <c r="N205" i="8" s="1"/>
  <c r="I205" i="8"/>
  <c r="A205" i="8"/>
  <c r="L204" i="8"/>
  <c r="M204" i="8" s="1"/>
  <c r="N204" i="8" s="1"/>
  <c r="I204" i="8"/>
  <c r="A204" i="8"/>
  <c r="L203" i="8"/>
  <c r="M203" i="8" s="1"/>
  <c r="N203" i="8" s="1"/>
  <c r="I203" i="8"/>
  <c r="A203" i="8"/>
  <c r="L202" i="8"/>
  <c r="M202" i="8" s="1"/>
  <c r="N202" i="8" s="1"/>
  <c r="I202" i="8"/>
  <c r="A202" i="8"/>
  <c r="L201" i="8"/>
  <c r="M201" i="8" s="1"/>
  <c r="N201" i="8" s="1"/>
  <c r="I201" i="8"/>
  <c r="A201" i="8"/>
  <c r="L200" i="8"/>
  <c r="M200" i="8" s="1"/>
  <c r="N200" i="8" s="1"/>
  <c r="I200" i="8"/>
  <c r="A200" i="8"/>
  <c r="L199" i="8"/>
  <c r="M199" i="8" s="1"/>
  <c r="N199" i="8" s="1"/>
  <c r="I199" i="8"/>
  <c r="A199" i="8"/>
  <c r="L198" i="8"/>
  <c r="M198" i="8" s="1"/>
  <c r="N198" i="8" s="1"/>
  <c r="I198" i="8"/>
  <c r="A198" i="8"/>
  <c r="L197" i="8"/>
  <c r="M197" i="8" s="1"/>
  <c r="N197" i="8" s="1"/>
  <c r="I197" i="8"/>
  <c r="A197" i="8"/>
  <c r="L196" i="8"/>
  <c r="M196" i="8" s="1"/>
  <c r="N196" i="8" s="1"/>
  <c r="I196" i="8"/>
  <c r="A196" i="8"/>
  <c r="L195" i="8"/>
  <c r="M195" i="8" s="1"/>
  <c r="N195" i="8" s="1"/>
  <c r="I195" i="8"/>
  <c r="A195" i="8"/>
  <c r="L194" i="8"/>
  <c r="M194" i="8" s="1"/>
  <c r="N194" i="8" s="1"/>
  <c r="I194" i="8"/>
  <c r="A194" i="8"/>
  <c r="L193" i="8"/>
  <c r="M193" i="8" s="1"/>
  <c r="N193" i="8" s="1"/>
  <c r="I193" i="8"/>
  <c r="A193" i="8"/>
  <c r="L192" i="8"/>
  <c r="M192" i="8" s="1"/>
  <c r="N192" i="8" s="1"/>
  <c r="I192" i="8"/>
  <c r="A192" i="8"/>
  <c r="L191" i="8"/>
  <c r="M191" i="8" s="1"/>
  <c r="N191" i="8" s="1"/>
  <c r="I191" i="8"/>
  <c r="A191" i="8"/>
  <c r="L190" i="8"/>
  <c r="M190" i="8" s="1"/>
  <c r="N190" i="8" s="1"/>
  <c r="I190" i="8"/>
  <c r="A190" i="8"/>
  <c r="L189" i="8"/>
  <c r="M189" i="8" s="1"/>
  <c r="N189" i="8" s="1"/>
  <c r="I189" i="8"/>
  <c r="A189" i="8"/>
  <c r="L188" i="8"/>
  <c r="M188" i="8" s="1"/>
  <c r="N188" i="8" s="1"/>
  <c r="I188" i="8"/>
  <c r="A188" i="8"/>
  <c r="L187" i="8"/>
  <c r="M187" i="8" s="1"/>
  <c r="N187" i="8" s="1"/>
  <c r="I187" i="8"/>
  <c r="A187" i="8"/>
  <c r="L186" i="8"/>
  <c r="M186" i="8" s="1"/>
  <c r="N186" i="8" s="1"/>
  <c r="I186" i="8"/>
  <c r="A186" i="8"/>
  <c r="L185" i="8"/>
  <c r="M185" i="8" s="1"/>
  <c r="N185" i="8" s="1"/>
  <c r="I185" i="8"/>
  <c r="A185" i="8"/>
  <c r="L184" i="8"/>
  <c r="M184" i="8" s="1"/>
  <c r="N184" i="8" s="1"/>
  <c r="I184" i="8"/>
  <c r="A184" i="8"/>
  <c r="L183" i="8"/>
  <c r="M183" i="8" s="1"/>
  <c r="N183" i="8" s="1"/>
  <c r="I183" i="8"/>
  <c r="A183" i="8"/>
  <c r="L182" i="8"/>
  <c r="M182" i="8" s="1"/>
  <c r="N182" i="8" s="1"/>
  <c r="I182" i="8"/>
  <c r="A182" i="8"/>
  <c r="L181" i="8"/>
  <c r="M181" i="8" s="1"/>
  <c r="N181" i="8" s="1"/>
  <c r="I181" i="8"/>
  <c r="A181" i="8"/>
  <c r="L180" i="8"/>
  <c r="M180" i="8" s="1"/>
  <c r="N180" i="8" s="1"/>
  <c r="I180" i="8"/>
  <c r="A180" i="8"/>
  <c r="L179" i="8"/>
  <c r="M179" i="8" s="1"/>
  <c r="N179" i="8" s="1"/>
  <c r="I179" i="8"/>
  <c r="A179" i="8"/>
  <c r="L178" i="8"/>
  <c r="M178" i="8" s="1"/>
  <c r="N178" i="8" s="1"/>
  <c r="I178" i="8"/>
  <c r="A178" i="8"/>
  <c r="L177" i="8"/>
  <c r="M177" i="8" s="1"/>
  <c r="N177" i="8" s="1"/>
  <c r="I177" i="8"/>
  <c r="A177" i="8"/>
  <c r="L176" i="8"/>
  <c r="M176" i="8" s="1"/>
  <c r="N176" i="8" s="1"/>
  <c r="I176" i="8"/>
  <c r="A176" i="8"/>
  <c r="L175" i="8"/>
  <c r="M175" i="8" s="1"/>
  <c r="N175" i="8" s="1"/>
  <c r="I175" i="8"/>
  <c r="A175" i="8"/>
  <c r="L174" i="8"/>
  <c r="M174" i="8" s="1"/>
  <c r="N174" i="8" s="1"/>
  <c r="I174" i="8"/>
  <c r="A174" i="8"/>
  <c r="L173" i="8"/>
  <c r="M173" i="8" s="1"/>
  <c r="N173" i="8" s="1"/>
  <c r="I173" i="8"/>
  <c r="A173" i="8"/>
  <c r="L172" i="8"/>
  <c r="M172" i="8" s="1"/>
  <c r="N172" i="8" s="1"/>
  <c r="I172" i="8"/>
  <c r="A172" i="8"/>
  <c r="L171" i="8"/>
  <c r="M171" i="8" s="1"/>
  <c r="N171" i="8" s="1"/>
  <c r="I171" i="8"/>
  <c r="A171" i="8"/>
  <c r="L170" i="8"/>
  <c r="M170" i="8" s="1"/>
  <c r="N170" i="8" s="1"/>
  <c r="I170" i="8"/>
  <c r="A170" i="8"/>
  <c r="L169" i="8"/>
  <c r="M169" i="8" s="1"/>
  <c r="N169" i="8" s="1"/>
  <c r="I169" i="8"/>
  <c r="A169" i="8"/>
  <c r="L168" i="8"/>
  <c r="M168" i="8" s="1"/>
  <c r="N168" i="8" s="1"/>
  <c r="I168" i="8"/>
  <c r="A168" i="8"/>
  <c r="L167" i="8"/>
  <c r="M167" i="8" s="1"/>
  <c r="N167" i="8" s="1"/>
  <c r="I167" i="8"/>
  <c r="A167" i="8"/>
  <c r="L166" i="8"/>
  <c r="M166" i="8" s="1"/>
  <c r="N166" i="8" s="1"/>
  <c r="I166" i="8"/>
  <c r="A166" i="8"/>
  <c r="L165" i="8"/>
  <c r="M165" i="8" s="1"/>
  <c r="N165" i="8" s="1"/>
  <c r="I165" i="8"/>
  <c r="A165" i="8"/>
  <c r="L164" i="8"/>
  <c r="M164" i="8" s="1"/>
  <c r="N164" i="8" s="1"/>
  <c r="I164" i="8"/>
  <c r="A164" i="8"/>
  <c r="L163" i="8"/>
  <c r="M163" i="8" s="1"/>
  <c r="N163" i="8" s="1"/>
  <c r="I163" i="8"/>
  <c r="A163" i="8"/>
  <c r="L162" i="8"/>
  <c r="M162" i="8" s="1"/>
  <c r="N162" i="8" s="1"/>
  <c r="I162" i="8"/>
  <c r="A162" i="8"/>
  <c r="L161" i="8"/>
  <c r="M161" i="8" s="1"/>
  <c r="N161" i="8" s="1"/>
  <c r="I161" i="8"/>
  <c r="A161" i="8"/>
  <c r="L160" i="8"/>
  <c r="M160" i="8" s="1"/>
  <c r="N160" i="8" s="1"/>
  <c r="I160" i="8"/>
  <c r="A160" i="8"/>
  <c r="L159" i="8"/>
  <c r="M159" i="8" s="1"/>
  <c r="N159" i="8" s="1"/>
  <c r="I159" i="8"/>
  <c r="A159" i="8"/>
  <c r="L158" i="8"/>
  <c r="M158" i="8" s="1"/>
  <c r="N158" i="8" s="1"/>
  <c r="I158" i="8"/>
  <c r="A158" i="8"/>
  <c r="L157" i="8"/>
  <c r="M157" i="8" s="1"/>
  <c r="N157" i="8" s="1"/>
  <c r="I157" i="8"/>
  <c r="A157" i="8"/>
  <c r="L156" i="8"/>
  <c r="M156" i="8" s="1"/>
  <c r="N156" i="8" s="1"/>
  <c r="I156" i="8"/>
  <c r="A156" i="8"/>
  <c r="L155" i="8"/>
  <c r="M155" i="8" s="1"/>
  <c r="N155" i="8" s="1"/>
  <c r="I155" i="8"/>
  <c r="A155" i="8"/>
  <c r="L154" i="8"/>
  <c r="M154" i="8" s="1"/>
  <c r="N154" i="8" s="1"/>
  <c r="I154" i="8"/>
  <c r="A154" i="8"/>
  <c r="L153" i="8"/>
  <c r="M153" i="8" s="1"/>
  <c r="N153" i="8" s="1"/>
  <c r="I153" i="8"/>
  <c r="A153" i="8"/>
  <c r="L152" i="8"/>
  <c r="M152" i="8" s="1"/>
  <c r="N152" i="8" s="1"/>
  <c r="I152" i="8"/>
  <c r="A152" i="8"/>
  <c r="L151" i="8"/>
  <c r="M151" i="8" s="1"/>
  <c r="N151" i="8" s="1"/>
  <c r="I151" i="8"/>
  <c r="A151" i="8"/>
  <c r="L150" i="8"/>
  <c r="M150" i="8" s="1"/>
  <c r="N150" i="8" s="1"/>
  <c r="I150" i="8"/>
  <c r="A150" i="8"/>
  <c r="L149" i="8"/>
  <c r="M149" i="8" s="1"/>
  <c r="N149" i="8" s="1"/>
  <c r="I149" i="8"/>
  <c r="A149" i="8"/>
  <c r="L148" i="8"/>
  <c r="M148" i="8" s="1"/>
  <c r="N148" i="8" s="1"/>
  <c r="I148" i="8"/>
  <c r="A148" i="8"/>
  <c r="L147" i="8"/>
  <c r="M147" i="8" s="1"/>
  <c r="N147" i="8" s="1"/>
  <c r="I147" i="8"/>
  <c r="A147" i="8"/>
  <c r="L146" i="8"/>
  <c r="M146" i="8" s="1"/>
  <c r="N146" i="8" s="1"/>
  <c r="I146" i="8"/>
  <c r="A146" i="8"/>
  <c r="L145" i="8"/>
  <c r="M145" i="8" s="1"/>
  <c r="N145" i="8" s="1"/>
  <c r="I145" i="8"/>
  <c r="A145" i="8"/>
  <c r="L144" i="8"/>
  <c r="M144" i="8" s="1"/>
  <c r="N144" i="8" s="1"/>
  <c r="I144" i="8"/>
  <c r="A144" i="8"/>
  <c r="L143" i="8"/>
  <c r="M143" i="8" s="1"/>
  <c r="N143" i="8" s="1"/>
  <c r="I143" i="8"/>
  <c r="A143" i="8"/>
  <c r="L142" i="8"/>
  <c r="M142" i="8" s="1"/>
  <c r="N142" i="8" s="1"/>
  <c r="I142" i="8"/>
  <c r="A142" i="8"/>
  <c r="L141" i="8"/>
  <c r="M141" i="8" s="1"/>
  <c r="N141" i="8" s="1"/>
  <c r="I141" i="8"/>
  <c r="A141" i="8"/>
  <c r="L140" i="8"/>
  <c r="M140" i="8" s="1"/>
  <c r="N140" i="8" s="1"/>
  <c r="I140" i="8"/>
  <c r="A140" i="8"/>
  <c r="L139" i="8"/>
  <c r="M139" i="8" s="1"/>
  <c r="N139" i="8" s="1"/>
  <c r="I139" i="8"/>
  <c r="A139" i="8"/>
  <c r="L138" i="8"/>
  <c r="M138" i="8" s="1"/>
  <c r="N138" i="8" s="1"/>
  <c r="I138" i="8"/>
  <c r="A138" i="8"/>
  <c r="L137" i="8"/>
  <c r="M137" i="8" s="1"/>
  <c r="N137" i="8" s="1"/>
  <c r="I137" i="8"/>
  <c r="A137" i="8"/>
  <c r="L136" i="8"/>
  <c r="M136" i="8" s="1"/>
  <c r="N136" i="8" s="1"/>
  <c r="I136" i="8"/>
  <c r="A136" i="8"/>
  <c r="L135" i="8"/>
  <c r="M135" i="8" s="1"/>
  <c r="N135" i="8" s="1"/>
  <c r="I135" i="8"/>
  <c r="A135" i="8"/>
  <c r="L134" i="8"/>
  <c r="M134" i="8" s="1"/>
  <c r="N134" i="8" s="1"/>
  <c r="I134" i="8"/>
  <c r="A134" i="8"/>
  <c r="L133" i="8"/>
  <c r="M133" i="8" s="1"/>
  <c r="N133" i="8" s="1"/>
  <c r="I133" i="8"/>
  <c r="A133" i="8"/>
  <c r="L132" i="8"/>
  <c r="M132" i="8" s="1"/>
  <c r="N132" i="8" s="1"/>
  <c r="I132" i="8"/>
  <c r="A132" i="8"/>
  <c r="L131" i="8"/>
  <c r="M131" i="8" s="1"/>
  <c r="N131" i="8" s="1"/>
  <c r="I131" i="8"/>
  <c r="A131" i="8"/>
  <c r="L130" i="8"/>
  <c r="M130" i="8" s="1"/>
  <c r="N130" i="8" s="1"/>
  <c r="I130" i="8"/>
  <c r="A130" i="8"/>
  <c r="L129" i="8"/>
  <c r="M129" i="8" s="1"/>
  <c r="N129" i="8" s="1"/>
  <c r="I129" i="8"/>
  <c r="A129" i="8"/>
  <c r="L128" i="8"/>
  <c r="M128" i="8" s="1"/>
  <c r="N128" i="8" s="1"/>
  <c r="I128" i="8"/>
  <c r="A128" i="8"/>
  <c r="L127" i="8"/>
  <c r="M127" i="8" s="1"/>
  <c r="N127" i="8" s="1"/>
  <c r="I127" i="8"/>
  <c r="A127" i="8"/>
  <c r="L126" i="8"/>
  <c r="M126" i="8" s="1"/>
  <c r="N126" i="8" s="1"/>
  <c r="I126" i="8"/>
  <c r="A126" i="8"/>
  <c r="L125" i="8"/>
  <c r="M125" i="8" s="1"/>
  <c r="N125" i="8" s="1"/>
  <c r="I125" i="8"/>
  <c r="A125" i="8"/>
  <c r="L124" i="8"/>
  <c r="M124" i="8" s="1"/>
  <c r="N124" i="8" s="1"/>
  <c r="I124" i="8"/>
  <c r="A124" i="8"/>
  <c r="L123" i="8"/>
  <c r="M123" i="8" s="1"/>
  <c r="N123" i="8" s="1"/>
  <c r="I123" i="8"/>
  <c r="A123" i="8"/>
  <c r="L122" i="8"/>
  <c r="M122" i="8" s="1"/>
  <c r="N122" i="8" s="1"/>
  <c r="I122" i="8"/>
  <c r="A122" i="8"/>
  <c r="L121" i="8"/>
  <c r="M121" i="8" s="1"/>
  <c r="N121" i="8" s="1"/>
  <c r="I121" i="8"/>
  <c r="A121" i="8"/>
  <c r="L120" i="8"/>
  <c r="M120" i="8" s="1"/>
  <c r="N120" i="8" s="1"/>
  <c r="I120" i="8"/>
  <c r="A120" i="8"/>
  <c r="L119" i="8"/>
  <c r="M119" i="8" s="1"/>
  <c r="N119" i="8" s="1"/>
  <c r="I119" i="8"/>
  <c r="A119" i="8"/>
  <c r="L118" i="8"/>
  <c r="M118" i="8" s="1"/>
  <c r="N118" i="8" s="1"/>
  <c r="I118" i="8"/>
  <c r="A118" i="8"/>
  <c r="L117" i="8"/>
  <c r="M117" i="8" s="1"/>
  <c r="N117" i="8" s="1"/>
  <c r="I117" i="8"/>
  <c r="A117" i="8"/>
  <c r="L116" i="8"/>
  <c r="M116" i="8" s="1"/>
  <c r="N116" i="8" s="1"/>
  <c r="I116" i="8"/>
  <c r="A116" i="8"/>
  <c r="L115" i="8"/>
  <c r="M115" i="8" s="1"/>
  <c r="N115" i="8" s="1"/>
  <c r="I115" i="8"/>
  <c r="A115" i="8"/>
  <c r="L114" i="8"/>
  <c r="M114" i="8" s="1"/>
  <c r="N114" i="8" s="1"/>
  <c r="I114" i="8"/>
  <c r="A114" i="8"/>
  <c r="L113" i="8"/>
  <c r="M113" i="8" s="1"/>
  <c r="N113" i="8" s="1"/>
  <c r="I113" i="8"/>
  <c r="A113" i="8"/>
  <c r="L112" i="8"/>
  <c r="M112" i="8" s="1"/>
  <c r="N112" i="8" s="1"/>
  <c r="I112" i="8"/>
  <c r="A112" i="8"/>
  <c r="L111" i="8"/>
  <c r="M111" i="8" s="1"/>
  <c r="N111" i="8" s="1"/>
  <c r="I111" i="8"/>
  <c r="A111" i="8"/>
  <c r="L110" i="8"/>
  <c r="M110" i="8" s="1"/>
  <c r="N110" i="8" s="1"/>
  <c r="I110" i="8"/>
  <c r="A110" i="8"/>
  <c r="L109" i="8"/>
  <c r="M109" i="8" s="1"/>
  <c r="N109" i="8" s="1"/>
  <c r="I109" i="8"/>
  <c r="A109" i="8"/>
  <c r="L108" i="8"/>
  <c r="M108" i="8" s="1"/>
  <c r="N108" i="8" s="1"/>
  <c r="I108" i="8"/>
  <c r="A108" i="8"/>
  <c r="L107" i="8"/>
  <c r="M107" i="8" s="1"/>
  <c r="N107" i="8" s="1"/>
  <c r="I107" i="8"/>
  <c r="A107" i="8"/>
  <c r="L106" i="8"/>
  <c r="M106" i="8" s="1"/>
  <c r="N106" i="8" s="1"/>
  <c r="I106" i="8"/>
  <c r="A106" i="8"/>
  <c r="L105" i="8"/>
  <c r="M105" i="8" s="1"/>
  <c r="N105" i="8" s="1"/>
  <c r="I105" i="8"/>
  <c r="A105" i="8"/>
  <c r="L104" i="8"/>
  <c r="M104" i="8" s="1"/>
  <c r="N104" i="8" s="1"/>
  <c r="I104" i="8"/>
  <c r="A104" i="8"/>
  <c r="L103" i="8"/>
  <c r="M103" i="8" s="1"/>
  <c r="N103" i="8" s="1"/>
  <c r="I103" i="8"/>
  <c r="A103" i="8"/>
  <c r="L102" i="8"/>
  <c r="M102" i="8" s="1"/>
  <c r="N102" i="8" s="1"/>
  <c r="I102" i="8"/>
  <c r="A102" i="8"/>
  <c r="L101" i="8"/>
  <c r="M101" i="8" s="1"/>
  <c r="N101" i="8" s="1"/>
  <c r="I101" i="8"/>
  <c r="A101" i="8"/>
  <c r="L100" i="8"/>
  <c r="M100" i="8" s="1"/>
  <c r="N100" i="8" s="1"/>
  <c r="I100" i="8"/>
  <c r="A100" i="8"/>
  <c r="L99" i="8"/>
  <c r="M99" i="8" s="1"/>
  <c r="N99" i="8" s="1"/>
  <c r="I99" i="8"/>
  <c r="A99" i="8"/>
  <c r="L98" i="8"/>
  <c r="M98" i="8" s="1"/>
  <c r="N98" i="8" s="1"/>
  <c r="I98" i="8"/>
  <c r="A98" i="8"/>
  <c r="L97" i="8"/>
  <c r="M97" i="8" s="1"/>
  <c r="N97" i="8" s="1"/>
  <c r="I97" i="8"/>
  <c r="A97" i="8"/>
  <c r="L96" i="8"/>
  <c r="M96" i="8" s="1"/>
  <c r="N96" i="8" s="1"/>
  <c r="I96" i="8"/>
  <c r="A96" i="8"/>
  <c r="L95" i="8"/>
  <c r="M95" i="8" s="1"/>
  <c r="N95" i="8" s="1"/>
  <c r="I95" i="8"/>
  <c r="A95" i="8"/>
  <c r="L94" i="8"/>
  <c r="M94" i="8" s="1"/>
  <c r="N94" i="8" s="1"/>
  <c r="I94" i="8"/>
  <c r="A94" i="8"/>
  <c r="L93" i="8"/>
  <c r="M93" i="8" s="1"/>
  <c r="N93" i="8" s="1"/>
  <c r="I93" i="8"/>
  <c r="A93" i="8"/>
  <c r="L92" i="8"/>
  <c r="M92" i="8" s="1"/>
  <c r="N92" i="8" s="1"/>
  <c r="I92" i="8"/>
  <c r="A92" i="8"/>
  <c r="L91" i="8"/>
  <c r="M91" i="8" s="1"/>
  <c r="N91" i="8" s="1"/>
  <c r="I91" i="8"/>
  <c r="A91" i="8"/>
  <c r="L90" i="8"/>
  <c r="M90" i="8" s="1"/>
  <c r="N90" i="8" s="1"/>
  <c r="I90" i="8"/>
  <c r="A90" i="8"/>
  <c r="L89" i="8"/>
  <c r="M89" i="8" s="1"/>
  <c r="N89" i="8" s="1"/>
  <c r="I89" i="8"/>
  <c r="A89" i="8"/>
  <c r="L88" i="8"/>
  <c r="M88" i="8" s="1"/>
  <c r="N88" i="8" s="1"/>
  <c r="I88" i="8"/>
  <c r="A88" i="8"/>
  <c r="L87" i="8"/>
  <c r="M87" i="8" s="1"/>
  <c r="N87" i="8" s="1"/>
  <c r="I87" i="8"/>
  <c r="A87" i="8"/>
  <c r="L86" i="8"/>
  <c r="M86" i="8" s="1"/>
  <c r="N86" i="8" s="1"/>
  <c r="I86" i="8"/>
  <c r="A86" i="8"/>
  <c r="L85" i="8"/>
  <c r="M85" i="8" s="1"/>
  <c r="N85" i="8" s="1"/>
  <c r="I85" i="8"/>
  <c r="A85" i="8"/>
  <c r="L84" i="8"/>
  <c r="M84" i="8" s="1"/>
  <c r="N84" i="8" s="1"/>
  <c r="I84" i="8"/>
  <c r="A84" i="8"/>
  <c r="L83" i="8"/>
  <c r="M83" i="8" s="1"/>
  <c r="N83" i="8" s="1"/>
  <c r="I83" i="8"/>
  <c r="A83" i="8"/>
  <c r="L82" i="8"/>
  <c r="M82" i="8" s="1"/>
  <c r="N82" i="8" s="1"/>
  <c r="I82" i="8"/>
  <c r="A82" i="8"/>
  <c r="L81" i="8"/>
  <c r="M81" i="8" s="1"/>
  <c r="N81" i="8" s="1"/>
  <c r="I81" i="8"/>
  <c r="A81" i="8"/>
  <c r="L80" i="8"/>
  <c r="M80" i="8" s="1"/>
  <c r="N80" i="8" s="1"/>
  <c r="I80" i="8"/>
  <c r="A80" i="8"/>
  <c r="L79" i="8"/>
  <c r="M79" i="8" s="1"/>
  <c r="N79" i="8" s="1"/>
  <c r="I79" i="8"/>
  <c r="A79" i="8"/>
  <c r="L78" i="8"/>
  <c r="M78" i="8" s="1"/>
  <c r="N78" i="8" s="1"/>
  <c r="I78" i="8"/>
  <c r="A78" i="8"/>
  <c r="L77" i="8"/>
  <c r="M77" i="8" s="1"/>
  <c r="N77" i="8" s="1"/>
  <c r="I77" i="8"/>
  <c r="A77" i="8"/>
  <c r="L76" i="8"/>
  <c r="M76" i="8" s="1"/>
  <c r="N76" i="8" s="1"/>
  <c r="I76" i="8"/>
  <c r="A76" i="8"/>
  <c r="L75" i="8"/>
  <c r="M75" i="8" s="1"/>
  <c r="N75" i="8" s="1"/>
  <c r="I75" i="8"/>
  <c r="A75" i="8"/>
  <c r="L74" i="8"/>
  <c r="M74" i="8" s="1"/>
  <c r="N74" i="8" s="1"/>
  <c r="I74" i="8"/>
  <c r="A74" i="8"/>
  <c r="L73" i="8"/>
  <c r="M73" i="8" s="1"/>
  <c r="N73" i="8" s="1"/>
  <c r="I73" i="8"/>
  <c r="A73" i="8"/>
  <c r="L72" i="8"/>
  <c r="M72" i="8" s="1"/>
  <c r="N72" i="8" s="1"/>
  <c r="I72" i="8"/>
  <c r="A72" i="8"/>
  <c r="L71" i="8"/>
  <c r="M71" i="8" s="1"/>
  <c r="N71" i="8" s="1"/>
  <c r="I71" i="8"/>
  <c r="A71" i="8"/>
  <c r="L70" i="8"/>
  <c r="M70" i="8" s="1"/>
  <c r="N70" i="8" s="1"/>
  <c r="I70" i="8"/>
  <c r="A70" i="8"/>
  <c r="L69" i="8"/>
  <c r="M69" i="8" s="1"/>
  <c r="N69" i="8" s="1"/>
  <c r="I69" i="8"/>
  <c r="A69" i="8"/>
  <c r="L68" i="8"/>
  <c r="M68" i="8" s="1"/>
  <c r="N68" i="8" s="1"/>
  <c r="I68" i="8"/>
  <c r="A68" i="8"/>
  <c r="L67" i="8"/>
  <c r="M67" i="8" s="1"/>
  <c r="N67" i="8" s="1"/>
  <c r="I67" i="8"/>
  <c r="A67" i="8"/>
  <c r="L66" i="8"/>
  <c r="M66" i="8" s="1"/>
  <c r="N66" i="8" s="1"/>
  <c r="I66" i="8"/>
  <c r="A66" i="8"/>
  <c r="L65" i="8"/>
  <c r="M65" i="8" s="1"/>
  <c r="N65" i="8" s="1"/>
  <c r="I65" i="8"/>
  <c r="A65" i="8"/>
  <c r="L64" i="8"/>
  <c r="M64" i="8" s="1"/>
  <c r="N64" i="8" s="1"/>
  <c r="I64" i="8"/>
  <c r="A64" i="8"/>
  <c r="L63" i="8"/>
  <c r="M63" i="8" s="1"/>
  <c r="N63" i="8" s="1"/>
  <c r="I63" i="8"/>
  <c r="A63" i="8"/>
  <c r="L62" i="8"/>
  <c r="M62" i="8" s="1"/>
  <c r="N62" i="8" s="1"/>
  <c r="I62" i="8"/>
  <c r="A62" i="8"/>
  <c r="L61" i="8"/>
  <c r="M61" i="8" s="1"/>
  <c r="N61" i="8" s="1"/>
  <c r="I61" i="8"/>
  <c r="A61" i="8"/>
  <c r="L60" i="8"/>
  <c r="M60" i="8" s="1"/>
  <c r="N60" i="8" s="1"/>
  <c r="I60" i="8"/>
  <c r="A60" i="8"/>
  <c r="L59" i="8"/>
  <c r="M59" i="8" s="1"/>
  <c r="N59" i="8" s="1"/>
  <c r="I59" i="8"/>
  <c r="A59" i="8"/>
  <c r="L58" i="8"/>
  <c r="M58" i="8" s="1"/>
  <c r="N58" i="8" s="1"/>
  <c r="I58" i="8"/>
  <c r="A58" i="8"/>
  <c r="L57" i="8"/>
  <c r="M57" i="8" s="1"/>
  <c r="N57" i="8" s="1"/>
  <c r="I57" i="8"/>
  <c r="A57" i="8"/>
  <c r="L56" i="8"/>
  <c r="M56" i="8" s="1"/>
  <c r="N56" i="8" s="1"/>
  <c r="I56" i="8"/>
  <c r="A56" i="8"/>
  <c r="L55" i="8"/>
  <c r="M55" i="8" s="1"/>
  <c r="N55" i="8" s="1"/>
  <c r="I55" i="8"/>
  <c r="A55" i="8"/>
  <c r="L54" i="8"/>
  <c r="M54" i="8" s="1"/>
  <c r="N54" i="8" s="1"/>
  <c r="I54" i="8"/>
  <c r="A54" i="8"/>
  <c r="L53" i="8"/>
  <c r="M53" i="8" s="1"/>
  <c r="N53" i="8" s="1"/>
  <c r="I53" i="8"/>
  <c r="A53" i="8"/>
  <c r="L52" i="8"/>
  <c r="M52" i="8" s="1"/>
  <c r="N52" i="8" s="1"/>
  <c r="I52" i="8"/>
  <c r="A52" i="8"/>
  <c r="L51" i="8"/>
  <c r="M51" i="8" s="1"/>
  <c r="N51" i="8" s="1"/>
  <c r="I51" i="8"/>
  <c r="A51" i="8"/>
  <c r="L50" i="8"/>
  <c r="M50" i="8" s="1"/>
  <c r="N50" i="8" s="1"/>
  <c r="I50" i="8"/>
  <c r="A50" i="8"/>
  <c r="L49" i="8"/>
  <c r="M49" i="8" s="1"/>
  <c r="N49" i="8" s="1"/>
  <c r="I49" i="8"/>
  <c r="A49" i="8"/>
  <c r="L48" i="8"/>
  <c r="M48" i="8" s="1"/>
  <c r="N48" i="8" s="1"/>
  <c r="I48" i="8"/>
  <c r="A48" i="8"/>
  <c r="L47" i="8"/>
  <c r="M47" i="8" s="1"/>
  <c r="N47" i="8" s="1"/>
  <c r="I47" i="8"/>
  <c r="A47" i="8"/>
  <c r="L46" i="8"/>
  <c r="M46" i="8" s="1"/>
  <c r="N46" i="8" s="1"/>
  <c r="I46" i="8"/>
  <c r="A46" i="8"/>
  <c r="L45" i="8"/>
  <c r="M45" i="8" s="1"/>
  <c r="N45" i="8" s="1"/>
  <c r="I45" i="8"/>
  <c r="A45" i="8"/>
  <c r="L44" i="8"/>
  <c r="M44" i="8" s="1"/>
  <c r="N44" i="8" s="1"/>
  <c r="I44" i="8"/>
  <c r="A44" i="8"/>
  <c r="L43" i="8"/>
  <c r="M43" i="8" s="1"/>
  <c r="N43" i="8" s="1"/>
  <c r="I43" i="8"/>
  <c r="A43" i="8"/>
  <c r="L42" i="8"/>
  <c r="M42" i="8" s="1"/>
  <c r="N42" i="8" s="1"/>
  <c r="I42" i="8"/>
  <c r="A42" i="8"/>
  <c r="L41" i="8"/>
  <c r="M41" i="8" s="1"/>
  <c r="N41" i="8" s="1"/>
  <c r="I41" i="8"/>
  <c r="A41" i="8"/>
  <c r="L40" i="8"/>
  <c r="M40" i="8" s="1"/>
  <c r="N40" i="8" s="1"/>
  <c r="I40" i="8"/>
  <c r="A40" i="8"/>
  <c r="L39" i="8"/>
  <c r="M39" i="8" s="1"/>
  <c r="N39" i="8" s="1"/>
  <c r="I39" i="8"/>
  <c r="A39" i="8"/>
  <c r="L38" i="8"/>
  <c r="M38" i="8" s="1"/>
  <c r="N38" i="8" s="1"/>
  <c r="I38" i="8"/>
  <c r="A38" i="8"/>
  <c r="L37" i="8"/>
  <c r="M37" i="8" s="1"/>
  <c r="N37" i="8" s="1"/>
  <c r="I37" i="8"/>
  <c r="A37" i="8"/>
  <c r="L36" i="8"/>
  <c r="M36" i="8" s="1"/>
  <c r="N36" i="8" s="1"/>
  <c r="I36" i="8"/>
  <c r="A36" i="8"/>
  <c r="L35" i="8"/>
  <c r="M35" i="8" s="1"/>
  <c r="N35" i="8" s="1"/>
  <c r="I35" i="8"/>
  <c r="A35" i="8"/>
  <c r="L34" i="8"/>
  <c r="M34" i="8" s="1"/>
  <c r="N34" i="8" s="1"/>
  <c r="I34" i="8"/>
  <c r="A34" i="8"/>
  <c r="L33" i="8"/>
  <c r="M33" i="8" s="1"/>
  <c r="N33" i="8" s="1"/>
  <c r="I33" i="8"/>
  <c r="A33" i="8"/>
  <c r="L32" i="8"/>
  <c r="M32" i="8" s="1"/>
  <c r="N32" i="8" s="1"/>
  <c r="I32" i="8"/>
  <c r="A32" i="8"/>
  <c r="L31" i="8"/>
  <c r="M31" i="8" s="1"/>
  <c r="N31" i="8" s="1"/>
  <c r="I31" i="8"/>
  <c r="A31" i="8"/>
  <c r="L30" i="8"/>
  <c r="M30" i="8" s="1"/>
  <c r="N30" i="8" s="1"/>
  <c r="I30" i="8"/>
  <c r="A30" i="8"/>
  <c r="L29" i="8"/>
  <c r="M29" i="8" s="1"/>
  <c r="N29" i="8" s="1"/>
  <c r="I29" i="8"/>
  <c r="A29" i="8"/>
  <c r="L28" i="8"/>
  <c r="M28" i="8" s="1"/>
  <c r="N28" i="8" s="1"/>
  <c r="I28" i="8"/>
  <c r="A28" i="8"/>
  <c r="L27" i="8"/>
  <c r="M27" i="8" s="1"/>
  <c r="N27" i="8" s="1"/>
  <c r="I27" i="8"/>
  <c r="A27" i="8"/>
  <c r="L26" i="8"/>
  <c r="M26" i="8" s="1"/>
  <c r="N26" i="8" s="1"/>
  <c r="I26" i="8"/>
  <c r="A26" i="8"/>
  <c r="L25" i="8"/>
  <c r="M25" i="8" s="1"/>
  <c r="N25" i="8" s="1"/>
  <c r="I25" i="8"/>
  <c r="A25" i="8"/>
  <c r="L24" i="8"/>
  <c r="M24" i="8" s="1"/>
  <c r="N24" i="8" s="1"/>
  <c r="I24" i="8"/>
  <c r="A24" i="8"/>
  <c r="L23" i="8"/>
  <c r="M23" i="8" s="1"/>
  <c r="N23" i="8" s="1"/>
  <c r="I23" i="8"/>
  <c r="A23" i="8"/>
  <c r="L22" i="8"/>
  <c r="M22" i="8" s="1"/>
  <c r="N22" i="8" s="1"/>
  <c r="I22" i="8"/>
  <c r="A22" i="8"/>
  <c r="L21" i="8"/>
  <c r="M21" i="8" s="1"/>
  <c r="N21" i="8" s="1"/>
  <c r="I21" i="8"/>
  <c r="A21" i="8"/>
  <c r="L20" i="8"/>
  <c r="M20" i="8" s="1"/>
  <c r="N20" i="8" s="1"/>
  <c r="I20" i="8"/>
  <c r="A20" i="8"/>
  <c r="L19" i="8"/>
  <c r="M19" i="8" s="1"/>
  <c r="N19" i="8" s="1"/>
  <c r="I19" i="8"/>
  <c r="A19" i="8"/>
  <c r="L18" i="8"/>
  <c r="M18" i="8" s="1"/>
  <c r="N18" i="8" s="1"/>
  <c r="I18" i="8"/>
  <c r="A18" i="8"/>
  <c r="L17" i="8"/>
  <c r="M17" i="8" s="1"/>
  <c r="N17" i="8" s="1"/>
  <c r="I17" i="8"/>
  <c r="A17" i="8"/>
  <c r="L16" i="8"/>
  <c r="M16" i="8" s="1"/>
  <c r="N16" i="8" s="1"/>
  <c r="I16" i="8"/>
  <c r="A16" i="8"/>
  <c r="L15" i="8"/>
  <c r="M15" i="8" s="1"/>
  <c r="N15" i="8" s="1"/>
  <c r="I15" i="8"/>
  <c r="A15" i="8"/>
  <c r="L14" i="8"/>
  <c r="M14" i="8" s="1"/>
  <c r="N14" i="8" s="1"/>
  <c r="I14" i="8"/>
  <c r="A14" i="8"/>
  <c r="L13" i="8"/>
  <c r="M13" i="8" s="1"/>
  <c r="N13" i="8" s="1"/>
  <c r="I13" i="8"/>
  <c r="A13" i="8"/>
  <c r="L12" i="8"/>
  <c r="M12" i="8" s="1"/>
  <c r="N12" i="8" s="1"/>
  <c r="I12" i="8"/>
  <c r="A12" i="8"/>
  <c r="L11" i="8"/>
  <c r="M11" i="8" s="1"/>
  <c r="N11" i="8" s="1"/>
  <c r="I11" i="8"/>
  <c r="A11" i="8"/>
  <c r="N10" i="8"/>
  <c r="I10" i="8"/>
  <c r="A10" i="8"/>
  <c r="N9" i="8"/>
  <c r="I9" i="8"/>
  <c r="A9" i="8"/>
  <c r="N8" i="8"/>
  <c r="I8" i="8"/>
  <c r="A8" i="8"/>
  <c r="L7" i="8"/>
  <c r="M7" i="8" s="1"/>
  <c r="N7" i="8" s="1"/>
  <c r="I7" i="8"/>
  <c r="A7" i="8"/>
  <c r="L6" i="8"/>
  <c r="M6" i="8" s="1"/>
  <c r="N6" i="8" s="1"/>
  <c r="I6" i="8"/>
  <c r="L5" i="8"/>
  <c r="M5" i="8" s="1"/>
  <c r="N5" i="8" s="1"/>
  <c r="I5" i="8"/>
  <c r="L4" i="8"/>
  <c r="M4" i="8" s="1"/>
  <c r="N4" i="8" s="1"/>
  <c r="I4" i="8"/>
  <c r="A4" i="8"/>
  <c r="A5" i="8" s="1"/>
  <c r="A6" i="8" s="1"/>
  <c r="L3" i="8"/>
  <c r="I3" i="8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P3" i="7"/>
  <c r="Q3" i="7" s="1"/>
  <c r="K3" i="7"/>
  <c r="I1" i="7"/>
  <c r="E1" i="7"/>
  <c r="D1" i="7"/>
  <c r="C1" i="7"/>
  <c r="V110" i="6"/>
  <c r="U110" i="6"/>
  <c r="P110" i="6"/>
  <c r="Q110" i="6" s="1"/>
  <c r="K110" i="6"/>
  <c r="V109" i="6"/>
  <c r="U109" i="6"/>
  <c r="P109" i="6"/>
  <c r="Q109" i="6" s="1"/>
  <c r="K109" i="6"/>
  <c r="V108" i="6"/>
  <c r="U108" i="6"/>
  <c r="P108" i="6"/>
  <c r="Q108" i="6" s="1"/>
  <c r="K108" i="6"/>
  <c r="V107" i="6"/>
  <c r="U107" i="6"/>
  <c r="P107" i="6"/>
  <c r="Q107" i="6" s="1"/>
  <c r="K107" i="6"/>
  <c r="V106" i="6"/>
  <c r="U106" i="6"/>
  <c r="P106" i="6"/>
  <c r="Q106" i="6" s="1"/>
  <c r="K106" i="6"/>
  <c r="V105" i="6"/>
  <c r="U105" i="6"/>
  <c r="P105" i="6"/>
  <c r="Q105" i="6" s="1"/>
  <c r="K105" i="6"/>
  <c r="V104" i="6"/>
  <c r="U104" i="6"/>
  <c r="P104" i="6"/>
  <c r="Q104" i="6" s="1"/>
  <c r="K104" i="6"/>
  <c r="V103" i="6"/>
  <c r="U103" i="6"/>
  <c r="P103" i="6"/>
  <c r="Q103" i="6" s="1"/>
  <c r="K103" i="6"/>
  <c r="V102" i="6"/>
  <c r="U102" i="6"/>
  <c r="P102" i="6"/>
  <c r="Q102" i="6" s="1"/>
  <c r="K102" i="6"/>
  <c r="V101" i="6"/>
  <c r="U101" i="6"/>
  <c r="P101" i="6"/>
  <c r="Q101" i="6" s="1"/>
  <c r="K101" i="6"/>
  <c r="V100" i="6"/>
  <c r="U100" i="6"/>
  <c r="P100" i="6"/>
  <c r="Q100" i="6" s="1"/>
  <c r="K100" i="6"/>
  <c r="V99" i="6"/>
  <c r="U99" i="6"/>
  <c r="P99" i="6"/>
  <c r="Q99" i="6" s="1"/>
  <c r="K99" i="6"/>
  <c r="V98" i="6"/>
  <c r="U98" i="6"/>
  <c r="P98" i="6"/>
  <c r="Q98" i="6" s="1"/>
  <c r="K98" i="6"/>
  <c r="V97" i="6"/>
  <c r="U97" i="6"/>
  <c r="P97" i="6"/>
  <c r="Q97" i="6" s="1"/>
  <c r="K97" i="6"/>
  <c r="V96" i="6"/>
  <c r="U96" i="6"/>
  <c r="P96" i="6"/>
  <c r="Q96" i="6" s="1"/>
  <c r="K96" i="6"/>
  <c r="V95" i="6"/>
  <c r="U95" i="6"/>
  <c r="P95" i="6"/>
  <c r="Q95" i="6" s="1"/>
  <c r="K95" i="6"/>
  <c r="V94" i="6"/>
  <c r="U94" i="6"/>
  <c r="P94" i="6"/>
  <c r="Q94" i="6" s="1"/>
  <c r="K94" i="6"/>
  <c r="V93" i="6"/>
  <c r="U93" i="6"/>
  <c r="P93" i="6"/>
  <c r="Q93" i="6" s="1"/>
  <c r="K93" i="6"/>
  <c r="V92" i="6"/>
  <c r="U92" i="6"/>
  <c r="P92" i="6"/>
  <c r="Q92" i="6" s="1"/>
  <c r="K92" i="6"/>
  <c r="V91" i="6"/>
  <c r="U91" i="6"/>
  <c r="P91" i="6"/>
  <c r="Q91" i="6" s="1"/>
  <c r="K91" i="6"/>
  <c r="V90" i="6"/>
  <c r="U90" i="6"/>
  <c r="P90" i="6"/>
  <c r="Q90" i="6" s="1"/>
  <c r="K90" i="6"/>
  <c r="V89" i="6"/>
  <c r="U89" i="6"/>
  <c r="P89" i="6"/>
  <c r="Q89" i="6" s="1"/>
  <c r="K89" i="6"/>
  <c r="V88" i="6"/>
  <c r="U88" i="6"/>
  <c r="P88" i="6"/>
  <c r="Q88" i="6" s="1"/>
  <c r="K88" i="6"/>
  <c r="V87" i="6"/>
  <c r="U87" i="6"/>
  <c r="P87" i="6"/>
  <c r="Q87" i="6" s="1"/>
  <c r="K87" i="6"/>
  <c r="V86" i="6"/>
  <c r="U86" i="6"/>
  <c r="P86" i="6"/>
  <c r="Q86" i="6" s="1"/>
  <c r="K86" i="6"/>
  <c r="V85" i="6"/>
  <c r="U85" i="6"/>
  <c r="P85" i="6"/>
  <c r="Q85" i="6" s="1"/>
  <c r="K85" i="6"/>
  <c r="V84" i="6"/>
  <c r="U84" i="6"/>
  <c r="P84" i="6"/>
  <c r="Q84" i="6" s="1"/>
  <c r="K84" i="6"/>
  <c r="V83" i="6"/>
  <c r="U83" i="6"/>
  <c r="P83" i="6"/>
  <c r="Q83" i="6" s="1"/>
  <c r="K83" i="6"/>
  <c r="V82" i="6"/>
  <c r="U82" i="6"/>
  <c r="P82" i="6"/>
  <c r="Q82" i="6" s="1"/>
  <c r="K82" i="6"/>
  <c r="V81" i="6"/>
  <c r="U81" i="6"/>
  <c r="P81" i="6"/>
  <c r="Q81" i="6" s="1"/>
  <c r="K81" i="6"/>
  <c r="V80" i="6"/>
  <c r="U80" i="6"/>
  <c r="P80" i="6"/>
  <c r="Q80" i="6" s="1"/>
  <c r="K80" i="6"/>
  <c r="V79" i="6"/>
  <c r="U79" i="6"/>
  <c r="P79" i="6"/>
  <c r="Q79" i="6" s="1"/>
  <c r="K79" i="6"/>
  <c r="V78" i="6"/>
  <c r="U78" i="6"/>
  <c r="P78" i="6"/>
  <c r="Q78" i="6" s="1"/>
  <c r="K78" i="6"/>
  <c r="V77" i="6"/>
  <c r="U77" i="6"/>
  <c r="P77" i="6"/>
  <c r="Q77" i="6" s="1"/>
  <c r="K77" i="6"/>
  <c r="V76" i="6"/>
  <c r="U76" i="6"/>
  <c r="P76" i="6"/>
  <c r="Q76" i="6" s="1"/>
  <c r="K76" i="6"/>
  <c r="V75" i="6"/>
  <c r="U75" i="6"/>
  <c r="P75" i="6"/>
  <c r="Q75" i="6" s="1"/>
  <c r="K75" i="6"/>
  <c r="V74" i="6"/>
  <c r="U74" i="6"/>
  <c r="P74" i="6"/>
  <c r="Q74" i="6" s="1"/>
  <c r="K74" i="6"/>
  <c r="V73" i="6"/>
  <c r="U73" i="6"/>
  <c r="P73" i="6"/>
  <c r="Q73" i="6" s="1"/>
  <c r="K73" i="6"/>
  <c r="V72" i="6"/>
  <c r="U72" i="6"/>
  <c r="P72" i="6"/>
  <c r="Q72" i="6" s="1"/>
  <c r="K72" i="6"/>
  <c r="V71" i="6"/>
  <c r="U71" i="6"/>
  <c r="P71" i="6"/>
  <c r="Q71" i="6" s="1"/>
  <c r="K71" i="6"/>
  <c r="V70" i="6"/>
  <c r="U70" i="6"/>
  <c r="P70" i="6"/>
  <c r="Q70" i="6" s="1"/>
  <c r="K70" i="6"/>
  <c r="V69" i="6"/>
  <c r="U69" i="6"/>
  <c r="P69" i="6"/>
  <c r="Q69" i="6" s="1"/>
  <c r="K69" i="6"/>
  <c r="V68" i="6"/>
  <c r="U68" i="6"/>
  <c r="P68" i="6"/>
  <c r="Q68" i="6" s="1"/>
  <c r="K68" i="6"/>
  <c r="V67" i="6"/>
  <c r="U67" i="6"/>
  <c r="P67" i="6"/>
  <c r="Q67" i="6" s="1"/>
  <c r="K67" i="6"/>
  <c r="V66" i="6"/>
  <c r="U66" i="6"/>
  <c r="P66" i="6"/>
  <c r="Q66" i="6" s="1"/>
  <c r="K66" i="6"/>
  <c r="V65" i="6"/>
  <c r="U65" i="6"/>
  <c r="P65" i="6"/>
  <c r="Q65" i="6" s="1"/>
  <c r="K65" i="6"/>
  <c r="V64" i="6"/>
  <c r="U64" i="6"/>
  <c r="P64" i="6"/>
  <c r="Q64" i="6" s="1"/>
  <c r="K64" i="6"/>
  <c r="V63" i="6"/>
  <c r="U63" i="6"/>
  <c r="P63" i="6"/>
  <c r="Q63" i="6" s="1"/>
  <c r="K63" i="6"/>
  <c r="V62" i="6"/>
  <c r="U62" i="6"/>
  <c r="P62" i="6"/>
  <c r="Q62" i="6" s="1"/>
  <c r="K62" i="6"/>
  <c r="V61" i="6"/>
  <c r="U61" i="6"/>
  <c r="P61" i="6"/>
  <c r="Q61" i="6" s="1"/>
  <c r="K61" i="6"/>
  <c r="V60" i="6"/>
  <c r="U60" i="6"/>
  <c r="P60" i="6"/>
  <c r="Q60" i="6" s="1"/>
  <c r="K60" i="6"/>
  <c r="V59" i="6"/>
  <c r="U59" i="6"/>
  <c r="P59" i="6"/>
  <c r="Q59" i="6" s="1"/>
  <c r="K59" i="6"/>
  <c r="V58" i="6"/>
  <c r="U58" i="6"/>
  <c r="P58" i="6"/>
  <c r="Q58" i="6" s="1"/>
  <c r="K58" i="6"/>
  <c r="V57" i="6"/>
  <c r="U57" i="6"/>
  <c r="P57" i="6"/>
  <c r="Q57" i="6" s="1"/>
  <c r="K57" i="6"/>
  <c r="V56" i="6"/>
  <c r="U56" i="6"/>
  <c r="P56" i="6"/>
  <c r="Q56" i="6" s="1"/>
  <c r="K56" i="6"/>
  <c r="V55" i="6"/>
  <c r="U55" i="6"/>
  <c r="P55" i="6"/>
  <c r="Q55" i="6" s="1"/>
  <c r="K55" i="6"/>
  <c r="V54" i="6"/>
  <c r="U54" i="6"/>
  <c r="P54" i="6"/>
  <c r="Q54" i="6" s="1"/>
  <c r="K54" i="6"/>
  <c r="V53" i="6"/>
  <c r="U53" i="6"/>
  <c r="P53" i="6"/>
  <c r="Q53" i="6" s="1"/>
  <c r="K53" i="6"/>
  <c r="V52" i="6"/>
  <c r="U52" i="6"/>
  <c r="P52" i="6"/>
  <c r="Q52" i="6" s="1"/>
  <c r="K52" i="6"/>
  <c r="V51" i="6"/>
  <c r="U51" i="6"/>
  <c r="P51" i="6"/>
  <c r="Q51" i="6" s="1"/>
  <c r="K51" i="6"/>
  <c r="V50" i="6"/>
  <c r="U50" i="6"/>
  <c r="P50" i="6"/>
  <c r="Q50" i="6" s="1"/>
  <c r="K50" i="6"/>
  <c r="V49" i="6"/>
  <c r="U49" i="6"/>
  <c r="P49" i="6"/>
  <c r="Q49" i="6" s="1"/>
  <c r="K49" i="6"/>
  <c r="V48" i="6"/>
  <c r="U48" i="6"/>
  <c r="P48" i="6"/>
  <c r="Q48" i="6" s="1"/>
  <c r="K48" i="6"/>
  <c r="V47" i="6"/>
  <c r="U47" i="6"/>
  <c r="P47" i="6"/>
  <c r="Q47" i="6" s="1"/>
  <c r="K47" i="6"/>
  <c r="V46" i="6"/>
  <c r="U46" i="6"/>
  <c r="P46" i="6"/>
  <c r="Q46" i="6" s="1"/>
  <c r="K46" i="6"/>
  <c r="V45" i="6"/>
  <c r="U45" i="6"/>
  <c r="P45" i="6"/>
  <c r="Q45" i="6" s="1"/>
  <c r="K45" i="6"/>
  <c r="V44" i="6"/>
  <c r="U44" i="6"/>
  <c r="P44" i="6"/>
  <c r="Q44" i="6" s="1"/>
  <c r="K44" i="6"/>
  <c r="V43" i="6"/>
  <c r="U43" i="6"/>
  <c r="P43" i="6"/>
  <c r="Q43" i="6" s="1"/>
  <c r="K43" i="6"/>
  <c r="V42" i="6"/>
  <c r="U42" i="6"/>
  <c r="P42" i="6"/>
  <c r="Q42" i="6" s="1"/>
  <c r="K42" i="6"/>
  <c r="V41" i="6"/>
  <c r="U41" i="6"/>
  <c r="P41" i="6"/>
  <c r="Q41" i="6" s="1"/>
  <c r="K41" i="6"/>
  <c r="V40" i="6"/>
  <c r="U40" i="6"/>
  <c r="P40" i="6"/>
  <c r="Q40" i="6" s="1"/>
  <c r="K40" i="6"/>
  <c r="V39" i="6"/>
  <c r="U39" i="6"/>
  <c r="P39" i="6"/>
  <c r="Q39" i="6" s="1"/>
  <c r="K39" i="6"/>
  <c r="V38" i="6"/>
  <c r="U38" i="6"/>
  <c r="P38" i="6"/>
  <c r="Q38" i="6" s="1"/>
  <c r="K38" i="6"/>
  <c r="V37" i="6"/>
  <c r="U37" i="6"/>
  <c r="P37" i="6"/>
  <c r="Q37" i="6" s="1"/>
  <c r="K37" i="6"/>
  <c r="V36" i="6"/>
  <c r="U36" i="6"/>
  <c r="P36" i="6"/>
  <c r="Q36" i="6" s="1"/>
  <c r="K36" i="6"/>
  <c r="V35" i="6"/>
  <c r="U35" i="6"/>
  <c r="P35" i="6"/>
  <c r="Q35" i="6" s="1"/>
  <c r="K35" i="6"/>
  <c r="V34" i="6"/>
  <c r="U34" i="6"/>
  <c r="P34" i="6"/>
  <c r="Q34" i="6" s="1"/>
  <c r="K34" i="6"/>
  <c r="V33" i="6"/>
  <c r="U33" i="6"/>
  <c r="P33" i="6"/>
  <c r="Q33" i="6" s="1"/>
  <c r="K33" i="6"/>
  <c r="V32" i="6"/>
  <c r="U32" i="6"/>
  <c r="P32" i="6"/>
  <c r="Q32" i="6" s="1"/>
  <c r="K32" i="6"/>
  <c r="V31" i="6"/>
  <c r="U31" i="6"/>
  <c r="P31" i="6"/>
  <c r="Q31" i="6" s="1"/>
  <c r="K31" i="6"/>
  <c r="V30" i="6"/>
  <c r="U30" i="6"/>
  <c r="P30" i="6"/>
  <c r="Q30" i="6" s="1"/>
  <c r="K30" i="6"/>
  <c r="V29" i="6"/>
  <c r="U29" i="6"/>
  <c r="P29" i="6"/>
  <c r="Q29" i="6" s="1"/>
  <c r="K29" i="6"/>
  <c r="V28" i="6"/>
  <c r="U28" i="6"/>
  <c r="P28" i="6"/>
  <c r="Q28" i="6" s="1"/>
  <c r="K28" i="6"/>
  <c r="V27" i="6"/>
  <c r="U27" i="6"/>
  <c r="P27" i="6"/>
  <c r="Q27" i="6" s="1"/>
  <c r="K27" i="6"/>
  <c r="V26" i="6"/>
  <c r="U26" i="6"/>
  <c r="P26" i="6"/>
  <c r="Q26" i="6" s="1"/>
  <c r="K26" i="6"/>
  <c r="V25" i="6"/>
  <c r="U25" i="6"/>
  <c r="P25" i="6"/>
  <c r="Q25" i="6" s="1"/>
  <c r="K25" i="6"/>
  <c r="V24" i="6"/>
  <c r="U24" i="6"/>
  <c r="P24" i="6"/>
  <c r="Q24" i="6" s="1"/>
  <c r="K24" i="6"/>
  <c r="V23" i="6"/>
  <c r="U23" i="6"/>
  <c r="P23" i="6"/>
  <c r="Q23" i="6" s="1"/>
  <c r="K23" i="6"/>
  <c r="V22" i="6"/>
  <c r="U22" i="6"/>
  <c r="P22" i="6"/>
  <c r="Q22" i="6" s="1"/>
  <c r="K22" i="6"/>
  <c r="V21" i="6"/>
  <c r="U21" i="6"/>
  <c r="P21" i="6"/>
  <c r="Q21" i="6" s="1"/>
  <c r="K21" i="6"/>
  <c r="V20" i="6"/>
  <c r="U20" i="6"/>
  <c r="P20" i="6"/>
  <c r="Q20" i="6" s="1"/>
  <c r="K20" i="6"/>
  <c r="V19" i="6"/>
  <c r="U19" i="6"/>
  <c r="P19" i="6"/>
  <c r="Q19" i="6" s="1"/>
  <c r="K19" i="6"/>
  <c r="V18" i="6"/>
  <c r="U18" i="6"/>
  <c r="P18" i="6"/>
  <c r="Q18" i="6" s="1"/>
  <c r="K18" i="6"/>
  <c r="V17" i="6"/>
  <c r="U17" i="6"/>
  <c r="P17" i="6"/>
  <c r="Q17" i="6" s="1"/>
  <c r="K17" i="6"/>
  <c r="V16" i="6"/>
  <c r="U16" i="6"/>
  <c r="P16" i="6"/>
  <c r="Q16" i="6" s="1"/>
  <c r="K16" i="6"/>
  <c r="V15" i="6"/>
  <c r="U15" i="6"/>
  <c r="P15" i="6"/>
  <c r="Q15" i="6" s="1"/>
  <c r="K15" i="6"/>
  <c r="V14" i="6"/>
  <c r="U14" i="6"/>
  <c r="P14" i="6"/>
  <c r="Q14" i="6" s="1"/>
  <c r="K14" i="6"/>
  <c r="V13" i="6"/>
  <c r="U13" i="6"/>
  <c r="P13" i="6"/>
  <c r="Q13" i="6" s="1"/>
  <c r="K13" i="6"/>
  <c r="V12" i="6"/>
  <c r="U12" i="6"/>
  <c r="P12" i="6"/>
  <c r="Q12" i="6" s="1"/>
  <c r="K12" i="6"/>
  <c r="V11" i="6"/>
  <c r="U11" i="6"/>
  <c r="P11" i="6"/>
  <c r="Q11" i="6" s="1"/>
  <c r="K11" i="6"/>
  <c r="V10" i="6"/>
  <c r="U10" i="6"/>
  <c r="P10" i="6"/>
  <c r="Q10" i="6" s="1"/>
  <c r="K10" i="6"/>
  <c r="V9" i="6"/>
  <c r="U9" i="6"/>
  <c r="P9" i="6"/>
  <c r="Q9" i="6" s="1"/>
  <c r="K9" i="6"/>
  <c r="V8" i="6"/>
  <c r="U8" i="6"/>
  <c r="P8" i="6"/>
  <c r="Q8" i="6" s="1"/>
  <c r="K8" i="6"/>
  <c r="V7" i="6"/>
  <c r="U7" i="6"/>
  <c r="P7" i="6"/>
  <c r="Q7" i="6" s="1"/>
  <c r="K7" i="6"/>
  <c r="V6" i="6"/>
  <c r="U6" i="6"/>
  <c r="P6" i="6"/>
  <c r="Q6" i="6" s="1"/>
  <c r="K6" i="6"/>
  <c r="V5" i="6"/>
  <c r="U5" i="6"/>
  <c r="P5" i="6"/>
  <c r="Q5" i="6" s="1"/>
  <c r="K5" i="6"/>
  <c r="V4" i="6"/>
  <c r="U4" i="6"/>
  <c r="P4" i="6"/>
  <c r="Q4" i="6" s="1"/>
  <c r="K4" i="6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V3" i="6"/>
  <c r="U3" i="6"/>
  <c r="W3" i="6" s="1"/>
  <c r="P3" i="6"/>
  <c r="Q3" i="6" s="1"/>
  <c r="K3" i="6"/>
  <c r="I1" i="6"/>
  <c r="E1" i="6"/>
  <c r="D1" i="6"/>
  <c r="C97" i="6"/>
  <c r="AY39" i="5"/>
  <c r="AX39" i="5"/>
  <c r="AS39" i="5"/>
  <c r="AT39" i="5" s="1"/>
  <c r="AN39" i="5"/>
  <c r="AK39" i="5"/>
  <c r="AF39" i="5"/>
  <c r="AY38" i="5"/>
  <c r="AX38" i="5"/>
  <c r="AT38" i="5"/>
  <c r="AS38" i="5"/>
  <c r="AN38" i="5"/>
  <c r="AK38" i="5"/>
  <c r="AO38" i="5" s="1"/>
  <c r="AF38" i="5"/>
  <c r="AY37" i="5"/>
  <c r="AX37" i="5"/>
  <c r="AS37" i="5"/>
  <c r="AT37" i="5" s="1"/>
  <c r="AN37" i="5"/>
  <c r="AK37" i="5"/>
  <c r="AF37" i="5"/>
  <c r="I37" i="5"/>
  <c r="AY36" i="5"/>
  <c r="AX36" i="5"/>
  <c r="AS36" i="5"/>
  <c r="AT36" i="5" s="1"/>
  <c r="AN36" i="5"/>
  <c r="AK36" i="5"/>
  <c r="AF36" i="5"/>
  <c r="AY35" i="5"/>
  <c r="AX35" i="5"/>
  <c r="AS35" i="5"/>
  <c r="AT35" i="5" s="1"/>
  <c r="AN35" i="5"/>
  <c r="AO35" i="5" s="1"/>
  <c r="AK35" i="5"/>
  <c r="AF35" i="5"/>
  <c r="AY34" i="5"/>
  <c r="AX34" i="5"/>
  <c r="AS34" i="5"/>
  <c r="AT34" i="5" s="1"/>
  <c r="AN34" i="5"/>
  <c r="AK34" i="5"/>
  <c r="AF34" i="5"/>
  <c r="AY33" i="5"/>
  <c r="AX33" i="5"/>
  <c r="AS33" i="5"/>
  <c r="AT33" i="5" s="1"/>
  <c r="AN33" i="5"/>
  <c r="AO33" i="5" s="1"/>
  <c r="AK33" i="5"/>
  <c r="AF33" i="5"/>
  <c r="AY32" i="5"/>
  <c r="AX32" i="5"/>
  <c r="AS32" i="5"/>
  <c r="AT32" i="5" s="1"/>
  <c r="AN32" i="5"/>
  <c r="AK32" i="5"/>
  <c r="AF32" i="5"/>
  <c r="AY31" i="5"/>
  <c r="AX31" i="5"/>
  <c r="AS31" i="5"/>
  <c r="AT31" i="5" s="1"/>
  <c r="AN31" i="5"/>
  <c r="AK31" i="5"/>
  <c r="AF31" i="5"/>
  <c r="AY30" i="5"/>
  <c r="AX30" i="5"/>
  <c r="AS30" i="5"/>
  <c r="AT30" i="5" s="1"/>
  <c r="AN30" i="5"/>
  <c r="AO30" i="5" s="1"/>
  <c r="AK30" i="5"/>
  <c r="AF30" i="5"/>
  <c r="AY29" i="5"/>
  <c r="AX29" i="5"/>
  <c r="AS29" i="5"/>
  <c r="AT29" i="5" s="1"/>
  <c r="AN29" i="5"/>
  <c r="AK29" i="5"/>
  <c r="AF29" i="5"/>
  <c r="AY28" i="5"/>
  <c r="AZ28" i="5" s="1"/>
  <c r="AX28" i="5"/>
  <c r="AS28" i="5"/>
  <c r="AT28" i="5" s="1"/>
  <c r="AN28" i="5"/>
  <c r="AK28" i="5"/>
  <c r="AF28" i="5"/>
  <c r="AY27" i="5"/>
  <c r="AX27" i="5"/>
  <c r="AT27" i="5"/>
  <c r="AS27" i="5"/>
  <c r="AN27" i="5"/>
  <c r="AK27" i="5"/>
  <c r="AF27" i="5"/>
  <c r="AY26" i="5"/>
  <c r="AX26" i="5"/>
  <c r="AS26" i="5"/>
  <c r="AT26" i="5" s="1"/>
  <c r="AN26" i="5"/>
  <c r="AO26" i="5" s="1"/>
  <c r="AK26" i="5"/>
  <c r="AF26" i="5"/>
  <c r="AY25" i="5"/>
  <c r="AX25" i="5"/>
  <c r="AS25" i="5"/>
  <c r="AT25" i="5" s="1"/>
  <c r="AN25" i="5"/>
  <c r="AO25" i="5" s="1"/>
  <c r="AK25" i="5"/>
  <c r="AF25" i="5"/>
  <c r="AY24" i="5"/>
  <c r="AX24" i="5"/>
  <c r="AS24" i="5"/>
  <c r="AT24" i="5" s="1"/>
  <c r="AN24" i="5"/>
  <c r="AK24" i="5"/>
  <c r="AF24" i="5"/>
  <c r="AY23" i="5"/>
  <c r="AX23" i="5"/>
  <c r="AS23" i="5"/>
  <c r="AT23" i="5" s="1"/>
  <c r="AN23" i="5"/>
  <c r="AO23" i="5" s="1"/>
  <c r="AK23" i="5"/>
  <c r="AF23" i="5"/>
  <c r="AY22" i="5"/>
  <c r="AX22" i="5"/>
  <c r="AS22" i="5"/>
  <c r="AT22" i="5" s="1"/>
  <c r="AN22" i="5"/>
  <c r="AK22" i="5"/>
  <c r="AF22" i="5"/>
  <c r="AY21" i="5"/>
  <c r="AX21" i="5"/>
  <c r="AS21" i="5"/>
  <c r="AT21" i="5" s="1"/>
  <c r="AN21" i="5"/>
  <c r="AK21" i="5"/>
  <c r="AO21" i="5" s="1"/>
  <c r="AF21" i="5"/>
  <c r="AY20" i="5"/>
  <c r="AX20" i="5"/>
  <c r="AS20" i="5"/>
  <c r="AT20" i="5" s="1"/>
  <c r="AN20" i="5"/>
  <c r="AO20" i="5" s="1"/>
  <c r="AK20" i="5"/>
  <c r="AF20" i="5"/>
  <c r="AY19" i="5"/>
  <c r="AX19" i="5"/>
  <c r="AS19" i="5"/>
  <c r="AT19" i="5" s="1"/>
  <c r="AN19" i="5"/>
  <c r="AK19" i="5"/>
  <c r="AF19" i="5"/>
  <c r="AY18" i="5"/>
  <c r="AX18" i="5"/>
  <c r="AS18" i="5"/>
  <c r="AT18" i="5" s="1"/>
  <c r="AN18" i="5"/>
  <c r="AK18" i="5"/>
  <c r="AF18" i="5"/>
  <c r="AY17" i="5"/>
  <c r="AX17" i="5"/>
  <c r="AS17" i="5"/>
  <c r="AT17" i="5" s="1"/>
  <c r="AN17" i="5"/>
  <c r="AK17" i="5"/>
  <c r="AF17" i="5"/>
  <c r="AY16" i="5"/>
  <c r="AZ16" i="5" s="1"/>
  <c r="AX16" i="5"/>
  <c r="AS16" i="5"/>
  <c r="AT16" i="5" s="1"/>
  <c r="AN16" i="5"/>
  <c r="AK16" i="5"/>
  <c r="AF16" i="5"/>
  <c r="AY15" i="5"/>
  <c r="AX15" i="5"/>
  <c r="AT15" i="5"/>
  <c r="AS15" i="5"/>
  <c r="AN15" i="5"/>
  <c r="AK15" i="5"/>
  <c r="AF15" i="5"/>
  <c r="AY14" i="5"/>
  <c r="AX14" i="5"/>
  <c r="AS14" i="5"/>
  <c r="AT14" i="5" s="1"/>
  <c r="AN14" i="5"/>
  <c r="AO14" i="5" s="1"/>
  <c r="AK14" i="5"/>
  <c r="AF14" i="5"/>
  <c r="AY13" i="5"/>
  <c r="AX13" i="5"/>
  <c r="AS13" i="5"/>
  <c r="AT13" i="5" s="1"/>
  <c r="AN13" i="5"/>
  <c r="AK13" i="5"/>
  <c r="AO13" i="5" s="1"/>
  <c r="AF13" i="5"/>
  <c r="AY12" i="5"/>
  <c r="AX12" i="5"/>
  <c r="AS12" i="5"/>
  <c r="AT12" i="5" s="1"/>
  <c r="AN12" i="5"/>
  <c r="AK12" i="5"/>
  <c r="AF12" i="5"/>
  <c r="AY11" i="5"/>
  <c r="AX11" i="5"/>
  <c r="AS11" i="5"/>
  <c r="AT11" i="5" s="1"/>
  <c r="AN11" i="5"/>
  <c r="AK11" i="5"/>
  <c r="AF11" i="5"/>
  <c r="AY10" i="5"/>
  <c r="AX10" i="5"/>
  <c r="AS10" i="5"/>
  <c r="AT10" i="5" s="1"/>
  <c r="AN10" i="5"/>
  <c r="AK10" i="5"/>
  <c r="AO10" i="5" s="1"/>
  <c r="AF10" i="5"/>
  <c r="AY9" i="5"/>
  <c r="AX9" i="5"/>
  <c r="AS9" i="5"/>
  <c r="AT9" i="5" s="1"/>
  <c r="AN9" i="5"/>
  <c r="AO9" i="5" s="1"/>
  <c r="AK9" i="5"/>
  <c r="AF9" i="5"/>
  <c r="AY8" i="5"/>
  <c r="AX8" i="5"/>
  <c r="AS8" i="5"/>
  <c r="AT8" i="5" s="1"/>
  <c r="AN8" i="5"/>
  <c r="AK8" i="5"/>
  <c r="AF8" i="5"/>
  <c r="AY7" i="5"/>
  <c r="AX7" i="5"/>
  <c r="AS7" i="5"/>
  <c r="AT7" i="5" s="1"/>
  <c r="AN7" i="5"/>
  <c r="AK7" i="5"/>
  <c r="AF7" i="5"/>
  <c r="AY6" i="5"/>
  <c r="AX6" i="5"/>
  <c r="AS6" i="5"/>
  <c r="AT6" i="5" s="1"/>
  <c r="AN6" i="5"/>
  <c r="AK6" i="5"/>
  <c r="AF6" i="5"/>
  <c r="AY5" i="5"/>
  <c r="AX5" i="5"/>
  <c r="AS5" i="5"/>
  <c r="AT5" i="5" s="1"/>
  <c r="AN5" i="5"/>
  <c r="AK5" i="5"/>
  <c r="AO5" i="5" s="1"/>
  <c r="AF5" i="5"/>
  <c r="AY4" i="5"/>
  <c r="AZ4" i="5" s="1"/>
  <c r="AX4" i="5"/>
  <c r="AS4" i="5"/>
  <c r="AT4" i="5" s="1"/>
  <c r="AN4" i="5"/>
  <c r="AK4" i="5"/>
  <c r="AF4" i="5"/>
  <c r="AY3" i="5"/>
  <c r="AX3" i="5"/>
  <c r="AS3" i="5"/>
  <c r="AT3" i="5" s="1"/>
  <c r="AN3" i="5"/>
  <c r="AK3" i="5"/>
  <c r="AF3" i="5"/>
  <c r="I3" i="5"/>
  <c r="S1" i="5"/>
  <c r="J1" i="5"/>
  <c r="J40" i="5" s="1"/>
  <c r="I1" i="5"/>
  <c r="H1" i="5"/>
  <c r="G1" i="5"/>
  <c r="G40" i="5" s="1"/>
  <c r="F1" i="5"/>
  <c r="F40" i="5" s="1"/>
  <c r="E1" i="5"/>
  <c r="BA17" i="4"/>
  <c r="AV17" i="4"/>
  <c r="AQ17" i="4"/>
  <c r="BA16" i="4"/>
  <c r="AV16" i="4"/>
  <c r="AQ16" i="4"/>
  <c r="BA14" i="4"/>
  <c r="AV14" i="4"/>
  <c r="AQ14" i="4"/>
  <c r="BA13" i="4"/>
  <c r="AV13" i="4"/>
  <c r="AQ13" i="4"/>
  <c r="BA12" i="4"/>
  <c r="AV12" i="4"/>
  <c r="AQ12" i="4"/>
  <c r="BA11" i="4"/>
  <c r="AV11" i="4"/>
  <c r="AQ11" i="4"/>
  <c r="BA10" i="4"/>
  <c r="AV10" i="4"/>
  <c r="AQ10" i="4"/>
  <c r="BA9" i="4"/>
  <c r="AV9" i="4"/>
  <c r="AQ9" i="4"/>
  <c r="AI9" i="4"/>
  <c r="BA8" i="4"/>
  <c r="AV8" i="4"/>
  <c r="AQ8" i="4"/>
  <c r="BA7" i="4"/>
  <c r="AV7" i="4"/>
  <c r="AQ7" i="4"/>
  <c r="BA6" i="4"/>
  <c r="AV6" i="4"/>
  <c r="AQ6" i="4"/>
  <c r="BA5" i="4"/>
  <c r="AV5" i="4"/>
  <c r="AQ5" i="4"/>
  <c r="BA4" i="4"/>
  <c r="AV4" i="4"/>
  <c r="AQ4" i="4"/>
  <c r="BA3" i="4"/>
  <c r="AV3" i="4"/>
  <c r="AQ3" i="4"/>
  <c r="O1" i="4"/>
  <c r="D117" i="6" l="1"/>
  <c r="D119" i="6"/>
  <c r="D121" i="6"/>
  <c r="D124" i="6"/>
  <c r="D126" i="6"/>
  <c r="D129" i="6"/>
  <c r="D115" i="6"/>
  <c r="D123" i="6"/>
  <c r="D128" i="6"/>
  <c r="D135" i="6"/>
  <c r="D137" i="6"/>
  <c r="D112" i="6"/>
  <c r="D114" i="6"/>
  <c r="D130" i="6"/>
  <c r="D139" i="6"/>
  <c r="D141" i="6"/>
  <c r="D144" i="6"/>
  <c r="D146" i="6"/>
  <c r="D153" i="6"/>
  <c r="D155" i="6"/>
  <c r="D158" i="6"/>
  <c r="D148" i="6"/>
  <c r="D157" i="6"/>
  <c r="D164" i="6"/>
  <c r="D166" i="6"/>
  <c r="D171" i="6"/>
  <c r="D173" i="6"/>
  <c r="D184" i="6"/>
  <c r="D191" i="6"/>
  <c r="D196" i="6"/>
  <c r="D198" i="6"/>
  <c r="D203" i="6"/>
  <c r="D205" i="6"/>
  <c r="D221" i="6"/>
  <c r="D224" i="6"/>
  <c r="D226" i="6"/>
  <c r="D235" i="6"/>
  <c r="D237" i="6"/>
  <c r="D246" i="6"/>
  <c r="D249" i="6"/>
  <c r="D252" i="6"/>
  <c r="D254" i="6"/>
  <c r="D259" i="6"/>
  <c r="D268" i="6"/>
  <c r="D270" i="6"/>
  <c r="D283" i="6"/>
  <c r="D285" i="6"/>
  <c r="D292" i="6"/>
  <c r="D294" i="6"/>
  <c r="D296" i="6"/>
  <c r="D299" i="6"/>
  <c r="D304" i="6"/>
  <c r="D306" i="6"/>
  <c r="D315" i="6"/>
  <c r="D317" i="6"/>
  <c r="D324" i="6"/>
  <c r="D326" i="6"/>
  <c r="D328" i="6"/>
  <c r="D360" i="6"/>
  <c r="D365" i="6"/>
  <c r="D367" i="6"/>
  <c r="D370" i="6"/>
  <c r="D377" i="6"/>
  <c r="D399" i="6"/>
  <c r="D401" i="6"/>
  <c r="D409" i="6"/>
  <c r="D431" i="6"/>
  <c r="D433" i="6"/>
  <c r="D443" i="6"/>
  <c r="D445" i="6"/>
  <c r="D459" i="6"/>
  <c r="D467" i="6"/>
  <c r="D475" i="6"/>
  <c r="D483" i="6"/>
  <c r="D491" i="6"/>
  <c r="D499" i="6"/>
  <c r="D507" i="6"/>
  <c r="D142" i="6"/>
  <c r="D170" i="6"/>
  <c r="D175" i="6"/>
  <c r="D177" i="6"/>
  <c r="D193" i="6"/>
  <c r="D223" i="6"/>
  <c r="D228" i="6"/>
  <c r="D230" i="6"/>
  <c r="D239" i="6"/>
  <c r="D251" i="6"/>
  <c r="D256" i="6"/>
  <c r="D258" i="6"/>
  <c r="D261" i="6"/>
  <c r="D267" i="6"/>
  <c r="D272" i="6"/>
  <c r="D274" i="6"/>
  <c r="D277" i="6"/>
  <c r="D280" i="6"/>
  <c r="D287" i="6"/>
  <c r="D301" i="6"/>
  <c r="D308" i="6"/>
  <c r="D310" i="6"/>
  <c r="D319" i="6"/>
  <c r="D321" i="6"/>
  <c r="D331" i="6"/>
  <c r="D372" i="6"/>
  <c r="D379" i="6"/>
  <c r="D381" i="6"/>
  <c r="D391" i="6"/>
  <c r="D393" i="6"/>
  <c r="D396" i="6"/>
  <c r="D411" i="6"/>
  <c r="D413" i="6"/>
  <c r="D423" i="6"/>
  <c r="D425" i="6"/>
  <c r="D428" i="6"/>
  <c r="D447" i="6"/>
  <c r="D449" i="6"/>
  <c r="D461" i="6"/>
  <c r="D147" i="6"/>
  <c r="D169" i="6"/>
  <c r="D187" i="6"/>
  <c r="D208" i="6"/>
  <c r="D210" i="6"/>
  <c r="D217" i="6"/>
  <c r="D248" i="6"/>
  <c r="D263" i="6"/>
  <c r="D266" i="6"/>
  <c r="D276" i="6"/>
  <c r="D279" i="6"/>
  <c r="D333" i="6"/>
  <c r="D335" i="6"/>
  <c r="D340" i="6"/>
  <c r="D343" i="6"/>
  <c r="D345" i="6"/>
  <c r="D350" i="6"/>
  <c r="D374" i="6"/>
  <c r="D383" i="6"/>
  <c r="D385" i="6"/>
  <c r="D390" i="6"/>
  <c r="D395" i="6"/>
  <c r="D403" i="6"/>
  <c r="D405" i="6"/>
  <c r="D408" i="6"/>
  <c r="D415" i="6"/>
  <c r="D417" i="6"/>
  <c r="D422" i="6"/>
  <c r="D427" i="6"/>
  <c r="D435" i="6"/>
  <c r="D437" i="6"/>
  <c r="D152" i="6"/>
  <c r="D162" i="6"/>
  <c r="D212" i="6"/>
  <c r="D216" i="6"/>
  <c r="D233" i="6"/>
  <c r="D247" i="6"/>
  <c r="D302" i="6"/>
  <c r="D347" i="6"/>
  <c r="D387" i="6"/>
  <c r="D407" i="6"/>
  <c r="D421" i="6"/>
  <c r="D441" i="6"/>
  <c r="D453" i="6"/>
  <c r="D455" i="6"/>
  <c r="D469" i="6"/>
  <c r="D471" i="6"/>
  <c r="D497" i="6"/>
  <c r="D501" i="6"/>
  <c r="D503" i="6"/>
  <c r="D515" i="6"/>
  <c r="D523" i="6"/>
  <c r="D132" i="6"/>
  <c r="D201" i="6"/>
  <c r="D313" i="6"/>
  <c r="D493" i="6"/>
  <c r="D521" i="6"/>
  <c r="D143" i="6"/>
  <c r="D160" i="6"/>
  <c r="D182" i="6"/>
  <c r="D189" i="6"/>
  <c r="D199" i="6"/>
  <c r="D219" i="6"/>
  <c r="D281" i="6"/>
  <c r="D288" i="6"/>
  <c r="D342" i="6"/>
  <c r="D354" i="6"/>
  <c r="D358" i="6"/>
  <c r="D361" i="6"/>
  <c r="D368" i="6"/>
  <c r="D402" i="6"/>
  <c r="D429" i="6"/>
  <c r="D451" i="6"/>
  <c r="D463" i="6"/>
  <c r="D465" i="6"/>
  <c r="D473" i="6"/>
  <c r="D477" i="6"/>
  <c r="D479" i="6"/>
  <c r="D505" i="6"/>
  <c r="D509" i="6"/>
  <c r="D517" i="6"/>
  <c r="D525" i="6"/>
  <c r="D290" i="6"/>
  <c r="D352" i="6"/>
  <c r="D363" i="6"/>
  <c r="D397" i="6"/>
  <c r="D434" i="6"/>
  <c r="D150" i="6"/>
  <c r="D214" i="6"/>
  <c r="D242" i="6"/>
  <c r="D265" i="6"/>
  <c r="D297" i="6"/>
  <c r="D337" i="6"/>
  <c r="D349" i="6"/>
  <c r="D389" i="6"/>
  <c r="D419" i="6"/>
  <c r="D439" i="6"/>
  <c r="D481" i="6"/>
  <c r="D485" i="6"/>
  <c r="D487" i="6"/>
  <c r="D511" i="6"/>
  <c r="D519" i="6"/>
  <c r="D180" i="6"/>
  <c r="D356" i="6"/>
  <c r="D457" i="6"/>
  <c r="D489" i="6"/>
  <c r="D495" i="6"/>
  <c r="D513" i="6"/>
  <c r="D238" i="6"/>
  <c r="D418" i="6"/>
  <c r="D284" i="6"/>
  <c r="D234" i="6"/>
  <c r="D512" i="6"/>
  <c r="D500" i="6"/>
  <c r="D355" i="6"/>
  <c r="D490" i="6"/>
  <c r="D484" i="6"/>
  <c r="D480" i="6"/>
  <c r="D476" i="6"/>
  <c r="D466" i="6"/>
  <c r="D183" i="6"/>
  <c r="D178" i="6"/>
  <c r="D298" i="6"/>
  <c r="D526" i="6"/>
  <c r="D524" i="6"/>
  <c r="D231" i="6"/>
  <c r="D371" i="6"/>
  <c r="D514" i="6"/>
  <c r="D510" i="6"/>
  <c r="D220" i="6"/>
  <c r="D502" i="6"/>
  <c r="D213" i="6"/>
  <c r="D209" i="6"/>
  <c r="D204" i="6"/>
  <c r="D346" i="6"/>
  <c r="D478" i="6"/>
  <c r="D336" i="6"/>
  <c r="D334" i="6"/>
  <c r="D181" i="6"/>
  <c r="D456" i="6"/>
  <c r="D314" i="6"/>
  <c r="D448" i="6"/>
  <c r="D165" i="6"/>
  <c r="D163" i="6"/>
  <c r="D303" i="6"/>
  <c r="D440" i="6"/>
  <c r="D318" i="6"/>
  <c r="D167" i="6"/>
  <c r="D293" i="6"/>
  <c r="D282" i="6"/>
  <c r="D134" i="6"/>
  <c r="D404" i="6"/>
  <c r="D118" i="6"/>
  <c r="D260" i="6"/>
  <c r="D255" i="6"/>
  <c r="D406" i="6"/>
  <c r="D273" i="6"/>
  <c r="D244" i="6"/>
  <c r="D140" i="6"/>
  <c r="D400" i="6"/>
  <c r="D416" i="6"/>
  <c r="D262" i="6"/>
  <c r="D122" i="6"/>
  <c r="D133" i="6"/>
  <c r="D378" i="6"/>
  <c r="D516" i="6"/>
  <c r="D218" i="6"/>
  <c r="D359" i="6"/>
  <c r="D496" i="6"/>
  <c r="D332" i="6"/>
  <c r="D329" i="6"/>
  <c r="D322" i="6"/>
  <c r="D174" i="6"/>
  <c r="D172" i="6"/>
  <c r="D161" i="6"/>
  <c r="D436" i="6"/>
  <c r="D432" i="6"/>
  <c r="D380" i="6"/>
  <c r="D375" i="6"/>
  <c r="D506" i="6"/>
  <c r="D498" i="6"/>
  <c r="D492" i="6"/>
  <c r="D348" i="6"/>
  <c r="D486" i="6"/>
  <c r="D482" i="6"/>
  <c r="D474" i="6"/>
  <c r="D190" i="6"/>
  <c r="D186" i="6"/>
  <c r="D462" i="6"/>
  <c r="D179" i="6"/>
  <c r="D450" i="6"/>
  <c r="D307" i="6"/>
  <c r="D376" i="6"/>
  <c r="D197" i="6"/>
  <c r="D410" i="6"/>
  <c r="D241" i="6"/>
  <c r="D392" i="6"/>
  <c r="D151" i="6"/>
  <c r="D286" i="6"/>
  <c r="D398" i="6"/>
  <c r="D136" i="6"/>
  <c r="D424" i="6"/>
  <c r="D460" i="6"/>
  <c r="D232" i="6"/>
  <c r="D225" i="6"/>
  <c r="D366" i="6"/>
  <c r="D504" i="6"/>
  <c r="D338" i="6"/>
  <c r="D188" i="6"/>
  <c r="D185" i="6"/>
  <c r="D327" i="6"/>
  <c r="D452" i="6"/>
  <c r="D316" i="6"/>
  <c r="D311" i="6"/>
  <c r="D454" i="6"/>
  <c r="D236" i="6"/>
  <c r="D364" i="6"/>
  <c r="D351" i="6"/>
  <c r="D195" i="6"/>
  <c r="D192" i="6"/>
  <c r="D472" i="6"/>
  <c r="D468" i="6"/>
  <c r="D325" i="6"/>
  <c r="D323" i="6"/>
  <c r="D176" i="6"/>
  <c r="D168" i="6"/>
  <c r="D309" i="6"/>
  <c r="D442" i="6"/>
  <c r="D412" i="6"/>
  <c r="D145" i="6"/>
  <c r="D522" i="6"/>
  <c r="D520" i="6"/>
  <c r="D229" i="6"/>
  <c r="D369" i="6"/>
  <c r="D508" i="6"/>
  <c r="D362" i="6"/>
  <c r="D215" i="6"/>
  <c r="D211" i="6"/>
  <c r="D206" i="6"/>
  <c r="D344" i="6"/>
  <c r="D341" i="6"/>
  <c r="D470" i="6"/>
  <c r="D464" i="6"/>
  <c r="D458" i="6"/>
  <c r="D446" i="6"/>
  <c r="D305" i="6"/>
  <c r="D245" i="6"/>
  <c r="D154" i="6"/>
  <c r="D200" i="6"/>
  <c r="D382" i="6"/>
  <c r="D518" i="6"/>
  <c r="D227" i="6"/>
  <c r="D253" i="6"/>
  <c r="D357" i="6"/>
  <c r="D494" i="6"/>
  <c r="D207" i="6"/>
  <c r="D488" i="6"/>
  <c r="D202" i="6"/>
  <c r="D250" i="6"/>
  <c r="D339" i="6"/>
  <c r="D320" i="6"/>
  <c r="D312" i="6"/>
  <c r="D444" i="6"/>
  <c r="D438" i="6"/>
  <c r="D156" i="6"/>
  <c r="D353" i="6"/>
  <c r="D222" i="6"/>
  <c r="D426" i="6"/>
  <c r="D243" i="6"/>
  <c r="D269" i="6"/>
  <c r="D257" i="6"/>
  <c r="D414" i="6"/>
  <c r="D289" i="6"/>
  <c r="D291" i="6"/>
  <c r="D275" i="6"/>
  <c r="D271" i="6"/>
  <c r="D159" i="6"/>
  <c r="D330" i="6"/>
  <c r="D116" i="6"/>
  <c r="D386" i="6"/>
  <c r="D127" i="6"/>
  <c r="D388" i="6"/>
  <c r="D384" i="6"/>
  <c r="D111" i="6"/>
  <c r="D300" i="6"/>
  <c r="D278" i="6"/>
  <c r="D113" i="6"/>
  <c r="D138" i="6"/>
  <c r="D394" i="6"/>
  <c r="D240" i="6"/>
  <c r="D295" i="6"/>
  <c r="D420" i="6"/>
  <c r="D373" i="6"/>
  <c r="D149" i="6"/>
  <c r="D125" i="6"/>
  <c r="D264" i="6"/>
  <c r="D120" i="6"/>
  <c r="D194" i="6"/>
  <c r="D430" i="6"/>
  <c r="D131" i="6"/>
  <c r="E111" i="6"/>
  <c r="E113" i="6"/>
  <c r="E132" i="6"/>
  <c r="E117" i="6"/>
  <c r="E119" i="6"/>
  <c r="E121" i="6"/>
  <c r="E124" i="6"/>
  <c r="E126" i="6"/>
  <c r="E129" i="6"/>
  <c r="E131" i="6"/>
  <c r="E115" i="6"/>
  <c r="E123" i="6"/>
  <c r="E128" i="6"/>
  <c r="E133" i="6"/>
  <c r="E135" i="6"/>
  <c r="E137" i="6"/>
  <c r="E142" i="6"/>
  <c r="E147" i="6"/>
  <c r="E149" i="6"/>
  <c r="E161" i="6"/>
  <c r="E164" i="6"/>
  <c r="E130" i="6"/>
  <c r="E136" i="6"/>
  <c r="E139" i="6"/>
  <c r="E143" i="6"/>
  <c r="E146" i="6"/>
  <c r="E150" i="6"/>
  <c r="E152" i="6"/>
  <c r="E155" i="6"/>
  <c r="E160" i="6"/>
  <c r="E162" i="6"/>
  <c r="E176" i="6"/>
  <c r="E178" i="6"/>
  <c r="E180" i="6"/>
  <c r="E182" i="6"/>
  <c r="E186" i="6"/>
  <c r="E189" i="6"/>
  <c r="E194" i="6"/>
  <c r="E199" i="6"/>
  <c r="E201" i="6"/>
  <c r="E209" i="6"/>
  <c r="E212" i="6"/>
  <c r="E214" i="6"/>
  <c r="E216" i="6"/>
  <c r="E219" i="6"/>
  <c r="E229" i="6"/>
  <c r="E231" i="6"/>
  <c r="E233" i="6"/>
  <c r="E240" i="6"/>
  <c r="E242" i="6"/>
  <c r="E244" i="6"/>
  <c r="E247" i="6"/>
  <c r="E262" i="6"/>
  <c r="E265" i="6"/>
  <c r="E273" i="6"/>
  <c r="E275" i="6"/>
  <c r="E278" i="6"/>
  <c r="E281" i="6"/>
  <c r="E288" i="6"/>
  <c r="E290" i="6"/>
  <c r="E297" i="6"/>
  <c r="E302" i="6"/>
  <c r="E309" i="6"/>
  <c r="E311" i="6"/>
  <c r="E313" i="6"/>
  <c r="E320" i="6"/>
  <c r="E322" i="6"/>
  <c r="E330" i="6"/>
  <c r="E332" i="6"/>
  <c r="E337" i="6"/>
  <c r="E339" i="6"/>
  <c r="E342" i="6"/>
  <c r="E347" i="6"/>
  <c r="E349" i="6"/>
  <c r="E352" i="6"/>
  <c r="E354" i="6"/>
  <c r="E356" i="6"/>
  <c r="E358" i="6"/>
  <c r="E361" i="6"/>
  <c r="E363" i="6"/>
  <c r="E368" i="6"/>
  <c r="E373" i="6"/>
  <c r="E380" i="6"/>
  <c r="E382" i="6"/>
  <c r="E387" i="6"/>
  <c r="E389" i="6"/>
  <c r="E392" i="6"/>
  <c r="E394" i="6"/>
  <c r="E397" i="6"/>
  <c r="E402" i="6"/>
  <c r="E407" i="6"/>
  <c r="E412" i="6"/>
  <c r="E414" i="6"/>
  <c r="E419" i="6"/>
  <c r="E421" i="6"/>
  <c r="E424" i="6"/>
  <c r="E426" i="6"/>
  <c r="E429" i="6"/>
  <c r="E434" i="6"/>
  <c r="E439" i="6"/>
  <c r="E441" i="6"/>
  <c r="E448" i="6"/>
  <c r="E450" i="6"/>
  <c r="E455" i="6"/>
  <c r="E457" i="6"/>
  <c r="E462" i="6"/>
  <c r="E465" i="6"/>
  <c r="E470" i="6"/>
  <c r="E473" i="6"/>
  <c r="E478" i="6"/>
  <c r="E481" i="6"/>
  <c r="E486" i="6"/>
  <c r="E489" i="6"/>
  <c r="E494" i="6"/>
  <c r="E497" i="6"/>
  <c r="E502" i="6"/>
  <c r="E505" i="6"/>
  <c r="E112" i="6"/>
  <c r="E116" i="6"/>
  <c r="E120" i="6"/>
  <c r="E127" i="6"/>
  <c r="E134" i="6"/>
  <c r="E144" i="6"/>
  <c r="E148" i="6"/>
  <c r="E153" i="6"/>
  <c r="E157" i="6"/>
  <c r="E159" i="6"/>
  <c r="E166" i="6"/>
  <c r="E168" i="6"/>
  <c r="E171" i="6"/>
  <c r="E173" i="6"/>
  <c r="E181" i="6"/>
  <c r="E184" i="6"/>
  <c r="E188" i="6"/>
  <c r="E191" i="6"/>
  <c r="E196" i="6"/>
  <c r="E198" i="6"/>
  <c r="E203" i="6"/>
  <c r="E205" i="6"/>
  <c r="E207" i="6"/>
  <c r="E211" i="6"/>
  <c r="E213" i="6"/>
  <c r="E218" i="6"/>
  <c r="E221" i="6"/>
  <c r="E224" i="6"/>
  <c r="E226" i="6"/>
  <c r="E235" i="6"/>
  <c r="E237" i="6"/>
  <c r="E241" i="6"/>
  <c r="E246" i="6"/>
  <c r="E249" i="6"/>
  <c r="E252" i="6"/>
  <c r="E254" i="6"/>
  <c r="E259" i="6"/>
  <c r="E264" i="6"/>
  <c r="E268" i="6"/>
  <c r="E270" i="6"/>
  <c r="E283" i="6"/>
  <c r="E285" i="6"/>
  <c r="E289" i="6"/>
  <c r="E292" i="6"/>
  <c r="E294" i="6"/>
  <c r="E296" i="6"/>
  <c r="E299" i="6"/>
  <c r="E304" i="6"/>
  <c r="E306" i="6"/>
  <c r="E315" i="6"/>
  <c r="E317" i="6"/>
  <c r="E324" i="6"/>
  <c r="E326" i="6"/>
  <c r="E328" i="6"/>
  <c r="E334" i="6"/>
  <c r="E336" i="6"/>
  <c r="E341" i="6"/>
  <c r="E344" i="6"/>
  <c r="E346" i="6"/>
  <c r="E351" i="6"/>
  <c r="E353" i="6"/>
  <c r="E357" i="6"/>
  <c r="E360" i="6"/>
  <c r="E365" i="6"/>
  <c r="E367" i="6"/>
  <c r="E370" i="6"/>
  <c r="E375" i="6"/>
  <c r="E377" i="6"/>
  <c r="E384" i="6"/>
  <c r="E386" i="6"/>
  <c r="E399" i="6"/>
  <c r="E401" i="6"/>
  <c r="E404" i="6"/>
  <c r="E406" i="6"/>
  <c r="E409" i="6"/>
  <c r="E416" i="6"/>
  <c r="E418" i="6"/>
  <c r="E431" i="6"/>
  <c r="E433" i="6"/>
  <c r="E436" i="6"/>
  <c r="E438" i="6"/>
  <c r="E443" i="6"/>
  <c r="E445" i="6"/>
  <c r="E452" i="6"/>
  <c r="E454" i="6"/>
  <c r="E459" i="6"/>
  <c r="E464" i="6"/>
  <c r="E467" i="6"/>
  <c r="E138" i="6"/>
  <c r="E140" i="6"/>
  <c r="E145" i="6"/>
  <c r="E151" i="6"/>
  <c r="E156" i="6"/>
  <c r="E163" i="6"/>
  <c r="E165" i="6"/>
  <c r="E170" i="6"/>
  <c r="E175" i="6"/>
  <c r="E177" i="6"/>
  <c r="E179" i="6"/>
  <c r="E183" i="6"/>
  <c r="E185" i="6"/>
  <c r="E190" i="6"/>
  <c r="E193" i="6"/>
  <c r="E195" i="6"/>
  <c r="E200" i="6"/>
  <c r="E202" i="6"/>
  <c r="E215" i="6"/>
  <c r="E220" i="6"/>
  <c r="E223" i="6"/>
  <c r="E228" i="6"/>
  <c r="E230" i="6"/>
  <c r="E232" i="6"/>
  <c r="E234" i="6"/>
  <c r="E239" i="6"/>
  <c r="E243" i="6"/>
  <c r="E245" i="6"/>
  <c r="E251" i="6"/>
  <c r="E253" i="6"/>
  <c r="E256" i="6"/>
  <c r="E258" i="6"/>
  <c r="E261" i="6"/>
  <c r="E267" i="6"/>
  <c r="E272" i="6"/>
  <c r="E274" i="6"/>
  <c r="E277" i="6"/>
  <c r="E280" i="6"/>
  <c r="E282" i="6"/>
  <c r="E287" i="6"/>
  <c r="E291" i="6"/>
  <c r="E293" i="6"/>
  <c r="E298" i="6"/>
  <c r="E301" i="6"/>
  <c r="E303" i="6"/>
  <c r="E308" i="6"/>
  <c r="E310" i="6"/>
  <c r="E312" i="6"/>
  <c r="E314" i="6"/>
  <c r="E319" i="6"/>
  <c r="E321" i="6"/>
  <c r="E323" i="6"/>
  <c r="E325" i="6"/>
  <c r="E329" i="6"/>
  <c r="E331" i="6"/>
  <c r="E338" i="6"/>
  <c r="E348" i="6"/>
  <c r="E355" i="6"/>
  <c r="E359" i="6"/>
  <c r="E362" i="6"/>
  <c r="E364" i="6"/>
  <c r="E369" i="6"/>
  <c r="E372" i="6"/>
  <c r="E379" i="6"/>
  <c r="E381" i="6"/>
  <c r="E388" i="6"/>
  <c r="E391" i="6"/>
  <c r="E393" i="6"/>
  <c r="E396" i="6"/>
  <c r="E398" i="6"/>
  <c r="E411" i="6"/>
  <c r="E413" i="6"/>
  <c r="E420" i="6"/>
  <c r="E423" i="6"/>
  <c r="E425" i="6"/>
  <c r="E428" i="6"/>
  <c r="E430" i="6"/>
  <c r="E440" i="6"/>
  <c r="E442" i="6"/>
  <c r="E169" i="6"/>
  <c r="E172" i="6"/>
  <c r="E236" i="6"/>
  <c r="E250" i="6"/>
  <c r="E266" i="6"/>
  <c r="E269" i="6"/>
  <c r="E295" i="6"/>
  <c r="E305" i="6"/>
  <c r="E350" i="6"/>
  <c r="E376" i="6"/>
  <c r="E390" i="6"/>
  <c r="E410" i="6"/>
  <c r="E444" i="6"/>
  <c r="E447" i="6"/>
  <c r="E460" i="6"/>
  <c r="E480" i="6"/>
  <c r="E482" i="6"/>
  <c r="E484" i="6"/>
  <c r="E493" i="6"/>
  <c r="E495" i="6"/>
  <c r="E499" i="6"/>
  <c r="E510" i="6"/>
  <c r="E513" i="6"/>
  <c r="E518" i="6"/>
  <c r="E521" i="6"/>
  <c r="E526" i="6"/>
  <c r="E257" i="6"/>
  <c r="E263" i="6"/>
  <c r="E343" i="6"/>
  <c r="E400" i="6"/>
  <c r="E417" i="6"/>
  <c r="E437" i="6"/>
  <c r="E472" i="6"/>
  <c r="E485" i="6"/>
  <c r="E506" i="6"/>
  <c r="E511" i="6"/>
  <c r="E516" i="6"/>
  <c r="E122" i="6"/>
  <c r="E125" i="6"/>
  <c r="E192" i="6"/>
  <c r="E206" i="6"/>
  <c r="E210" i="6"/>
  <c r="E222" i="6"/>
  <c r="E225" i="6"/>
  <c r="E255" i="6"/>
  <c r="E284" i="6"/>
  <c r="E318" i="6"/>
  <c r="E327" i="6"/>
  <c r="E333" i="6"/>
  <c r="E345" i="6"/>
  <c r="E371" i="6"/>
  <c r="E374" i="6"/>
  <c r="E385" i="6"/>
  <c r="E395" i="6"/>
  <c r="E405" i="6"/>
  <c r="E415" i="6"/>
  <c r="E432" i="6"/>
  <c r="E435" i="6"/>
  <c r="E453" i="6"/>
  <c r="E458" i="6"/>
  <c r="E469" i="6"/>
  <c r="E471" i="6"/>
  <c r="E475" i="6"/>
  <c r="E488" i="6"/>
  <c r="E490" i="6"/>
  <c r="E492" i="6"/>
  <c r="E501" i="6"/>
  <c r="E503" i="6"/>
  <c r="E507" i="6"/>
  <c r="E512" i="6"/>
  <c r="E515" i="6"/>
  <c r="E520" i="6"/>
  <c r="E523" i="6"/>
  <c r="E522" i="6"/>
  <c r="E204" i="6"/>
  <c r="E279" i="6"/>
  <c r="E335" i="6"/>
  <c r="E403" i="6"/>
  <c r="E427" i="6"/>
  <c r="E476" i="6"/>
  <c r="E487" i="6"/>
  <c r="E491" i="6"/>
  <c r="E504" i="6"/>
  <c r="E519" i="6"/>
  <c r="E524" i="6"/>
  <c r="E118" i="6"/>
  <c r="E141" i="6"/>
  <c r="E154" i="6"/>
  <c r="E158" i="6"/>
  <c r="E167" i="6"/>
  <c r="E174" i="6"/>
  <c r="E187" i="6"/>
  <c r="E217" i="6"/>
  <c r="E238" i="6"/>
  <c r="E248" i="6"/>
  <c r="E271" i="6"/>
  <c r="E300" i="6"/>
  <c r="E307" i="6"/>
  <c r="E340" i="6"/>
  <c r="E378" i="6"/>
  <c r="E408" i="6"/>
  <c r="E422" i="6"/>
  <c r="E446" i="6"/>
  <c r="E449" i="6"/>
  <c r="E451" i="6"/>
  <c r="E456" i="6"/>
  <c r="E461" i="6"/>
  <c r="E463" i="6"/>
  <c r="E468" i="6"/>
  <c r="E477" i="6"/>
  <c r="E479" i="6"/>
  <c r="E483" i="6"/>
  <c r="E496" i="6"/>
  <c r="E498" i="6"/>
  <c r="E500" i="6"/>
  <c r="E509" i="6"/>
  <c r="E514" i="6"/>
  <c r="E517" i="6"/>
  <c r="E525" i="6"/>
  <c r="E114" i="6"/>
  <c r="E197" i="6"/>
  <c r="E208" i="6"/>
  <c r="E227" i="6"/>
  <c r="E260" i="6"/>
  <c r="E276" i="6"/>
  <c r="E286" i="6"/>
  <c r="E316" i="6"/>
  <c r="E366" i="6"/>
  <c r="E383" i="6"/>
  <c r="E466" i="6"/>
  <c r="E474" i="6"/>
  <c r="E508" i="6"/>
  <c r="D99" i="7"/>
  <c r="D101" i="7"/>
  <c r="D106" i="7"/>
  <c r="D108" i="7"/>
  <c r="D119" i="7"/>
  <c r="D121" i="7"/>
  <c r="D123" i="7"/>
  <c r="D125" i="7"/>
  <c r="D132" i="7"/>
  <c r="D134" i="7"/>
  <c r="D139" i="7"/>
  <c r="D146" i="7"/>
  <c r="D148" i="7"/>
  <c r="D159" i="7"/>
  <c r="D169" i="7"/>
  <c r="D171" i="7"/>
  <c r="D173" i="7"/>
  <c r="D175" i="7"/>
  <c r="D206" i="7"/>
  <c r="D208" i="7"/>
  <c r="D229" i="7"/>
  <c r="D237" i="7"/>
  <c r="D94" i="7"/>
  <c r="D96" i="7"/>
  <c r="D103" i="7"/>
  <c r="D105" i="7"/>
  <c r="D110" i="7"/>
  <c r="D112" i="7"/>
  <c r="D114" i="7"/>
  <c r="D128" i="7"/>
  <c r="D130" i="7"/>
  <c r="D164" i="7"/>
  <c r="D166" i="7"/>
  <c r="D188" i="7"/>
  <c r="D192" i="7"/>
  <c r="D194" i="7"/>
  <c r="D196" i="7"/>
  <c r="D199" i="7"/>
  <c r="D201" i="7"/>
  <c r="D203" i="7"/>
  <c r="D205" i="7"/>
  <c r="D210" i="7"/>
  <c r="D212" i="7"/>
  <c r="D224" i="7"/>
  <c r="D228" i="7"/>
  <c r="D231" i="7"/>
  <c r="D126" i="7"/>
  <c r="D140" i="7"/>
  <c r="D162" i="7"/>
  <c r="D181" i="7"/>
  <c r="D183" i="7"/>
  <c r="D185" i="7"/>
  <c r="D190" i="7"/>
  <c r="D198" i="7"/>
  <c r="D93" i="7"/>
  <c r="D153" i="7"/>
  <c r="D221" i="7"/>
  <c r="D239" i="7"/>
  <c r="D241" i="7"/>
  <c r="D243" i="7"/>
  <c r="D245" i="7"/>
  <c r="D247" i="7"/>
  <c r="D249" i="7"/>
  <c r="D315" i="7"/>
  <c r="D317" i="7"/>
  <c r="D319" i="7"/>
  <c r="D321" i="7"/>
  <c r="D351" i="7"/>
  <c r="D117" i="7"/>
  <c r="D155" i="7"/>
  <c r="D178" i="7"/>
  <c r="D215" i="7"/>
  <c r="D230" i="7"/>
  <c r="D236" i="7"/>
  <c r="D251" i="7"/>
  <c r="D253" i="7"/>
  <c r="D255" i="7"/>
  <c r="D257" i="7"/>
  <c r="D283" i="7"/>
  <c r="D285" i="7"/>
  <c r="D287" i="7"/>
  <c r="D289" i="7"/>
  <c r="D323" i="7"/>
  <c r="D325" i="7"/>
  <c r="D327" i="7"/>
  <c r="D329" i="7"/>
  <c r="D331" i="7"/>
  <c r="D333" i="7"/>
  <c r="D353" i="7"/>
  <c r="D97" i="7"/>
  <c r="D135" i="7"/>
  <c r="D142" i="7"/>
  <c r="D157" i="7"/>
  <c r="D180" i="7"/>
  <c r="D187" i="7"/>
  <c r="D217" i="7"/>
  <c r="D259" i="7"/>
  <c r="D261" i="7"/>
  <c r="D263" i="7"/>
  <c r="D265" i="7"/>
  <c r="D267" i="7"/>
  <c r="D269" i="7"/>
  <c r="D282" i="7"/>
  <c r="D291" i="7"/>
  <c r="D293" i="7"/>
  <c r="D295" i="7"/>
  <c r="D297" i="7"/>
  <c r="D299" i="7"/>
  <c r="D301" i="7"/>
  <c r="D335" i="7"/>
  <c r="D337" i="7"/>
  <c r="D339" i="7"/>
  <c r="D341" i="7"/>
  <c r="D343" i="7"/>
  <c r="D345" i="7"/>
  <c r="D350" i="7"/>
  <c r="D352" i="7"/>
  <c r="D355" i="7"/>
  <c r="D357" i="7"/>
  <c r="D144" i="7"/>
  <c r="D233" i="7"/>
  <c r="D273" i="7"/>
  <c r="D281" i="7"/>
  <c r="D303" i="7"/>
  <c r="D311" i="7"/>
  <c r="D349" i="7"/>
  <c r="D365" i="7"/>
  <c r="D367" i="7"/>
  <c r="D379" i="7"/>
  <c r="D381" i="7"/>
  <c r="D394" i="7"/>
  <c r="D396" i="7"/>
  <c r="D403" i="7"/>
  <c r="D411" i="7"/>
  <c r="D413" i="7"/>
  <c r="D429" i="7"/>
  <c r="D438" i="7"/>
  <c r="D442" i="7"/>
  <c r="D151" i="7"/>
  <c r="D275" i="7"/>
  <c r="D305" i="7"/>
  <c r="D313" i="7"/>
  <c r="D363" i="7"/>
  <c r="D398" i="7"/>
  <c r="D400" i="7"/>
  <c r="D405" i="7"/>
  <c r="D419" i="7"/>
  <c r="D423" i="7"/>
  <c r="D426" i="7"/>
  <c r="D428" i="7"/>
  <c r="D433" i="7"/>
  <c r="D437" i="7"/>
  <c r="D447" i="7"/>
  <c r="D219" i="7"/>
  <c r="D277" i="7"/>
  <c r="D307" i="7"/>
  <c r="D361" i="7"/>
  <c r="D389" i="7"/>
  <c r="D402" i="7"/>
  <c r="D408" i="7"/>
  <c r="D422" i="7"/>
  <c r="D425" i="7"/>
  <c r="D432" i="7"/>
  <c r="D449" i="7"/>
  <c r="D279" i="7"/>
  <c r="D309" i="7"/>
  <c r="D371" i="7"/>
  <c r="D416" i="7"/>
  <c r="D347" i="7"/>
  <c r="D373" i="7"/>
  <c r="D388" i="7"/>
  <c r="D440" i="7"/>
  <c r="D448" i="7"/>
  <c r="D375" i="7"/>
  <c r="D382" i="7"/>
  <c r="D434" i="7"/>
  <c r="D271" i="7"/>
  <c r="D369" i="7"/>
  <c r="D399" i="7"/>
  <c r="D359" i="7"/>
  <c r="D377" i="7"/>
  <c r="D451" i="7"/>
  <c r="D137" i="7"/>
  <c r="D414" i="7"/>
  <c r="D113" i="7"/>
  <c r="D214" i="7"/>
  <c r="D211" i="7"/>
  <c r="D207" i="7"/>
  <c r="D358" i="7"/>
  <c r="D197" i="7"/>
  <c r="D430" i="7"/>
  <c r="D165" i="7"/>
  <c r="D420" i="7"/>
  <c r="D306" i="7"/>
  <c r="D149" i="7"/>
  <c r="D143" i="7"/>
  <c r="D290" i="7"/>
  <c r="D409" i="7"/>
  <c r="D167" i="7"/>
  <c r="D189" i="7"/>
  <c r="D186" i="7"/>
  <c r="D336" i="7"/>
  <c r="D435" i="7"/>
  <c r="D322" i="7"/>
  <c r="D161" i="7"/>
  <c r="D158" i="7"/>
  <c r="D145" i="7"/>
  <c r="D138" i="7"/>
  <c r="D202" i="7"/>
  <c r="D131" i="7"/>
  <c r="D252" i="7"/>
  <c r="D240" i="7"/>
  <c r="D393" i="7"/>
  <c r="D254" i="7"/>
  <c r="D124" i="7"/>
  <c r="D115" i="7"/>
  <c r="D260" i="7"/>
  <c r="D104" i="7"/>
  <c r="D248" i="7"/>
  <c r="D242" i="7"/>
  <c r="D407" i="7"/>
  <c r="D226" i="7"/>
  <c r="D150" i="7"/>
  <c r="D364" i="7"/>
  <c r="D374" i="7"/>
  <c r="D366" i="7"/>
  <c r="D204" i="7"/>
  <c r="D354" i="7"/>
  <c r="D182" i="7"/>
  <c r="D179" i="7"/>
  <c r="D330" i="7"/>
  <c r="D324" i="7"/>
  <c r="D427" i="7"/>
  <c r="D312" i="7"/>
  <c r="D300" i="7"/>
  <c r="D136" i="7"/>
  <c r="D380" i="7"/>
  <c r="D218" i="7"/>
  <c r="D209" i="7"/>
  <c r="D235" i="7"/>
  <c r="D360" i="7"/>
  <c r="D356" i="7"/>
  <c r="D191" i="7"/>
  <c r="D184" i="7"/>
  <c r="D177" i="7"/>
  <c r="D174" i="7"/>
  <c r="D310" i="7"/>
  <c r="D152" i="7"/>
  <c r="D415" i="7"/>
  <c r="D147" i="7"/>
  <c r="D296" i="7"/>
  <c r="D410" i="7"/>
  <c r="D288" i="7"/>
  <c r="D200" i="7"/>
  <c r="D441" i="7"/>
  <c r="D280" i="7"/>
  <c r="D225" i="7"/>
  <c r="D120" i="7"/>
  <c r="D107" i="7"/>
  <c r="D391" i="7"/>
  <c r="D244" i="7"/>
  <c r="D95" i="7"/>
  <c r="D238" i="7"/>
  <c r="D385" i="7"/>
  <c r="D223" i="7"/>
  <c r="D129" i="7"/>
  <c r="D272" i="7"/>
  <c r="D118" i="7"/>
  <c r="D397" i="7"/>
  <c r="D109" i="7"/>
  <c r="D250" i="7"/>
  <c r="D390" i="7"/>
  <c r="D384" i="7"/>
  <c r="D404" i="7"/>
  <c r="D127" i="7"/>
  <c r="D431" i="7"/>
  <c r="D256" i="7"/>
  <c r="D376" i="7"/>
  <c r="D370" i="7"/>
  <c r="D443" i="7"/>
  <c r="D193" i="7"/>
  <c r="D344" i="7"/>
  <c r="D338" i="7"/>
  <c r="D334" i="7"/>
  <c r="D170" i="7"/>
  <c r="D160" i="7"/>
  <c r="D156" i="7"/>
  <c r="D294" i="7"/>
  <c r="D227" i="7"/>
  <c r="D286" i="7"/>
  <c r="D220" i="7"/>
  <c r="D378" i="7"/>
  <c r="D372" i="7"/>
  <c r="D368" i="7"/>
  <c r="D446" i="7"/>
  <c r="D234" i="7"/>
  <c r="D195" i="7"/>
  <c r="D348" i="7"/>
  <c r="D439" i="7"/>
  <c r="D342" i="7"/>
  <c r="D340" i="7"/>
  <c r="D232" i="7"/>
  <c r="D436" i="7"/>
  <c r="D172" i="7"/>
  <c r="D304" i="7"/>
  <c r="D302" i="7"/>
  <c r="D292" i="7"/>
  <c r="D133" i="7"/>
  <c r="D216" i="7"/>
  <c r="D176" i="7"/>
  <c r="D320" i="7"/>
  <c r="D318" i="7"/>
  <c r="D308" i="7"/>
  <c r="D154" i="7"/>
  <c r="D418" i="7"/>
  <c r="D450" i="7"/>
  <c r="D213" i="7"/>
  <c r="D445" i="7"/>
  <c r="D444" i="7"/>
  <c r="D346" i="7"/>
  <c r="D332" i="7"/>
  <c r="D328" i="7"/>
  <c r="D326" i="7"/>
  <c r="D168" i="7"/>
  <c r="D163" i="7"/>
  <c r="D316" i="7"/>
  <c r="D314" i="7"/>
  <c r="D417" i="7"/>
  <c r="D298" i="7"/>
  <c r="D412" i="7"/>
  <c r="D141" i="7"/>
  <c r="D362" i="7"/>
  <c r="D421" i="7"/>
  <c r="D264" i="7"/>
  <c r="D258" i="7"/>
  <c r="D246" i="7"/>
  <c r="D387" i="7"/>
  <c r="D392" i="7"/>
  <c r="D406" i="7"/>
  <c r="D274" i="7"/>
  <c r="D284" i="7"/>
  <c r="D270" i="7"/>
  <c r="D262" i="7"/>
  <c r="D102" i="7"/>
  <c r="D268" i="7"/>
  <c r="D278" i="7"/>
  <c r="D401" i="7"/>
  <c r="D100" i="7"/>
  <c r="D111" i="7"/>
  <c r="D222" i="7"/>
  <c r="D424" i="7"/>
  <c r="D122" i="7"/>
  <c r="D386" i="7"/>
  <c r="D383" i="7"/>
  <c r="D276" i="7"/>
  <c r="D266" i="7"/>
  <c r="D98" i="7"/>
  <c r="D116" i="7"/>
  <c r="D395" i="7"/>
  <c r="E93" i="7"/>
  <c r="E95" i="7"/>
  <c r="E97" i="7"/>
  <c r="E104" i="7"/>
  <c r="E111" i="7"/>
  <c r="E115" i="7"/>
  <c r="E117" i="7"/>
  <c r="E127" i="7"/>
  <c r="E129" i="7"/>
  <c r="E135" i="7"/>
  <c r="E137" i="7"/>
  <c r="E142" i="7"/>
  <c r="E144" i="7"/>
  <c r="E151" i="7"/>
  <c r="E153" i="7"/>
  <c r="E155" i="7"/>
  <c r="E157" i="7"/>
  <c r="E161" i="7"/>
  <c r="E163" i="7"/>
  <c r="E165" i="7"/>
  <c r="E167" i="7"/>
  <c r="E178" i="7"/>
  <c r="E180" i="7"/>
  <c r="E184" i="7"/>
  <c r="E187" i="7"/>
  <c r="E189" i="7"/>
  <c r="E191" i="7"/>
  <c r="E193" i="7"/>
  <c r="E195" i="7"/>
  <c r="E197" i="7"/>
  <c r="E200" i="7"/>
  <c r="E204" i="7"/>
  <c r="E211" i="7"/>
  <c r="E213" i="7"/>
  <c r="E215" i="7"/>
  <c r="E217" i="7"/>
  <c r="E219" i="7"/>
  <c r="E221" i="7"/>
  <c r="E223" i="7"/>
  <c r="E225" i="7"/>
  <c r="E227" i="7"/>
  <c r="E230" i="7"/>
  <c r="E235" i="7"/>
  <c r="E99" i="7"/>
  <c r="E101" i="7"/>
  <c r="E106" i="7"/>
  <c r="E108" i="7"/>
  <c r="E116" i="7"/>
  <c r="E119" i="7"/>
  <c r="E121" i="7"/>
  <c r="E123" i="7"/>
  <c r="E125" i="7"/>
  <c r="E132" i="7"/>
  <c r="E134" i="7"/>
  <c r="E139" i="7"/>
  <c r="E141" i="7"/>
  <c r="E146" i="7"/>
  <c r="E148" i="7"/>
  <c r="E150" i="7"/>
  <c r="E152" i="7"/>
  <c r="E156" i="7"/>
  <c r="E159" i="7"/>
  <c r="E169" i="7"/>
  <c r="E171" i="7"/>
  <c r="E173" i="7"/>
  <c r="E175" i="7"/>
  <c r="E177" i="7"/>
  <c r="E182" i="7"/>
  <c r="E186" i="7"/>
  <c r="E206" i="7"/>
  <c r="E208" i="7"/>
  <c r="E216" i="7"/>
  <c r="E220" i="7"/>
  <c r="E229" i="7"/>
  <c r="E94" i="7"/>
  <c r="E96" i="7"/>
  <c r="E98" i="7"/>
  <c r="E103" i="7"/>
  <c r="E105" i="7"/>
  <c r="E110" i="7"/>
  <c r="E112" i="7"/>
  <c r="E114" i="7"/>
  <c r="E118" i="7"/>
  <c r="E120" i="7"/>
  <c r="E124" i="7"/>
  <c r="E128" i="7"/>
  <c r="E130" i="7"/>
  <c r="E136" i="7"/>
  <c r="E138" i="7"/>
  <c r="E143" i="7"/>
  <c r="E145" i="7"/>
  <c r="E154" i="7"/>
  <c r="E158" i="7"/>
  <c r="E160" i="7"/>
  <c r="E164" i="7"/>
  <c r="E166" i="7"/>
  <c r="E168" i="7"/>
  <c r="E170" i="7"/>
  <c r="E174" i="7"/>
  <c r="E179" i="7"/>
  <c r="E188" i="7"/>
  <c r="E192" i="7"/>
  <c r="E194" i="7"/>
  <c r="E196" i="7"/>
  <c r="E199" i="7"/>
  <c r="E201" i="7"/>
  <c r="E203" i="7"/>
  <c r="E205" i="7"/>
  <c r="E210" i="7"/>
  <c r="E212" i="7"/>
  <c r="E214" i="7"/>
  <c r="E218" i="7"/>
  <c r="E222" i="7"/>
  <c r="E224" i="7"/>
  <c r="E226" i="7"/>
  <c r="E228" i="7"/>
  <c r="E231" i="7"/>
  <c r="E233" i="7"/>
  <c r="E100" i="7"/>
  <c r="E107" i="7"/>
  <c r="E122" i="7"/>
  <c r="E131" i="7"/>
  <c r="E176" i="7"/>
  <c r="E183" i="7"/>
  <c r="E190" i="7"/>
  <c r="E198" i="7"/>
  <c r="E234" i="7"/>
  <c r="E237" i="7"/>
  <c r="E254" i="7"/>
  <c r="E258" i="7"/>
  <c r="E260" i="7"/>
  <c r="E264" i="7"/>
  <c r="E268" i="7"/>
  <c r="E271" i="7"/>
  <c r="E273" i="7"/>
  <c r="E275" i="7"/>
  <c r="E277" i="7"/>
  <c r="E279" i="7"/>
  <c r="E281" i="7"/>
  <c r="E286" i="7"/>
  <c r="E290" i="7"/>
  <c r="E292" i="7"/>
  <c r="E296" i="7"/>
  <c r="E300" i="7"/>
  <c r="E303" i="7"/>
  <c r="E305" i="7"/>
  <c r="E307" i="7"/>
  <c r="E309" i="7"/>
  <c r="E311" i="7"/>
  <c r="E313" i="7"/>
  <c r="E326" i="7"/>
  <c r="E330" i="7"/>
  <c r="E334" i="7"/>
  <c r="E336" i="7"/>
  <c r="E340" i="7"/>
  <c r="E344" i="7"/>
  <c r="E347" i="7"/>
  <c r="E349" i="7"/>
  <c r="E354" i="7"/>
  <c r="E356" i="7"/>
  <c r="E360" i="7"/>
  <c r="E364" i="7"/>
  <c r="E367" i="7"/>
  <c r="E102" i="7"/>
  <c r="E109" i="7"/>
  <c r="E133" i="7"/>
  <c r="E140" i="7"/>
  <c r="E147" i="7"/>
  <c r="E162" i="7"/>
  <c r="E185" i="7"/>
  <c r="E207" i="7"/>
  <c r="E239" i="7"/>
  <c r="E241" i="7"/>
  <c r="E243" i="7"/>
  <c r="E245" i="7"/>
  <c r="E247" i="7"/>
  <c r="E249" i="7"/>
  <c r="E262" i="7"/>
  <c r="E266" i="7"/>
  <c r="E270" i="7"/>
  <c r="E272" i="7"/>
  <c r="E276" i="7"/>
  <c r="E280" i="7"/>
  <c r="E294" i="7"/>
  <c r="E298" i="7"/>
  <c r="E302" i="7"/>
  <c r="E304" i="7"/>
  <c r="E308" i="7"/>
  <c r="E312" i="7"/>
  <c r="E315" i="7"/>
  <c r="E317" i="7"/>
  <c r="E319" i="7"/>
  <c r="E321" i="7"/>
  <c r="E338" i="7"/>
  <c r="E342" i="7"/>
  <c r="E346" i="7"/>
  <c r="E348" i="7"/>
  <c r="E351" i="7"/>
  <c r="E126" i="7"/>
  <c r="E149" i="7"/>
  <c r="E172" i="7"/>
  <c r="E202" i="7"/>
  <c r="E209" i="7"/>
  <c r="E232" i="7"/>
  <c r="E236" i="7"/>
  <c r="E238" i="7"/>
  <c r="E240" i="7"/>
  <c r="E244" i="7"/>
  <c r="E248" i="7"/>
  <c r="E251" i="7"/>
  <c r="E253" i="7"/>
  <c r="E255" i="7"/>
  <c r="E257" i="7"/>
  <c r="E274" i="7"/>
  <c r="E278" i="7"/>
  <c r="E283" i="7"/>
  <c r="E285" i="7"/>
  <c r="E287" i="7"/>
  <c r="E289" i="7"/>
  <c r="E306" i="7"/>
  <c r="E310" i="7"/>
  <c r="E314" i="7"/>
  <c r="E316" i="7"/>
  <c r="E320" i="7"/>
  <c r="E323" i="7"/>
  <c r="E325" i="7"/>
  <c r="E327" i="7"/>
  <c r="E329" i="7"/>
  <c r="E331" i="7"/>
  <c r="E333" i="7"/>
  <c r="E353" i="7"/>
  <c r="E113" i="7"/>
  <c r="E242" i="7"/>
  <c r="E250" i="7"/>
  <c r="E265" i="7"/>
  <c r="E288" i="7"/>
  <c r="E295" i="7"/>
  <c r="E318" i="7"/>
  <c r="E341" i="7"/>
  <c r="E355" i="7"/>
  <c r="E359" i="7"/>
  <c r="E362" i="7"/>
  <c r="E369" i="7"/>
  <c r="E371" i="7"/>
  <c r="E373" i="7"/>
  <c r="E375" i="7"/>
  <c r="E377" i="7"/>
  <c r="E382" i="7"/>
  <c r="E384" i="7"/>
  <c r="E386" i="7"/>
  <c r="E388" i="7"/>
  <c r="E399" i="7"/>
  <c r="E401" i="7"/>
  <c r="E414" i="7"/>
  <c r="E416" i="7"/>
  <c r="E418" i="7"/>
  <c r="E424" i="7"/>
  <c r="E427" i="7"/>
  <c r="E434" i="7"/>
  <c r="E440" i="7"/>
  <c r="E444" i="7"/>
  <c r="E448" i="7"/>
  <c r="E451" i="7"/>
  <c r="E181" i="7"/>
  <c r="E252" i="7"/>
  <c r="E259" i="7"/>
  <c r="E267" i="7"/>
  <c r="E282" i="7"/>
  <c r="E297" i="7"/>
  <c r="E328" i="7"/>
  <c r="E335" i="7"/>
  <c r="E343" i="7"/>
  <c r="E350" i="7"/>
  <c r="E357" i="7"/>
  <c r="E365" i="7"/>
  <c r="E368" i="7"/>
  <c r="E372" i="7"/>
  <c r="E376" i="7"/>
  <c r="E379" i="7"/>
  <c r="E381" i="7"/>
  <c r="E390" i="7"/>
  <c r="E392" i="7"/>
  <c r="E394" i="7"/>
  <c r="E396" i="7"/>
  <c r="E403" i="7"/>
  <c r="E407" i="7"/>
  <c r="E409" i="7"/>
  <c r="E411" i="7"/>
  <c r="E413" i="7"/>
  <c r="E421" i="7"/>
  <c r="E429" i="7"/>
  <c r="E431" i="7"/>
  <c r="E438" i="7"/>
  <c r="E442" i="7"/>
  <c r="E445" i="7"/>
  <c r="E450" i="7"/>
  <c r="E246" i="7"/>
  <c r="E261" i="7"/>
  <c r="E269" i="7"/>
  <c r="E284" i="7"/>
  <c r="E291" i="7"/>
  <c r="E299" i="7"/>
  <c r="E322" i="7"/>
  <c r="E337" i="7"/>
  <c r="E345" i="7"/>
  <c r="E352" i="7"/>
  <c r="E358" i="7"/>
  <c r="E363" i="7"/>
  <c r="E366" i="7"/>
  <c r="E370" i="7"/>
  <c r="E374" i="7"/>
  <c r="E378" i="7"/>
  <c r="E380" i="7"/>
  <c r="E383" i="7"/>
  <c r="E385" i="7"/>
  <c r="E387" i="7"/>
  <c r="E398" i="7"/>
  <c r="E400" i="7"/>
  <c r="E405" i="7"/>
  <c r="E412" i="7"/>
  <c r="E415" i="7"/>
  <c r="E417" i="7"/>
  <c r="E419" i="7"/>
  <c r="E423" i="7"/>
  <c r="E426" i="7"/>
  <c r="E428" i="7"/>
  <c r="E433" i="7"/>
  <c r="E435" i="7"/>
  <c r="E437" i="7"/>
  <c r="E439" i="7"/>
  <c r="E441" i="7"/>
  <c r="E447" i="7"/>
  <c r="E339" i="7"/>
  <c r="E361" i="7"/>
  <c r="E393" i="7"/>
  <c r="E408" i="7"/>
  <c r="E430" i="7"/>
  <c r="E446" i="7"/>
  <c r="E256" i="7"/>
  <c r="E395" i="7"/>
  <c r="E402" i="7"/>
  <c r="E410" i="7"/>
  <c r="E425" i="7"/>
  <c r="E432" i="7"/>
  <c r="E263" i="7"/>
  <c r="E293" i="7"/>
  <c r="E324" i="7"/>
  <c r="E389" i="7"/>
  <c r="E397" i="7"/>
  <c r="E404" i="7"/>
  <c r="E420" i="7"/>
  <c r="E449" i="7"/>
  <c r="E301" i="7"/>
  <c r="E406" i="7"/>
  <c r="E436" i="7"/>
  <c r="E391" i="7"/>
  <c r="E332" i="7"/>
  <c r="E443" i="7"/>
  <c r="E422" i="7"/>
  <c r="C400" i="7"/>
  <c r="C132" i="7"/>
  <c r="C228" i="7"/>
  <c r="C319" i="7"/>
  <c r="C332" i="7"/>
  <c r="C194" i="7"/>
  <c r="C205" i="7"/>
  <c r="C212" i="7"/>
  <c r="C103" i="7"/>
  <c r="C110" i="7"/>
  <c r="C114" i="7"/>
  <c r="C141" i="7"/>
  <c r="C150" i="7"/>
  <c r="C177" i="7"/>
  <c r="C182" i="7"/>
  <c r="C186" i="7"/>
  <c r="C199" i="7"/>
  <c r="C203" i="7"/>
  <c r="C210" i="7"/>
  <c r="C233" i="7"/>
  <c r="C101" i="7"/>
  <c r="C255" i="7"/>
  <c r="C267" i="7"/>
  <c r="C288" i="7"/>
  <c r="C155" i="7"/>
  <c r="C180" i="7"/>
  <c r="C196" i="7"/>
  <c r="C208" i="7"/>
  <c r="C372" i="7"/>
  <c r="C98" i="7"/>
  <c r="C118" i="7"/>
  <c r="C136" i="7"/>
  <c r="C138" i="7"/>
  <c r="C143" i="7"/>
  <c r="C145" i="7"/>
  <c r="C154" i="7"/>
  <c r="C158" i="7"/>
  <c r="C162" i="7"/>
  <c r="C168" i="7"/>
  <c r="C179" i="7"/>
  <c r="C181" i="7"/>
  <c r="C185" i="7"/>
  <c r="C190" i="7"/>
  <c r="C198" i="7"/>
  <c r="C214" i="7"/>
  <c r="C218" i="7"/>
  <c r="C222" i="7"/>
  <c r="C226" i="7"/>
  <c r="C248" i="7"/>
  <c r="C256" i="7"/>
  <c r="C403" i="7"/>
  <c r="C284" i="7"/>
  <c r="C292" i="7"/>
  <c r="C173" i="7"/>
  <c r="C183" i="7"/>
  <c r="C368" i="7"/>
  <c r="C236" i="7"/>
  <c r="C93" i="7"/>
  <c r="C100" i="7"/>
  <c r="C102" i="7"/>
  <c r="C107" i="7"/>
  <c r="C109" i="7"/>
  <c r="C117" i="7"/>
  <c r="C122" i="7"/>
  <c r="C133" i="7"/>
  <c r="C135" i="7"/>
  <c r="C142" i="7"/>
  <c r="C147" i="7"/>
  <c r="C149" i="7"/>
  <c r="C151" i="7"/>
  <c r="C153" i="7"/>
  <c r="C157" i="7"/>
  <c r="C172" i="7"/>
  <c r="C176" i="7"/>
  <c r="C178" i="7"/>
  <c r="C187" i="7"/>
  <c r="C207" i="7"/>
  <c r="C209" i="7"/>
  <c r="C217" i="7"/>
  <c r="C221" i="7"/>
  <c r="C230" i="7"/>
  <c r="C128" i="7"/>
  <c r="C300" i="7"/>
  <c r="C331" i="7"/>
  <c r="C448" i="7"/>
  <c r="C115" i="7"/>
  <c r="C139" i="7"/>
  <c r="C146" i="7"/>
  <c r="C161" i="7"/>
  <c r="C169" i="7"/>
  <c r="C206" i="7"/>
  <c r="C213" i="7"/>
  <c r="C229" i="7"/>
  <c r="C251" i="7"/>
  <c r="C253" i="7"/>
  <c r="C257" i="7"/>
  <c r="C262" i="7"/>
  <c r="C266" i="7"/>
  <c r="C270" i="7"/>
  <c r="C283" i="7"/>
  <c r="C285" i="7"/>
  <c r="C289" i="7"/>
  <c r="C294" i="7"/>
  <c r="C298" i="7"/>
  <c r="C302" i="7"/>
  <c r="C323" i="7"/>
  <c r="C325" i="7"/>
  <c r="C329" i="7"/>
  <c r="C333" i="7"/>
  <c r="C338" i="7"/>
  <c r="C342" i="7"/>
  <c r="C346" i="7"/>
  <c r="C353" i="7"/>
  <c r="C358" i="7"/>
  <c r="C362" i="7"/>
  <c r="C366" i="7"/>
  <c r="C219" i="7"/>
  <c r="C95" i="7"/>
  <c r="C125" i="7"/>
  <c r="C171" i="7"/>
  <c r="C193" i="7"/>
  <c r="C200" i="7"/>
  <c r="C223" i="7"/>
  <c r="C238" i="7"/>
  <c r="C259" i="7"/>
  <c r="C261" i="7"/>
  <c r="C265" i="7"/>
  <c r="C269" i="7"/>
  <c r="C274" i="7"/>
  <c r="C278" i="7"/>
  <c r="C282" i="7"/>
  <c r="C291" i="7"/>
  <c r="C293" i="7"/>
  <c r="C297" i="7"/>
  <c r="C301" i="7"/>
  <c r="C306" i="7"/>
  <c r="C310" i="7"/>
  <c r="C314" i="7"/>
  <c r="C335" i="7"/>
  <c r="C337" i="7"/>
  <c r="C341" i="7"/>
  <c r="C345" i="7"/>
  <c r="C350" i="7"/>
  <c r="C355" i="7"/>
  <c r="C357" i="7"/>
  <c r="C164" i="7"/>
  <c r="C104" i="7"/>
  <c r="C111" i="7"/>
  <c r="C119" i="7"/>
  <c r="C165" i="7"/>
  <c r="C195" i="7"/>
  <c r="C225" i="7"/>
  <c r="C242" i="7"/>
  <c r="C246" i="7"/>
  <c r="C250" i="7"/>
  <c r="C271" i="7"/>
  <c r="C273" i="7"/>
  <c r="C277" i="7"/>
  <c r="C281" i="7"/>
  <c r="C303" i="7"/>
  <c r="C305" i="7"/>
  <c r="C309" i="7"/>
  <c r="C313" i="7"/>
  <c r="C318" i="7"/>
  <c r="C322" i="7"/>
  <c r="C347" i="7"/>
  <c r="C349" i="7"/>
  <c r="C175" i="7"/>
  <c r="C204" i="7"/>
  <c r="C258" i="7"/>
  <c r="C326" i="7"/>
  <c r="C334" i="7"/>
  <c r="C390" i="7"/>
  <c r="C392" i="7"/>
  <c r="C398" i="7"/>
  <c r="C405" i="7"/>
  <c r="C407" i="7"/>
  <c r="C409" i="7"/>
  <c r="C421" i="7"/>
  <c r="C423" i="7"/>
  <c r="C426" i="7"/>
  <c r="C431" i="7"/>
  <c r="C433" i="7"/>
  <c r="C437" i="7"/>
  <c r="C447" i="7"/>
  <c r="C450" i="7"/>
  <c r="C79" i="7"/>
  <c r="C83" i="7"/>
  <c r="C87" i="7"/>
  <c r="C91" i="7"/>
  <c r="C121" i="7"/>
  <c r="C211" i="7"/>
  <c r="C237" i="7"/>
  <c r="C245" i="7"/>
  <c r="C290" i="7"/>
  <c r="C321" i="7"/>
  <c r="C361" i="7"/>
  <c r="C370" i="7"/>
  <c r="C374" i="7"/>
  <c r="C378" i="7"/>
  <c r="C383" i="7"/>
  <c r="C385" i="7"/>
  <c r="C387" i="7"/>
  <c r="C389" i="7"/>
  <c r="C402" i="7"/>
  <c r="C415" i="7"/>
  <c r="C417" i="7"/>
  <c r="C425" i="7"/>
  <c r="C435" i="7"/>
  <c r="C441" i="7"/>
  <c r="C449" i="7"/>
  <c r="C80" i="7"/>
  <c r="C84" i="7"/>
  <c r="C88" i="7"/>
  <c r="C92" i="7"/>
  <c r="C99" i="7"/>
  <c r="C129" i="7"/>
  <c r="C159" i="7"/>
  <c r="C189" i="7"/>
  <c r="C239" i="7"/>
  <c r="C254" i="7"/>
  <c r="C315" i="7"/>
  <c r="C330" i="7"/>
  <c r="C369" i="7"/>
  <c r="C373" i="7"/>
  <c r="C377" i="7"/>
  <c r="C382" i="7"/>
  <c r="C391" i="7"/>
  <c r="C393" i="7"/>
  <c r="C395" i="7"/>
  <c r="C397" i="7"/>
  <c r="C404" i="7"/>
  <c r="C410" i="7"/>
  <c r="C414" i="7"/>
  <c r="C430" i="7"/>
  <c r="C443" i="7"/>
  <c r="C446" i="7"/>
  <c r="C451" i="7"/>
  <c r="C81" i="7"/>
  <c r="C85" i="7"/>
  <c r="C89" i="7"/>
  <c r="C167" i="7"/>
  <c r="C249" i="7"/>
  <c r="C379" i="7"/>
  <c r="C386" i="7"/>
  <c r="C401" i="7"/>
  <c r="C424" i="7"/>
  <c r="C438" i="7"/>
  <c r="C86" i="7"/>
  <c r="C197" i="7"/>
  <c r="C286" i="7"/>
  <c r="C317" i="7"/>
  <c r="C365" i="7"/>
  <c r="C381" i="7"/>
  <c r="C418" i="7"/>
  <c r="C90" i="7"/>
  <c r="C106" i="7"/>
  <c r="C227" i="7"/>
  <c r="C354" i="7"/>
  <c r="C367" i="7"/>
  <c r="C413" i="7"/>
  <c r="C427" i="7"/>
  <c r="C442" i="7"/>
  <c r="C78" i="7"/>
  <c r="C429" i="7"/>
  <c r="C96" i="7"/>
  <c r="C260" i="7"/>
  <c r="C384" i="7"/>
  <c r="C82" i="7"/>
  <c r="C241" i="7"/>
  <c r="C434" i="7"/>
  <c r="C243" i="7"/>
  <c r="C220" i="7"/>
  <c r="C364" i="7"/>
  <c r="C356" i="7"/>
  <c r="C439" i="7"/>
  <c r="C344" i="7"/>
  <c r="C394" i="7"/>
  <c r="C105" i="7"/>
  <c r="C380" i="7"/>
  <c r="C444" i="7"/>
  <c r="C184" i="7"/>
  <c r="C371" i="7"/>
  <c r="C216" i="7"/>
  <c r="C445" i="7"/>
  <c r="C336" i="7"/>
  <c r="C324" i="7"/>
  <c r="C308" i="7"/>
  <c r="C296" i="7"/>
  <c r="C406" i="7"/>
  <c r="C127" i="7"/>
  <c r="C120" i="7"/>
  <c r="C343" i="7"/>
  <c r="C327" i="7"/>
  <c r="C422" i="7"/>
  <c r="C419" i="7"/>
  <c r="C416" i="7"/>
  <c r="C148" i="7"/>
  <c r="C137" i="7"/>
  <c r="C247" i="7"/>
  <c r="C339" i="7"/>
  <c r="C235" i="7"/>
  <c r="C126" i="7"/>
  <c r="C440" i="7"/>
  <c r="C94" i="7"/>
  <c r="C360" i="7"/>
  <c r="C264" i="7"/>
  <c r="C359" i="7"/>
  <c r="C311" i="7"/>
  <c r="C295" i="7"/>
  <c r="C192" i="7"/>
  <c r="C307" i="7"/>
  <c r="C376" i="7"/>
  <c r="C234" i="7"/>
  <c r="C348" i="7"/>
  <c r="C188" i="7"/>
  <c r="C436" i="7"/>
  <c r="C170" i="7"/>
  <c r="C316" i="7"/>
  <c r="C160" i="7"/>
  <c r="C420" i="7"/>
  <c r="C412" i="7"/>
  <c r="C268" i="7"/>
  <c r="C252" i="7"/>
  <c r="C240" i="7"/>
  <c r="C231" i="7"/>
  <c r="C428" i="7"/>
  <c r="C140" i="7"/>
  <c r="C224" i="7"/>
  <c r="C112" i="7"/>
  <c r="C108" i="7"/>
  <c r="C411" i="7"/>
  <c r="C299" i="7"/>
  <c r="C202" i="7"/>
  <c r="C123" i="7"/>
  <c r="C388" i="7"/>
  <c r="C174" i="7"/>
  <c r="C304" i="7"/>
  <c r="C375" i="7"/>
  <c r="C279" i="7"/>
  <c r="C399" i="7"/>
  <c r="C131" i="7"/>
  <c r="C97" i="7"/>
  <c r="C352" i="7"/>
  <c r="C191" i="7"/>
  <c r="C340" i="7"/>
  <c r="C328" i="7"/>
  <c r="C320" i="7"/>
  <c r="C163" i="7"/>
  <c r="C312" i="7"/>
  <c r="C152" i="7"/>
  <c r="C280" i="7"/>
  <c r="C276" i="7"/>
  <c r="C124" i="7"/>
  <c r="C116" i="7"/>
  <c r="C215" i="7"/>
  <c r="C201" i="7"/>
  <c r="C166" i="7"/>
  <c r="C144" i="7"/>
  <c r="C130" i="7"/>
  <c r="C263" i="7"/>
  <c r="C396" i="7"/>
  <c r="C363" i="7"/>
  <c r="C287" i="7"/>
  <c r="C134" i="7"/>
  <c r="C113" i="7"/>
  <c r="C232" i="7"/>
  <c r="C156" i="7"/>
  <c r="C272" i="7"/>
  <c r="C432" i="7"/>
  <c r="C408" i="7"/>
  <c r="C275" i="7"/>
  <c r="C244" i="7"/>
  <c r="C351" i="7"/>
  <c r="H17" i="5"/>
  <c r="H39" i="5"/>
  <c r="E24" i="5"/>
  <c r="E61" i="7" s="1"/>
  <c r="E40" i="5"/>
  <c r="I29" i="5"/>
  <c r="I40" i="5"/>
  <c r="H13" i="5"/>
  <c r="W97" i="6"/>
  <c r="W7" i="6"/>
  <c r="W31" i="6"/>
  <c r="W33" i="6"/>
  <c r="W40" i="6"/>
  <c r="W42" i="6"/>
  <c r="W44" i="6"/>
  <c r="W46" i="6"/>
  <c r="W56" i="6"/>
  <c r="W60" i="6"/>
  <c r="W71" i="6"/>
  <c r="W72" i="6"/>
  <c r="W76" i="6"/>
  <c r="W77" i="6"/>
  <c r="W79" i="6"/>
  <c r="W81" i="6"/>
  <c r="W84" i="6"/>
  <c r="W93" i="6"/>
  <c r="W18" i="6"/>
  <c r="W26" i="6"/>
  <c r="W30" i="6"/>
  <c r="W35" i="6"/>
  <c r="W41" i="6"/>
  <c r="W49" i="6"/>
  <c r="W51" i="6"/>
  <c r="W53" i="6"/>
  <c r="W57" i="6"/>
  <c r="W62" i="6"/>
  <c r="W78" i="6"/>
  <c r="AO6" i="5"/>
  <c r="AZ15" i="5"/>
  <c r="AZ19" i="5"/>
  <c r="AZ24" i="5"/>
  <c r="M3" i="8"/>
  <c r="N3" i="8" s="1"/>
  <c r="W58" i="6"/>
  <c r="W66" i="6"/>
  <c r="W15" i="6"/>
  <c r="W17" i="6"/>
  <c r="W19" i="6"/>
  <c r="W21" i="6"/>
  <c r="W25" i="6"/>
  <c r="W29" i="6"/>
  <c r="W39" i="6"/>
  <c r="W96" i="6"/>
  <c r="W98" i="6"/>
  <c r="W100" i="6"/>
  <c r="W50" i="6"/>
  <c r="W65" i="6"/>
  <c r="W67" i="6"/>
  <c r="W69" i="6"/>
  <c r="W10" i="6"/>
  <c r="W12" i="6"/>
  <c r="W14" i="6"/>
  <c r="W83" i="6"/>
  <c r="W85" i="6"/>
  <c r="W89" i="6"/>
  <c r="W105" i="6"/>
  <c r="W107" i="6"/>
  <c r="AZ7" i="5"/>
  <c r="AO19" i="5"/>
  <c r="AO29" i="5"/>
  <c r="AO18" i="5"/>
  <c r="AO15" i="5"/>
  <c r="AZ27" i="5"/>
  <c r="AZ36" i="5"/>
  <c r="AO3" i="5"/>
  <c r="AO22" i="5"/>
  <c r="AO37" i="5"/>
  <c r="AO34" i="5"/>
  <c r="AO12" i="5"/>
  <c r="AO17" i="5"/>
  <c r="C56" i="7"/>
  <c r="K1" i="7"/>
  <c r="W8" i="6"/>
  <c r="W16" i="6"/>
  <c r="W20" i="6"/>
  <c r="W22" i="6"/>
  <c r="W28" i="6"/>
  <c r="W32" i="6"/>
  <c r="W59" i="6"/>
  <c r="W61" i="6"/>
  <c r="W82" i="6"/>
  <c r="W86" i="6"/>
  <c r="W88" i="6"/>
  <c r="W90" i="6"/>
  <c r="W92" i="6"/>
  <c r="W94" i="6"/>
  <c r="W34" i="6"/>
  <c r="W38" i="6"/>
  <c r="W73" i="6"/>
  <c r="W75" i="6"/>
  <c r="W102" i="6"/>
  <c r="W104" i="6"/>
  <c r="W106" i="6"/>
  <c r="W108" i="6"/>
  <c r="W110" i="6"/>
  <c r="W54" i="6"/>
  <c r="W87" i="6"/>
  <c r="W91" i="6"/>
  <c r="W9" i="6"/>
  <c r="W11" i="6"/>
  <c r="W27" i="6"/>
  <c r="K1" i="6"/>
  <c r="W37" i="6"/>
  <c r="W43" i="6"/>
  <c r="W45" i="6"/>
  <c r="W55" i="6"/>
  <c r="W70" i="6"/>
  <c r="W74" i="6"/>
  <c r="AZ12" i="5"/>
  <c r="AZ23" i="5"/>
  <c r="AO27" i="5"/>
  <c r="AZ32" i="5"/>
  <c r="AZ35" i="5"/>
  <c r="C40" i="7"/>
  <c r="AO7" i="5"/>
  <c r="AO8" i="5"/>
  <c r="AZ11" i="5"/>
  <c r="AO16" i="5"/>
  <c r="AZ20" i="5"/>
  <c r="AZ31" i="5"/>
  <c r="G33" i="5"/>
  <c r="I34" i="5"/>
  <c r="AO39" i="5"/>
  <c r="AO28" i="5"/>
  <c r="G21" i="5"/>
  <c r="AO4" i="5"/>
  <c r="AZ8" i="5"/>
  <c r="G20" i="5"/>
  <c r="AO24" i="5"/>
  <c r="G29" i="5"/>
  <c r="AO36" i="5"/>
  <c r="C9" i="7"/>
  <c r="C6" i="7"/>
  <c r="G32" i="5"/>
  <c r="G8" i="5"/>
  <c r="AO11" i="5"/>
  <c r="AO31" i="5"/>
  <c r="AO32" i="5"/>
  <c r="AZ39" i="5"/>
  <c r="C20" i="7"/>
  <c r="I17" i="5"/>
  <c r="F28" i="5"/>
  <c r="I26" i="5"/>
  <c r="F12" i="5"/>
  <c r="G28" i="5"/>
  <c r="I22" i="5"/>
  <c r="C12" i="7"/>
  <c r="C18" i="7"/>
  <c r="C28" i="7"/>
  <c r="C15" i="6"/>
  <c r="C36" i="6"/>
  <c r="C84" i="6"/>
  <c r="C8" i="7"/>
  <c r="C14" i="7"/>
  <c r="C17" i="7"/>
  <c r="C32" i="7"/>
  <c r="C44" i="7"/>
  <c r="C74" i="7"/>
  <c r="C19" i="6"/>
  <c r="C52" i="6"/>
  <c r="C5" i="7"/>
  <c r="C73" i="7"/>
  <c r="C16" i="7"/>
  <c r="C24" i="7"/>
  <c r="C48" i="7"/>
  <c r="C4" i="7"/>
  <c r="C10" i="7"/>
  <c r="C13" i="7"/>
  <c r="C36" i="7"/>
  <c r="C18" i="6"/>
  <c r="C52" i="7"/>
  <c r="J32" i="5"/>
  <c r="D66" i="6" s="1"/>
  <c r="J19" i="5"/>
  <c r="D83" i="7" s="1"/>
  <c r="E20" i="5"/>
  <c r="E84" i="7" s="1"/>
  <c r="J35" i="5"/>
  <c r="E36" i="5"/>
  <c r="J38" i="5"/>
  <c r="D35" i="6" s="1"/>
  <c r="J21" i="5"/>
  <c r="D85" i="7" s="1"/>
  <c r="J22" i="5"/>
  <c r="J25" i="5"/>
  <c r="D96" i="6" s="1"/>
  <c r="F4" i="5"/>
  <c r="G5" i="5"/>
  <c r="J23" i="5"/>
  <c r="D60" i="7" s="1"/>
  <c r="J24" i="5"/>
  <c r="D22" i="7" s="1"/>
  <c r="J26" i="5"/>
  <c r="D87" i="7" s="1"/>
  <c r="J5" i="5"/>
  <c r="D4" i="6" s="1"/>
  <c r="J30" i="5"/>
  <c r="D27" i="6" s="1"/>
  <c r="J10" i="5"/>
  <c r="J3" i="5"/>
  <c r="J36" i="5"/>
  <c r="J4" i="5"/>
  <c r="D41" i="7" s="1"/>
  <c r="J6" i="5"/>
  <c r="D42" i="6" s="1"/>
  <c r="J27" i="5"/>
  <c r="D24" i="6" s="1"/>
  <c r="J7" i="5"/>
  <c r="D44" i="7" s="1"/>
  <c r="E8" i="5"/>
  <c r="E7" i="7" s="1"/>
  <c r="I9" i="5"/>
  <c r="J31" i="5"/>
  <c r="D28" i="7" s="1"/>
  <c r="E32" i="5"/>
  <c r="E66" i="6" s="1"/>
  <c r="J9" i="5"/>
  <c r="J12" i="5"/>
  <c r="D11" i="6" s="1"/>
  <c r="J13" i="5"/>
  <c r="D84" i="6" s="1"/>
  <c r="J14" i="5"/>
  <c r="J16" i="5"/>
  <c r="D14" i="6" s="1"/>
  <c r="J17" i="5"/>
  <c r="D54" i="7" s="1"/>
  <c r="J18" i="5"/>
  <c r="J33" i="5"/>
  <c r="AI5" i="4"/>
  <c r="AI13" i="4"/>
  <c r="AW9" i="4"/>
  <c r="F16" i="5"/>
  <c r="W1" i="4"/>
  <c r="F20" i="5"/>
  <c r="F8" i="5"/>
  <c r="F5" i="5"/>
  <c r="F32" i="5"/>
  <c r="F14" i="5"/>
  <c r="F10" i="5"/>
  <c r="F3" i="5"/>
  <c r="F36" i="5"/>
  <c r="F9" i="5"/>
  <c r="F6" i="5"/>
  <c r="H3" i="5"/>
  <c r="H29" i="5"/>
  <c r="H21" i="5"/>
  <c r="H5" i="5"/>
  <c r="H37" i="5"/>
  <c r="H9" i="5"/>
  <c r="H33" i="5"/>
  <c r="F24" i="5"/>
  <c r="H25" i="5"/>
  <c r="E4" i="5"/>
  <c r="E3" i="7" s="1"/>
  <c r="I10" i="5"/>
  <c r="I21" i="5"/>
  <c r="I38" i="5"/>
  <c r="I33" i="5"/>
  <c r="I18" i="5"/>
  <c r="I6" i="5"/>
  <c r="I30" i="5"/>
  <c r="I25" i="5"/>
  <c r="I5" i="5"/>
  <c r="I13" i="5"/>
  <c r="I14" i="5"/>
  <c r="E16" i="5"/>
  <c r="E87" i="6" s="1"/>
  <c r="E12" i="5"/>
  <c r="E48" i="6" s="1"/>
  <c r="E28" i="5"/>
  <c r="J8" i="5"/>
  <c r="D7" i="6" s="1"/>
  <c r="G9" i="5"/>
  <c r="G12" i="5"/>
  <c r="G13" i="5"/>
  <c r="G16" i="5"/>
  <c r="G17" i="5"/>
  <c r="J20" i="5"/>
  <c r="J29" i="5"/>
  <c r="D88" i="7" s="1"/>
  <c r="J34" i="5"/>
  <c r="D90" i="7" s="1"/>
  <c r="J39" i="5"/>
  <c r="D36" i="7" s="1"/>
  <c r="G36" i="5"/>
  <c r="G37" i="5"/>
  <c r="G4" i="5"/>
  <c r="J11" i="5"/>
  <c r="D47" i="6" s="1"/>
  <c r="J15" i="5"/>
  <c r="D50" i="6" s="1"/>
  <c r="G24" i="5"/>
  <c r="G25" i="5"/>
  <c r="J28" i="5"/>
  <c r="D25" i="7" s="1"/>
  <c r="J37" i="5"/>
  <c r="D74" i="7" s="1"/>
  <c r="W13" i="6"/>
  <c r="C44" i="6"/>
  <c r="C76" i="6"/>
  <c r="W99" i="6"/>
  <c r="W5" i="6"/>
  <c r="W24" i="6"/>
  <c r="W47" i="6"/>
  <c r="W52" i="6"/>
  <c r="W64" i="6"/>
  <c r="W101" i="6"/>
  <c r="C68" i="6"/>
  <c r="W103" i="6"/>
  <c r="W4" i="6"/>
  <c r="C28" i="6"/>
  <c r="C90" i="6"/>
  <c r="Q1" i="6"/>
  <c r="C13" i="6"/>
  <c r="C20" i="6"/>
  <c r="C35" i="6"/>
  <c r="C60" i="6"/>
  <c r="W6" i="6"/>
  <c r="C16" i="6"/>
  <c r="W23" i="6"/>
  <c r="C27" i="6"/>
  <c r="W36" i="6"/>
  <c r="W48" i="6"/>
  <c r="W63" i="6"/>
  <c r="W68" i="6"/>
  <c r="W80" i="6"/>
  <c r="W95" i="6"/>
  <c r="W109" i="6"/>
  <c r="AI10" i="4"/>
  <c r="AI12" i="4"/>
  <c r="AW12" i="4"/>
  <c r="AI4" i="4"/>
  <c r="AW4" i="4"/>
  <c r="AI8" i="4"/>
  <c r="AW8" i="4"/>
  <c r="AI16" i="4"/>
  <c r="AI11" i="4"/>
  <c r="X1" i="4"/>
  <c r="AI6" i="4"/>
  <c r="AI14" i="4"/>
  <c r="AI7" i="4"/>
  <c r="AI17" i="4"/>
  <c r="E3" i="5"/>
  <c r="AZ6" i="5"/>
  <c r="AZ10" i="5"/>
  <c r="AZ14" i="5"/>
  <c r="AZ18" i="5"/>
  <c r="AZ22" i="5"/>
  <c r="AZ26" i="5"/>
  <c r="AZ30" i="5"/>
  <c r="AZ34" i="5"/>
  <c r="AZ38" i="5"/>
  <c r="E7" i="5"/>
  <c r="E6" i="6" s="1"/>
  <c r="G3" i="5"/>
  <c r="H4" i="5"/>
  <c r="AZ5" i="5"/>
  <c r="F7" i="5"/>
  <c r="H8" i="5"/>
  <c r="AZ9" i="5"/>
  <c r="F11" i="5"/>
  <c r="H12" i="5"/>
  <c r="AZ13" i="5"/>
  <c r="F15" i="5"/>
  <c r="H16" i="5"/>
  <c r="AZ17" i="5"/>
  <c r="F19" i="5"/>
  <c r="H20" i="5"/>
  <c r="AZ21" i="5"/>
  <c r="F23" i="5"/>
  <c r="H24" i="5"/>
  <c r="AZ25" i="5"/>
  <c r="F27" i="5"/>
  <c r="H28" i="5"/>
  <c r="AZ29" i="5"/>
  <c r="F31" i="5"/>
  <c r="H32" i="5"/>
  <c r="AZ33" i="5"/>
  <c r="F35" i="5"/>
  <c r="H36" i="5"/>
  <c r="AZ37" i="5"/>
  <c r="F39" i="5"/>
  <c r="E11" i="5"/>
  <c r="AW5" i="4"/>
  <c r="AW13" i="4"/>
  <c r="I4" i="5"/>
  <c r="E6" i="5"/>
  <c r="E43" i="7" s="1"/>
  <c r="G7" i="5"/>
  <c r="I8" i="5"/>
  <c r="E10" i="5"/>
  <c r="G11" i="5"/>
  <c r="I12" i="5"/>
  <c r="E14" i="5"/>
  <c r="E81" i="7" s="1"/>
  <c r="G15" i="5"/>
  <c r="I16" i="5"/>
  <c r="E18" i="5"/>
  <c r="G19" i="5"/>
  <c r="I20" i="5"/>
  <c r="E22" i="5"/>
  <c r="G23" i="5"/>
  <c r="I24" i="5"/>
  <c r="E26" i="5"/>
  <c r="G27" i="5"/>
  <c r="I28" i="5"/>
  <c r="E30" i="5"/>
  <c r="E27" i="6" s="1"/>
  <c r="G31" i="5"/>
  <c r="I32" i="5"/>
  <c r="E34" i="5"/>
  <c r="G35" i="5"/>
  <c r="I36" i="5"/>
  <c r="E38" i="5"/>
  <c r="E109" i="6" s="1"/>
  <c r="G39" i="5"/>
  <c r="E15" i="5"/>
  <c r="E13" i="6" s="1"/>
  <c r="E19" i="5"/>
  <c r="E54" i="6" s="1"/>
  <c r="E23" i="5"/>
  <c r="E27" i="5"/>
  <c r="E24" i="6" s="1"/>
  <c r="E31" i="5"/>
  <c r="E68" i="7" s="1"/>
  <c r="E35" i="5"/>
  <c r="E39" i="5"/>
  <c r="E110" i="6" s="1"/>
  <c r="H7" i="5"/>
  <c r="H11" i="5"/>
  <c r="H15" i="5"/>
  <c r="F18" i="5"/>
  <c r="H19" i="5"/>
  <c r="F22" i="5"/>
  <c r="H23" i="5"/>
  <c r="F26" i="5"/>
  <c r="H27" i="5"/>
  <c r="F30" i="5"/>
  <c r="H31" i="5"/>
  <c r="F34" i="5"/>
  <c r="H35" i="5"/>
  <c r="F38" i="5"/>
  <c r="AZ3" i="5"/>
  <c r="E5" i="5"/>
  <c r="E4" i="7" s="1"/>
  <c r="G6" i="5"/>
  <c r="I7" i="5"/>
  <c r="E9" i="5"/>
  <c r="G10" i="5"/>
  <c r="I11" i="5"/>
  <c r="E13" i="5"/>
  <c r="G14" i="5"/>
  <c r="I15" i="5"/>
  <c r="E17" i="5"/>
  <c r="E88" i="6" s="1"/>
  <c r="G18" i="5"/>
  <c r="I19" i="5"/>
  <c r="E21" i="5"/>
  <c r="E85" i="7" s="1"/>
  <c r="G22" i="5"/>
  <c r="I23" i="5"/>
  <c r="E25" i="5"/>
  <c r="E62" i="7" s="1"/>
  <c r="G26" i="5"/>
  <c r="I27" i="5"/>
  <c r="E29" i="5"/>
  <c r="G30" i="5"/>
  <c r="I31" i="5"/>
  <c r="E33" i="5"/>
  <c r="E89" i="7" s="1"/>
  <c r="G34" i="5"/>
  <c r="I35" i="5"/>
  <c r="E37" i="5"/>
  <c r="E34" i="7" s="1"/>
  <c r="G38" i="5"/>
  <c r="I39" i="5"/>
  <c r="H6" i="5"/>
  <c r="H10" i="5"/>
  <c r="F13" i="5"/>
  <c r="H14" i="5"/>
  <c r="F17" i="5"/>
  <c r="H18" i="5"/>
  <c r="F21" i="5"/>
  <c r="H22" i="5"/>
  <c r="F25" i="5"/>
  <c r="H26" i="5"/>
  <c r="F29" i="5"/>
  <c r="H30" i="5"/>
  <c r="F33" i="5"/>
  <c r="H34" i="5"/>
  <c r="F37" i="5"/>
  <c r="H38" i="5"/>
  <c r="C11" i="6"/>
  <c r="C14" i="6"/>
  <c r="C21" i="6"/>
  <c r="C29" i="6"/>
  <c r="C37" i="6"/>
  <c r="C45" i="6"/>
  <c r="C53" i="6"/>
  <c r="C61" i="6"/>
  <c r="C69" i="6"/>
  <c r="C77" i="6"/>
  <c r="C85" i="6"/>
  <c r="C43" i="6"/>
  <c r="C51" i="6"/>
  <c r="C59" i="6"/>
  <c r="C67" i="6"/>
  <c r="C75" i="6"/>
  <c r="C83" i="6"/>
  <c r="C89" i="6"/>
  <c r="C94" i="6"/>
  <c r="C102" i="6"/>
  <c r="C110" i="6"/>
  <c r="C3" i="6"/>
  <c r="C4" i="6"/>
  <c r="C17" i="6"/>
  <c r="C26" i="6"/>
  <c r="C34" i="6"/>
  <c r="C42" i="6"/>
  <c r="C50" i="6"/>
  <c r="C58" i="6"/>
  <c r="C66" i="6"/>
  <c r="C74" i="6"/>
  <c r="C82" i="6"/>
  <c r="C88" i="6"/>
  <c r="C93" i="6"/>
  <c r="C98" i="6"/>
  <c r="C6" i="6"/>
  <c r="C25" i="6"/>
  <c r="C33" i="6"/>
  <c r="C41" i="6"/>
  <c r="C49" i="6"/>
  <c r="C57" i="6"/>
  <c r="C65" i="6"/>
  <c r="C73" i="6"/>
  <c r="C81" i="6"/>
  <c r="C92" i="6"/>
  <c r="C109" i="6"/>
  <c r="C105" i="6"/>
  <c r="C101" i="6"/>
  <c r="C108" i="6"/>
  <c r="C104" i="6"/>
  <c r="C107" i="6"/>
  <c r="C103" i="6"/>
  <c r="C99" i="6"/>
  <c r="C95" i="6"/>
  <c r="C91" i="6"/>
  <c r="C87" i="6"/>
  <c r="C5" i="6"/>
  <c r="C8" i="6"/>
  <c r="C24" i="6"/>
  <c r="C32" i="6"/>
  <c r="C40" i="6"/>
  <c r="C48" i="6"/>
  <c r="C56" i="6"/>
  <c r="C64" i="6"/>
  <c r="C72" i="6"/>
  <c r="C80" i="6"/>
  <c r="C96" i="6"/>
  <c r="C7" i="6"/>
  <c r="C10" i="6"/>
  <c r="C23" i="6"/>
  <c r="C31" i="6"/>
  <c r="C39" i="6"/>
  <c r="C47" i="6"/>
  <c r="C55" i="6"/>
  <c r="C63" i="6"/>
  <c r="C71" i="6"/>
  <c r="C79" i="6"/>
  <c r="C100" i="6"/>
  <c r="C106" i="6"/>
  <c r="C9" i="6"/>
  <c r="C12" i="6"/>
  <c r="C22" i="6"/>
  <c r="C30" i="6"/>
  <c r="C38" i="6"/>
  <c r="C46" i="6"/>
  <c r="C54" i="6"/>
  <c r="C62" i="6"/>
  <c r="C70" i="6"/>
  <c r="C78" i="6"/>
  <c r="C86" i="6"/>
  <c r="Q1" i="7"/>
  <c r="V1" i="7"/>
  <c r="C21" i="7"/>
  <c r="C25" i="7"/>
  <c r="C29" i="7"/>
  <c r="C33" i="7"/>
  <c r="C37" i="7"/>
  <c r="C41" i="7"/>
  <c r="C45" i="7"/>
  <c r="C49" i="7"/>
  <c r="C53" i="7"/>
  <c r="C57" i="7"/>
  <c r="C68" i="7"/>
  <c r="C64" i="7"/>
  <c r="C69" i="7"/>
  <c r="C70" i="7"/>
  <c r="C22" i="7"/>
  <c r="C26" i="7"/>
  <c r="C30" i="7"/>
  <c r="C34" i="7"/>
  <c r="C38" i="7"/>
  <c r="C42" i="7"/>
  <c r="C46" i="7"/>
  <c r="C50" i="7"/>
  <c r="C54" i="7"/>
  <c r="C58" i="7"/>
  <c r="C60" i="7"/>
  <c r="C65" i="7"/>
  <c r="C66" i="7"/>
  <c r="C76" i="7"/>
  <c r="C61" i="7"/>
  <c r="C62" i="7"/>
  <c r="C77" i="7"/>
  <c r="C75" i="7"/>
  <c r="C71" i="7"/>
  <c r="C67" i="7"/>
  <c r="C63" i="7"/>
  <c r="C59" i="7"/>
  <c r="C3" i="7"/>
  <c r="C7" i="7"/>
  <c r="C11" i="7"/>
  <c r="C15" i="7"/>
  <c r="C19" i="7"/>
  <c r="C23" i="7"/>
  <c r="C27" i="7"/>
  <c r="C31" i="7"/>
  <c r="C35" i="7"/>
  <c r="C39" i="7"/>
  <c r="C43" i="7"/>
  <c r="C47" i="7"/>
  <c r="C51" i="7"/>
  <c r="C55" i="7"/>
  <c r="C72" i="7"/>
  <c r="E22" i="7" l="1"/>
  <c r="E20" i="6"/>
  <c r="D19" i="7"/>
  <c r="E57" i="7"/>
  <c r="D90" i="6"/>
  <c r="D75" i="7"/>
  <c r="D17" i="6"/>
  <c r="D39" i="6"/>
  <c r="D39" i="7"/>
  <c r="D109" i="6"/>
  <c r="D35" i="7"/>
  <c r="D63" i="7"/>
  <c r="D54" i="6"/>
  <c r="D4" i="7"/>
  <c r="D78" i="6"/>
  <c r="D76" i="6"/>
  <c r="D58" i="7"/>
  <c r="D42" i="7"/>
  <c r="E55" i="6"/>
  <c r="D92" i="6"/>
  <c r="D19" i="6"/>
  <c r="E93" i="6"/>
  <c r="E86" i="7"/>
  <c r="D45" i="6"/>
  <c r="D79" i="7"/>
  <c r="D57" i="6"/>
  <c r="D86" i="7"/>
  <c r="D72" i="7"/>
  <c r="D91" i="7"/>
  <c r="E29" i="6"/>
  <c r="E90" i="7"/>
  <c r="E53" i="6"/>
  <c r="E82" i="7"/>
  <c r="E37" i="6"/>
  <c r="E78" i="7"/>
  <c r="D30" i="6"/>
  <c r="D89" i="7"/>
  <c r="D51" i="7"/>
  <c r="D81" i="7"/>
  <c r="D70" i="6"/>
  <c r="D92" i="7"/>
  <c r="D37" i="6"/>
  <c r="D78" i="7"/>
  <c r="E45" i="6"/>
  <c r="E79" i="7"/>
  <c r="D89" i="6"/>
  <c r="D82" i="7"/>
  <c r="E100" i="6"/>
  <c r="E88" i="7"/>
  <c r="E32" i="7"/>
  <c r="E91" i="7"/>
  <c r="E17" i="6"/>
  <c r="E83" i="7"/>
  <c r="E22" i="6"/>
  <c r="E87" i="7"/>
  <c r="E9" i="7"/>
  <c r="E80" i="7"/>
  <c r="D18" i="6"/>
  <c r="D84" i="7"/>
  <c r="D47" i="7"/>
  <c r="D80" i="7"/>
  <c r="E107" i="6"/>
  <c r="E92" i="7"/>
  <c r="D3" i="7"/>
  <c r="D59" i="7"/>
  <c r="D33" i="6"/>
  <c r="D73" i="7"/>
  <c r="D33" i="7"/>
  <c r="D69" i="6"/>
  <c r="D51" i="6"/>
  <c r="D27" i="7"/>
  <c r="D53" i="7"/>
  <c r="D21" i="6"/>
  <c r="D3" i="6"/>
  <c r="D20" i="6"/>
  <c r="D64" i="6"/>
  <c r="D46" i="6"/>
  <c r="E66" i="7"/>
  <c r="D37" i="7"/>
  <c r="D68" i="7"/>
  <c r="D40" i="7"/>
  <c r="D16" i="7"/>
  <c r="D28" i="6"/>
  <c r="D5" i="7"/>
  <c r="D18" i="7"/>
  <c r="D5" i="6"/>
  <c r="D61" i="7"/>
  <c r="D24" i="7"/>
  <c r="D64" i="7"/>
  <c r="D61" i="6"/>
  <c r="E5" i="7"/>
  <c r="E94" i="6"/>
  <c r="D23" i="6"/>
  <c r="E31" i="7"/>
  <c r="D23" i="7"/>
  <c r="E33" i="7"/>
  <c r="D103" i="6"/>
  <c r="D82" i="6"/>
  <c r="D14" i="7"/>
  <c r="E28" i="7"/>
  <c r="E41" i="7"/>
  <c r="D93" i="6"/>
  <c r="D94" i="6"/>
  <c r="D87" i="6"/>
  <c r="D80" i="6"/>
  <c r="E61" i="6"/>
  <c r="D46" i="7"/>
  <c r="D21" i="7"/>
  <c r="D20" i="7"/>
  <c r="E71" i="7"/>
  <c r="E31" i="6"/>
  <c r="D106" i="6"/>
  <c r="D40" i="6"/>
  <c r="E75" i="6"/>
  <c r="D50" i="7"/>
  <c r="D12" i="6"/>
  <c r="D12" i="7"/>
  <c r="E11" i="7"/>
  <c r="D49" i="6"/>
  <c r="D55" i="6"/>
  <c r="D108" i="6"/>
  <c r="D16" i="6"/>
  <c r="D11" i="7"/>
  <c r="D10" i="7"/>
  <c r="E55" i="7"/>
  <c r="D53" i="6"/>
  <c r="D77" i="6"/>
  <c r="D22" i="6"/>
  <c r="D86" i="6"/>
  <c r="D59" i="6"/>
  <c r="D52" i="6"/>
  <c r="E68" i="6"/>
  <c r="D95" i="6"/>
  <c r="D55" i="7"/>
  <c r="D71" i="7"/>
  <c r="E16" i="7"/>
  <c r="E21" i="7"/>
  <c r="D71" i="6"/>
  <c r="E83" i="6"/>
  <c r="D91" i="6"/>
  <c r="E54" i="7"/>
  <c r="D58" i="6"/>
  <c r="E84" i="6"/>
  <c r="E6" i="7"/>
  <c r="D85" i="6"/>
  <c r="D67" i="6"/>
  <c r="E97" i="6"/>
  <c r="E105" i="6"/>
  <c r="E12" i="6"/>
  <c r="D70" i="7"/>
  <c r="D26" i="7"/>
  <c r="E52" i="7"/>
  <c r="D60" i="6"/>
  <c r="D38" i="7"/>
  <c r="D30" i="7"/>
  <c r="E62" i="6"/>
  <c r="E51" i="7"/>
  <c r="E101" i="6"/>
  <c r="E16" i="6"/>
  <c r="E85" i="6"/>
  <c r="E27" i="7"/>
  <c r="E9" i="6"/>
  <c r="E34" i="6"/>
  <c r="E46" i="6"/>
  <c r="D88" i="6"/>
  <c r="E41" i="6"/>
  <c r="E67" i="6"/>
  <c r="E30" i="7"/>
  <c r="E70" i="7"/>
  <c r="E19" i="7"/>
  <c r="D10" i="6"/>
  <c r="E35" i="6"/>
  <c r="E21" i="6"/>
  <c r="D62" i="6"/>
  <c r="E28" i="6"/>
  <c r="D31" i="6"/>
  <c r="D63" i="6"/>
  <c r="E63" i="7"/>
  <c r="E76" i="7"/>
  <c r="E47" i="7"/>
  <c r="E36" i="6"/>
  <c r="D65" i="7"/>
  <c r="E56" i="7"/>
  <c r="E17" i="7"/>
  <c r="E75" i="7"/>
  <c r="E47" i="6"/>
  <c r="E72" i="6"/>
  <c r="D105" i="6"/>
  <c r="D26" i="6"/>
  <c r="E96" i="6"/>
  <c r="E40" i="6"/>
  <c r="E15" i="6"/>
  <c r="E56" i="6"/>
  <c r="E58" i="6"/>
  <c r="D99" i="6"/>
  <c r="E42" i="7"/>
  <c r="E108" i="6"/>
  <c r="E60" i="6"/>
  <c r="E64" i="7"/>
  <c r="E30" i="6"/>
  <c r="E49" i="6"/>
  <c r="E49" i="7"/>
  <c r="E59" i="7"/>
  <c r="E32" i="6"/>
  <c r="E98" i="6"/>
  <c r="E4" i="6"/>
  <c r="E70" i="6"/>
  <c r="E74" i="7"/>
  <c r="E51" i="6"/>
  <c r="E24" i="7"/>
  <c r="E90" i="6"/>
  <c r="D57" i="7"/>
  <c r="D104" i="6"/>
  <c r="D38" i="6"/>
  <c r="E43" i="6"/>
  <c r="E81" i="6"/>
  <c r="E15" i="7"/>
  <c r="E14" i="6"/>
  <c r="E80" i="6"/>
  <c r="E25" i="6"/>
  <c r="E52" i="6"/>
  <c r="E5" i="6"/>
  <c r="E71" i="6"/>
  <c r="D69" i="7"/>
  <c r="D65" i="6"/>
  <c r="D9" i="7"/>
  <c r="D43" i="7"/>
  <c r="D25" i="6"/>
  <c r="E46" i="7"/>
  <c r="E53" i="7"/>
  <c r="E35" i="7"/>
  <c r="E102" i="6"/>
  <c r="W1" i="7"/>
  <c r="D29" i="6"/>
  <c r="E38" i="7"/>
  <c r="E104" i="6"/>
  <c r="D73" i="6"/>
  <c r="D7" i="7"/>
  <c r="E39" i="6"/>
  <c r="E44" i="7"/>
  <c r="D75" i="6"/>
  <c r="E44" i="6"/>
  <c r="D29" i="7"/>
  <c r="D9" i="6"/>
  <c r="D43" i="6"/>
  <c r="E38" i="6"/>
  <c r="D77" i="7"/>
  <c r="E39" i="7"/>
  <c r="E23" i="6"/>
  <c r="D31" i="7"/>
  <c r="D45" i="7"/>
  <c r="E72" i="7"/>
  <c r="E36" i="7"/>
  <c r="E45" i="7"/>
  <c r="E14" i="7"/>
  <c r="E50" i="7"/>
  <c r="D74" i="6"/>
  <c r="D68" i="6"/>
  <c r="E73" i="6"/>
  <c r="E59" i="6"/>
  <c r="E73" i="7"/>
  <c r="E18" i="7"/>
  <c r="E79" i="6"/>
  <c r="D97" i="6"/>
  <c r="D66" i="7"/>
  <c r="D8" i="6"/>
  <c r="D101" i="6"/>
  <c r="E65" i="6"/>
  <c r="E50" i="6"/>
  <c r="E18" i="6"/>
  <c r="E69" i="6"/>
  <c r="E13" i="7"/>
  <c r="E7" i="6"/>
  <c r="D36" i="6"/>
  <c r="E3" i="6"/>
  <c r="E69" i="7"/>
  <c r="E77" i="7"/>
  <c r="D48" i="7"/>
  <c r="D8" i="7"/>
  <c r="D79" i="6"/>
  <c r="D48" i="6"/>
  <c r="D13" i="7"/>
  <c r="D13" i="6"/>
  <c r="D102" i="6"/>
  <c r="D100" i="6"/>
  <c r="E91" i="6"/>
  <c r="D107" i="6"/>
  <c r="E42" i="6"/>
  <c r="D56" i="7"/>
  <c r="D41" i="6"/>
  <c r="D83" i="6"/>
  <c r="D56" i="6"/>
  <c r="D17" i="7"/>
  <c r="D49" i="7"/>
  <c r="D52" i="7"/>
  <c r="E95" i="6"/>
  <c r="E25" i="7"/>
  <c r="D98" i="6"/>
  <c r="E86" i="6"/>
  <c r="E20" i="7"/>
  <c r="E58" i="7"/>
  <c r="E29" i="7"/>
  <c r="D34" i="6"/>
  <c r="E82" i="6"/>
  <c r="E19" i="6"/>
  <c r="D15" i="7"/>
  <c r="D67" i="7"/>
  <c r="D32" i="6"/>
  <c r="D6" i="6"/>
  <c r="E76" i="6"/>
  <c r="D32" i="7"/>
  <c r="E37" i="7"/>
  <c r="E65" i="7"/>
  <c r="E26" i="7"/>
  <c r="D15" i="6"/>
  <c r="D72" i="6"/>
  <c r="E92" i="6"/>
  <c r="D76" i="7"/>
  <c r="D6" i="7"/>
  <c r="D81" i="6"/>
  <c r="D44" i="6"/>
  <c r="D62" i="7"/>
  <c r="D34" i="7"/>
  <c r="D110" i="6"/>
  <c r="E40" i="7"/>
  <c r="E106" i="6"/>
  <c r="E103" i="6"/>
  <c r="E10" i="7"/>
  <c r="E26" i="6"/>
  <c r="E48" i="7"/>
  <c r="E10" i="6"/>
  <c r="BB9" i="4"/>
  <c r="BC9" i="4" s="1"/>
  <c r="AN9" i="4"/>
  <c r="AR9" i="4" s="1"/>
  <c r="BB13" i="4"/>
  <c r="BC13" i="4" s="1"/>
  <c r="AN13" i="4"/>
  <c r="AR13" i="4" s="1"/>
  <c r="BB5" i="4"/>
  <c r="BC5" i="4" s="1"/>
  <c r="AN5" i="4"/>
  <c r="AR5" i="4" s="1"/>
  <c r="E23" i="7"/>
  <c r="E74" i="6"/>
  <c r="E89" i="6"/>
  <c r="AN17" i="4"/>
  <c r="AR17" i="4" s="1"/>
  <c r="BB17" i="4"/>
  <c r="BC17" i="4" s="1"/>
  <c r="E60" i="7"/>
  <c r="E57" i="6"/>
  <c r="AN6" i="4"/>
  <c r="AR6" i="4" s="1"/>
  <c r="AW6" i="4"/>
  <c r="BB6" i="4"/>
  <c r="BC6" i="4" s="1"/>
  <c r="BB16" i="4"/>
  <c r="BC16" i="4" s="1"/>
  <c r="AN16" i="4"/>
  <c r="AR16" i="4" s="1"/>
  <c r="AW16" i="4"/>
  <c r="E8" i="7"/>
  <c r="E64" i="6"/>
  <c r="AN7" i="4"/>
  <c r="AR7" i="4" s="1"/>
  <c r="AW7" i="4"/>
  <c r="BB7" i="4"/>
  <c r="BC7" i="4" s="1"/>
  <c r="AW17" i="4"/>
  <c r="AE1" i="4"/>
  <c r="AI3" i="4"/>
  <c r="E12" i="7"/>
  <c r="BB12" i="4"/>
  <c r="BC12" i="4" s="1"/>
  <c r="AN12" i="4"/>
  <c r="AR12" i="4" s="1"/>
  <c r="E8" i="6"/>
  <c r="E78" i="6"/>
  <c r="E77" i="6"/>
  <c r="E11" i="6"/>
  <c r="BB8" i="4"/>
  <c r="BC8" i="4" s="1"/>
  <c r="AN8" i="4"/>
  <c r="AR8" i="4" s="1"/>
  <c r="E67" i="7"/>
  <c r="E63" i="6"/>
  <c r="E33" i="6"/>
  <c r="E99" i="6"/>
  <c r="AN11" i="4"/>
  <c r="AR11" i="4" s="1"/>
  <c r="BB11" i="4"/>
  <c r="BC11" i="4" s="1"/>
  <c r="AW11" i="4"/>
  <c r="AN14" i="4"/>
  <c r="AR14" i="4" s="1"/>
  <c r="BB14" i="4"/>
  <c r="BC14" i="4" s="1"/>
  <c r="AW14" i="4"/>
  <c r="AN4" i="4"/>
  <c r="AR4" i="4" s="1"/>
  <c r="BB4" i="4"/>
  <c r="BC4" i="4" s="1"/>
  <c r="AN10" i="4"/>
  <c r="AR10" i="4" s="1"/>
  <c r="BB10" i="4"/>
  <c r="BC10" i="4" s="1"/>
  <c r="AW10" i="4"/>
  <c r="AN3" i="4" l="1"/>
  <c r="AR3" i="4" s="1"/>
  <c r="AL1" i="4"/>
  <c r="BB3" i="4"/>
  <c r="AW3" i="4"/>
  <c r="BB1" i="4" l="1"/>
  <c r="BC3" i="4"/>
  <c r="BC1" i="4" s="1"/>
</calcChain>
</file>

<file path=xl/sharedStrings.xml><?xml version="1.0" encoding="utf-8"?>
<sst xmlns="http://schemas.openxmlformats.org/spreadsheetml/2006/main" count="8255" uniqueCount="526">
  <si>
    <t>Sr No</t>
  </si>
  <si>
    <t>Particulars</t>
  </si>
  <si>
    <t>Each Region will have a unique Area Name, OLT ID &amp; Cluster ID.</t>
  </si>
  <si>
    <t>Every FAT/OLD/FDC/JC will have a unique ID.</t>
  </si>
  <si>
    <t>Each entity as mentioned in above pt, will have a separate row &amp; respective entry in the tracker</t>
  </si>
  <si>
    <t>Item Name</t>
  </si>
  <si>
    <t>Kindly refer Terminologies sheet for model understanding. Alternatively you can also use respective SLDs for the same</t>
  </si>
  <si>
    <t>FDC</t>
  </si>
  <si>
    <t>For filling the trackers, regional teams will have to fill cells where Headings are not highlighted.</t>
  </si>
  <si>
    <t>FAT Box</t>
  </si>
  <si>
    <t>Central Team will be filling data for cells where Headings are highlighted in Yellow</t>
  </si>
  <si>
    <t>Duct</t>
  </si>
  <si>
    <t>Kindly do not fill any cell where headings are highlighted in Green.</t>
  </si>
  <si>
    <t>Primary Splitter</t>
  </si>
  <si>
    <t>For all FAT/FDC there will be an entry of separate row in "Node Details" sheet.</t>
  </si>
  <si>
    <t>Any extension of current path,route will be treated as a new route.</t>
  </si>
  <si>
    <t>Any new branch getting deployed from same common FAT/FDC which is not part of existing route shall be treated as a New Route.</t>
  </si>
  <si>
    <t>Fiber Material &amp; Fiber Execution service details are to be entered in "Route Details" &amp; "Node Details" sheet only.</t>
  </si>
  <si>
    <t>Tracker has to be filled all routes that are RFS/Deployed irrespective of Sign-off.</t>
  </si>
  <si>
    <t>Billing start date will be HOTO date, when penetration % is &gt;=50%</t>
  </si>
  <si>
    <t>Secondary Splitter</t>
  </si>
  <si>
    <t>Kindly enter date in DD_MMM_YYYY format for all columns where date has to be entered.</t>
  </si>
  <si>
    <t>Pigtail</t>
  </si>
  <si>
    <t>Kindly do not alter format of the sheet, i.e add or delete rows/columns or do any formatting changes.</t>
  </si>
  <si>
    <t>Patch Cords</t>
  </si>
  <si>
    <t>Tiffin Box</t>
  </si>
  <si>
    <t>FMS</t>
  </si>
  <si>
    <t>Unique Route ID</t>
  </si>
  <si>
    <t>FDC/FAT Unique ID (Start Point)</t>
  </si>
  <si>
    <t>Start point Latlong</t>
  </si>
  <si>
    <t>FDC/FAT Unique ID (End Point)</t>
  </si>
  <si>
    <t>End point Latlong</t>
  </si>
  <si>
    <t>Customer</t>
  </si>
  <si>
    <t>Area Name</t>
  </si>
  <si>
    <t>City</t>
  </si>
  <si>
    <t>Telecom Circle</t>
  </si>
  <si>
    <t>State</t>
  </si>
  <si>
    <t>OLT ID</t>
  </si>
  <si>
    <t>Cluster ID</t>
  </si>
  <si>
    <t>Online AT Date (Delivered)</t>
  </si>
  <si>
    <t>Online AT Length (Delivered)</t>
  </si>
  <si>
    <t>HOTO Date</t>
  </si>
  <si>
    <t>HOTO Signoff Date</t>
  </si>
  <si>
    <t>Start Date (Date from which we can bill)</t>
  </si>
  <si>
    <t>Lock-in Period</t>
  </si>
  <si>
    <t>Surrender Date</t>
  </si>
  <si>
    <t>Fresh Delivery/Renewal</t>
  </si>
  <si>
    <t>Fiber Capacity</t>
  </si>
  <si>
    <t>OTDR length (in meters)</t>
  </si>
  <si>
    <t>Customer Billable length (in meters)</t>
  </si>
  <si>
    <t>Customer PO no</t>
  </si>
  <si>
    <t>PO length</t>
  </si>
  <si>
    <t>PO Date</t>
  </si>
  <si>
    <t>PO Rate</t>
  </si>
  <si>
    <t>Fiber length deployed/used (in meters)</t>
  </si>
  <si>
    <t>Fiber Type</t>
  </si>
  <si>
    <t>Fiber Rate per meter (incl Freight)</t>
  </si>
  <si>
    <t>Fiber Material Cost</t>
  </si>
  <si>
    <t>Execution Vendor Name</t>
  </si>
  <si>
    <t>Vendor Billable Length (Fiber laying)</t>
  </si>
  <si>
    <t>Fiber Laying Rate</t>
  </si>
  <si>
    <t>Fiber Laying/Execution Cost</t>
  </si>
  <si>
    <t>OTM Length</t>
  </si>
  <si>
    <t>OTM Execution Rate</t>
  </si>
  <si>
    <t>OTM Cost</t>
  </si>
  <si>
    <t>Total Vendor Cost</t>
  </si>
  <si>
    <t>Vendor PO No</t>
  </si>
  <si>
    <t>Vendor PO Date</t>
  </si>
  <si>
    <t>Vendor PO Rate</t>
  </si>
  <si>
    <t>Vendor PO Cost</t>
  </si>
  <si>
    <t>Vendor Invoice No</t>
  </si>
  <si>
    <t>Vendor Invoice Date</t>
  </si>
  <si>
    <t>Vendor Invoice Rate</t>
  </si>
  <si>
    <t>Vendor Invoiced length</t>
  </si>
  <si>
    <t>Invoice Amt</t>
  </si>
  <si>
    <t>24F</t>
  </si>
  <si>
    <t>12F</t>
  </si>
  <si>
    <t>Latlong</t>
  </si>
  <si>
    <t>Route ID (Route on which FAT/FDC is connected)</t>
  </si>
  <si>
    <t>Any Additional Fiber used for connectivity</t>
  </si>
  <si>
    <t>FDC/FAT Unique ID</t>
  </si>
  <si>
    <t>Qty used</t>
  </si>
  <si>
    <t>Rate Per Unit</t>
  </si>
  <si>
    <t>Total Cost</t>
  </si>
  <si>
    <t>Installation Date</t>
  </si>
  <si>
    <t>Circle</t>
  </si>
  <si>
    <t>Sr. no.</t>
  </si>
  <si>
    <t>Service Name</t>
  </si>
  <si>
    <t>Vendor name</t>
  </si>
  <si>
    <t>Sr No.</t>
  </si>
  <si>
    <t>PO No.</t>
  </si>
  <si>
    <t>PO Type (Fresh/Renewal)</t>
  </si>
  <si>
    <t>RSU</t>
  </si>
  <si>
    <t>RSU Name</t>
  </si>
  <si>
    <t>Lockin Period (Yrs)</t>
  </si>
  <si>
    <t>Fiber Rate   (Yr 1)</t>
  </si>
  <si>
    <t>Fiber Rate   (Yr 2)</t>
  </si>
  <si>
    <t>Fiber Rate   (Yr 3)</t>
  </si>
  <si>
    <t>Fiber Rate   (Yr 4)</t>
  </si>
  <si>
    <t>Fiber Rate   (Yr 5)</t>
  </si>
  <si>
    <t>Fiber Length (Mtrs)</t>
  </si>
  <si>
    <t>Hoto Length (Mtrs)</t>
  </si>
  <si>
    <t>FAT Box (nos)</t>
  </si>
  <si>
    <t>Fat Box Rate</t>
  </si>
  <si>
    <t>HP (nos)</t>
  </si>
  <si>
    <t>Pole (nos)</t>
  </si>
  <si>
    <t>Pole Rate</t>
  </si>
  <si>
    <t>Spiltter</t>
  </si>
  <si>
    <t>Spiltter Rate</t>
  </si>
  <si>
    <t>6F</t>
  </si>
  <si>
    <t>48F</t>
  </si>
  <si>
    <t>Lockin Period</t>
  </si>
  <si>
    <t>FAT Box Rate</t>
  </si>
  <si>
    <t>Pole</t>
  </si>
  <si>
    <t>Original HOTO</t>
  </si>
  <si>
    <t>1st Revised HOTO</t>
  </si>
  <si>
    <t>2nd Revised HOTO</t>
  </si>
  <si>
    <t>3rd Revised HOTO</t>
  </si>
  <si>
    <t>4th Revised HOTO</t>
  </si>
  <si>
    <t>5th Revised HOTO</t>
  </si>
  <si>
    <t>Fiber Length as per HOTO</t>
  </si>
  <si>
    <t>Planned FAT</t>
  </si>
  <si>
    <t>Actual Deployed FAT</t>
  </si>
  <si>
    <t>%Penetration FAT</t>
  </si>
  <si>
    <t>Planned HP</t>
  </si>
  <si>
    <t>Actual Home Pass</t>
  </si>
  <si>
    <t>%Penetration HP</t>
  </si>
  <si>
    <t>Max (HP/FAT) Penetration %</t>
  </si>
  <si>
    <t>Penetration Slab</t>
  </si>
  <si>
    <t>check Point</t>
  </si>
  <si>
    <t>Revised HOTO Signoff Received date</t>
  </si>
  <si>
    <t>Revised HOTO Date</t>
  </si>
  <si>
    <t>Revised HOTO Signoff date</t>
  </si>
  <si>
    <t>Chandigarh</t>
  </si>
  <si>
    <t>AXZ</t>
  </si>
  <si>
    <t>Cluster ID As per Master Tracker</t>
  </si>
  <si>
    <t>AXZ01</t>
  </si>
  <si>
    <t>AXZ010101</t>
  </si>
  <si>
    <t>AXZ010102</t>
  </si>
  <si>
    <t>AXZ010103</t>
  </si>
  <si>
    <t>AXZ010104</t>
  </si>
  <si>
    <t>AXZ010105</t>
  </si>
  <si>
    <t>AXZ010106</t>
  </si>
  <si>
    <t>AXZ010107</t>
  </si>
  <si>
    <t>AXZ010108</t>
  </si>
  <si>
    <t>AXZ010201</t>
  </si>
  <si>
    <t>AXZ010202</t>
  </si>
  <si>
    <t>AXZ02</t>
  </si>
  <si>
    <t>AXZ020101</t>
  </si>
  <si>
    <t>AXZ020102</t>
  </si>
  <si>
    <t>AXZ020103</t>
  </si>
  <si>
    <t>AXZ020104</t>
  </si>
  <si>
    <t>AXZ020105</t>
  </si>
  <si>
    <t>AXZ020106</t>
  </si>
  <si>
    <t>AXZ020107</t>
  </si>
  <si>
    <t>AXZ020108</t>
  </si>
  <si>
    <t>AXZ020201</t>
  </si>
  <si>
    <t>AXZ020202</t>
  </si>
  <si>
    <t>AXZ020203</t>
  </si>
  <si>
    <t>AXZ03</t>
  </si>
  <si>
    <t>AXZ030101</t>
  </si>
  <si>
    <t>AXZ030102</t>
  </si>
  <si>
    <t>AXZ030103</t>
  </si>
  <si>
    <t>AXZ030104</t>
  </si>
  <si>
    <t>AXZ030105</t>
  </si>
  <si>
    <t>AXZ030106</t>
  </si>
  <si>
    <t>AXZ030107</t>
  </si>
  <si>
    <t>AXZ030108</t>
  </si>
  <si>
    <t>AXZ030201</t>
  </si>
  <si>
    <t>AXZ030202</t>
  </si>
  <si>
    <t>AXZ030203</t>
  </si>
  <si>
    <t>AXZ030204</t>
  </si>
  <si>
    <t>AXZ030205</t>
  </si>
  <si>
    <t>No</t>
  </si>
  <si>
    <t>Route no</t>
  </si>
  <si>
    <t>Remark</t>
  </si>
  <si>
    <t>FY 2025-26 H2 Data</t>
  </si>
  <si>
    <t>Primary Splitter 2:8</t>
  </si>
  <si>
    <t>Secondary Splitter 1:16</t>
  </si>
  <si>
    <t>Secondary Splitter 1:8</t>
  </si>
  <si>
    <t>Pole Mount Jubilee Clamps</t>
  </si>
  <si>
    <t>Punjab</t>
  </si>
  <si>
    <t>FAT Box Installation</t>
  </si>
  <si>
    <t>FDC Installation</t>
  </si>
  <si>
    <t>FAT -Labelling &amp; AT clearance</t>
  </si>
  <si>
    <t>Invoice Awaited</t>
  </si>
  <si>
    <t>DROR Services Private Limited</t>
  </si>
  <si>
    <t>PLAN OF AXZ DARIA</t>
  </si>
  <si>
    <t>Airtel</t>
  </si>
  <si>
    <t>Extra Core Splicing</t>
  </si>
  <si>
    <t>R-1</t>
  </si>
  <si>
    <t>R-2</t>
  </si>
  <si>
    <t>R-3</t>
  </si>
  <si>
    <t>R-4</t>
  </si>
  <si>
    <t>R-5</t>
  </si>
  <si>
    <t>R-6</t>
  </si>
  <si>
    <t>R-7</t>
  </si>
  <si>
    <t>R-8</t>
  </si>
  <si>
    <t>R-9</t>
  </si>
  <si>
    <t>R-10</t>
  </si>
  <si>
    <t>R-11</t>
  </si>
  <si>
    <t>R-12</t>
  </si>
  <si>
    <t>R-13</t>
  </si>
  <si>
    <t>R-14</t>
  </si>
  <si>
    <t>R-15</t>
  </si>
  <si>
    <t xml:space="preserve">AXZ01 </t>
  </si>
  <si>
    <t>Fresh</t>
  </si>
  <si>
    <t xml:space="preserve">PO awaited </t>
  </si>
  <si>
    <t>UA</t>
  </si>
  <si>
    <t>AXZ030104-AXZ030106</t>
  </si>
  <si>
    <t>AXZ030201-AXZ030205</t>
  </si>
  <si>
    <t>000000AXZ-0000AXZ01</t>
  </si>
  <si>
    <t>0000AXZ01-AXZ010101</t>
  </si>
  <si>
    <t>0000AXZ01-AXZ010202</t>
  </si>
  <si>
    <t>0000AXZ02-AXZ020101</t>
  </si>
  <si>
    <t>0000AXZ02-AXZ020103</t>
  </si>
  <si>
    <t>0000AXZ02-AXZ020203</t>
  </si>
  <si>
    <t>0000AXZ03-AXZ030101</t>
  </si>
  <si>
    <t>0000AXZ03-AXZ030102</t>
  </si>
  <si>
    <t>0000AXZ03-AXZ030104</t>
  </si>
  <si>
    <t>0000AXZ03-AXZ030201</t>
  </si>
  <si>
    <t>0000AXZ01-AXZ010102</t>
  </si>
  <si>
    <t>0000AXZ01-AXZ010105</t>
  </si>
  <si>
    <t>000000AXZ-0000AXZ03</t>
  </si>
  <si>
    <t>AXY</t>
  </si>
  <si>
    <t>AXY01</t>
  </si>
  <si>
    <t>AXY010101</t>
  </si>
  <si>
    <t>AXY010103</t>
  </si>
  <si>
    <t>AXY010104</t>
  </si>
  <si>
    <t>AXY010102</t>
  </si>
  <si>
    <t>AXY03</t>
  </si>
  <si>
    <t>AXY030101</t>
  </si>
  <si>
    <t>AXY030103</t>
  </si>
  <si>
    <t>AXY030104</t>
  </si>
  <si>
    <t>AXY030105</t>
  </si>
  <si>
    <t>AXY030107</t>
  </si>
  <si>
    <t>AXY030108</t>
  </si>
  <si>
    <t>AXY030201</t>
  </si>
  <si>
    <t>AXY030203</t>
  </si>
  <si>
    <t>AXY030204</t>
  </si>
  <si>
    <t>AXY04</t>
  </si>
  <si>
    <t>AXY040101</t>
  </si>
  <si>
    <t>AXY040103</t>
  </si>
  <si>
    <t>AXY040105</t>
  </si>
  <si>
    <t>AXY040106</t>
  </si>
  <si>
    <t>AXY040107</t>
  </si>
  <si>
    <t>AXY040108</t>
  </si>
  <si>
    <t>AXY040201</t>
  </si>
  <si>
    <t>AXY040202</t>
  </si>
  <si>
    <t>AXY040203</t>
  </si>
  <si>
    <t>AXY040204</t>
  </si>
  <si>
    <t>AXY05</t>
  </si>
  <si>
    <t>AXY050101</t>
  </si>
  <si>
    <t>AXY050102</t>
  </si>
  <si>
    <t>AXY050103</t>
  </si>
  <si>
    <t>AXY050104</t>
  </si>
  <si>
    <t>AXY050105</t>
  </si>
  <si>
    <t>AXY050106</t>
  </si>
  <si>
    <t>AXY050107</t>
  </si>
  <si>
    <t>AXY050108</t>
  </si>
  <si>
    <t>AXY050201</t>
  </si>
  <si>
    <t>AXY050202</t>
  </si>
  <si>
    <t>AXY06</t>
  </si>
  <si>
    <t>AXY060101</t>
  </si>
  <si>
    <t>AXY060102</t>
  </si>
  <si>
    <t>AXY060103</t>
  </si>
  <si>
    <t>AXY060104</t>
  </si>
  <si>
    <t>AXY060105</t>
  </si>
  <si>
    <t>AXY060106</t>
  </si>
  <si>
    <t>AXY060107</t>
  </si>
  <si>
    <t>AXY060108</t>
  </si>
  <si>
    <t>AXY060201</t>
  </si>
  <si>
    <t>AXY07</t>
  </si>
  <si>
    <t>AXY070101</t>
  </si>
  <si>
    <t>AXY070102</t>
  </si>
  <si>
    <t>AXY070103</t>
  </si>
  <si>
    <t>AXY070104</t>
  </si>
  <si>
    <t>AXY070105</t>
  </si>
  <si>
    <t>AXY08</t>
  </si>
  <si>
    <t>AXY080104</t>
  </si>
  <si>
    <t>AXY080101</t>
  </si>
  <si>
    <t>AXY080102</t>
  </si>
  <si>
    <t>AXY080103</t>
  </si>
  <si>
    <t>AXY080105</t>
  </si>
  <si>
    <t>AXY080106</t>
  </si>
  <si>
    <t>AXY080202</t>
  </si>
  <si>
    <t>AXY080203</t>
  </si>
  <si>
    <t>AXY080107</t>
  </si>
  <si>
    <t>AXY080201</t>
  </si>
  <si>
    <t>AXY09</t>
  </si>
  <si>
    <t>AXY090101</t>
  </si>
  <si>
    <t>AXY090103</t>
  </si>
  <si>
    <t>AXY090104</t>
  </si>
  <si>
    <t>AXY090105</t>
  </si>
  <si>
    <t>AXY090106</t>
  </si>
  <si>
    <t>AXY090107</t>
  </si>
  <si>
    <t>AXY090108</t>
  </si>
  <si>
    <t>AXY090201</t>
  </si>
  <si>
    <t>AXY090202</t>
  </si>
  <si>
    <t>AXY090203</t>
  </si>
  <si>
    <t>AXY090204</t>
  </si>
  <si>
    <t>AXY10</t>
  </si>
  <si>
    <t>AXY100101</t>
  </si>
  <si>
    <t>AXY100102</t>
  </si>
  <si>
    <t>AXY100104</t>
  </si>
  <si>
    <t>AXY100106</t>
  </si>
  <si>
    <t>AXY100105</t>
  </si>
  <si>
    <t>AXY100108</t>
  </si>
  <si>
    <t>AXY100201</t>
  </si>
  <si>
    <t>AXY11</t>
  </si>
  <si>
    <t>AXY110101</t>
  </si>
  <si>
    <t>AXY110102</t>
  </si>
  <si>
    <t>AXY110103</t>
  </si>
  <si>
    <t>AXY110107</t>
  </si>
  <si>
    <t>AXY110105</t>
  </si>
  <si>
    <t>AXY110106</t>
  </si>
  <si>
    <t>AXY110108</t>
  </si>
  <si>
    <t>AXY110202</t>
  </si>
  <si>
    <t>AXY110201</t>
  </si>
  <si>
    <t>AXY12</t>
  </si>
  <si>
    <t>AXY120101</t>
  </si>
  <si>
    <t>AXY120102</t>
  </si>
  <si>
    <t>AXY120104</t>
  </si>
  <si>
    <t>AXY120105</t>
  </si>
  <si>
    <t>AXY13</t>
  </si>
  <si>
    <t>AXY130101</t>
  </si>
  <si>
    <t>AXY130102</t>
  </si>
  <si>
    <t>AXY130103</t>
  </si>
  <si>
    <t>AXY130104</t>
  </si>
  <si>
    <t>AXY130105</t>
  </si>
  <si>
    <t>AXY130106</t>
  </si>
  <si>
    <t>AXY130107</t>
  </si>
  <si>
    <t>AXY130108</t>
  </si>
  <si>
    <t>AXY14</t>
  </si>
  <si>
    <t>AXY140102</t>
  </si>
  <si>
    <t>AXY140101</t>
  </si>
  <si>
    <t>AXY140103</t>
  </si>
  <si>
    <t>AXY140108</t>
  </si>
  <si>
    <t>AXY140202</t>
  </si>
  <si>
    <t>AXY140203</t>
  </si>
  <si>
    <t>AXY140201</t>
  </si>
  <si>
    <t>AXY140106</t>
  </si>
  <si>
    <t>AXY140105</t>
  </si>
  <si>
    <t>AXY140104</t>
  </si>
  <si>
    <t>AXY15</t>
  </si>
  <si>
    <t>AXY150101</t>
  </si>
  <si>
    <t>AXY150102</t>
  </si>
  <si>
    <t>AXY150103</t>
  </si>
  <si>
    <t>AXY150104</t>
  </si>
  <si>
    <t>AXY150105</t>
  </si>
  <si>
    <t>AXY150106</t>
  </si>
  <si>
    <t>AXY150108</t>
  </si>
  <si>
    <t>AXY16</t>
  </si>
  <si>
    <t>AXY160104</t>
  </si>
  <si>
    <t>AXY160101</t>
  </si>
  <si>
    <t>AXY160102</t>
  </si>
  <si>
    <t>AXY160103</t>
  </si>
  <si>
    <t>AXY160105</t>
  </si>
  <si>
    <t>AXY160106</t>
  </si>
  <si>
    <t>AXY160107</t>
  </si>
  <si>
    <t>AXY160108</t>
  </si>
  <si>
    <t>AXY17</t>
  </si>
  <si>
    <t>AXY170101</t>
  </si>
  <si>
    <t>AXY170102</t>
  </si>
  <si>
    <t>AXY170103</t>
  </si>
  <si>
    <t>AXY170105</t>
  </si>
  <si>
    <t>AXY170107</t>
  </si>
  <si>
    <t>AXY170201</t>
  </si>
  <si>
    <t>AXY170108</t>
  </si>
  <si>
    <t>AXY02</t>
  </si>
  <si>
    <t>Installation of 48F FMS</t>
  </si>
  <si>
    <t>Installation of 96F FMS</t>
  </si>
  <si>
    <t>PO awaited</t>
  </si>
  <si>
    <t>PO Awaited</t>
  </si>
  <si>
    <t>PLAN OF AXY DARIA</t>
  </si>
  <si>
    <t>R-16</t>
  </si>
  <si>
    <t>R-17</t>
  </si>
  <si>
    <t>R-18</t>
  </si>
  <si>
    <t>R-19</t>
  </si>
  <si>
    <t>R-20</t>
  </si>
  <si>
    <t>R-21</t>
  </si>
  <si>
    <t>R-22</t>
  </si>
  <si>
    <t>R-23</t>
  </si>
  <si>
    <t>R-24</t>
  </si>
  <si>
    <t>R-25</t>
  </si>
  <si>
    <t>R-26</t>
  </si>
  <si>
    <t>R-27</t>
  </si>
  <si>
    <t>R-28</t>
  </si>
  <si>
    <t>R-29</t>
  </si>
  <si>
    <t>R-30</t>
  </si>
  <si>
    <t>R-31</t>
  </si>
  <si>
    <t>R-32</t>
  </si>
  <si>
    <t>R-33</t>
  </si>
  <si>
    <t>R-34</t>
  </si>
  <si>
    <t>R-35</t>
  </si>
  <si>
    <t>R-36</t>
  </si>
  <si>
    <t>R-37</t>
  </si>
  <si>
    <t>R-38</t>
  </si>
  <si>
    <t>R-39</t>
  </si>
  <si>
    <t>R-40</t>
  </si>
  <si>
    <t>R-41</t>
  </si>
  <si>
    <t>R-42</t>
  </si>
  <si>
    <t>R-43</t>
  </si>
  <si>
    <t>R-44</t>
  </si>
  <si>
    <t>R-45</t>
  </si>
  <si>
    <t>R-46</t>
  </si>
  <si>
    <t>R-47</t>
  </si>
  <si>
    <t>R-48</t>
  </si>
  <si>
    <t>R-49</t>
  </si>
  <si>
    <t>R-50</t>
  </si>
  <si>
    <t>R-51</t>
  </si>
  <si>
    <t>R-52</t>
  </si>
  <si>
    <t>R-53</t>
  </si>
  <si>
    <t>R-54</t>
  </si>
  <si>
    <t>R-55</t>
  </si>
  <si>
    <t>R-56</t>
  </si>
  <si>
    <t>R-57</t>
  </si>
  <si>
    <t>R-58</t>
  </si>
  <si>
    <t>R-59</t>
  </si>
  <si>
    <t>R-60</t>
  </si>
  <si>
    <t>R-61</t>
  </si>
  <si>
    <t xml:space="preserve">AXY01 </t>
  </si>
  <si>
    <t xml:space="preserve">AXY03  </t>
  </si>
  <si>
    <t>AXY-FMS</t>
  </si>
  <si>
    <t xml:space="preserve">AXY040201  </t>
  </si>
  <si>
    <t xml:space="preserve">AXY5 </t>
  </si>
  <si>
    <t xml:space="preserve">AXY07  </t>
  </si>
  <si>
    <t xml:space="preserve">AXY08  </t>
  </si>
  <si>
    <t xml:space="preserve">AXY080106  </t>
  </si>
  <si>
    <t xml:space="preserve">AXY09 </t>
  </si>
  <si>
    <t xml:space="preserve">AXY09  </t>
  </si>
  <si>
    <t xml:space="preserve">AXY090201  </t>
  </si>
  <si>
    <t xml:space="preserve">AXY10  </t>
  </si>
  <si>
    <t xml:space="preserve">AXY10 </t>
  </si>
  <si>
    <t xml:space="preserve">AXY100106  </t>
  </si>
  <si>
    <t xml:space="preserve">AXY11  </t>
  </si>
  <si>
    <t xml:space="preserve">AXY110103 </t>
  </si>
  <si>
    <t xml:space="preserve">AXY110108  </t>
  </si>
  <si>
    <t xml:space="preserve">AXY12 </t>
  </si>
  <si>
    <t xml:space="preserve">AXY12  </t>
  </si>
  <si>
    <t xml:space="preserve">AXY13  </t>
  </si>
  <si>
    <t xml:space="preserve">AXY14  </t>
  </si>
  <si>
    <t xml:space="preserve">AXY140202  </t>
  </si>
  <si>
    <t xml:space="preserve">AXY140108 </t>
  </si>
  <si>
    <t>R-62</t>
  </si>
  <si>
    <t>R-63</t>
  </si>
  <si>
    <t>R-64</t>
  </si>
  <si>
    <t>R-65</t>
  </si>
  <si>
    <t>R-66</t>
  </si>
  <si>
    <t>R-67</t>
  </si>
  <si>
    <t>R-68</t>
  </si>
  <si>
    <t>R-69</t>
  </si>
  <si>
    <t xml:space="preserve">AXY15  </t>
  </si>
  <si>
    <t xml:space="preserve">AXY15 </t>
  </si>
  <si>
    <t xml:space="preserve">AXY16  </t>
  </si>
  <si>
    <t xml:space="preserve">AXY17  </t>
  </si>
  <si>
    <t xml:space="preserve">AXY170103  </t>
  </si>
  <si>
    <t>AXY030103-AXY030105</t>
  </si>
  <si>
    <t>AXY030107-AXY030201</t>
  </si>
  <si>
    <t>AXY030201-AXY030204</t>
  </si>
  <si>
    <t>AXY050105-AXY050202</t>
  </si>
  <si>
    <t>AXY110107-AXY110202</t>
  </si>
  <si>
    <t>000000AXY-0000AXY12</t>
  </si>
  <si>
    <t>000000AXY-0000AXY17</t>
  </si>
  <si>
    <t>000000AXY-0000AXY01</t>
  </si>
  <si>
    <t>0000AXY04-0000AXY05</t>
  </si>
  <si>
    <t>0000AXY02-0000AXY03</t>
  </si>
  <si>
    <t>0000AXY04-00AXY-FMS</t>
  </si>
  <si>
    <t>0000AXY01-AXY010104</t>
  </si>
  <si>
    <t>0000AXY09-AXY090201</t>
  </si>
  <si>
    <t>0000AXY10-AXY100105</t>
  </si>
  <si>
    <t>0000AXY12-AXY120101</t>
  </si>
  <si>
    <t>0000AXY15-AXY150104</t>
  </si>
  <si>
    <t>00AXY-FMS-AXY040108</t>
  </si>
  <si>
    <t>0000AXY03-AXY030108</t>
  </si>
  <si>
    <t>AXY110103-AXY110106</t>
  </si>
  <si>
    <t>AXY140108-AXY140104</t>
  </si>
  <si>
    <t>AXY090201-AXY090204</t>
  </si>
  <si>
    <t>AXY100106-AXY100201</t>
  </si>
  <si>
    <t>AXY110108-AXY110201</t>
  </si>
  <si>
    <t>AXY140202-AXY140203</t>
  </si>
  <si>
    <t>AXY170103-AXY170107</t>
  </si>
  <si>
    <t>AXY040201-AXY040204</t>
  </si>
  <si>
    <t>AXY080106-AXY080203</t>
  </si>
  <si>
    <t>AXY080106-AXY080201</t>
  </si>
  <si>
    <t>0000AXY01-AXY010101</t>
  </si>
  <si>
    <t>0000AXY01-AXY010102</t>
  </si>
  <si>
    <t>0000AXY03-AXY030101</t>
  </si>
  <si>
    <t>0000AXY03-AXY030104</t>
  </si>
  <si>
    <t>0000AXY04-AXY040101</t>
  </si>
  <si>
    <t>0000AXY04-AXY040201</t>
  </si>
  <si>
    <t>0000AXY05-AXY050101</t>
  </si>
  <si>
    <t>0000AXY5 -AXY050104</t>
  </si>
  <si>
    <t>0000AXY05-AXY050107</t>
  </si>
  <si>
    <t>0000AXY06-AXY060102</t>
  </si>
  <si>
    <t>0000AXY06-AXY060105</t>
  </si>
  <si>
    <t>0000AXY06-AXY060201</t>
  </si>
  <si>
    <t>0000AXY07-AXY070101</t>
  </si>
  <si>
    <t>0000AXY07-AXY070102</t>
  </si>
  <si>
    <t>0000AXY07-AXY070105</t>
  </si>
  <si>
    <t>0000AXY08-AXY080105</t>
  </si>
  <si>
    <t>0000AXY08-AXY080106</t>
  </si>
  <si>
    <t>0000AXY08-AXY080104</t>
  </si>
  <si>
    <t>0000AXY08-AXY080103</t>
  </si>
  <si>
    <t>0000AXY09-AXY090101</t>
  </si>
  <si>
    <t>0000AXY09-AXY090105</t>
  </si>
  <si>
    <t>0000AXY10-AXY100104</t>
  </si>
  <si>
    <t>0000AXY11-AXY110102</t>
  </si>
  <si>
    <t>0000AXY11-AXY110107</t>
  </si>
  <si>
    <t>0000AXY12-AXY120102</t>
  </si>
  <si>
    <t>0000AXY12-AXY120105</t>
  </si>
  <si>
    <t>0000AXY13-AXY130101</t>
  </si>
  <si>
    <t>0000AXY13-AXY130104</t>
  </si>
  <si>
    <t>0000AXY13-AXY130108</t>
  </si>
  <si>
    <t>0000AXY14-AXY140102</t>
  </si>
  <si>
    <t>0000AXY14-AXY140101</t>
  </si>
  <si>
    <t>0000AXY14-AXY140202</t>
  </si>
  <si>
    <t>0000AXY15-AXY150103</t>
  </si>
  <si>
    <t>0000AXY15-AXY150108</t>
  </si>
  <si>
    <t>0000AXY16-AXY160104</t>
  </si>
  <si>
    <t>0000AXY16-AXY160103</t>
  </si>
  <si>
    <t>0000AXY16-AXY160107</t>
  </si>
  <si>
    <t>0000AXY16-AXY160108</t>
  </si>
  <si>
    <t>0000AXY17-AXY170101</t>
  </si>
  <si>
    <t>0000AXY17-AXY170107</t>
  </si>
  <si>
    <t>0000AXY17-AXY170201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</si>
</sst>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[$-409]dd\-mmm\-yy;@"/>
    <numFmt numFmtId="165" formatCode="[$-C09]dd\-mmm\-yy;@"/>
    <numFmt numFmtId="166" formatCode="_ * #,##0_ ;_ * \-#,##0_ ;_ * &quot;-&quot;??_ ;_ @_ "/>
    <numFmt numFmtId="167" formatCode="_ * #,##0.0_ ;_ * \-#,##0.0_ ;_ * &quot;-&quot;??_ ;_ @_ "/>
    <numFmt numFmtId="168" formatCode="[$-409]d/mmm/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 Light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 Light"/>
      <family val="2"/>
      <scheme val="maj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name val="Calibri"/>
      <family val="2"/>
    </font>
    <font>
      <sz val="9"/>
      <color theme="1"/>
      <name val="Calibri Light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0" fontId="2" fillId="0" borderId="0"/>
    <xf numFmtId="43" fontId="4" fillId="0" borderId="0"/>
    <xf numFmtId="43" fontId="4" fillId="0" borderId="0"/>
    <xf numFmtId="9" fontId="4" fillId="0" borderId="0"/>
    <xf numFmtId="43" fontId="4" fillId="0" borderId="0"/>
  </cellStyleXfs>
  <cellXfs count="125">
    <xf numFmtId="0" fontId="0" fillId="0" borderId="0" xfId="0"/>
    <xf numFmtId="0" fontId="0" fillId="0" borderId="1" xfId="0" applyBorder="1" applyAlignment="1">
      <alignment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1" xfId="0" applyFont="1" applyBorder="1"/>
    <xf numFmtId="0" fontId="1" fillId="0" borderId="2" xfId="0" applyFont="1" applyBorder="1"/>
    <xf numFmtId="15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left" vertical="center"/>
    </xf>
    <xf numFmtId="165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left" vertical="center"/>
    </xf>
    <xf numFmtId="164" fontId="0" fillId="0" borderId="0" xfId="0" applyNumberFormat="1"/>
    <xf numFmtId="0" fontId="5" fillId="0" borderId="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vertical="top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0" xfId="0" applyFont="1" applyBorder="1" applyAlignment="1">
      <alignment vertical="top" wrapText="1"/>
    </xf>
    <xf numFmtId="0" fontId="7" fillId="0" borderId="0" xfId="0" applyFont="1"/>
    <xf numFmtId="0" fontId="7" fillId="0" borderId="8" xfId="0" applyFont="1" applyBorder="1"/>
    <xf numFmtId="43" fontId="0" fillId="0" borderId="0" xfId="2" applyFont="1"/>
    <xf numFmtId="43" fontId="0" fillId="0" borderId="0" xfId="2" applyFont="1" applyAlignment="1">
      <alignment horizontal="left"/>
    </xf>
    <xf numFmtId="43" fontId="0" fillId="0" borderId="0" xfId="2" applyFont="1" applyAlignment="1">
      <alignment horizontal="left" vertical="center"/>
    </xf>
    <xf numFmtId="43" fontId="0" fillId="0" borderId="0" xfId="2" applyFont="1" applyAlignment="1">
      <alignment horizontal="center" vertical="center"/>
    </xf>
    <xf numFmtId="0" fontId="0" fillId="0" borderId="8" xfId="0" applyBorder="1"/>
    <xf numFmtId="0" fontId="5" fillId="4" borderId="8" xfId="0" applyFont="1" applyFill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 wrapText="1"/>
    </xf>
    <xf numFmtId="0" fontId="5" fillId="4" borderId="8" xfId="0" applyFont="1" applyFill="1" applyBorder="1" applyAlignment="1">
      <alignment horizontal="center" vertical="top" wrapText="1"/>
    </xf>
    <xf numFmtId="0" fontId="6" fillId="0" borderId="0" xfId="0" applyFont="1" applyAlignment="1">
      <alignment horizontal="center" vertical="top"/>
    </xf>
    <xf numFmtId="9" fontId="0" fillId="4" borderId="8" xfId="4" applyFont="1" applyFill="1" applyBorder="1"/>
    <xf numFmtId="9" fontId="0" fillId="4" borderId="8" xfId="4" applyFont="1" applyFill="1" applyBorder="1" applyAlignment="1">
      <alignment horizontal="center"/>
    </xf>
    <xf numFmtId="0" fontId="0" fillId="4" borderId="8" xfId="0" applyFill="1" applyBorder="1"/>
    <xf numFmtId="0" fontId="5" fillId="3" borderId="0" xfId="0" applyFont="1" applyFill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12" xfId="0" applyBorder="1"/>
    <xf numFmtId="0" fontId="0" fillId="0" borderId="13" xfId="0" applyBorder="1"/>
    <xf numFmtId="0" fontId="5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11" fillId="0" borderId="8" xfId="0" applyFont="1" applyBorder="1" applyAlignment="1">
      <alignment horizontal="center" vertical="center"/>
    </xf>
    <xf numFmtId="15" fontId="11" fillId="0" borderId="8" xfId="0" applyNumberFormat="1" applyFont="1" applyBorder="1" applyAlignment="1">
      <alignment horizontal="center" vertical="center"/>
    </xf>
    <xf numFmtId="166" fontId="4" fillId="0" borderId="8" xfId="5" applyNumberFormat="1" applyBorder="1"/>
    <xf numFmtId="0" fontId="11" fillId="0" borderId="8" xfId="0" applyFont="1" applyBorder="1" applyAlignment="1">
      <alignment horizontal="left" vertical="center"/>
    </xf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6" fillId="0" borderId="0" xfId="0" applyFont="1" applyAlignment="1">
      <alignment horizontal="center" vertical="top" wrapText="1"/>
    </xf>
    <xf numFmtId="15" fontId="5" fillId="0" borderId="8" xfId="0" applyNumberFormat="1" applyFont="1" applyBorder="1" applyAlignment="1">
      <alignment horizontal="center" vertical="top" wrapText="1"/>
    </xf>
    <xf numFmtId="15" fontId="0" fillId="0" borderId="0" xfId="0" applyNumberFormat="1" applyAlignment="1">
      <alignment horizontal="centerContinuous" vertical="center"/>
    </xf>
    <xf numFmtId="9" fontId="4" fillId="0" borderId="0" xfId="4" applyAlignment="1">
      <alignment horizontal="centerContinuous" vertical="center"/>
    </xf>
    <xf numFmtId="9" fontId="0" fillId="0" borderId="0" xfId="4" applyFont="1" applyAlignment="1">
      <alignment horizont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7" fillId="4" borderId="8" xfId="0" applyFont="1" applyFill="1" applyBorder="1" applyAlignment="1">
      <alignment horizontal="center"/>
    </xf>
    <xf numFmtId="15" fontId="7" fillId="0" borderId="8" xfId="0" applyNumberFormat="1" applyFont="1" applyBorder="1"/>
    <xf numFmtId="9" fontId="7" fillId="4" borderId="8" xfId="4" applyFont="1" applyFill="1" applyBorder="1"/>
    <xf numFmtId="9" fontId="7" fillId="4" borderId="8" xfId="4" applyFont="1" applyFill="1" applyBorder="1" applyAlignment="1">
      <alignment horizontal="center"/>
    </xf>
    <xf numFmtId="9" fontId="7" fillId="0" borderId="0" xfId="4" applyFont="1" applyAlignment="1">
      <alignment horizontal="center"/>
    </xf>
    <xf numFmtId="0" fontId="5" fillId="0" borderId="14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3" borderId="15" xfId="0" applyFont="1" applyFill="1" applyBorder="1" applyAlignment="1">
      <alignment horizontal="center" vertical="center" wrapText="1"/>
    </xf>
    <xf numFmtId="0" fontId="5" fillId="3" borderId="15" xfId="0" applyFont="1" applyFill="1" applyBorder="1" applyAlignment="1">
      <alignment horizontal="left" vertical="center" wrapText="1"/>
    </xf>
    <xf numFmtId="164" fontId="5" fillId="0" borderId="15" xfId="0" applyNumberFormat="1" applyFont="1" applyBorder="1" applyAlignment="1">
      <alignment horizontal="center" vertical="center" wrapText="1"/>
    </xf>
    <xf numFmtId="15" fontId="5" fillId="0" borderId="15" xfId="0" applyNumberFormat="1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3" borderId="16" xfId="0" applyFont="1" applyFill="1" applyBorder="1" applyAlignment="1">
      <alignment horizontal="center" vertical="center" wrapText="1"/>
    </xf>
    <xf numFmtId="165" fontId="5" fillId="2" borderId="16" xfId="0" applyNumberFormat="1" applyFont="1" applyFill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166" fontId="5" fillId="3" borderId="15" xfId="2" applyNumberFormat="1" applyFont="1" applyFill="1" applyBorder="1" applyAlignment="1">
      <alignment horizontal="center" vertical="center" wrapText="1"/>
    </xf>
    <xf numFmtId="164" fontId="5" fillId="0" borderId="16" xfId="0" applyNumberFormat="1" applyFont="1" applyBorder="1" applyAlignment="1">
      <alignment horizontal="center" vertical="center" wrapText="1"/>
    </xf>
    <xf numFmtId="165" fontId="5" fillId="0" borderId="15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164" fontId="9" fillId="0" borderId="0" xfId="0" applyNumberFormat="1" applyFont="1" applyAlignment="1">
      <alignment horizontal="center" vertical="center"/>
    </xf>
    <xf numFmtId="166" fontId="7" fillId="0" borderId="0" xfId="2" applyNumberFormat="1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0" applyNumberFormat="1" applyFont="1"/>
    <xf numFmtId="43" fontId="7" fillId="0" borderId="0" xfId="2" applyFont="1"/>
    <xf numFmtId="43" fontId="3" fillId="0" borderId="0" xfId="2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15" fontId="7" fillId="0" borderId="0" xfId="0" applyNumberFormat="1" applyFont="1" applyAlignment="1">
      <alignment horizontal="center" vertical="center"/>
    </xf>
    <xf numFmtId="43" fontId="7" fillId="0" borderId="0" xfId="2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15" fontId="10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166" fontId="3" fillId="0" borderId="0" xfId="2" applyNumberFormat="1" applyFont="1" applyAlignment="1">
      <alignment horizontal="left" vertical="center"/>
    </xf>
    <xf numFmtId="168" fontId="3" fillId="0" borderId="0" xfId="2" applyNumberFormat="1" applyFont="1" applyAlignment="1">
      <alignment horizontal="left" vertical="center"/>
    </xf>
    <xf numFmtId="0" fontId="10" fillId="0" borderId="0" xfId="0" applyFont="1"/>
    <xf numFmtId="14" fontId="10" fillId="0" borderId="0" xfId="0" applyNumberFormat="1" applyFont="1"/>
    <xf numFmtId="166" fontId="3" fillId="0" borderId="0" xfId="2" applyNumberFormat="1" applyFont="1" applyAlignment="1">
      <alignment horizontal="center" vertical="center"/>
    </xf>
    <xf numFmtId="0" fontId="3" fillId="0" borderId="0" xfId="0" applyFont="1" applyAlignment="1">
      <alignment horizontal="left"/>
    </xf>
    <xf numFmtId="0" fontId="5" fillId="2" borderId="16" xfId="0" applyFont="1" applyFill="1" applyBorder="1" applyAlignment="1">
      <alignment horizontal="center" vertical="center" wrapText="1"/>
    </xf>
    <xf numFmtId="15" fontId="5" fillId="0" borderId="16" xfId="0" applyNumberFormat="1" applyFont="1" applyBorder="1" applyAlignment="1">
      <alignment horizontal="center" vertical="center" wrapText="1"/>
    </xf>
    <xf numFmtId="166" fontId="7" fillId="0" borderId="0" xfId="2" applyNumberFormat="1" applyFont="1" applyAlignment="1">
      <alignment horizontal="left" vertical="center"/>
    </xf>
    <xf numFmtId="167" fontId="3" fillId="0" borderId="0" xfId="2" applyNumberFormat="1" applyFont="1" applyAlignment="1">
      <alignment horizontal="left" vertical="center"/>
    </xf>
    <xf numFmtId="15" fontId="10" fillId="0" borderId="0" xfId="0" applyNumberFormat="1" applyFont="1"/>
    <xf numFmtId="0" fontId="9" fillId="0" borderId="0" xfId="0" applyFont="1" applyAlignment="1">
      <alignment vertical="center"/>
    </xf>
    <xf numFmtId="167" fontId="7" fillId="0" borderId="0" xfId="2" applyNumberFormat="1" applyFont="1" applyAlignment="1">
      <alignment horizontal="left"/>
    </xf>
    <xf numFmtId="167" fontId="7" fillId="0" borderId="0" xfId="2" applyNumberFormat="1" applyFont="1" applyAlignment="1">
      <alignment horizontal="left" vertical="center"/>
    </xf>
    <xf numFmtId="167" fontId="7" fillId="0" borderId="0" xfId="2" applyNumberFormat="1" applyFont="1"/>
    <xf numFmtId="2" fontId="0" fillId="0" borderId="0" xfId="2" applyNumberFormat="1" applyFont="1" applyAlignment="1">
      <alignment horizontal="left" vertical="center"/>
    </xf>
    <xf numFmtId="2" fontId="5" fillId="0" borderId="16" xfId="0" applyNumberFormat="1" applyFont="1" applyBorder="1" applyAlignment="1">
      <alignment horizontal="center" vertical="center" wrapText="1"/>
    </xf>
    <xf numFmtId="2" fontId="0" fillId="0" borderId="0" xfId="0" applyNumberFormat="1" applyAlignment="1">
      <alignment horizontal="left" vertical="center"/>
    </xf>
    <xf numFmtId="2" fontId="5" fillId="0" borderId="15" xfId="0" applyNumberFormat="1" applyFont="1" applyBorder="1" applyAlignment="1">
      <alignment horizontal="center" vertical="center" wrapText="1"/>
    </xf>
    <xf numFmtId="0" fontId="12" fillId="0" borderId="0" xfId="0" applyFont="1"/>
    <xf numFmtId="15" fontId="12" fillId="0" borderId="0" xfId="0" applyNumberFormat="1" applyFont="1" applyAlignment="1">
      <alignment vertical="center"/>
    </xf>
    <xf numFmtId="166" fontId="11" fillId="0" borderId="0" xfId="2" applyNumberFormat="1" applyFont="1" applyAlignment="1">
      <alignment vertical="center"/>
    </xf>
    <xf numFmtId="0" fontId="13" fillId="0" borderId="0" xfId="0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vertical="center"/>
    </xf>
    <xf numFmtId="164" fontId="11" fillId="0" borderId="0" xfId="0" applyNumberFormat="1" applyFont="1" applyAlignment="1">
      <alignment vertical="center"/>
    </xf>
    <xf numFmtId="168" fontId="11" fillId="0" borderId="0" xfId="2" applyNumberFormat="1" applyFont="1" applyAlignment="1">
      <alignment vertical="center"/>
    </xf>
    <xf numFmtId="2" fontId="11" fillId="0" borderId="0" xfId="2" applyNumberFormat="1" applyFont="1" applyAlignment="1">
      <alignment vertical="center"/>
    </xf>
    <xf numFmtId="14" fontId="6" fillId="0" borderId="0" xfId="0" applyNumberFormat="1" applyFont="1"/>
    <xf numFmtId="166" fontId="6" fillId="0" borderId="0" xfId="2" applyNumberFormat="1" applyFont="1" applyAlignment="1">
      <alignment vertical="center"/>
    </xf>
    <xf numFmtId="15" fontId="0" fillId="0" borderId="8" xfId="0" applyNumberFormat="1" applyBorder="1"/>
    <xf numFmtId="166" fontId="11" fillId="0" borderId="0" xfId="2" applyNumberFormat="1" applyFont="1" applyAlignment="1">
      <alignment horizontal="center" vertical="center"/>
    </xf>
  </cellXfs>
  <cellStyles count="6">
    <cellStyle name="Comma" xfId="2" builtinId="3"/>
    <cellStyle name="Comma 2" xfId="3" xr:uid="{00000000-0005-0000-0000-000003000000}"/>
    <cellStyle name="Comma 4" xfId="5" xr:uid="{55C32FD3-13B0-4C1B-A3DD-C4E498C21A7A}"/>
    <cellStyle name="Normal" xfId="0" builtinId="0"/>
    <cellStyle name="Normal 3 3" xfId="1" xr:uid="{00000000-0005-0000-0000-000001000000}"/>
    <cellStyle name="Percent" xfId="4" builtinId="5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"/>
  <sheetViews>
    <sheetView showGridLines="0" zoomScale="80" zoomScaleNormal="80"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R18"/>
  <sheetViews>
    <sheetView workbookViewId="0">
      <selection sqref="A1:B16"/>
    </sheetView>
  </sheetViews>
  <sheetFormatPr defaultRowHeight="15" x14ac:dyDescent="0.25"/>
  <cols>
    <col min="1" max="1" width="5.7109375" bestFit="1" customWidth="1"/>
    <col min="2" max="2" width="119.28515625" bestFit="1" customWidth="1"/>
  </cols>
  <sheetData>
    <row r="1" spans="1:18" ht="15.75" customHeight="1" thickBot="1" x14ac:dyDescent="0.3">
      <c r="A1" s="6" t="s">
        <v>0</v>
      </c>
      <c r="B1" s="7" t="s">
        <v>1</v>
      </c>
    </row>
    <row r="2" spans="1:18" x14ac:dyDescent="0.25">
      <c r="A2" s="41">
        <v>1</v>
      </c>
      <c r="B2" s="42" t="s">
        <v>2</v>
      </c>
    </row>
    <row r="3" spans="1:18" ht="15.75" customHeight="1" thickBot="1" x14ac:dyDescent="0.3">
      <c r="A3" s="2">
        <f t="shared" ref="A3:A16" si="0">A2+1</f>
        <v>2</v>
      </c>
      <c r="B3" s="3" t="s">
        <v>3</v>
      </c>
    </row>
    <row r="4" spans="1:18" ht="21.6" customHeight="1" thickBot="1" x14ac:dyDescent="0.3">
      <c r="A4" s="2">
        <f t="shared" si="0"/>
        <v>3</v>
      </c>
      <c r="B4" s="3" t="s">
        <v>4</v>
      </c>
      <c r="R4" s="1" t="s">
        <v>5</v>
      </c>
    </row>
    <row r="5" spans="1:18" x14ac:dyDescent="0.25">
      <c r="A5" s="2">
        <f t="shared" si="0"/>
        <v>4</v>
      </c>
      <c r="B5" s="3" t="s">
        <v>6</v>
      </c>
      <c r="R5" s="2" t="s">
        <v>7</v>
      </c>
    </row>
    <row r="6" spans="1:18" x14ac:dyDescent="0.25">
      <c r="A6" s="2">
        <f t="shared" si="0"/>
        <v>5</v>
      </c>
      <c r="B6" s="3" t="s">
        <v>8</v>
      </c>
      <c r="R6" s="2" t="s">
        <v>9</v>
      </c>
    </row>
    <row r="7" spans="1:18" x14ac:dyDescent="0.25">
      <c r="A7" s="2">
        <f t="shared" si="0"/>
        <v>6</v>
      </c>
      <c r="B7" s="3" t="s">
        <v>10</v>
      </c>
      <c r="R7" s="2" t="s">
        <v>11</v>
      </c>
    </row>
    <row r="8" spans="1:18" x14ac:dyDescent="0.25">
      <c r="A8" s="2">
        <f t="shared" si="0"/>
        <v>7</v>
      </c>
      <c r="B8" s="3" t="s">
        <v>12</v>
      </c>
      <c r="R8" s="2" t="s">
        <v>13</v>
      </c>
    </row>
    <row r="9" spans="1:18" x14ac:dyDescent="0.25">
      <c r="A9" s="2">
        <f t="shared" si="0"/>
        <v>8</v>
      </c>
      <c r="B9" s="3" t="s">
        <v>14</v>
      </c>
      <c r="R9" s="2"/>
    </row>
    <row r="10" spans="1:18" x14ac:dyDescent="0.25">
      <c r="A10" s="2">
        <f t="shared" si="0"/>
        <v>9</v>
      </c>
      <c r="B10" s="3" t="s">
        <v>15</v>
      </c>
      <c r="R10" s="2"/>
    </row>
    <row r="11" spans="1:18" x14ac:dyDescent="0.25">
      <c r="A11" s="2">
        <f t="shared" si="0"/>
        <v>10</v>
      </c>
      <c r="B11" s="3" t="s">
        <v>16</v>
      </c>
      <c r="R11" s="2"/>
    </row>
    <row r="12" spans="1:18" x14ac:dyDescent="0.25">
      <c r="A12" s="2">
        <f t="shared" si="0"/>
        <v>11</v>
      </c>
      <c r="B12" s="3" t="s">
        <v>17</v>
      </c>
      <c r="R12" s="2"/>
    </row>
    <row r="13" spans="1:18" x14ac:dyDescent="0.25">
      <c r="A13" s="2">
        <f t="shared" si="0"/>
        <v>12</v>
      </c>
      <c r="B13" s="3" t="s">
        <v>18</v>
      </c>
      <c r="R13" s="2"/>
    </row>
    <row r="14" spans="1:18" x14ac:dyDescent="0.25">
      <c r="A14" s="2">
        <f t="shared" si="0"/>
        <v>13</v>
      </c>
      <c r="B14" s="3" t="s">
        <v>19</v>
      </c>
      <c r="R14" s="2" t="s">
        <v>20</v>
      </c>
    </row>
    <row r="15" spans="1:18" ht="15.75" customHeight="1" x14ac:dyDescent="0.25">
      <c r="A15" s="2">
        <f t="shared" si="0"/>
        <v>14</v>
      </c>
      <c r="B15" s="3" t="s">
        <v>21</v>
      </c>
      <c r="R15" s="2" t="s">
        <v>22</v>
      </c>
    </row>
    <row r="16" spans="1:18" ht="15.75" thickBot="1" x14ac:dyDescent="0.3">
      <c r="A16" s="4">
        <f t="shared" si="0"/>
        <v>15</v>
      </c>
      <c r="B16" s="5" t="s">
        <v>23</v>
      </c>
      <c r="R16" s="2" t="s">
        <v>24</v>
      </c>
    </row>
    <row r="17" spans="18:18" x14ac:dyDescent="0.25">
      <c r="R17" s="2" t="s">
        <v>25</v>
      </c>
    </row>
    <row r="18" spans="18:18" x14ac:dyDescent="0.25">
      <c r="R18" s="2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BG86"/>
  <sheetViews>
    <sheetView tabSelected="1" zoomScaleNormal="100" workbookViewId="0">
      <pane ySplit="2" topLeftCell="A14" activePane="bottomLeft" state="frozen"/>
      <selection activeCell="D110" sqref="D110"/>
      <selection pane="bottomLeft" activeCell="A17" sqref="A17:XFD86"/>
    </sheetView>
  </sheetViews>
  <sheetFormatPr defaultColWidth="8.7109375" defaultRowHeight="15" x14ac:dyDescent="0.25"/>
  <cols>
    <col min="1" max="1" width="7.5703125" style="9" bestFit="1" customWidth="1"/>
    <col min="2" max="2" width="23.85546875" style="10" customWidth="1"/>
    <col min="3" max="3" width="14.5703125" style="10" customWidth="1"/>
    <col min="4" max="4" width="21.42578125" style="9" bestFit="1" customWidth="1"/>
    <col min="5" max="5" width="22.5703125" style="10" bestFit="1" customWidth="1"/>
    <col min="6" max="6" width="21.42578125" style="10" customWidth="1"/>
    <col min="7" max="7" width="14.5703125" style="10" customWidth="1"/>
    <col min="8" max="8" width="18.42578125" style="10" customWidth="1"/>
    <col min="9" max="9" width="12.140625" style="10" customWidth="1"/>
    <col min="10" max="11" width="17.42578125" style="10" customWidth="1"/>
    <col min="12" max="13" width="14.5703125" style="10" customWidth="1"/>
    <col min="14" max="14" width="14.5703125" style="11" customWidth="1"/>
    <col min="15" max="15" width="14.5703125" style="10" customWidth="1"/>
    <col min="16" max="16" width="9.85546875" style="11" bestFit="1" customWidth="1"/>
    <col min="17" max="17" width="13.5703125" style="11" bestFit="1" customWidth="1"/>
    <col min="18" max="18" width="12" style="11" customWidth="1"/>
    <col min="19" max="19" width="8.7109375" style="10" customWidth="1"/>
    <col min="20" max="20" width="10" style="10" customWidth="1"/>
    <col min="21" max="22" width="8.7109375" style="10" customWidth="1"/>
    <col min="23" max="23" width="12.28515625" style="10" bestFit="1" customWidth="1"/>
    <col min="24" max="24" width="12.42578125" style="10" customWidth="1"/>
    <col min="25" max="25" width="1.7109375" style="10" customWidth="1"/>
    <col min="26" max="26" width="39.140625" style="10" bestFit="1" customWidth="1"/>
    <col min="27" max="27" width="8.7109375" style="10" customWidth="1"/>
    <col min="28" max="28" width="9.42578125" style="16" customWidth="1"/>
    <col min="29" max="29" width="8.7109375" style="110" customWidth="1"/>
    <col min="30" max="30" width="1.7109375" style="10" customWidth="1"/>
    <col min="31" max="31" width="14.5703125" style="10" customWidth="1"/>
    <col min="32" max="32" width="9.42578125" style="10" customWidth="1"/>
    <col min="33" max="33" width="8.7109375" style="10" customWidth="1"/>
    <col min="34" max="34" width="11.7109375" style="110" customWidth="1"/>
    <col min="35" max="35" width="8.7109375" style="10" customWidth="1"/>
    <col min="36" max="36" width="1.7109375" style="10" customWidth="1"/>
    <col min="37" max="37" width="30.140625" style="10" bestFit="1" customWidth="1"/>
    <col min="38" max="38" width="16.42578125" style="10" customWidth="1"/>
    <col min="39" max="44" width="8.7109375" style="10" customWidth="1"/>
    <col min="45" max="45" width="1.7109375" style="10" customWidth="1"/>
    <col min="46" max="46" width="25.85546875" style="10" bestFit="1" customWidth="1"/>
    <col min="47" max="47" width="13.140625" style="11" bestFit="1" customWidth="1"/>
    <col min="48" max="49" width="13.140625" style="10" bestFit="1" customWidth="1"/>
    <col min="50" max="50" width="1.7109375" style="10" customWidth="1"/>
    <col min="51" max="51" width="20" style="10" bestFit="1" customWidth="1"/>
    <col min="52" max="52" width="14.28515625" style="11" bestFit="1" customWidth="1"/>
    <col min="53" max="53" width="14.28515625" style="10" bestFit="1" customWidth="1"/>
    <col min="54" max="54" width="12.85546875" style="10" customWidth="1"/>
    <col min="55" max="55" width="11.5703125" style="10" bestFit="1" customWidth="1"/>
    <col min="56" max="56" width="1.7109375" style="10" customWidth="1"/>
    <col min="57" max="57" width="7.28515625" style="10" bestFit="1" customWidth="1"/>
    <col min="58" max="58" width="19.5703125" style="10" bestFit="1" customWidth="1"/>
    <col min="59" max="59" width="14.7109375" style="10" bestFit="1" customWidth="1"/>
    <col min="60" max="16384" width="8.7109375" style="10"/>
  </cols>
  <sheetData>
    <row r="1" spans="1:59" s="28" customFormat="1" ht="15.75" customHeight="1" thickBot="1" x14ac:dyDescent="0.3">
      <c r="A1" s="29"/>
      <c r="D1" s="29"/>
      <c r="O1" s="28">
        <f>SUBTOTAL(9,O3:O1048576)</f>
        <v>10508</v>
      </c>
      <c r="W1" s="28">
        <f>SUBTOTAL(9,W3:W1048576)</f>
        <v>10508</v>
      </c>
      <c r="X1" s="28">
        <f>SUBTOTAL(9,X3:X1048576)</f>
        <v>9794</v>
      </c>
      <c r="AC1" s="108"/>
      <c r="AE1" s="28">
        <f>SUBTOTAL(9,AE3:AE1048576)</f>
        <v>10508</v>
      </c>
      <c r="AH1" s="108"/>
      <c r="AL1" s="28">
        <f>SUBTOTAL(9,AL3:AL1048576)</f>
        <v>9794</v>
      </c>
      <c r="BB1" s="28">
        <f>SUBTOTAL(9,BB3:BB1048576)</f>
        <v>9794</v>
      </c>
      <c r="BC1" s="28">
        <f>SUBTOTAL(9,BC3:BC1048576)</f>
        <v>179092</v>
      </c>
    </row>
    <row r="2" spans="1:59" s="19" customFormat="1" ht="41.1" customHeight="1" x14ac:dyDescent="0.25">
      <c r="A2" s="63" t="s">
        <v>0</v>
      </c>
      <c r="B2" s="64" t="s">
        <v>27</v>
      </c>
      <c r="C2" s="64" t="s">
        <v>28</v>
      </c>
      <c r="D2" s="64" t="s">
        <v>29</v>
      </c>
      <c r="E2" s="64" t="s">
        <v>30</v>
      </c>
      <c r="F2" s="64" t="s">
        <v>31</v>
      </c>
      <c r="G2" s="64" t="s">
        <v>32</v>
      </c>
      <c r="H2" s="64" t="s">
        <v>33</v>
      </c>
      <c r="I2" s="64" t="s">
        <v>34</v>
      </c>
      <c r="J2" s="64" t="s">
        <v>35</v>
      </c>
      <c r="K2" s="64" t="s">
        <v>36</v>
      </c>
      <c r="L2" s="64" t="s">
        <v>37</v>
      </c>
      <c r="M2" s="64" t="s">
        <v>38</v>
      </c>
      <c r="N2" s="67" t="s">
        <v>39</v>
      </c>
      <c r="O2" s="64" t="s">
        <v>40</v>
      </c>
      <c r="P2" s="67" t="s">
        <v>41</v>
      </c>
      <c r="Q2" s="67" t="s">
        <v>42</v>
      </c>
      <c r="R2" s="67" t="s">
        <v>43</v>
      </c>
      <c r="S2" s="64" t="s">
        <v>44</v>
      </c>
      <c r="T2" s="64" t="s">
        <v>45</v>
      </c>
      <c r="U2" s="64" t="s">
        <v>46</v>
      </c>
      <c r="V2" s="64" t="s">
        <v>47</v>
      </c>
      <c r="W2" s="64" t="s">
        <v>48</v>
      </c>
      <c r="X2" s="69" t="s">
        <v>49</v>
      </c>
      <c r="Y2" s="22"/>
      <c r="Z2" s="63" t="s">
        <v>50</v>
      </c>
      <c r="AA2" s="64" t="s">
        <v>51</v>
      </c>
      <c r="AB2" s="75" t="s">
        <v>52</v>
      </c>
      <c r="AC2" s="109" t="s">
        <v>53</v>
      </c>
      <c r="AD2" s="22"/>
      <c r="AE2" s="63" t="s">
        <v>54</v>
      </c>
      <c r="AF2" s="64" t="s">
        <v>55</v>
      </c>
      <c r="AG2" s="64" t="s">
        <v>47</v>
      </c>
      <c r="AH2" s="111" t="s">
        <v>56</v>
      </c>
      <c r="AI2" s="70" t="s">
        <v>57</v>
      </c>
      <c r="AJ2" s="22"/>
      <c r="AK2" s="63" t="s">
        <v>58</v>
      </c>
      <c r="AL2" s="64" t="s">
        <v>59</v>
      </c>
      <c r="AM2" s="64" t="s">
        <v>60</v>
      </c>
      <c r="AN2" s="65" t="s">
        <v>61</v>
      </c>
      <c r="AO2" s="64" t="s">
        <v>62</v>
      </c>
      <c r="AP2" s="64" t="s">
        <v>63</v>
      </c>
      <c r="AQ2" s="65" t="s">
        <v>64</v>
      </c>
      <c r="AR2" s="70" t="s">
        <v>65</v>
      </c>
      <c r="AS2" s="22"/>
      <c r="AT2" s="63" t="s">
        <v>66</v>
      </c>
      <c r="AU2" s="67" t="s">
        <v>67</v>
      </c>
      <c r="AV2" s="65" t="s">
        <v>68</v>
      </c>
      <c r="AW2" s="70" t="s">
        <v>69</v>
      </c>
      <c r="AX2" s="22"/>
      <c r="AY2" s="63" t="s">
        <v>70</v>
      </c>
      <c r="AZ2" s="67" t="s">
        <v>71</v>
      </c>
      <c r="BA2" s="65" t="s">
        <v>72</v>
      </c>
      <c r="BB2" s="65" t="s">
        <v>73</v>
      </c>
      <c r="BC2" s="70" t="s">
        <v>74</v>
      </c>
      <c r="BD2" s="21"/>
      <c r="BE2" s="19" t="s">
        <v>174</v>
      </c>
      <c r="BF2" s="64" t="s">
        <v>27</v>
      </c>
      <c r="BG2" s="19" t="s">
        <v>175</v>
      </c>
    </row>
    <row r="3" spans="1:59" s="122" customFormat="1" ht="15" customHeight="1" x14ac:dyDescent="0.2">
      <c r="A3" s="114">
        <v>1</v>
      </c>
      <c r="B3" s="115" t="s">
        <v>211</v>
      </c>
      <c r="C3" s="116" t="s">
        <v>134</v>
      </c>
      <c r="D3" s="124"/>
      <c r="E3" s="115" t="s">
        <v>136</v>
      </c>
      <c r="F3" s="114"/>
      <c r="G3" s="117" t="s">
        <v>188</v>
      </c>
      <c r="H3" s="114" t="s">
        <v>187</v>
      </c>
      <c r="I3" s="116" t="s">
        <v>133</v>
      </c>
      <c r="J3" s="116" t="s">
        <v>181</v>
      </c>
      <c r="K3" s="116" t="s">
        <v>133</v>
      </c>
      <c r="L3" s="115" t="s">
        <v>134</v>
      </c>
      <c r="M3" s="115" t="s">
        <v>134</v>
      </c>
      <c r="N3" s="118">
        <v>46110</v>
      </c>
      <c r="O3" s="116">
        <v>223</v>
      </c>
      <c r="P3" s="118">
        <v>46110</v>
      </c>
      <c r="Q3" s="118">
        <v>46119</v>
      </c>
      <c r="R3" s="118">
        <v>46110</v>
      </c>
      <c r="S3" s="114"/>
      <c r="T3" s="114"/>
      <c r="U3" s="114" t="s">
        <v>206</v>
      </c>
      <c r="V3" s="116" t="s">
        <v>75</v>
      </c>
      <c r="W3" s="116">
        <v>223</v>
      </c>
      <c r="X3" s="116">
        <v>172</v>
      </c>
      <c r="Y3" s="114"/>
      <c r="Z3" s="114" t="s">
        <v>207</v>
      </c>
      <c r="AA3" s="114"/>
      <c r="AB3" s="119"/>
      <c r="AC3" s="120">
        <v>30.5</v>
      </c>
      <c r="AD3" s="114"/>
      <c r="AE3" s="116">
        <v>223</v>
      </c>
      <c r="AF3" s="114" t="s">
        <v>208</v>
      </c>
      <c r="AG3" s="116" t="s">
        <v>75</v>
      </c>
      <c r="AH3" s="120">
        <v>24.5</v>
      </c>
      <c r="AI3" s="114">
        <f t="shared" ref="AI3:AI66" si="0">IF(AE3&lt;&gt;"",AH3*AE3,0)</f>
        <v>5463.5</v>
      </c>
      <c r="AJ3" s="114"/>
      <c r="AK3" s="117" t="s">
        <v>186</v>
      </c>
      <c r="AL3" s="116">
        <v>172</v>
      </c>
      <c r="AM3" s="114">
        <v>18</v>
      </c>
      <c r="AN3" s="114">
        <f t="shared" ref="AN3:AN17" si="1">IF(AL3&lt;&gt;"",AM3*AL3,0)</f>
        <v>3096</v>
      </c>
      <c r="AO3" s="114"/>
      <c r="AP3" s="114"/>
      <c r="AQ3" s="114">
        <f t="shared" ref="AQ3:AQ17" si="2">IF(AO3&lt;&gt;"",AP3*AO3,0)</f>
        <v>0</v>
      </c>
      <c r="AR3" s="114">
        <f t="shared" ref="AR3:AR17" si="3">AQ3+AN3</f>
        <v>3096</v>
      </c>
      <c r="AS3" s="114"/>
      <c r="AT3" s="112" t="s">
        <v>373</v>
      </c>
      <c r="AU3" s="113"/>
      <c r="AV3" s="114">
        <f t="shared" ref="AV3:AV17" si="4">AM3</f>
        <v>18</v>
      </c>
      <c r="AW3" s="114">
        <f t="shared" ref="AW3:AW17" si="5">AV3*AL3</f>
        <v>3096</v>
      </c>
      <c r="AX3" s="114"/>
      <c r="AY3" s="116" t="s">
        <v>185</v>
      </c>
      <c r="AZ3" s="121"/>
      <c r="BA3" s="114">
        <f t="shared" ref="BA3:BA17" si="6">AM3</f>
        <v>18</v>
      </c>
      <c r="BB3" s="114">
        <f t="shared" ref="BB3:BB17" si="7">AL3</f>
        <v>172</v>
      </c>
      <c r="BC3" s="114">
        <f t="shared" ref="BC3:BC17" si="8">IF(BB3&lt;&gt;"",BB3*BA3,0)</f>
        <v>3096</v>
      </c>
      <c r="BD3" s="114"/>
      <c r="BE3" s="114" t="s">
        <v>190</v>
      </c>
      <c r="BF3" s="115" t="s">
        <v>211</v>
      </c>
      <c r="BG3" s="122" t="s">
        <v>176</v>
      </c>
    </row>
    <row r="4" spans="1:59" s="122" customFormat="1" ht="15" customHeight="1" x14ac:dyDescent="0.2">
      <c r="A4" s="114">
        <f>A3+1</f>
        <v>2</v>
      </c>
      <c r="B4" s="115" t="s">
        <v>223</v>
      </c>
      <c r="C4" s="115" t="s">
        <v>134</v>
      </c>
      <c r="D4" s="124"/>
      <c r="E4" s="115" t="s">
        <v>159</v>
      </c>
      <c r="F4" s="114"/>
      <c r="G4" s="117" t="s">
        <v>188</v>
      </c>
      <c r="H4" s="114" t="s">
        <v>187</v>
      </c>
      <c r="I4" s="116" t="s">
        <v>133</v>
      </c>
      <c r="J4" s="116" t="s">
        <v>181</v>
      </c>
      <c r="K4" s="116" t="s">
        <v>133</v>
      </c>
      <c r="L4" s="115" t="s">
        <v>134</v>
      </c>
      <c r="M4" s="115" t="s">
        <v>134</v>
      </c>
      <c r="N4" s="118">
        <v>46110</v>
      </c>
      <c r="O4" s="116">
        <v>362</v>
      </c>
      <c r="P4" s="118">
        <v>46110</v>
      </c>
      <c r="Q4" s="118">
        <v>46119</v>
      </c>
      <c r="R4" s="118">
        <v>46110</v>
      </c>
      <c r="S4" s="114"/>
      <c r="T4" s="114"/>
      <c r="U4" s="114" t="s">
        <v>206</v>
      </c>
      <c r="V4" s="116" t="s">
        <v>75</v>
      </c>
      <c r="W4" s="116">
        <v>362</v>
      </c>
      <c r="X4" s="116">
        <v>300</v>
      </c>
      <c r="Y4" s="114"/>
      <c r="Z4" s="114" t="s">
        <v>207</v>
      </c>
      <c r="AA4" s="114"/>
      <c r="AB4" s="119"/>
      <c r="AC4" s="120">
        <v>30.5</v>
      </c>
      <c r="AD4" s="114"/>
      <c r="AE4" s="116">
        <v>362</v>
      </c>
      <c r="AF4" s="114" t="s">
        <v>208</v>
      </c>
      <c r="AG4" s="116" t="s">
        <v>75</v>
      </c>
      <c r="AH4" s="120">
        <v>24.5</v>
      </c>
      <c r="AI4" s="114">
        <f t="shared" si="0"/>
        <v>8869</v>
      </c>
      <c r="AJ4" s="114"/>
      <c r="AK4" s="117" t="s">
        <v>186</v>
      </c>
      <c r="AL4" s="116">
        <v>300</v>
      </c>
      <c r="AM4" s="114">
        <v>18</v>
      </c>
      <c r="AN4" s="114">
        <f t="shared" si="1"/>
        <v>5400</v>
      </c>
      <c r="AO4" s="114"/>
      <c r="AP4" s="114"/>
      <c r="AQ4" s="114">
        <f t="shared" si="2"/>
        <v>0</v>
      </c>
      <c r="AR4" s="114">
        <f t="shared" si="3"/>
        <v>5400</v>
      </c>
      <c r="AS4" s="114"/>
      <c r="AT4" s="112" t="s">
        <v>373</v>
      </c>
      <c r="AU4" s="113"/>
      <c r="AV4" s="114">
        <f t="shared" si="4"/>
        <v>18</v>
      </c>
      <c r="AW4" s="114">
        <f t="shared" si="5"/>
        <v>5400</v>
      </c>
      <c r="AX4" s="114"/>
      <c r="AY4" s="116" t="s">
        <v>185</v>
      </c>
      <c r="AZ4" s="121"/>
      <c r="BA4" s="114">
        <f t="shared" si="6"/>
        <v>18</v>
      </c>
      <c r="BB4" s="114">
        <f t="shared" si="7"/>
        <v>300</v>
      </c>
      <c r="BC4" s="114">
        <f t="shared" si="8"/>
        <v>5400</v>
      </c>
      <c r="BD4" s="114"/>
      <c r="BE4" s="114" t="s">
        <v>191</v>
      </c>
      <c r="BF4" s="115" t="s">
        <v>223</v>
      </c>
      <c r="BG4" s="122" t="s">
        <v>176</v>
      </c>
    </row>
    <row r="5" spans="1:59" s="122" customFormat="1" ht="15" customHeight="1" x14ac:dyDescent="0.2">
      <c r="A5" s="114">
        <f t="shared" ref="A5:A68" si="9">A4+1</f>
        <v>3</v>
      </c>
      <c r="B5" s="115" t="s">
        <v>212</v>
      </c>
      <c r="C5" s="116" t="s">
        <v>136</v>
      </c>
      <c r="D5" s="124"/>
      <c r="E5" s="116" t="s">
        <v>137</v>
      </c>
      <c r="F5" s="114"/>
      <c r="G5" s="117" t="s">
        <v>188</v>
      </c>
      <c r="H5" s="114" t="s">
        <v>187</v>
      </c>
      <c r="I5" s="116" t="s">
        <v>133</v>
      </c>
      <c r="J5" s="116" t="s">
        <v>181</v>
      </c>
      <c r="K5" s="116" t="s">
        <v>133</v>
      </c>
      <c r="L5" s="115" t="s">
        <v>134</v>
      </c>
      <c r="M5" s="115" t="s">
        <v>134</v>
      </c>
      <c r="N5" s="118">
        <v>46110</v>
      </c>
      <c r="O5" s="116">
        <v>10</v>
      </c>
      <c r="P5" s="118">
        <v>46110</v>
      </c>
      <c r="Q5" s="118">
        <v>46119</v>
      </c>
      <c r="R5" s="118">
        <v>46110</v>
      </c>
      <c r="S5" s="114"/>
      <c r="T5" s="114"/>
      <c r="U5" s="114" t="s">
        <v>206</v>
      </c>
      <c r="V5" s="116" t="s">
        <v>76</v>
      </c>
      <c r="W5" s="116">
        <v>10</v>
      </c>
      <c r="X5" s="116">
        <v>10</v>
      </c>
      <c r="Y5" s="114"/>
      <c r="Z5" s="114" t="s">
        <v>207</v>
      </c>
      <c r="AA5" s="114"/>
      <c r="AB5" s="119"/>
      <c r="AC5" s="120">
        <v>25.5</v>
      </c>
      <c r="AD5" s="114"/>
      <c r="AE5" s="116">
        <v>10</v>
      </c>
      <c r="AF5" s="114" t="s">
        <v>208</v>
      </c>
      <c r="AG5" s="116" t="s">
        <v>76</v>
      </c>
      <c r="AH5" s="120">
        <v>12.5</v>
      </c>
      <c r="AI5" s="114">
        <f t="shared" si="0"/>
        <v>125</v>
      </c>
      <c r="AJ5" s="114"/>
      <c r="AK5" s="117" t="s">
        <v>186</v>
      </c>
      <c r="AL5" s="116">
        <v>10</v>
      </c>
      <c r="AM5" s="114">
        <v>18</v>
      </c>
      <c r="AN5" s="114">
        <f t="shared" si="1"/>
        <v>180</v>
      </c>
      <c r="AO5" s="114"/>
      <c r="AP5" s="114"/>
      <c r="AQ5" s="114">
        <f t="shared" si="2"/>
        <v>0</v>
      </c>
      <c r="AR5" s="114">
        <f t="shared" si="3"/>
        <v>180</v>
      </c>
      <c r="AS5" s="114"/>
      <c r="AT5" s="112" t="s">
        <v>373</v>
      </c>
      <c r="AU5" s="113"/>
      <c r="AV5" s="114">
        <f t="shared" si="4"/>
        <v>18</v>
      </c>
      <c r="AW5" s="114">
        <f t="shared" si="5"/>
        <v>180</v>
      </c>
      <c r="AX5" s="114"/>
      <c r="AY5" s="116" t="s">
        <v>185</v>
      </c>
      <c r="AZ5" s="121"/>
      <c r="BA5" s="114">
        <f t="shared" si="6"/>
        <v>18</v>
      </c>
      <c r="BB5" s="114">
        <f t="shared" si="7"/>
        <v>10</v>
      </c>
      <c r="BC5" s="114">
        <f t="shared" si="8"/>
        <v>180</v>
      </c>
      <c r="BD5" s="114"/>
      <c r="BE5" s="114" t="s">
        <v>192</v>
      </c>
      <c r="BF5" s="115" t="s">
        <v>212</v>
      </c>
      <c r="BG5" s="122" t="s">
        <v>176</v>
      </c>
    </row>
    <row r="6" spans="1:59" s="122" customFormat="1" ht="15" customHeight="1" x14ac:dyDescent="0.2">
      <c r="A6" s="114">
        <f t="shared" si="9"/>
        <v>4</v>
      </c>
      <c r="B6" s="115" t="s">
        <v>221</v>
      </c>
      <c r="C6" s="116" t="s">
        <v>205</v>
      </c>
      <c r="D6" s="124"/>
      <c r="E6" s="116" t="s">
        <v>138</v>
      </c>
      <c r="F6" s="114"/>
      <c r="G6" s="117" t="s">
        <v>188</v>
      </c>
      <c r="H6" s="114" t="s">
        <v>187</v>
      </c>
      <c r="I6" s="116" t="s">
        <v>133</v>
      </c>
      <c r="J6" s="116" t="s">
        <v>181</v>
      </c>
      <c r="K6" s="116" t="s">
        <v>133</v>
      </c>
      <c r="L6" s="115" t="s">
        <v>134</v>
      </c>
      <c r="M6" s="115" t="s">
        <v>134</v>
      </c>
      <c r="N6" s="118">
        <v>46110</v>
      </c>
      <c r="O6" s="116">
        <v>217</v>
      </c>
      <c r="P6" s="118">
        <v>46110</v>
      </c>
      <c r="Q6" s="118">
        <v>46119</v>
      </c>
      <c r="R6" s="118">
        <v>46110</v>
      </c>
      <c r="S6" s="114"/>
      <c r="T6" s="114"/>
      <c r="U6" s="114" t="s">
        <v>206</v>
      </c>
      <c r="V6" s="116" t="s">
        <v>76</v>
      </c>
      <c r="W6" s="116">
        <v>217</v>
      </c>
      <c r="X6" s="116">
        <v>214</v>
      </c>
      <c r="Y6" s="114"/>
      <c r="Z6" s="114" t="s">
        <v>207</v>
      </c>
      <c r="AA6" s="114"/>
      <c r="AB6" s="119"/>
      <c r="AC6" s="120">
        <v>25.5</v>
      </c>
      <c r="AD6" s="114"/>
      <c r="AE6" s="116">
        <v>217</v>
      </c>
      <c r="AF6" s="114" t="s">
        <v>208</v>
      </c>
      <c r="AG6" s="116" t="s">
        <v>76</v>
      </c>
      <c r="AH6" s="120">
        <v>12.5</v>
      </c>
      <c r="AI6" s="114">
        <f t="shared" si="0"/>
        <v>2712.5</v>
      </c>
      <c r="AJ6" s="114"/>
      <c r="AK6" s="117" t="s">
        <v>186</v>
      </c>
      <c r="AL6" s="116">
        <v>214</v>
      </c>
      <c r="AM6" s="114">
        <v>18</v>
      </c>
      <c r="AN6" s="114">
        <f t="shared" si="1"/>
        <v>3852</v>
      </c>
      <c r="AO6" s="114"/>
      <c r="AP6" s="114"/>
      <c r="AQ6" s="114">
        <f t="shared" si="2"/>
        <v>0</v>
      </c>
      <c r="AR6" s="114">
        <f t="shared" si="3"/>
        <v>3852</v>
      </c>
      <c r="AS6" s="114"/>
      <c r="AT6" s="112" t="s">
        <v>373</v>
      </c>
      <c r="AU6" s="113"/>
      <c r="AV6" s="114">
        <f t="shared" si="4"/>
        <v>18</v>
      </c>
      <c r="AW6" s="114">
        <f t="shared" si="5"/>
        <v>3852</v>
      </c>
      <c r="AX6" s="114"/>
      <c r="AY6" s="116" t="s">
        <v>185</v>
      </c>
      <c r="AZ6" s="121"/>
      <c r="BA6" s="114">
        <f t="shared" si="6"/>
        <v>18</v>
      </c>
      <c r="BB6" s="114">
        <f t="shared" si="7"/>
        <v>214</v>
      </c>
      <c r="BC6" s="114">
        <f t="shared" si="8"/>
        <v>3852</v>
      </c>
      <c r="BD6" s="114"/>
      <c r="BE6" s="114" t="s">
        <v>193</v>
      </c>
      <c r="BF6" s="115" t="s">
        <v>221</v>
      </c>
      <c r="BG6" s="122" t="s">
        <v>176</v>
      </c>
    </row>
    <row r="7" spans="1:59" s="122" customFormat="1" ht="15" customHeight="1" x14ac:dyDescent="0.2">
      <c r="A7" s="114">
        <f t="shared" si="9"/>
        <v>5</v>
      </c>
      <c r="B7" s="115" t="s">
        <v>222</v>
      </c>
      <c r="C7" s="116" t="s">
        <v>205</v>
      </c>
      <c r="D7" s="124"/>
      <c r="E7" s="116" t="s">
        <v>141</v>
      </c>
      <c r="F7" s="114"/>
      <c r="G7" s="117" t="s">
        <v>188</v>
      </c>
      <c r="H7" s="114" t="s">
        <v>187</v>
      </c>
      <c r="I7" s="116" t="s">
        <v>133</v>
      </c>
      <c r="J7" s="116" t="s">
        <v>181</v>
      </c>
      <c r="K7" s="116" t="s">
        <v>133</v>
      </c>
      <c r="L7" s="115" t="s">
        <v>134</v>
      </c>
      <c r="M7" s="115" t="s">
        <v>134</v>
      </c>
      <c r="N7" s="118">
        <v>46110</v>
      </c>
      <c r="O7" s="116">
        <v>233</v>
      </c>
      <c r="P7" s="118">
        <v>46110</v>
      </c>
      <c r="Q7" s="118">
        <v>46119</v>
      </c>
      <c r="R7" s="118">
        <v>46110</v>
      </c>
      <c r="S7" s="114"/>
      <c r="T7" s="114"/>
      <c r="U7" s="114" t="s">
        <v>206</v>
      </c>
      <c r="V7" s="116" t="s">
        <v>76</v>
      </c>
      <c r="W7" s="116">
        <v>233</v>
      </c>
      <c r="X7" s="116">
        <v>224</v>
      </c>
      <c r="Y7" s="114"/>
      <c r="Z7" s="114" t="s">
        <v>207</v>
      </c>
      <c r="AA7" s="114"/>
      <c r="AB7" s="119"/>
      <c r="AC7" s="120">
        <v>25.5</v>
      </c>
      <c r="AD7" s="114"/>
      <c r="AE7" s="116">
        <v>233</v>
      </c>
      <c r="AF7" s="114" t="s">
        <v>208</v>
      </c>
      <c r="AG7" s="116" t="s">
        <v>76</v>
      </c>
      <c r="AH7" s="120">
        <v>12.5</v>
      </c>
      <c r="AI7" s="114">
        <f t="shared" si="0"/>
        <v>2912.5</v>
      </c>
      <c r="AJ7" s="114"/>
      <c r="AK7" s="117" t="s">
        <v>186</v>
      </c>
      <c r="AL7" s="116">
        <v>224</v>
      </c>
      <c r="AM7" s="114">
        <v>18</v>
      </c>
      <c r="AN7" s="114">
        <f t="shared" si="1"/>
        <v>4032</v>
      </c>
      <c r="AO7" s="114"/>
      <c r="AP7" s="114"/>
      <c r="AQ7" s="114">
        <f t="shared" si="2"/>
        <v>0</v>
      </c>
      <c r="AR7" s="114">
        <f t="shared" si="3"/>
        <v>4032</v>
      </c>
      <c r="AS7" s="114"/>
      <c r="AT7" s="112" t="s">
        <v>373</v>
      </c>
      <c r="AU7" s="113"/>
      <c r="AV7" s="114">
        <f t="shared" si="4"/>
        <v>18</v>
      </c>
      <c r="AW7" s="114">
        <f t="shared" si="5"/>
        <v>4032</v>
      </c>
      <c r="AX7" s="114"/>
      <c r="AY7" s="116" t="s">
        <v>185</v>
      </c>
      <c r="AZ7" s="121"/>
      <c r="BA7" s="114">
        <f t="shared" si="6"/>
        <v>18</v>
      </c>
      <c r="BB7" s="114">
        <f t="shared" si="7"/>
        <v>224</v>
      </c>
      <c r="BC7" s="114">
        <f t="shared" si="8"/>
        <v>4032</v>
      </c>
      <c r="BD7" s="114"/>
      <c r="BE7" s="114" t="s">
        <v>194</v>
      </c>
      <c r="BF7" s="115" t="s">
        <v>222</v>
      </c>
      <c r="BG7" s="122" t="s">
        <v>176</v>
      </c>
    </row>
    <row r="8" spans="1:59" s="122" customFormat="1" ht="15" customHeight="1" x14ac:dyDescent="0.2">
      <c r="A8" s="114">
        <f t="shared" si="9"/>
        <v>6</v>
      </c>
      <c r="B8" s="115" t="s">
        <v>213</v>
      </c>
      <c r="C8" s="116" t="s">
        <v>136</v>
      </c>
      <c r="D8" s="124"/>
      <c r="E8" s="116" t="s">
        <v>146</v>
      </c>
      <c r="F8" s="114"/>
      <c r="G8" s="117" t="s">
        <v>188</v>
      </c>
      <c r="H8" s="114" t="s">
        <v>187</v>
      </c>
      <c r="I8" s="116" t="s">
        <v>133</v>
      </c>
      <c r="J8" s="116" t="s">
        <v>181</v>
      </c>
      <c r="K8" s="116" t="s">
        <v>133</v>
      </c>
      <c r="L8" s="115" t="s">
        <v>134</v>
      </c>
      <c r="M8" s="115" t="s">
        <v>134</v>
      </c>
      <c r="N8" s="118">
        <v>46110</v>
      </c>
      <c r="O8" s="116">
        <v>456</v>
      </c>
      <c r="P8" s="118">
        <v>46110</v>
      </c>
      <c r="Q8" s="118">
        <v>46119</v>
      </c>
      <c r="R8" s="118">
        <v>46110</v>
      </c>
      <c r="S8" s="114"/>
      <c r="T8" s="114"/>
      <c r="U8" s="114" t="s">
        <v>206</v>
      </c>
      <c r="V8" s="116" t="s">
        <v>76</v>
      </c>
      <c r="W8" s="116">
        <v>456</v>
      </c>
      <c r="X8" s="116">
        <v>441</v>
      </c>
      <c r="Y8" s="114"/>
      <c r="Z8" s="114" t="s">
        <v>207</v>
      </c>
      <c r="AA8" s="114"/>
      <c r="AB8" s="119"/>
      <c r="AC8" s="120">
        <v>25.5</v>
      </c>
      <c r="AD8" s="114"/>
      <c r="AE8" s="116">
        <v>456</v>
      </c>
      <c r="AF8" s="114" t="s">
        <v>208</v>
      </c>
      <c r="AG8" s="116" t="s">
        <v>76</v>
      </c>
      <c r="AH8" s="120">
        <v>12.5</v>
      </c>
      <c r="AI8" s="114">
        <f t="shared" si="0"/>
        <v>5700</v>
      </c>
      <c r="AJ8" s="114"/>
      <c r="AK8" s="117" t="s">
        <v>186</v>
      </c>
      <c r="AL8" s="116">
        <v>441</v>
      </c>
      <c r="AM8" s="114">
        <v>18</v>
      </c>
      <c r="AN8" s="114">
        <f t="shared" si="1"/>
        <v>7938</v>
      </c>
      <c r="AO8" s="114"/>
      <c r="AP8" s="114"/>
      <c r="AQ8" s="114">
        <f t="shared" si="2"/>
        <v>0</v>
      </c>
      <c r="AR8" s="114">
        <f t="shared" si="3"/>
        <v>7938</v>
      </c>
      <c r="AS8" s="114"/>
      <c r="AT8" s="112" t="s">
        <v>373</v>
      </c>
      <c r="AU8" s="113"/>
      <c r="AV8" s="114">
        <f t="shared" si="4"/>
        <v>18</v>
      </c>
      <c r="AW8" s="114">
        <f t="shared" si="5"/>
        <v>7938</v>
      </c>
      <c r="AX8" s="114"/>
      <c r="AY8" s="116" t="s">
        <v>185</v>
      </c>
      <c r="AZ8" s="121"/>
      <c r="BA8" s="114">
        <f t="shared" si="6"/>
        <v>18</v>
      </c>
      <c r="BB8" s="114">
        <f t="shared" si="7"/>
        <v>441</v>
      </c>
      <c r="BC8" s="114">
        <f t="shared" si="8"/>
        <v>7938</v>
      </c>
      <c r="BD8" s="114"/>
      <c r="BE8" s="114" t="s">
        <v>195</v>
      </c>
      <c r="BF8" s="115" t="s">
        <v>213</v>
      </c>
      <c r="BG8" s="122" t="s">
        <v>176</v>
      </c>
    </row>
    <row r="9" spans="1:59" s="122" customFormat="1" ht="15" customHeight="1" x14ac:dyDescent="0.2">
      <c r="A9" s="114">
        <f t="shared" si="9"/>
        <v>7</v>
      </c>
      <c r="B9" s="115" t="s">
        <v>214</v>
      </c>
      <c r="C9" s="116" t="s">
        <v>147</v>
      </c>
      <c r="D9" s="124"/>
      <c r="E9" s="116" t="s">
        <v>148</v>
      </c>
      <c r="F9" s="114"/>
      <c r="G9" s="117" t="s">
        <v>188</v>
      </c>
      <c r="H9" s="114" t="s">
        <v>187</v>
      </c>
      <c r="I9" s="116" t="s">
        <v>133</v>
      </c>
      <c r="J9" s="116" t="s">
        <v>181</v>
      </c>
      <c r="K9" s="116" t="s">
        <v>133</v>
      </c>
      <c r="L9" s="115" t="s">
        <v>134</v>
      </c>
      <c r="M9" s="115" t="s">
        <v>134</v>
      </c>
      <c r="N9" s="118">
        <v>46110</v>
      </c>
      <c r="O9" s="116">
        <v>10</v>
      </c>
      <c r="P9" s="118">
        <v>46110</v>
      </c>
      <c r="Q9" s="118">
        <v>46119</v>
      </c>
      <c r="R9" s="118">
        <v>46110</v>
      </c>
      <c r="S9" s="114"/>
      <c r="T9" s="114"/>
      <c r="U9" s="114" t="s">
        <v>206</v>
      </c>
      <c r="V9" s="116" t="s">
        <v>76</v>
      </c>
      <c r="W9" s="116">
        <v>10</v>
      </c>
      <c r="X9" s="116">
        <v>10</v>
      </c>
      <c r="Y9" s="114"/>
      <c r="Z9" s="114" t="s">
        <v>207</v>
      </c>
      <c r="AA9" s="114"/>
      <c r="AB9" s="119"/>
      <c r="AC9" s="120">
        <v>25.5</v>
      </c>
      <c r="AD9" s="114"/>
      <c r="AE9" s="116">
        <v>10</v>
      </c>
      <c r="AF9" s="114" t="s">
        <v>208</v>
      </c>
      <c r="AG9" s="116" t="s">
        <v>76</v>
      </c>
      <c r="AH9" s="120">
        <v>12.5</v>
      </c>
      <c r="AI9" s="114">
        <f t="shared" si="0"/>
        <v>125</v>
      </c>
      <c r="AJ9" s="114"/>
      <c r="AK9" s="117" t="s">
        <v>186</v>
      </c>
      <c r="AL9" s="116">
        <v>10</v>
      </c>
      <c r="AM9" s="114">
        <v>18</v>
      </c>
      <c r="AN9" s="114">
        <f t="shared" si="1"/>
        <v>180</v>
      </c>
      <c r="AO9" s="114"/>
      <c r="AP9" s="114"/>
      <c r="AQ9" s="114">
        <f t="shared" si="2"/>
        <v>0</v>
      </c>
      <c r="AR9" s="114">
        <f t="shared" si="3"/>
        <v>180</v>
      </c>
      <c r="AS9" s="114"/>
      <c r="AT9" s="112" t="s">
        <v>373</v>
      </c>
      <c r="AU9" s="113"/>
      <c r="AV9" s="114">
        <f t="shared" si="4"/>
        <v>18</v>
      </c>
      <c r="AW9" s="114">
        <f t="shared" si="5"/>
        <v>180</v>
      </c>
      <c r="AX9" s="114"/>
      <c r="AY9" s="116" t="s">
        <v>185</v>
      </c>
      <c r="AZ9" s="121"/>
      <c r="BA9" s="114">
        <f t="shared" si="6"/>
        <v>18</v>
      </c>
      <c r="BB9" s="114">
        <f t="shared" si="7"/>
        <v>10</v>
      </c>
      <c r="BC9" s="114">
        <f t="shared" si="8"/>
        <v>180</v>
      </c>
      <c r="BD9" s="114"/>
      <c r="BE9" s="114" t="s">
        <v>196</v>
      </c>
      <c r="BF9" s="115" t="s">
        <v>214</v>
      </c>
      <c r="BG9" s="122" t="s">
        <v>176</v>
      </c>
    </row>
    <row r="10" spans="1:59" s="122" customFormat="1" ht="15" customHeight="1" x14ac:dyDescent="0.2">
      <c r="A10" s="114">
        <f t="shared" si="9"/>
        <v>8</v>
      </c>
      <c r="B10" s="115" t="s">
        <v>215</v>
      </c>
      <c r="C10" s="116" t="s">
        <v>147</v>
      </c>
      <c r="D10" s="124"/>
      <c r="E10" s="116" t="s">
        <v>150</v>
      </c>
      <c r="F10" s="114"/>
      <c r="G10" s="117" t="s">
        <v>188</v>
      </c>
      <c r="H10" s="114" t="s">
        <v>187</v>
      </c>
      <c r="I10" s="116" t="s">
        <v>133</v>
      </c>
      <c r="J10" s="116" t="s">
        <v>181</v>
      </c>
      <c r="K10" s="116" t="s">
        <v>133</v>
      </c>
      <c r="L10" s="115" t="s">
        <v>134</v>
      </c>
      <c r="M10" s="115" t="s">
        <v>134</v>
      </c>
      <c r="N10" s="118">
        <v>46110</v>
      </c>
      <c r="O10" s="116">
        <v>84</v>
      </c>
      <c r="P10" s="118">
        <v>46110</v>
      </c>
      <c r="Q10" s="118">
        <v>46119</v>
      </c>
      <c r="R10" s="118">
        <v>46110</v>
      </c>
      <c r="S10" s="114"/>
      <c r="T10" s="114"/>
      <c r="U10" s="114" t="s">
        <v>206</v>
      </c>
      <c r="V10" s="116" t="s">
        <v>76</v>
      </c>
      <c r="W10" s="116">
        <v>84</v>
      </c>
      <c r="X10" s="116">
        <v>77</v>
      </c>
      <c r="Y10" s="114"/>
      <c r="Z10" s="114" t="s">
        <v>207</v>
      </c>
      <c r="AA10" s="114"/>
      <c r="AB10" s="119"/>
      <c r="AC10" s="120">
        <v>25.5</v>
      </c>
      <c r="AD10" s="114"/>
      <c r="AE10" s="116">
        <v>84</v>
      </c>
      <c r="AF10" s="114" t="s">
        <v>208</v>
      </c>
      <c r="AG10" s="116" t="s">
        <v>76</v>
      </c>
      <c r="AH10" s="120">
        <v>12.5</v>
      </c>
      <c r="AI10" s="114">
        <f t="shared" si="0"/>
        <v>1050</v>
      </c>
      <c r="AJ10" s="114"/>
      <c r="AK10" s="117" t="s">
        <v>186</v>
      </c>
      <c r="AL10" s="116">
        <v>77</v>
      </c>
      <c r="AM10" s="114">
        <v>18</v>
      </c>
      <c r="AN10" s="114">
        <f t="shared" si="1"/>
        <v>1386</v>
      </c>
      <c r="AO10" s="114"/>
      <c r="AP10" s="114"/>
      <c r="AQ10" s="114">
        <f t="shared" si="2"/>
        <v>0</v>
      </c>
      <c r="AR10" s="114">
        <f t="shared" si="3"/>
        <v>1386</v>
      </c>
      <c r="AS10" s="114"/>
      <c r="AT10" s="112" t="s">
        <v>373</v>
      </c>
      <c r="AU10" s="113"/>
      <c r="AV10" s="114">
        <f t="shared" si="4"/>
        <v>18</v>
      </c>
      <c r="AW10" s="114">
        <f t="shared" si="5"/>
        <v>1386</v>
      </c>
      <c r="AX10" s="114"/>
      <c r="AY10" s="116" t="s">
        <v>185</v>
      </c>
      <c r="AZ10" s="121"/>
      <c r="BA10" s="114">
        <f t="shared" si="6"/>
        <v>18</v>
      </c>
      <c r="BB10" s="114">
        <f t="shared" si="7"/>
        <v>77</v>
      </c>
      <c r="BC10" s="114">
        <f t="shared" si="8"/>
        <v>1386</v>
      </c>
      <c r="BD10" s="114"/>
      <c r="BE10" s="114" t="s">
        <v>197</v>
      </c>
      <c r="BF10" s="115" t="s">
        <v>215</v>
      </c>
      <c r="BG10" s="122" t="s">
        <v>176</v>
      </c>
    </row>
    <row r="11" spans="1:59" s="122" customFormat="1" ht="15" customHeight="1" x14ac:dyDescent="0.2">
      <c r="A11" s="114">
        <f t="shared" si="9"/>
        <v>9</v>
      </c>
      <c r="B11" s="115" t="s">
        <v>216</v>
      </c>
      <c r="C11" s="116" t="s">
        <v>147</v>
      </c>
      <c r="D11" s="124"/>
      <c r="E11" s="116" t="s">
        <v>158</v>
      </c>
      <c r="F11" s="114"/>
      <c r="G11" s="117" t="s">
        <v>188</v>
      </c>
      <c r="H11" s="114" t="s">
        <v>187</v>
      </c>
      <c r="I11" s="116" t="s">
        <v>133</v>
      </c>
      <c r="J11" s="116" t="s">
        <v>181</v>
      </c>
      <c r="K11" s="116" t="s">
        <v>133</v>
      </c>
      <c r="L11" s="115" t="s">
        <v>134</v>
      </c>
      <c r="M11" s="115" t="s">
        <v>134</v>
      </c>
      <c r="N11" s="118">
        <v>46110</v>
      </c>
      <c r="O11" s="116">
        <v>445</v>
      </c>
      <c r="P11" s="118">
        <v>46110</v>
      </c>
      <c r="Q11" s="118">
        <v>46119</v>
      </c>
      <c r="R11" s="118">
        <v>46110</v>
      </c>
      <c r="S11" s="114"/>
      <c r="T11" s="114"/>
      <c r="U11" s="114" t="s">
        <v>206</v>
      </c>
      <c r="V11" s="116" t="s">
        <v>76</v>
      </c>
      <c r="W11" s="116">
        <v>445</v>
      </c>
      <c r="X11" s="116">
        <v>420</v>
      </c>
      <c r="Y11" s="114"/>
      <c r="Z11" s="114" t="s">
        <v>207</v>
      </c>
      <c r="AA11" s="114"/>
      <c r="AB11" s="119"/>
      <c r="AC11" s="120">
        <v>25.5</v>
      </c>
      <c r="AD11" s="114"/>
      <c r="AE11" s="116">
        <v>445</v>
      </c>
      <c r="AF11" s="114" t="s">
        <v>208</v>
      </c>
      <c r="AG11" s="116" t="s">
        <v>76</v>
      </c>
      <c r="AH11" s="120">
        <v>12.5</v>
      </c>
      <c r="AI11" s="114">
        <f t="shared" si="0"/>
        <v>5562.5</v>
      </c>
      <c r="AJ11" s="114"/>
      <c r="AK11" s="117" t="s">
        <v>186</v>
      </c>
      <c r="AL11" s="116">
        <v>420</v>
      </c>
      <c r="AM11" s="114">
        <v>18</v>
      </c>
      <c r="AN11" s="114">
        <f t="shared" si="1"/>
        <v>7560</v>
      </c>
      <c r="AO11" s="114"/>
      <c r="AP11" s="114"/>
      <c r="AQ11" s="114">
        <f t="shared" si="2"/>
        <v>0</v>
      </c>
      <c r="AR11" s="114">
        <f t="shared" si="3"/>
        <v>7560</v>
      </c>
      <c r="AS11" s="114"/>
      <c r="AT11" s="112" t="s">
        <v>373</v>
      </c>
      <c r="AU11" s="113"/>
      <c r="AV11" s="114">
        <f t="shared" si="4"/>
        <v>18</v>
      </c>
      <c r="AW11" s="114">
        <f t="shared" si="5"/>
        <v>7560</v>
      </c>
      <c r="AX11" s="114"/>
      <c r="AY11" s="116" t="s">
        <v>185</v>
      </c>
      <c r="AZ11" s="121"/>
      <c r="BA11" s="114">
        <f t="shared" si="6"/>
        <v>18</v>
      </c>
      <c r="BB11" s="114">
        <f t="shared" si="7"/>
        <v>420</v>
      </c>
      <c r="BC11" s="114">
        <f t="shared" si="8"/>
        <v>7560</v>
      </c>
      <c r="BD11" s="114"/>
      <c r="BE11" s="114" t="s">
        <v>198</v>
      </c>
      <c r="BF11" s="115" t="s">
        <v>216</v>
      </c>
      <c r="BG11" s="122" t="s">
        <v>176</v>
      </c>
    </row>
    <row r="12" spans="1:59" s="122" customFormat="1" ht="15" customHeight="1" x14ac:dyDescent="0.2">
      <c r="A12" s="114">
        <f t="shared" si="9"/>
        <v>10</v>
      </c>
      <c r="B12" s="115" t="s">
        <v>217</v>
      </c>
      <c r="C12" s="116" t="s">
        <v>159</v>
      </c>
      <c r="D12" s="124"/>
      <c r="E12" s="116" t="s">
        <v>160</v>
      </c>
      <c r="F12" s="114"/>
      <c r="G12" s="117" t="s">
        <v>188</v>
      </c>
      <c r="H12" s="114" t="s">
        <v>187</v>
      </c>
      <c r="I12" s="116" t="s">
        <v>133</v>
      </c>
      <c r="J12" s="116" t="s">
        <v>181</v>
      </c>
      <c r="K12" s="116" t="s">
        <v>133</v>
      </c>
      <c r="L12" s="115" t="s">
        <v>134</v>
      </c>
      <c r="M12" s="115" t="s">
        <v>134</v>
      </c>
      <c r="N12" s="118">
        <v>46110</v>
      </c>
      <c r="O12" s="116">
        <v>10</v>
      </c>
      <c r="P12" s="118">
        <v>46110</v>
      </c>
      <c r="Q12" s="118">
        <v>46119</v>
      </c>
      <c r="R12" s="118">
        <v>46110</v>
      </c>
      <c r="S12" s="114"/>
      <c r="T12" s="114"/>
      <c r="U12" s="114" t="s">
        <v>206</v>
      </c>
      <c r="V12" s="116" t="s">
        <v>76</v>
      </c>
      <c r="W12" s="116">
        <v>10</v>
      </c>
      <c r="X12" s="116">
        <v>10</v>
      </c>
      <c r="Y12" s="114"/>
      <c r="Z12" s="114" t="s">
        <v>207</v>
      </c>
      <c r="AA12" s="114"/>
      <c r="AB12" s="119"/>
      <c r="AC12" s="120">
        <v>25.5</v>
      </c>
      <c r="AD12" s="114"/>
      <c r="AE12" s="116">
        <v>10</v>
      </c>
      <c r="AF12" s="114" t="s">
        <v>208</v>
      </c>
      <c r="AG12" s="116" t="s">
        <v>76</v>
      </c>
      <c r="AH12" s="120">
        <v>12.5</v>
      </c>
      <c r="AI12" s="114">
        <f t="shared" si="0"/>
        <v>125</v>
      </c>
      <c r="AJ12" s="114"/>
      <c r="AK12" s="117" t="s">
        <v>186</v>
      </c>
      <c r="AL12" s="116">
        <v>10</v>
      </c>
      <c r="AM12" s="114">
        <v>18</v>
      </c>
      <c r="AN12" s="114">
        <f t="shared" si="1"/>
        <v>180</v>
      </c>
      <c r="AO12" s="114"/>
      <c r="AP12" s="114"/>
      <c r="AQ12" s="114">
        <f t="shared" si="2"/>
        <v>0</v>
      </c>
      <c r="AR12" s="114">
        <f t="shared" si="3"/>
        <v>180</v>
      </c>
      <c r="AS12" s="114"/>
      <c r="AT12" s="112" t="s">
        <v>373</v>
      </c>
      <c r="AU12" s="113"/>
      <c r="AV12" s="114">
        <f t="shared" si="4"/>
        <v>18</v>
      </c>
      <c r="AW12" s="114">
        <f t="shared" si="5"/>
        <v>180</v>
      </c>
      <c r="AX12" s="114"/>
      <c r="AY12" s="116" t="s">
        <v>185</v>
      </c>
      <c r="AZ12" s="121"/>
      <c r="BA12" s="114">
        <f t="shared" si="6"/>
        <v>18</v>
      </c>
      <c r="BB12" s="114">
        <f t="shared" si="7"/>
        <v>10</v>
      </c>
      <c r="BC12" s="114">
        <f t="shared" si="8"/>
        <v>180</v>
      </c>
      <c r="BD12" s="114"/>
      <c r="BE12" s="114" t="s">
        <v>199</v>
      </c>
      <c r="BF12" s="115" t="s">
        <v>217</v>
      </c>
      <c r="BG12" s="122" t="s">
        <v>176</v>
      </c>
    </row>
    <row r="13" spans="1:59" s="122" customFormat="1" ht="15" customHeight="1" x14ac:dyDescent="0.2">
      <c r="A13" s="114">
        <f t="shared" si="9"/>
        <v>11</v>
      </c>
      <c r="B13" s="115" t="s">
        <v>218</v>
      </c>
      <c r="C13" s="116" t="s">
        <v>159</v>
      </c>
      <c r="D13" s="124"/>
      <c r="E13" s="116" t="s">
        <v>161</v>
      </c>
      <c r="F13" s="114"/>
      <c r="G13" s="117" t="s">
        <v>188</v>
      </c>
      <c r="H13" s="114" t="s">
        <v>187</v>
      </c>
      <c r="I13" s="116" t="s">
        <v>133</v>
      </c>
      <c r="J13" s="116" t="s">
        <v>181</v>
      </c>
      <c r="K13" s="116" t="s">
        <v>133</v>
      </c>
      <c r="L13" s="115" t="s">
        <v>134</v>
      </c>
      <c r="M13" s="115" t="s">
        <v>134</v>
      </c>
      <c r="N13" s="118">
        <v>46110</v>
      </c>
      <c r="O13" s="116">
        <v>50</v>
      </c>
      <c r="P13" s="118">
        <v>46110</v>
      </c>
      <c r="Q13" s="118">
        <v>46119</v>
      </c>
      <c r="R13" s="118">
        <v>46110</v>
      </c>
      <c r="S13" s="114"/>
      <c r="T13" s="114"/>
      <c r="U13" s="114" t="s">
        <v>206</v>
      </c>
      <c r="V13" s="116" t="s">
        <v>75</v>
      </c>
      <c r="W13" s="116">
        <v>50</v>
      </c>
      <c r="X13" s="116">
        <v>39</v>
      </c>
      <c r="Y13" s="114"/>
      <c r="Z13" s="114" t="s">
        <v>207</v>
      </c>
      <c r="AA13" s="114"/>
      <c r="AB13" s="119"/>
      <c r="AC13" s="120">
        <v>30.5</v>
      </c>
      <c r="AD13" s="114"/>
      <c r="AE13" s="116">
        <v>50</v>
      </c>
      <c r="AF13" s="114" t="s">
        <v>208</v>
      </c>
      <c r="AG13" s="116" t="s">
        <v>75</v>
      </c>
      <c r="AH13" s="120">
        <v>24.5</v>
      </c>
      <c r="AI13" s="114">
        <f t="shared" si="0"/>
        <v>1225</v>
      </c>
      <c r="AJ13" s="114"/>
      <c r="AK13" s="117" t="s">
        <v>186</v>
      </c>
      <c r="AL13" s="116">
        <v>39</v>
      </c>
      <c r="AM13" s="114">
        <v>18</v>
      </c>
      <c r="AN13" s="114">
        <f t="shared" si="1"/>
        <v>702</v>
      </c>
      <c r="AO13" s="114"/>
      <c r="AP13" s="114"/>
      <c r="AQ13" s="114">
        <f t="shared" si="2"/>
        <v>0</v>
      </c>
      <c r="AR13" s="114">
        <f t="shared" si="3"/>
        <v>702</v>
      </c>
      <c r="AS13" s="114"/>
      <c r="AT13" s="112" t="s">
        <v>373</v>
      </c>
      <c r="AU13" s="113"/>
      <c r="AV13" s="114">
        <f t="shared" si="4"/>
        <v>18</v>
      </c>
      <c r="AW13" s="114">
        <f t="shared" si="5"/>
        <v>702</v>
      </c>
      <c r="AX13" s="114"/>
      <c r="AY13" s="116" t="s">
        <v>185</v>
      </c>
      <c r="AZ13" s="121"/>
      <c r="BA13" s="114">
        <f t="shared" si="6"/>
        <v>18</v>
      </c>
      <c r="BB13" s="114">
        <f t="shared" si="7"/>
        <v>39</v>
      </c>
      <c r="BC13" s="114">
        <f t="shared" si="8"/>
        <v>702</v>
      </c>
      <c r="BD13" s="114"/>
      <c r="BE13" s="114" t="s">
        <v>200</v>
      </c>
      <c r="BF13" s="115" t="s">
        <v>218</v>
      </c>
      <c r="BG13" s="122" t="s">
        <v>176</v>
      </c>
    </row>
    <row r="14" spans="1:59" s="122" customFormat="1" ht="15" customHeight="1" x14ac:dyDescent="0.2">
      <c r="A14" s="114">
        <f t="shared" si="9"/>
        <v>12</v>
      </c>
      <c r="B14" s="115" t="s">
        <v>219</v>
      </c>
      <c r="C14" s="116" t="s">
        <v>159</v>
      </c>
      <c r="D14" s="124"/>
      <c r="E14" s="116" t="s">
        <v>163</v>
      </c>
      <c r="F14" s="114"/>
      <c r="G14" s="117" t="s">
        <v>188</v>
      </c>
      <c r="H14" s="114" t="s">
        <v>187</v>
      </c>
      <c r="I14" s="116" t="s">
        <v>133</v>
      </c>
      <c r="J14" s="116" t="s">
        <v>181</v>
      </c>
      <c r="K14" s="116" t="s">
        <v>133</v>
      </c>
      <c r="L14" s="115" t="s">
        <v>134</v>
      </c>
      <c r="M14" s="115" t="s">
        <v>134</v>
      </c>
      <c r="N14" s="118">
        <v>46110</v>
      </c>
      <c r="O14" s="116">
        <v>152</v>
      </c>
      <c r="P14" s="118">
        <v>46110</v>
      </c>
      <c r="Q14" s="118">
        <v>46119</v>
      </c>
      <c r="R14" s="118">
        <v>46110</v>
      </c>
      <c r="S14" s="114"/>
      <c r="T14" s="114"/>
      <c r="U14" s="114" t="s">
        <v>206</v>
      </c>
      <c r="V14" s="116" t="s">
        <v>75</v>
      </c>
      <c r="W14" s="116">
        <v>152</v>
      </c>
      <c r="X14" s="116">
        <v>130</v>
      </c>
      <c r="Y14" s="114"/>
      <c r="Z14" s="114" t="s">
        <v>207</v>
      </c>
      <c r="AA14" s="114"/>
      <c r="AB14" s="119"/>
      <c r="AC14" s="120">
        <v>30.5</v>
      </c>
      <c r="AD14" s="114"/>
      <c r="AE14" s="116">
        <v>152</v>
      </c>
      <c r="AF14" s="114" t="s">
        <v>208</v>
      </c>
      <c r="AG14" s="116" t="s">
        <v>75</v>
      </c>
      <c r="AH14" s="120">
        <v>24.5</v>
      </c>
      <c r="AI14" s="114">
        <f t="shared" si="0"/>
        <v>3724</v>
      </c>
      <c r="AJ14" s="114"/>
      <c r="AK14" s="117" t="s">
        <v>186</v>
      </c>
      <c r="AL14" s="116">
        <v>130</v>
      </c>
      <c r="AM14" s="114">
        <v>18</v>
      </c>
      <c r="AN14" s="114">
        <f t="shared" si="1"/>
        <v>2340</v>
      </c>
      <c r="AO14" s="114"/>
      <c r="AP14" s="114"/>
      <c r="AQ14" s="114">
        <f t="shared" si="2"/>
        <v>0</v>
      </c>
      <c r="AR14" s="114">
        <f t="shared" si="3"/>
        <v>2340</v>
      </c>
      <c r="AS14" s="114"/>
      <c r="AT14" s="112" t="s">
        <v>373</v>
      </c>
      <c r="AU14" s="113"/>
      <c r="AV14" s="114">
        <f t="shared" si="4"/>
        <v>18</v>
      </c>
      <c r="AW14" s="114">
        <f t="shared" si="5"/>
        <v>2340</v>
      </c>
      <c r="AX14" s="114"/>
      <c r="AY14" s="116" t="s">
        <v>185</v>
      </c>
      <c r="AZ14" s="121"/>
      <c r="BA14" s="114">
        <f t="shared" si="6"/>
        <v>18</v>
      </c>
      <c r="BB14" s="114">
        <f t="shared" si="7"/>
        <v>130</v>
      </c>
      <c r="BC14" s="114">
        <f t="shared" si="8"/>
        <v>2340</v>
      </c>
      <c r="BD14" s="114"/>
      <c r="BE14" s="114" t="s">
        <v>201</v>
      </c>
      <c r="BF14" s="115" t="s">
        <v>219</v>
      </c>
      <c r="BG14" s="122" t="s">
        <v>176</v>
      </c>
    </row>
    <row r="15" spans="1:59" s="122" customFormat="1" ht="15" customHeight="1" x14ac:dyDescent="0.2">
      <c r="A15" s="114">
        <f t="shared" si="9"/>
        <v>13</v>
      </c>
      <c r="B15" s="115" t="s">
        <v>209</v>
      </c>
      <c r="C15" s="112" t="s">
        <v>163</v>
      </c>
      <c r="D15" s="124"/>
      <c r="E15" s="112" t="s">
        <v>165</v>
      </c>
      <c r="F15" s="114"/>
      <c r="G15" s="117" t="s">
        <v>188</v>
      </c>
      <c r="H15" s="114" t="s">
        <v>187</v>
      </c>
      <c r="I15" s="116" t="s">
        <v>133</v>
      </c>
      <c r="J15" s="116" t="s">
        <v>181</v>
      </c>
      <c r="K15" s="116" t="s">
        <v>133</v>
      </c>
      <c r="L15" s="115" t="s">
        <v>134</v>
      </c>
      <c r="M15" s="115" t="s">
        <v>134</v>
      </c>
      <c r="N15" s="118">
        <v>46110</v>
      </c>
      <c r="O15" s="116">
        <v>213</v>
      </c>
      <c r="P15" s="118">
        <v>46110</v>
      </c>
      <c r="Q15" s="118">
        <v>46119</v>
      </c>
      <c r="R15" s="118">
        <v>46110</v>
      </c>
      <c r="S15" s="114"/>
      <c r="T15" s="114"/>
      <c r="U15" s="114" t="s">
        <v>206</v>
      </c>
      <c r="V15" s="116" t="s">
        <v>75</v>
      </c>
      <c r="W15" s="116">
        <v>213</v>
      </c>
      <c r="X15" s="116">
        <v>176</v>
      </c>
      <c r="Y15" s="114"/>
      <c r="Z15" s="114" t="s">
        <v>207</v>
      </c>
      <c r="AA15" s="114"/>
      <c r="AB15" s="119"/>
      <c r="AC15" s="120">
        <v>30.5</v>
      </c>
      <c r="AD15" s="114"/>
      <c r="AE15" s="116">
        <v>213</v>
      </c>
      <c r="AF15" s="114" t="s">
        <v>208</v>
      </c>
      <c r="AG15" s="116" t="s">
        <v>75</v>
      </c>
      <c r="AH15" s="120">
        <v>24.5</v>
      </c>
      <c r="AI15" s="114"/>
      <c r="AJ15" s="114"/>
      <c r="AK15" s="117" t="s">
        <v>186</v>
      </c>
      <c r="AL15" s="116">
        <v>176</v>
      </c>
      <c r="AM15" s="114">
        <v>18</v>
      </c>
      <c r="AN15" s="114">
        <f t="shared" ref="AN15" si="10">IF(AL15&lt;&gt;"",AM15*AL15,0)</f>
        <v>3168</v>
      </c>
      <c r="AO15" s="114"/>
      <c r="AP15" s="114"/>
      <c r="AQ15" s="114">
        <f t="shared" ref="AQ15" si="11">IF(AO15&lt;&gt;"",AP15*AO15,0)</f>
        <v>0</v>
      </c>
      <c r="AR15" s="114">
        <f t="shared" ref="AR15" si="12">AQ15+AN15</f>
        <v>3168</v>
      </c>
      <c r="AS15" s="114"/>
      <c r="AT15" s="112" t="s">
        <v>373</v>
      </c>
      <c r="AU15" s="113"/>
      <c r="AV15" s="114">
        <f t="shared" ref="AV15" si="13">AM15</f>
        <v>18</v>
      </c>
      <c r="AW15" s="114">
        <f t="shared" ref="AW15" si="14">AV15*AL15</f>
        <v>3168</v>
      </c>
      <c r="AX15" s="114"/>
      <c r="AY15" s="116" t="s">
        <v>185</v>
      </c>
      <c r="AZ15" s="121"/>
      <c r="BA15" s="114">
        <f t="shared" ref="BA15" si="15">AM15</f>
        <v>18</v>
      </c>
      <c r="BB15" s="114">
        <f t="shared" ref="BB15" si="16">AL15</f>
        <v>176</v>
      </c>
      <c r="BC15" s="114">
        <f t="shared" ref="BC15" si="17">IF(BB15&lt;&gt;"",BB15*BA15,0)</f>
        <v>3168</v>
      </c>
      <c r="BD15" s="114"/>
      <c r="BE15" s="114" t="s">
        <v>204</v>
      </c>
      <c r="BF15" s="115" t="s">
        <v>209</v>
      </c>
      <c r="BG15" s="122" t="s">
        <v>176</v>
      </c>
    </row>
    <row r="16" spans="1:59" s="122" customFormat="1" ht="15" customHeight="1" x14ac:dyDescent="0.2">
      <c r="A16" s="114">
        <f t="shared" si="9"/>
        <v>14</v>
      </c>
      <c r="B16" s="115" t="s">
        <v>220</v>
      </c>
      <c r="C16" s="116" t="s">
        <v>159</v>
      </c>
      <c r="D16" s="124"/>
      <c r="E16" s="116" t="s">
        <v>168</v>
      </c>
      <c r="F16" s="114"/>
      <c r="G16" s="117" t="s">
        <v>188</v>
      </c>
      <c r="H16" s="114" t="s">
        <v>187</v>
      </c>
      <c r="I16" s="116" t="s">
        <v>133</v>
      </c>
      <c r="J16" s="116" t="s">
        <v>181</v>
      </c>
      <c r="K16" s="116" t="s">
        <v>133</v>
      </c>
      <c r="L16" s="115" t="s">
        <v>134</v>
      </c>
      <c r="M16" s="115" t="s">
        <v>134</v>
      </c>
      <c r="N16" s="118">
        <v>46110</v>
      </c>
      <c r="O16" s="116">
        <v>197</v>
      </c>
      <c r="P16" s="118">
        <v>46110</v>
      </c>
      <c r="Q16" s="118">
        <v>46119</v>
      </c>
      <c r="R16" s="118">
        <v>46110</v>
      </c>
      <c r="S16" s="114"/>
      <c r="T16" s="114"/>
      <c r="U16" s="114" t="s">
        <v>206</v>
      </c>
      <c r="V16" s="116" t="s">
        <v>76</v>
      </c>
      <c r="W16" s="116">
        <v>197</v>
      </c>
      <c r="X16" s="116">
        <v>185</v>
      </c>
      <c r="Y16" s="114"/>
      <c r="Z16" s="114" t="s">
        <v>207</v>
      </c>
      <c r="AA16" s="114"/>
      <c r="AB16" s="119"/>
      <c r="AC16" s="120">
        <v>25.5</v>
      </c>
      <c r="AD16" s="114"/>
      <c r="AE16" s="116">
        <v>197</v>
      </c>
      <c r="AF16" s="114" t="s">
        <v>208</v>
      </c>
      <c r="AG16" s="116" t="s">
        <v>76</v>
      </c>
      <c r="AH16" s="120">
        <v>12.5</v>
      </c>
      <c r="AI16" s="114">
        <f t="shared" si="0"/>
        <v>2462.5</v>
      </c>
      <c r="AJ16" s="114"/>
      <c r="AK16" s="117" t="s">
        <v>186</v>
      </c>
      <c r="AL16" s="116">
        <v>185</v>
      </c>
      <c r="AM16" s="114">
        <v>18</v>
      </c>
      <c r="AN16" s="114">
        <f t="shared" si="1"/>
        <v>3330</v>
      </c>
      <c r="AO16" s="114"/>
      <c r="AP16" s="114"/>
      <c r="AQ16" s="114">
        <f t="shared" si="2"/>
        <v>0</v>
      </c>
      <c r="AR16" s="114">
        <f t="shared" si="3"/>
        <v>3330</v>
      </c>
      <c r="AS16" s="114"/>
      <c r="AT16" s="112" t="s">
        <v>373</v>
      </c>
      <c r="AU16" s="113"/>
      <c r="AV16" s="114">
        <f t="shared" si="4"/>
        <v>18</v>
      </c>
      <c r="AW16" s="114">
        <f t="shared" si="5"/>
        <v>3330</v>
      </c>
      <c r="AX16" s="114"/>
      <c r="AY16" s="116" t="s">
        <v>185</v>
      </c>
      <c r="AZ16" s="121"/>
      <c r="BA16" s="114">
        <f t="shared" si="6"/>
        <v>18</v>
      </c>
      <c r="BB16" s="114">
        <f t="shared" si="7"/>
        <v>185</v>
      </c>
      <c r="BC16" s="114">
        <f t="shared" si="8"/>
        <v>3330</v>
      </c>
      <c r="BD16" s="114"/>
      <c r="BE16" s="114" t="s">
        <v>202</v>
      </c>
      <c r="BF16" s="115" t="s">
        <v>220</v>
      </c>
      <c r="BG16" s="122" t="s">
        <v>176</v>
      </c>
    </row>
    <row r="17" spans="1:59" s="122" customFormat="1" ht="15" customHeight="1" x14ac:dyDescent="0.2">
      <c r="A17" s="114">
        <f t="shared" si="9"/>
        <v>15</v>
      </c>
      <c r="B17" s="115" t="s">
        <v>210</v>
      </c>
      <c r="C17" s="116" t="s">
        <v>168</v>
      </c>
      <c r="D17" s="124"/>
      <c r="E17" s="116" t="s">
        <v>172</v>
      </c>
      <c r="F17" s="114"/>
      <c r="G17" s="117" t="s">
        <v>188</v>
      </c>
      <c r="H17" s="114" t="s">
        <v>187</v>
      </c>
      <c r="I17" s="116" t="s">
        <v>133</v>
      </c>
      <c r="J17" s="116" t="s">
        <v>181</v>
      </c>
      <c r="K17" s="116" t="s">
        <v>133</v>
      </c>
      <c r="L17" s="115" t="s">
        <v>134</v>
      </c>
      <c r="M17" s="115" t="s">
        <v>134</v>
      </c>
      <c r="N17" s="118">
        <v>46110</v>
      </c>
      <c r="O17" s="116">
        <v>88</v>
      </c>
      <c r="P17" s="118">
        <v>46110</v>
      </c>
      <c r="Q17" s="118">
        <v>46119</v>
      </c>
      <c r="R17" s="118">
        <v>46110</v>
      </c>
      <c r="S17" s="114"/>
      <c r="T17" s="114"/>
      <c r="U17" s="114" t="s">
        <v>206</v>
      </c>
      <c r="V17" s="116" t="s">
        <v>76</v>
      </c>
      <c r="W17" s="116">
        <v>88</v>
      </c>
      <c r="X17" s="116">
        <v>82</v>
      </c>
      <c r="Y17" s="114"/>
      <c r="Z17" s="114" t="s">
        <v>207</v>
      </c>
      <c r="AA17" s="114"/>
      <c r="AB17" s="119"/>
      <c r="AC17" s="120">
        <v>25.5</v>
      </c>
      <c r="AD17" s="114"/>
      <c r="AE17" s="116">
        <v>88</v>
      </c>
      <c r="AF17" s="114" t="s">
        <v>208</v>
      </c>
      <c r="AG17" s="116" t="s">
        <v>76</v>
      </c>
      <c r="AH17" s="120">
        <v>12.5</v>
      </c>
      <c r="AI17" s="114">
        <f t="shared" si="0"/>
        <v>1100</v>
      </c>
      <c r="AJ17" s="114"/>
      <c r="AK17" s="117" t="s">
        <v>186</v>
      </c>
      <c r="AL17" s="116">
        <v>82</v>
      </c>
      <c r="AM17" s="114">
        <v>18</v>
      </c>
      <c r="AN17" s="114">
        <f t="shared" si="1"/>
        <v>1476</v>
      </c>
      <c r="AO17" s="114"/>
      <c r="AP17" s="114"/>
      <c r="AQ17" s="114">
        <f t="shared" si="2"/>
        <v>0</v>
      </c>
      <c r="AR17" s="114">
        <f t="shared" si="3"/>
        <v>1476</v>
      </c>
      <c r="AS17" s="114"/>
      <c r="AT17" s="112" t="s">
        <v>373</v>
      </c>
      <c r="AU17" s="113"/>
      <c r="AV17" s="114">
        <f t="shared" si="4"/>
        <v>18</v>
      </c>
      <c r="AW17" s="114">
        <f t="shared" si="5"/>
        <v>1476</v>
      </c>
      <c r="AX17" s="114"/>
      <c r="AY17" s="116" t="s">
        <v>185</v>
      </c>
      <c r="AZ17" s="121"/>
      <c r="BA17" s="114">
        <f t="shared" si="6"/>
        <v>18</v>
      </c>
      <c r="BB17" s="114">
        <f t="shared" si="7"/>
        <v>82</v>
      </c>
      <c r="BC17" s="114">
        <f t="shared" si="8"/>
        <v>1476</v>
      </c>
      <c r="BD17" s="114"/>
      <c r="BE17" s="114" t="s">
        <v>203</v>
      </c>
      <c r="BF17" s="115" t="s">
        <v>210</v>
      </c>
      <c r="BG17" s="122" t="s">
        <v>176</v>
      </c>
    </row>
    <row r="18" spans="1:59" s="122" customFormat="1" ht="15" customHeight="1" x14ac:dyDescent="0.2">
      <c r="A18" s="114">
        <f t="shared" si="9"/>
        <v>16</v>
      </c>
      <c r="B18" s="115" t="s">
        <v>462</v>
      </c>
      <c r="C18" s="116" t="s">
        <v>224</v>
      </c>
      <c r="D18" s="124"/>
      <c r="E18" s="116" t="s">
        <v>319</v>
      </c>
      <c r="F18" s="114"/>
      <c r="G18" s="117" t="s">
        <v>188</v>
      </c>
      <c r="H18" s="114" t="s">
        <v>374</v>
      </c>
      <c r="I18" s="116" t="s">
        <v>133</v>
      </c>
      <c r="J18" s="116" t="s">
        <v>181</v>
      </c>
      <c r="K18" s="116" t="s">
        <v>133</v>
      </c>
      <c r="L18" s="115" t="s">
        <v>224</v>
      </c>
      <c r="M18" s="115" t="s">
        <v>224</v>
      </c>
      <c r="N18" s="118">
        <v>46112</v>
      </c>
      <c r="O18" s="116">
        <v>931</v>
      </c>
      <c r="P18" s="118">
        <v>46113</v>
      </c>
      <c r="Q18" s="118">
        <v>46125</v>
      </c>
      <c r="R18" s="118">
        <v>46113</v>
      </c>
      <c r="S18" s="114"/>
      <c r="T18" s="114"/>
      <c r="U18" s="114" t="s">
        <v>206</v>
      </c>
      <c r="V18" s="116" t="s">
        <v>110</v>
      </c>
      <c r="W18" s="116">
        <v>931</v>
      </c>
      <c r="X18" s="116">
        <v>811</v>
      </c>
      <c r="Y18" s="114"/>
      <c r="Z18" s="114" t="s">
        <v>207</v>
      </c>
      <c r="AA18" s="114"/>
      <c r="AB18" s="119"/>
      <c r="AC18" s="120">
        <v>35.5</v>
      </c>
      <c r="AD18" s="114"/>
      <c r="AE18" s="116">
        <v>931</v>
      </c>
      <c r="AF18" s="114" t="s">
        <v>208</v>
      </c>
      <c r="AG18" s="116" t="s">
        <v>110</v>
      </c>
      <c r="AH18" s="120">
        <v>38.5</v>
      </c>
      <c r="AI18" s="114">
        <f t="shared" si="0"/>
        <v>35843.5</v>
      </c>
      <c r="AJ18" s="114"/>
      <c r="AK18" s="117" t="s">
        <v>186</v>
      </c>
      <c r="AL18" s="116">
        <v>811</v>
      </c>
      <c r="AM18" s="114">
        <v>20</v>
      </c>
      <c r="AN18" s="114">
        <f t="shared" ref="AN18:AN81" si="18">IF(AL18&lt;&gt;"",AM18*AL18,0)</f>
        <v>16220</v>
      </c>
      <c r="AO18" s="114"/>
      <c r="AP18" s="114"/>
      <c r="AQ18" s="114">
        <f t="shared" ref="AQ18:AQ81" si="19">IF(AO18&lt;&gt;"",AP18*AO18,0)</f>
        <v>0</v>
      </c>
      <c r="AR18" s="114">
        <f t="shared" ref="AR18:AR81" si="20">AQ18+AN18</f>
        <v>16220</v>
      </c>
      <c r="AS18" s="114"/>
      <c r="AT18" s="112" t="s">
        <v>373</v>
      </c>
      <c r="AU18" s="113"/>
      <c r="AV18" s="114">
        <f t="shared" ref="AV18:AV81" si="21">AM18</f>
        <v>20</v>
      </c>
      <c r="AW18" s="114">
        <f t="shared" ref="AW18:AW81" si="22">AV18*AL18</f>
        <v>16220</v>
      </c>
      <c r="AX18" s="114"/>
      <c r="AY18" s="116" t="s">
        <v>185</v>
      </c>
      <c r="AZ18" s="121"/>
      <c r="BA18" s="114">
        <f t="shared" ref="BA18:BA81" si="23">AM18</f>
        <v>20</v>
      </c>
      <c r="BB18" s="114">
        <f t="shared" ref="BB18:BB81" si="24">AL18</f>
        <v>811</v>
      </c>
      <c r="BC18" s="114">
        <f t="shared" ref="BC18:BC81" si="25">IF(BB18&lt;&gt;"",BB18*BA18,0)</f>
        <v>16220</v>
      </c>
      <c r="BD18" s="114"/>
      <c r="BE18" s="114" t="s">
        <v>190</v>
      </c>
      <c r="BF18" s="115" t="s">
        <v>462</v>
      </c>
      <c r="BG18" s="122" t="s">
        <v>176</v>
      </c>
    </row>
    <row r="19" spans="1:59" s="122" customFormat="1" ht="15" customHeight="1" x14ac:dyDescent="0.2">
      <c r="A19" s="114">
        <f t="shared" si="9"/>
        <v>17</v>
      </c>
      <c r="B19" s="115" t="s">
        <v>463</v>
      </c>
      <c r="C19" s="116" t="s">
        <v>224</v>
      </c>
      <c r="D19" s="124"/>
      <c r="E19" s="116" t="s">
        <v>361</v>
      </c>
      <c r="F19" s="114"/>
      <c r="G19" s="117" t="s">
        <v>188</v>
      </c>
      <c r="H19" s="114" t="s">
        <v>374</v>
      </c>
      <c r="I19" s="116" t="s">
        <v>133</v>
      </c>
      <c r="J19" s="116" t="s">
        <v>181</v>
      </c>
      <c r="K19" s="116" t="s">
        <v>133</v>
      </c>
      <c r="L19" s="115" t="s">
        <v>224</v>
      </c>
      <c r="M19" s="115" t="s">
        <v>224</v>
      </c>
      <c r="N19" s="118">
        <v>46112</v>
      </c>
      <c r="O19" s="116">
        <v>654</v>
      </c>
      <c r="P19" s="118">
        <v>46113</v>
      </c>
      <c r="Q19" s="118">
        <v>46125</v>
      </c>
      <c r="R19" s="118">
        <v>46113</v>
      </c>
      <c r="S19" s="114"/>
      <c r="T19" s="114"/>
      <c r="U19" s="114" t="s">
        <v>206</v>
      </c>
      <c r="V19" s="116" t="s">
        <v>110</v>
      </c>
      <c r="W19" s="116">
        <v>654</v>
      </c>
      <c r="X19" s="116">
        <v>589</v>
      </c>
      <c r="Y19" s="114"/>
      <c r="Z19" s="114" t="s">
        <v>207</v>
      </c>
      <c r="AA19" s="114"/>
      <c r="AB19" s="119"/>
      <c r="AC19" s="120">
        <v>35.5</v>
      </c>
      <c r="AD19" s="114"/>
      <c r="AE19" s="116">
        <v>654</v>
      </c>
      <c r="AF19" s="114" t="s">
        <v>208</v>
      </c>
      <c r="AG19" s="116" t="s">
        <v>110</v>
      </c>
      <c r="AH19" s="120">
        <v>38.5</v>
      </c>
      <c r="AI19" s="114">
        <f t="shared" si="0"/>
        <v>25179</v>
      </c>
      <c r="AJ19" s="114"/>
      <c r="AK19" s="117" t="s">
        <v>186</v>
      </c>
      <c r="AL19" s="116">
        <v>589</v>
      </c>
      <c r="AM19" s="114">
        <v>20</v>
      </c>
      <c r="AN19" s="114">
        <f t="shared" si="18"/>
        <v>11780</v>
      </c>
      <c r="AO19" s="114"/>
      <c r="AP19" s="114"/>
      <c r="AQ19" s="114">
        <f t="shared" si="19"/>
        <v>0</v>
      </c>
      <c r="AR19" s="114">
        <f t="shared" si="20"/>
        <v>11780</v>
      </c>
      <c r="AS19" s="114"/>
      <c r="AT19" s="112" t="s">
        <v>373</v>
      </c>
      <c r="AU19" s="113"/>
      <c r="AV19" s="114">
        <f t="shared" si="21"/>
        <v>20</v>
      </c>
      <c r="AW19" s="114">
        <f t="shared" si="22"/>
        <v>11780</v>
      </c>
      <c r="AX19" s="114"/>
      <c r="AY19" s="116" t="s">
        <v>185</v>
      </c>
      <c r="AZ19" s="121"/>
      <c r="BA19" s="114">
        <f t="shared" si="23"/>
        <v>20</v>
      </c>
      <c r="BB19" s="114">
        <f t="shared" si="24"/>
        <v>589</v>
      </c>
      <c r="BC19" s="114">
        <f t="shared" si="25"/>
        <v>11780</v>
      </c>
      <c r="BD19" s="114"/>
      <c r="BE19" s="114" t="s">
        <v>191</v>
      </c>
      <c r="BF19" s="115" t="s">
        <v>463</v>
      </c>
      <c r="BG19" s="122" t="s">
        <v>176</v>
      </c>
    </row>
    <row r="20" spans="1:59" s="122" customFormat="1" ht="15" customHeight="1" x14ac:dyDescent="0.2">
      <c r="A20" s="114">
        <f t="shared" si="9"/>
        <v>18</v>
      </c>
      <c r="B20" s="115" t="s">
        <v>464</v>
      </c>
      <c r="C20" s="116" t="s">
        <v>224</v>
      </c>
      <c r="D20" s="124"/>
      <c r="E20" s="116" t="s">
        <v>225</v>
      </c>
      <c r="F20" s="114"/>
      <c r="G20" s="117" t="s">
        <v>188</v>
      </c>
      <c r="H20" s="114" t="s">
        <v>374</v>
      </c>
      <c r="I20" s="116" t="s">
        <v>133</v>
      </c>
      <c r="J20" s="116" t="s">
        <v>181</v>
      </c>
      <c r="K20" s="116" t="s">
        <v>133</v>
      </c>
      <c r="L20" s="115" t="s">
        <v>224</v>
      </c>
      <c r="M20" s="115" t="s">
        <v>224</v>
      </c>
      <c r="N20" s="118">
        <v>46112</v>
      </c>
      <c r="O20" s="116">
        <v>129</v>
      </c>
      <c r="P20" s="118">
        <v>46113</v>
      </c>
      <c r="Q20" s="118">
        <v>46125</v>
      </c>
      <c r="R20" s="118">
        <v>46113</v>
      </c>
      <c r="S20" s="114"/>
      <c r="T20" s="114"/>
      <c r="U20" s="114" t="s">
        <v>206</v>
      </c>
      <c r="V20" s="116" t="s">
        <v>75</v>
      </c>
      <c r="W20" s="116">
        <v>129</v>
      </c>
      <c r="X20" s="116">
        <v>128</v>
      </c>
      <c r="Y20" s="114"/>
      <c r="Z20" s="114" t="s">
        <v>207</v>
      </c>
      <c r="AA20" s="114"/>
      <c r="AB20" s="119"/>
      <c r="AC20" s="120">
        <v>30.5</v>
      </c>
      <c r="AD20" s="114"/>
      <c r="AE20" s="116">
        <v>129</v>
      </c>
      <c r="AF20" s="114" t="s">
        <v>208</v>
      </c>
      <c r="AG20" s="116" t="s">
        <v>75</v>
      </c>
      <c r="AH20" s="120">
        <v>24.5</v>
      </c>
      <c r="AI20" s="114">
        <f t="shared" si="0"/>
        <v>3160.5</v>
      </c>
      <c r="AJ20" s="114"/>
      <c r="AK20" s="117" t="s">
        <v>186</v>
      </c>
      <c r="AL20" s="116">
        <v>128</v>
      </c>
      <c r="AM20" s="114">
        <v>18</v>
      </c>
      <c r="AN20" s="114">
        <f t="shared" si="18"/>
        <v>2304</v>
      </c>
      <c r="AO20" s="114"/>
      <c r="AP20" s="114"/>
      <c r="AQ20" s="114">
        <f t="shared" si="19"/>
        <v>0</v>
      </c>
      <c r="AR20" s="114">
        <f t="shared" si="20"/>
        <v>2304</v>
      </c>
      <c r="AS20" s="114"/>
      <c r="AT20" s="112" t="s">
        <v>373</v>
      </c>
      <c r="AU20" s="113"/>
      <c r="AV20" s="114">
        <f t="shared" si="21"/>
        <v>18</v>
      </c>
      <c r="AW20" s="114">
        <f t="shared" si="22"/>
        <v>2304</v>
      </c>
      <c r="AX20" s="114"/>
      <c r="AY20" s="116" t="s">
        <v>185</v>
      </c>
      <c r="AZ20" s="121"/>
      <c r="BA20" s="114">
        <f t="shared" si="23"/>
        <v>18</v>
      </c>
      <c r="BB20" s="114">
        <f t="shared" si="24"/>
        <v>128</v>
      </c>
      <c r="BC20" s="114">
        <f t="shared" si="25"/>
        <v>2304</v>
      </c>
      <c r="BD20" s="114"/>
      <c r="BE20" s="114" t="s">
        <v>192</v>
      </c>
      <c r="BF20" s="115" t="s">
        <v>464</v>
      </c>
      <c r="BG20" s="122" t="s">
        <v>176</v>
      </c>
    </row>
    <row r="21" spans="1:59" s="122" customFormat="1" ht="15" customHeight="1" x14ac:dyDescent="0.2">
      <c r="A21" s="114">
        <f t="shared" si="9"/>
        <v>19</v>
      </c>
      <c r="B21" s="115" t="s">
        <v>465</v>
      </c>
      <c r="C21" s="116" t="s">
        <v>240</v>
      </c>
      <c r="D21" s="124"/>
      <c r="E21" s="116" t="s">
        <v>251</v>
      </c>
      <c r="F21" s="114"/>
      <c r="G21" s="117" t="s">
        <v>188</v>
      </c>
      <c r="H21" s="114" t="s">
        <v>374</v>
      </c>
      <c r="I21" s="116" t="s">
        <v>133</v>
      </c>
      <c r="J21" s="116" t="s">
        <v>181</v>
      </c>
      <c r="K21" s="116" t="s">
        <v>133</v>
      </c>
      <c r="L21" s="115" t="s">
        <v>224</v>
      </c>
      <c r="M21" s="115" t="s">
        <v>224</v>
      </c>
      <c r="N21" s="118">
        <v>46112</v>
      </c>
      <c r="O21" s="116">
        <v>109</v>
      </c>
      <c r="P21" s="118">
        <v>46113</v>
      </c>
      <c r="Q21" s="118">
        <v>46125</v>
      </c>
      <c r="R21" s="118">
        <v>46113</v>
      </c>
      <c r="S21" s="114"/>
      <c r="T21" s="114"/>
      <c r="U21" s="114" t="s">
        <v>206</v>
      </c>
      <c r="V21" s="116" t="s">
        <v>75</v>
      </c>
      <c r="W21" s="116">
        <v>109</v>
      </c>
      <c r="X21" s="116">
        <v>110</v>
      </c>
      <c r="Y21" s="114"/>
      <c r="Z21" s="114" t="s">
        <v>207</v>
      </c>
      <c r="AA21" s="114"/>
      <c r="AB21" s="119"/>
      <c r="AC21" s="120">
        <v>30.5</v>
      </c>
      <c r="AD21" s="114"/>
      <c r="AE21" s="116">
        <v>109</v>
      </c>
      <c r="AF21" s="114" t="s">
        <v>208</v>
      </c>
      <c r="AG21" s="116" t="s">
        <v>75</v>
      </c>
      <c r="AH21" s="120">
        <v>24.5</v>
      </c>
      <c r="AI21" s="114">
        <f t="shared" si="0"/>
        <v>2670.5</v>
      </c>
      <c r="AJ21" s="114"/>
      <c r="AK21" s="117" t="s">
        <v>186</v>
      </c>
      <c r="AL21" s="116">
        <v>110</v>
      </c>
      <c r="AM21" s="114">
        <v>18</v>
      </c>
      <c r="AN21" s="114">
        <f t="shared" si="18"/>
        <v>1980</v>
      </c>
      <c r="AO21" s="114"/>
      <c r="AP21" s="114"/>
      <c r="AQ21" s="114">
        <f t="shared" si="19"/>
        <v>0</v>
      </c>
      <c r="AR21" s="114">
        <f t="shared" si="20"/>
        <v>1980</v>
      </c>
      <c r="AS21" s="114"/>
      <c r="AT21" s="112" t="s">
        <v>373</v>
      </c>
      <c r="AU21" s="113"/>
      <c r="AV21" s="114">
        <f t="shared" si="21"/>
        <v>18</v>
      </c>
      <c r="AW21" s="114">
        <f t="shared" si="22"/>
        <v>1980</v>
      </c>
      <c r="AX21" s="114"/>
      <c r="AY21" s="116" t="s">
        <v>185</v>
      </c>
      <c r="AZ21" s="121"/>
      <c r="BA21" s="114">
        <f t="shared" si="23"/>
        <v>18</v>
      </c>
      <c r="BB21" s="114">
        <f t="shared" si="24"/>
        <v>110</v>
      </c>
      <c r="BC21" s="114">
        <f t="shared" si="25"/>
        <v>1980</v>
      </c>
      <c r="BD21" s="114"/>
      <c r="BE21" s="114" t="s">
        <v>193</v>
      </c>
      <c r="BF21" s="115" t="s">
        <v>465</v>
      </c>
      <c r="BG21" s="122" t="s">
        <v>176</v>
      </c>
    </row>
    <row r="22" spans="1:59" s="122" customFormat="1" ht="15" customHeight="1" x14ac:dyDescent="0.2">
      <c r="A22" s="114">
        <f t="shared" si="9"/>
        <v>20</v>
      </c>
      <c r="B22" s="115" t="s">
        <v>466</v>
      </c>
      <c r="C22" s="116" t="s">
        <v>369</v>
      </c>
      <c r="D22" s="124"/>
      <c r="E22" s="116" t="s">
        <v>230</v>
      </c>
      <c r="F22" s="114"/>
      <c r="G22" s="117" t="s">
        <v>188</v>
      </c>
      <c r="H22" s="114" t="s">
        <v>374</v>
      </c>
      <c r="I22" s="116" t="s">
        <v>133</v>
      </c>
      <c r="J22" s="116" t="s">
        <v>181</v>
      </c>
      <c r="K22" s="116" t="s">
        <v>133</v>
      </c>
      <c r="L22" s="115" t="s">
        <v>224</v>
      </c>
      <c r="M22" s="115" t="s">
        <v>224</v>
      </c>
      <c r="N22" s="118">
        <v>46112</v>
      </c>
      <c r="O22" s="116">
        <v>62</v>
      </c>
      <c r="P22" s="118">
        <v>46113</v>
      </c>
      <c r="Q22" s="118">
        <v>46125</v>
      </c>
      <c r="R22" s="118">
        <v>46113</v>
      </c>
      <c r="S22" s="114"/>
      <c r="T22" s="114"/>
      <c r="U22" s="114" t="s">
        <v>206</v>
      </c>
      <c r="V22" s="116" t="s">
        <v>75</v>
      </c>
      <c r="W22" s="116">
        <v>62</v>
      </c>
      <c r="X22" s="116">
        <v>62</v>
      </c>
      <c r="Y22" s="114"/>
      <c r="Z22" s="114" t="s">
        <v>207</v>
      </c>
      <c r="AA22" s="114"/>
      <c r="AB22" s="119"/>
      <c r="AC22" s="120">
        <v>30.5</v>
      </c>
      <c r="AD22" s="114"/>
      <c r="AE22" s="116">
        <v>62</v>
      </c>
      <c r="AF22" s="114" t="s">
        <v>208</v>
      </c>
      <c r="AG22" s="116" t="s">
        <v>75</v>
      </c>
      <c r="AH22" s="120">
        <v>24.5</v>
      </c>
      <c r="AI22" s="114">
        <f t="shared" si="0"/>
        <v>1519</v>
      </c>
      <c r="AJ22" s="114"/>
      <c r="AK22" s="117" t="s">
        <v>186</v>
      </c>
      <c r="AL22" s="116">
        <v>62</v>
      </c>
      <c r="AM22" s="114">
        <v>18</v>
      </c>
      <c r="AN22" s="114">
        <f t="shared" si="18"/>
        <v>1116</v>
      </c>
      <c r="AO22" s="114"/>
      <c r="AP22" s="114"/>
      <c r="AQ22" s="114">
        <f t="shared" si="19"/>
        <v>0</v>
      </c>
      <c r="AR22" s="114">
        <f t="shared" si="20"/>
        <v>1116</v>
      </c>
      <c r="AS22" s="114"/>
      <c r="AT22" s="112" t="s">
        <v>373</v>
      </c>
      <c r="AU22" s="113"/>
      <c r="AV22" s="114">
        <f t="shared" si="21"/>
        <v>18</v>
      </c>
      <c r="AW22" s="114">
        <f t="shared" si="22"/>
        <v>1116</v>
      </c>
      <c r="AX22" s="114"/>
      <c r="AY22" s="116" t="s">
        <v>185</v>
      </c>
      <c r="AZ22" s="121"/>
      <c r="BA22" s="114">
        <f t="shared" si="23"/>
        <v>18</v>
      </c>
      <c r="BB22" s="114">
        <f t="shared" si="24"/>
        <v>62</v>
      </c>
      <c r="BC22" s="114">
        <f t="shared" si="25"/>
        <v>1116</v>
      </c>
      <c r="BD22" s="114"/>
      <c r="BE22" s="114" t="s">
        <v>194</v>
      </c>
      <c r="BF22" s="115" t="s">
        <v>466</v>
      </c>
      <c r="BG22" s="122" t="s">
        <v>176</v>
      </c>
    </row>
    <row r="23" spans="1:59" s="122" customFormat="1" ht="15" customHeight="1" x14ac:dyDescent="0.2">
      <c r="A23" s="114">
        <f t="shared" si="9"/>
        <v>21</v>
      </c>
      <c r="B23" s="115" t="s">
        <v>485</v>
      </c>
      <c r="C23" s="116" t="s">
        <v>225</v>
      </c>
      <c r="D23" s="124"/>
      <c r="E23" s="116" t="s">
        <v>226</v>
      </c>
      <c r="F23" s="114"/>
      <c r="G23" s="117" t="s">
        <v>188</v>
      </c>
      <c r="H23" s="114" t="s">
        <v>374</v>
      </c>
      <c r="I23" s="116" t="s">
        <v>133</v>
      </c>
      <c r="J23" s="116" t="s">
        <v>181</v>
      </c>
      <c r="K23" s="116" t="s">
        <v>133</v>
      </c>
      <c r="L23" s="115" t="s">
        <v>224</v>
      </c>
      <c r="M23" s="115" t="s">
        <v>224</v>
      </c>
      <c r="N23" s="118">
        <v>46112</v>
      </c>
      <c r="O23" s="116">
        <v>10</v>
      </c>
      <c r="P23" s="118">
        <v>46113</v>
      </c>
      <c r="Q23" s="118">
        <v>46125</v>
      </c>
      <c r="R23" s="118">
        <v>46113</v>
      </c>
      <c r="S23" s="114"/>
      <c r="T23" s="114"/>
      <c r="U23" s="114" t="s">
        <v>206</v>
      </c>
      <c r="V23" s="116" t="s">
        <v>76</v>
      </c>
      <c r="W23" s="116">
        <v>10</v>
      </c>
      <c r="X23" s="116">
        <v>10</v>
      </c>
      <c r="Y23" s="114"/>
      <c r="Z23" s="114" t="s">
        <v>207</v>
      </c>
      <c r="AA23" s="114"/>
      <c r="AB23" s="119"/>
      <c r="AC23" s="120">
        <v>25.5</v>
      </c>
      <c r="AD23" s="114"/>
      <c r="AE23" s="116">
        <v>10</v>
      </c>
      <c r="AF23" s="114" t="s">
        <v>208</v>
      </c>
      <c r="AG23" s="116" t="s">
        <v>76</v>
      </c>
      <c r="AH23" s="120">
        <v>12.5</v>
      </c>
      <c r="AI23" s="114">
        <f t="shared" si="0"/>
        <v>125</v>
      </c>
      <c r="AJ23" s="114"/>
      <c r="AK23" s="117" t="s">
        <v>186</v>
      </c>
      <c r="AL23" s="116">
        <v>10</v>
      </c>
      <c r="AM23" s="114">
        <v>18</v>
      </c>
      <c r="AN23" s="114">
        <f t="shared" si="18"/>
        <v>180</v>
      </c>
      <c r="AO23" s="114"/>
      <c r="AP23" s="114"/>
      <c r="AQ23" s="114">
        <f t="shared" si="19"/>
        <v>0</v>
      </c>
      <c r="AR23" s="114">
        <f t="shared" si="20"/>
        <v>180</v>
      </c>
      <c r="AS23" s="114"/>
      <c r="AT23" s="112" t="s">
        <v>373</v>
      </c>
      <c r="AU23" s="113"/>
      <c r="AV23" s="114">
        <f t="shared" si="21"/>
        <v>18</v>
      </c>
      <c r="AW23" s="114">
        <f t="shared" si="22"/>
        <v>180</v>
      </c>
      <c r="AX23" s="114"/>
      <c r="AY23" s="116" t="s">
        <v>185</v>
      </c>
      <c r="AZ23" s="121"/>
      <c r="BA23" s="114">
        <f t="shared" si="23"/>
        <v>18</v>
      </c>
      <c r="BB23" s="114">
        <f t="shared" si="24"/>
        <v>10</v>
      </c>
      <c r="BC23" s="114">
        <f t="shared" si="25"/>
        <v>180</v>
      </c>
      <c r="BD23" s="114"/>
      <c r="BE23" s="114" t="s">
        <v>195</v>
      </c>
      <c r="BF23" s="115" t="s">
        <v>485</v>
      </c>
      <c r="BG23" s="122" t="s">
        <v>176</v>
      </c>
    </row>
    <row r="24" spans="1:59" s="122" customFormat="1" ht="15" customHeight="1" x14ac:dyDescent="0.2">
      <c r="A24" s="114">
        <f t="shared" si="9"/>
        <v>22</v>
      </c>
      <c r="B24" s="115" t="s">
        <v>468</v>
      </c>
      <c r="C24" s="116" t="s">
        <v>421</v>
      </c>
      <c r="D24" s="124"/>
      <c r="E24" s="116" t="s">
        <v>228</v>
      </c>
      <c r="F24" s="114"/>
      <c r="G24" s="117" t="s">
        <v>188</v>
      </c>
      <c r="H24" s="114" t="s">
        <v>374</v>
      </c>
      <c r="I24" s="116" t="s">
        <v>133</v>
      </c>
      <c r="J24" s="116" t="s">
        <v>181</v>
      </c>
      <c r="K24" s="116" t="s">
        <v>133</v>
      </c>
      <c r="L24" s="115" t="s">
        <v>224</v>
      </c>
      <c r="M24" s="115" t="s">
        <v>224</v>
      </c>
      <c r="N24" s="118">
        <v>46112</v>
      </c>
      <c r="O24" s="116">
        <v>114</v>
      </c>
      <c r="P24" s="118">
        <v>46113</v>
      </c>
      <c r="Q24" s="118">
        <v>46125</v>
      </c>
      <c r="R24" s="118">
        <v>46113</v>
      </c>
      <c r="S24" s="114"/>
      <c r="T24" s="114"/>
      <c r="U24" s="114" t="s">
        <v>206</v>
      </c>
      <c r="V24" s="116" t="s">
        <v>76</v>
      </c>
      <c r="W24" s="116">
        <v>114</v>
      </c>
      <c r="X24" s="116">
        <v>106</v>
      </c>
      <c r="Y24" s="114"/>
      <c r="Z24" s="114" t="s">
        <v>207</v>
      </c>
      <c r="AA24" s="114"/>
      <c r="AB24" s="119"/>
      <c r="AC24" s="120">
        <v>25.5</v>
      </c>
      <c r="AD24" s="114"/>
      <c r="AE24" s="116">
        <v>114</v>
      </c>
      <c r="AF24" s="114" t="s">
        <v>208</v>
      </c>
      <c r="AG24" s="116" t="s">
        <v>76</v>
      </c>
      <c r="AH24" s="120">
        <v>12.5</v>
      </c>
      <c r="AI24" s="114">
        <f t="shared" si="0"/>
        <v>1425</v>
      </c>
      <c r="AJ24" s="114"/>
      <c r="AK24" s="117" t="s">
        <v>186</v>
      </c>
      <c r="AL24" s="116">
        <v>106</v>
      </c>
      <c r="AM24" s="114">
        <v>18</v>
      </c>
      <c r="AN24" s="114">
        <f t="shared" si="18"/>
        <v>1908</v>
      </c>
      <c r="AO24" s="114"/>
      <c r="AP24" s="114"/>
      <c r="AQ24" s="114">
        <f t="shared" si="19"/>
        <v>0</v>
      </c>
      <c r="AR24" s="114">
        <f t="shared" si="20"/>
        <v>1908</v>
      </c>
      <c r="AS24" s="114"/>
      <c r="AT24" s="112" t="s">
        <v>373</v>
      </c>
      <c r="AU24" s="113"/>
      <c r="AV24" s="114">
        <f t="shared" si="21"/>
        <v>18</v>
      </c>
      <c r="AW24" s="114">
        <f t="shared" si="22"/>
        <v>1908</v>
      </c>
      <c r="AX24" s="114"/>
      <c r="AY24" s="116" t="s">
        <v>185</v>
      </c>
      <c r="AZ24" s="121"/>
      <c r="BA24" s="114">
        <f t="shared" si="23"/>
        <v>18</v>
      </c>
      <c r="BB24" s="114">
        <f t="shared" si="24"/>
        <v>106</v>
      </c>
      <c r="BC24" s="114">
        <f t="shared" si="25"/>
        <v>1908</v>
      </c>
      <c r="BD24" s="114"/>
      <c r="BE24" s="114" t="s">
        <v>196</v>
      </c>
      <c r="BF24" s="115" t="s">
        <v>468</v>
      </c>
      <c r="BG24" s="122" t="s">
        <v>176</v>
      </c>
    </row>
    <row r="25" spans="1:59" s="122" customFormat="1" ht="15" customHeight="1" x14ac:dyDescent="0.2">
      <c r="A25" s="114">
        <f t="shared" si="9"/>
        <v>23</v>
      </c>
      <c r="B25" s="115" t="s">
        <v>486</v>
      </c>
      <c r="C25" s="116" t="s">
        <v>225</v>
      </c>
      <c r="D25" s="124"/>
      <c r="E25" s="116" t="s">
        <v>229</v>
      </c>
      <c r="F25" s="114"/>
      <c r="G25" s="117" t="s">
        <v>188</v>
      </c>
      <c r="H25" s="114" t="s">
        <v>374</v>
      </c>
      <c r="I25" s="116" t="s">
        <v>133</v>
      </c>
      <c r="J25" s="116" t="s">
        <v>181</v>
      </c>
      <c r="K25" s="116" t="s">
        <v>133</v>
      </c>
      <c r="L25" s="115" t="s">
        <v>224</v>
      </c>
      <c r="M25" s="115" t="s">
        <v>224</v>
      </c>
      <c r="N25" s="118">
        <v>46112</v>
      </c>
      <c r="O25" s="116">
        <v>31</v>
      </c>
      <c r="P25" s="118">
        <v>46113</v>
      </c>
      <c r="Q25" s="118">
        <v>46125</v>
      </c>
      <c r="R25" s="118">
        <v>46113</v>
      </c>
      <c r="S25" s="114"/>
      <c r="T25" s="114"/>
      <c r="U25" s="114" t="s">
        <v>206</v>
      </c>
      <c r="V25" s="116" t="s">
        <v>76</v>
      </c>
      <c r="W25" s="116">
        <v>31</v>
      </c>
      <c r="X25" s="116">
        <v>26</v>
      </c>
      <c r="Y25" s="114"/>
      <c r="Z25" s="114" t="s">
        <v>207</v>
      </c>
      <c r="AA25" s="114"/>
      <c r="AB25" s="119"/>
      <c r="AC25" s="120">
        <v>25.5</v>
      </c>
      <c r="AD25" s="114"/>
      <c r="AE25" s="116">
        <v>31</v>
      </c>
      <c r="AF25" s="114" t="s">
        <v>208</v>
      </c>
      <c r="AG25" s="116" t="s">
        <v>76</v>
      </c>
      <c r="AH25" s="120">
        <v>12.5</v>
      </c>
      <c r="AI25" s="114">
        <f t="shared" si="0"/>
        <v>387.5</v>
      </c>
      <c r="AJ25" s="114"/>
      <c r="AK25" s="117" t="s">
        <v>186</v>
      </c>
      <c r="AL25" s="116">
        <v>26</v>
      </c>
      <c r="AM25" s="114">
        <v>18</v>
      </c>
      <c r="AN25" s="114">
        <f t="shared" si="18"/>
        <v>468</v>
      </c>
      <c r="AO25" s="114"/>
      <c r="AP25" s="114"/>
      <c r="AQ25" s="114">
        <f t="shared" si="19"/>
        <v>0</v>
      </c>
      <c r="AR25" s="114">
        <f t="shared" si="20"/>
        <v>468</v>
      </c>
      <c r="AS25" s="114"/>
      <c r="AT25" s="112" t="s">
        <v>373</v>
      </c>
      <c r="AU25" s="113"/>
      <c r="AV25" s="114">
        <f t="shared" si="21"/>
        <v>18</v>
      </c>
      <c r="AW25" s="114">
        <f t="shared" si="22"/>
        <v>468</v>
      </c>
      <c r="AX25" s="114"/>
      <c r="AY25" s="116" t="s">
        <v>185</v>
      </c>
      <c r="AZ25" s="121"/>
      <c r="BA25" s="114">
        <f t="shared" si="23"/>
        <v>18</v>
      </c>
      <c r="BB25" s="114">
        <f t="shared" si="24"/>
        <v>26</v>
      </c>
      <c r="BC25" s="114">
        <f t="shared" si="25"/>
        <v>468</v>
      </c>
      <c r="BD25" s="114"/>
      <c r="BE25" s="114" t="s">
        <v>197</v>
      </c>
      <c r="BF25" s="115" t="s">
        <v>486</v>
      </c>
      <c r="BG25" s="122" t="s">
        <v>176</v>
      </c>
    </row>
    <row r="26" spans="1:59" s="122" customFormat="1" ht="15" customHeight="1" x14ac:dyDescent="0.2">
      <c r="A26" s="114">
        <f t="shared" si="9"/>
        <v>24</v>
      </c>
      <c r="B26" s="115" t="s">
        <v>487</v>
      </c>
      <c r="C26" s="116" t="s">
        <v>230</v>
      </c>
      <c r="D26" s="124"/>
      <c r="E26" s="116" t="s">
        <v>231</v>
      </c>
      <c r="F26" s="114"/>
      <c r="G26" s="117" t="s">
        <v>188</v>
      </c>
      <c r="H26" s="114" t="s">
        <v>374</v>
      </c>
      <c r="I26" s="116" t="s">
        <v>133</v>
      </c>
      <c r="J26" s="116" t="s">
        <v>181</v>
      </c>
      <c r="K26" s="116" t="s">
        <v>133</v>
      </c>
      <c r="L26" s="115" t="s">
        <v>224</v>
      </c>
      <c r="M26" s="115" t="s">
        <v>224</v>
      </c>
      <c r="N26" s="118">
        <v>46112</v>
      </c>
      <c r="O26" s="116">
        <v>10</v>
      </c>
      <c r="P26" s="118">
        <v>46113</v>
      </c>
      <c r="Q26" s="118">
        <v>46125</v>
      </c>
      <c r="R26" s="118">
        <v>46113</v>
      </c>
      <c r="S26" s="114"/>
      <c r="T26" s="114"/>
      <c r="U26" s="114" t="s">
        <v>206</v>
      </c>
      <c r="V26" s="116" t="s">
        <v>76</v>
      </c>
      <c r="W26" s="116">
        <v>10</v>
      </c>
      <c r="X26" s="116">
        <v>10</v>
      </c>
      <c r="Y26" s="114"/>
      <c r="Z26" s="114" t="s">
        <v>207</v>
      </c>
      <c r="AA26" s="114"/>
      <c r="AB26" s="119"/>
      <c r="AC26" s="120">
        <v>25.5</v>
      </c>
      <c r="AD26" s="114"/>
      <c r="AE26" s="116">
        <v>10</v>
      </c>
      <c r="AF26" s="114" t="s">
        <v>208</v>
      </c>
      <c r="AG26" s="116" t="s">
        <v>76</v>
      </c>
      <c r="AH26" s="120">
        <v>12.5</v>
      </c>
      <c r="AI26" s="114">
        <f t="shared" si="0"/>
        <v>125</v>
      </c>
      <c r="AJ26" s="114"/>
      <c r="AK26" s="117" t="s">
        <v>186</v>
      </c>
      <c r="AL26" s="116">
        <v>10</v>
      </c>
      <c r="AM26" s="114">
        <v>18</v>
      </c>
      <c r="AN26" s="114">
        <f t="shared" si="18"/>
        <v>180</v>
      </c>
      <c r="AO26" s="114"/>
      <c r="AP26" s="114"/>
      <c r="AQ26" s="114">
        <f t="shared" si="19"/>
        <v>0</v>
      </c>
      <c r="AR26" s="114">
        <f t="shared" si="20"/>
        <v>180</v>
      </c>
      <c r="AS26" s="114"/>
      <c r="AT26" s="112" t="s">
        <v>373</v>
      </c>
      <c r="AU26" s="113"/>
      <c r="AV26" s="114">
        <f t="shared" si="21"/>
        <v>18</v>
      </c>
      <c r="AW26" s="114">
        <f t="shared" si="22"/>
        <v>180</v>
      </c>
      <c r="AX26" s="114"/>
      <c r="AY26" s="116" t="s">
        <v>185</v>
      </c>
      <c r="AZ26" s="121"/>
      <c r="BA26" s="114">
        <f t="shared" si="23"/>
        <v>18</v>
      </c>
      <c r="BB26" s="114">
        <f t="shared" si="24"/>
        <v>10</v>
      </c>
      <c r="BC26" s="114">
        <f t="shared" si="25"/>
        <v>180</v>
      </c>
      <c r="BD26" s="114"/>
      <c r="BE26" s="114" t="s">
        <v>198</v>
      </c>
      <c r="BF26" s="115" t="s">
        <v>487</v>
      </c>
      <c r="BG26" s="122" t="s">
        <v>176</v>
      </c>
    </row>
    <row r="27" spans="1:59" s="122" customFormat="1" ht="15" customHeight="1" x14ac:dyDescent="0.2">
      <c r="A27" s="114">
        <f t="shared" si="9"/>
        <v>25</v>
      </c>
      <c r="B27" s="115" t="s">
        <v>488</v>
      </c>
      <c r="C27" s="116" t="s">
        <v>230</v>
      </c>
      <c r="D27" s="124"/>
      <c r="E27" s="116" t="s">
        <v>233</v>
      </c>
      <c r="F27" s="114"/>
      <c r="G27" s="117" t="s">
        <v>188</v>
      </c>
      <c r="H27" s="114" t="s">
        <v>374</v>
      </c>
      <c r="I27" s="116" t="s">
        <v>133</v>
      </c>
      <c r="J27" s="116" t="s">
        <v>181</v>
      </c>
      <c r="K27" s="116" t="s">
        <v>133</v>
      </c>
      <c r="L27" s="115" t="s">
        <v>224</v>
      </c>
      <c r="M27" s="115" t="s">
        <v>224</v>
      </c>
      <c r="N27" s="118">
        <v>46112</v>
      </c>
      <c r="O27" s="116">
        <v>122</v>
      </c>
      <c r="P27" s="118">
        <v>46113</v>
      </c>
      <c r="Q27" s="118">
        <v>46125</v>
      </c>
      <c r="R27" s="118">
        <v>46113</v>
      </c>
      <c r="S27" s="114"/>
      <c r="T27" s="114"/>
      <c r="U27" s="114" t="s">
        <v>206</v>
      </c>
      <c r="V27" s="116" t="s">
        <v>76</v>
      </c>
      <c r="W27" s="116">
        <v>122</v>
      </c>
      <c r="X27" s="116">
        <v>112</v>
      </c>
      <c r="Y27" s="114"/>
      <c r="Z27" s="114" t="s">
        <v>207</v>
      </c>
      <c r="AA27" s="114"/>
      <c r="AB27" s="119"/>
      <c r="AC27" s="120">
        <v>25.5</v>
      </c>
      <c r="AD27" s="114"/>
      <c r="AE27" s="116">
        <v>122</v>
      </c>
      <c r="AF27" s="114" t="s">
        <v>208</v>
      </c>
      <c r="AG27" s="116" t="s">
        <v>76</v>
      </c>
      <c r="AH27" s="120">
        <v>12.5</v>
      </c>
      <c r="AI27" s="114">
        <f t="shared" si="0"/>
        <v>1525</v>
      </c>
      <c r="AJ27" s="114"/>
      <c r="AK27" s="117" t="s">
        <v>186</v>
      </c>
      <c r="AL27" s="116">
        <v>112</v>
      </c>
      <c r="AM27" s="114">
        <v>18</v>
      </c>
      <c r="AN27" s="114">
        <f t="shared" si="18"/>
        <v>2016</v>
      </c>
      <c r="AO27" s="114"/>
      <c r="AP27" s="114"/>
      <c r="AQ27" s="114">
        <f t="shared" si="19"/>
        <v>0</v>
      </c>
      <c r="AR27" s="114">
        <f t="shared" si="20"/>
        <v>2016</v>
      </c>
      <c r="AS27" s="114"/>
      <c r="AT27" s="112" t="s">
        <v>373</v>
      </c>
      <c r="AU27" s="113"/>
      <c r="AV27" s="114">
        <f t="shared" si="21"/>
        <v>18</v>
      </c>
      <c r="AW27" s="114">
        <f t="shared" si="22"/>
        <v>2016</v>
      </c>
      <c r="AX27" s="114"/>
      <c r="AY27" s="116" t="s">
        <v>185</v>
      </c>
      <c r="AZ27" s="121"/>
      <c r="BA27" s="114">
        <f t="shared" si="23"/>
        <v>18</v>
      </c>
      <c r="BB27" s="114">
        <f t="shared" si="24"/>
        <v>112</v>
      </c>
      <c r="BC27" s="114">
        <f t="shared" si="25"/>
        <v>2016</v>
      </c>
      <c r="BD27" s="114"/>
      <c r="BE27" s="114" t="s">
        <v>199</v>
      </c>
      <c r="BF27" s="115" t="s">
        <v>488</v>
      </c>
      <c r="BG27" s="122" t="s">
        <v>176</v>
      </c>
    </row>
    <row r="28" spans="1:59" s="122" customFormat="1" ht="15" customHeight="1" x14ac:dyDescent="0.2">
      <c r="A28" s="114">
        <f t="shared" si="9"/>
        <v>26</v>
      </c>
      <c r="B28" s="115" t="s">
        <v>457</v>
      </c>
      <c r="C28" s="116" t="s">
        <v>232</v>
      </c>
      <c r="D28" s="124"/>
      <c r="E28" s="116" t="s">
        <v>234</v>
      </c>
      <c r="F28" s="114"/>
      <c r="G28" s="117" t="s">
        <v>188</v>
      </c>
      <c r="H28" s="114" t="s">
        <v>374</v>
      </c>
      <c r="I28" s="116" t="s">
        <v>133</v>
      </c>
      <c r="J28" s="116" t="s">
        <v>181</v>
      </c>
      <c r="K28" s="116" t="s">
        <v>133</v>
      </c>
      <c r="L28" s="115" t="s">
        <v>224</v>
      </c>
      <c r="M28" s="115" t="s">
        <v>224</v>
      </c>
      <c r="N28" s="118">
        <v>46112</v>
      </c>
      <c r="O28" s="116">
        <v>33</v>
      </c>
      <c r="P28" s="118">
        <v>46113</v>
      </c>
      <c r="Q28" s="118">
        <v>46125</v>
      </c>
      <c r="R28" s="118">
        <v>46113</v>
      </c>
      <c r="S28" s="114"/>
      <c r="T28" s="114"/>
      <c r="U28" s="114" t="s">
        <v>206</v>
      </c>
      <c r="V28" s="116" t="s">
        <v>76</v>
      </c>
      <c r="W28" s="116">
        <v>33</v>
      </c>
      <c r="X28" s="116">
        <v>28</v>
      </c>
      <c r="Y28" s="114"/>
      <c r="Z28" s="114" t="s">
        <v>207</v>
      </c>
      <c r="AA28" s="114"/>
      <c r="AB28" s="119"/>
      <c r="AC28" s="120">
        <v>25.5</v>
      </c>
      <c r="AD28" s="114"/>
      <c r="AE28" s="116">
        <v>33</v>
      </c>
      <c r="AF28" s="114" t="s">
        <v>208</v>
      </c>
      <c r="AG28" s="116" t="s">
        <v>76</v>
      </c>
      <c r="AH28" s="120">
        <v>12.5</v>
      </c>
      <c r="AI28" s="114">
        <f t="shared" si="0"/>
        <v>412.5</v>
      </c>
      <c r="AJ28" s="114"/>
      <c r="AK28" s="117" t="s">
        <v>186</v>
      </c>
      <c r="AL28" s="116">
        <v>28</v>
      </c>
      <c r="AM28" s="114">
        <v>18</v>
      </c>
      <c r="AN28" s="114">
        <f t="shared" si="18"/>
        <v>504</v>
      </c>
      <c r="AO28" s="114"/>
      <c r="AP28" s="114"/>
      <c r="AQ28" s="114">
        <f t="shared" si="19"/>
        <v>0</v>
      </c>
      <c r="AR28" s="114">
        <f t="shared" si="20"/>
        <v>504</v>
      </c>
      <c r="AS28" s="114"/>
      <c r="AT28" s="112" t="s">
        <v>373</v>
      </c>
      <c r="AU28" s="113"/>
      <c r="AV28" s="114">
        <f t="shared" si="21"/>
        <v>18</v>
      </c>
      <c r="AW28" s="114">
        <f t="shared" si="22"/>
        <v>504</v>
      </c>
      <c r="AX28" s="114"/>
      <c r="AY28" s="116" t="s">
        <v>185</v>
      </c>
      <c r="AZ28" s="121"/>
      <c r="BA28" s="114">
        <f t="shared" si="23"/>
        <v>18</v>
      </c>
      <c r="BB28" s="114">
        <f t="shared" si="24"/>
        <v>28</v>
      </c>
      <c r="BC28" s="114">
        <f t="shared" si="25"/>
        <v>504</v>
      </c>
      <c r="BD28" s="114"/>
      <c r="BE28" s="114" t="s">
        <v>200</v>
      </c>
      <c r="BF28" s="115" t="s">
        <v>457</v>
      </c>
      <c r="BG28" s="122" t="s">
        <v>176</v>
      </c>
    </row>
    <row r="29" spans="1:59" s="122" customFormat="1" ht="15" customHeight="1" x14ac:dyDescent="0.2">
      <c r="A29" s="114">
        <f t="shared" si="9"/>
        <v>27</v>
      </c>
      <c r="B29" s="115" t="s">
        <v>474</v>
      </c>
      <c r="C29" s="116" t="s">
        <v>422</v>
      </c>
      <c r="D29" s="124"/>
      <c r="E29" s="116" t="s">
        <v>236</v>
      </c>
      <c r="F29" s="114"/>
      <c r="G29" s="117" t="s">
        <v>188</v>
      </c>
      <c r="H29" s="114" t="s">
        <v>374</v>
      </c>
      <c r="I29" s="116" t="s">
        <v>133</v>
      </c>
      <c r="J29" s="116" t="s">
        <v>181</v>
      </c>
      <c r="K29" s="116" t="s">
        <v>133</v>
      </c>
      <c r="L29" s="115" t="s">
        <v>224</v>
      </c>
      <c r="M29" s="115" t="s">
        <v>224</v>
      </c>
      <c r="N29" s="118">
        <v>46112</v>
      </c>
      <c r="O29" s="116">
        <v>245</v>
      </c>
      <c r="P29" s="118">
        <v>46113</v>
      </c>
      <c r="Q29" s="118">
        <v>46125</v>
      </c>
      <c r="R29" s="118">
        <v>46113</v>
      </c>
      <c r="S29" s="114"/>
      <c r="T29" s="114"/>
      <c r="U29" s="114" t="s">
        <v>206</v>
      </c>
      <c r="V29" s="116" t="s">
        <v>75</v>
      </c>
      <c r="W29" s="116">
        <v>245</v>
      </c>
      <c r="X29" s="116">
        <v>245</v>
      </c>
      <c r="Y29" s="114"/>
      <c r="Z29" s="114" t="s">
        <v>207</v>
      </c>
      <c r="AA29" s="114"/>
      <c r="AB29" s="119"/>
      <c r="AC29" s="120">
        <v>30.5</v>
      </c>
      <c r="AD29" s="114"/>
      <c r="AE29" s="116">
        <v>245</v>
      </c>
      <c r="AF29" s="114" t="s">
        <v>208</v>
      </c>
      <c r="AG29" s="116" t="s">
        <v>75</v>
      </c>
      <c r="AH29" s="120">
        <v>24.5</v>
      </c>
      <c r="AI29" s="114">
        <f t="shared" si="0"/>
        <v>6002.5</v>
      </c>
      <c r="AJ29" s="114"/>
      <c r="AK29" s="117" t="s">
        <v>186</v>
      </c>
      <c r="AL29" s="116">
        <v>245</v>
      </c>
      <c r="AM29" s="114">
        <v>18</v>
      </c>
      <c r="AN29" s="114">
        <f t="shared" si="18"/>
        <v>4410</v>
      </c>
      <c r="AO29" s="114"/>
      <c r="AP29" s="114"/>
      <c r="AQ29" s="114">
        <f t="shared" si="19"/>
        <v>0</v>
      </c>
      <c r="AR29" s="114">
        <f t="shared" si="20"/>
        <v>4410</v>
      </c>
      <c r="AS29" s="114"/>
      <c r="AT29" s="112" t="s">
        <v>373</v>
      </c>
      <c r="AU29" s="113"/>
      <c r="AV29" s="114">
        <f t="shared" si="21"/>
        <v>18</v>
      </c>
      <c r="AW29" s="114">
        <f t="shared" si="22"/>
        <v>4410</v>
      </c>
      <c r="AX29" s="114"/>
      <c r="AY29" s="116" t="s">
        <v>185</v>
      </c>
      <c r="AZ29" s="121"/>
      <c r="BA29" s="114">
        <f t="shared" si="23"/>
        <v>18</v>
      </c>
      <c r="BB29" s="114">
        <f t="shared" si="24"/>
        <v>245</v>
      </c>
      <c r="BC29" s="114">
        <f t="shared" si="25"/>
        <v>4410</v>
      </c>
      <c r="BD29" s="114"/>
      <c r="BE29" s="114" t="s">
        <v>201</v>
      </c>
      <c r="BF29" s="115" t="s">
        <v>474</v>
      </c>
      <c r="BG29" s="122" t="s">
        <v>176</v>
      </c>
    </row>
    <row r="30" spans="1:59" s="122" customFormat="1" ht="15" customHeight="1" x14ac:dyDescent="0.2">
      <c r="A30" s="114">
        <f t="shared" si="9"/>
        <v>28</v>
      </c>
      <c r="B30" s="115" t="s">
        <v>458</v>
      </c>
      <c r="C30" s="116" t="s">
        <v>235</v>
      </c>
      <c r="D30" s="124"/>
      <c r="E30" s="116" t="s">
        <v>237</v>
      </c>
      <c r="F30" s="114"/>
      <c r="G30" s="117" t="s">
        <v>188</v>
      </c>
      <c r="H30" s="114" t="s">
        <v>374</v>
      </c>
      <c r="I30" s="116" t="s">
        <v>133</v>
      </c>
      <c r="J30" s="116" t="s">
        <v>181</v>
      </c>
      <c r="K30" s="116" t="s">
        <v>133</v>
      </c>
      <c r="L30" s="115" t="s">
        <v>224</v>
      </c>
      <c r="M30" s="115" t="s">
        <v>224</v>
      </c>
      <c r="N30" s="118">
        <v>46112</v>
      </c>
      <c r="O30" s="116">
        <v>27</v>
      </c>
      <c r="P30" s="118">
        <v>46113</v>
      </c>
      <c r="Q30" s="118">
        <v>46125</v>
      </c>
      <c r="R30" s="118">
        <v>46113</v>
      </c>
      <c r="S30" s="114"/>
      <c r="T30" s="114"/>
      <c r="U30" s="114" t="s">
        <v>206</v>
      </c>
      <c r="V30" s="116" t="s">
        <v>75</v>
      </c>
      <c r="W30" s="116">
        <v>27</v>
      </c>
      <c r="X30" s="116">
        <v>27</v>
      </c>
      <c r="Y30" s="114"/>
      <c r="Z30" s="114" t="s">
        <v>207</v>
      </c>
      <c r="AA30" s="114"/>
      <c r="AB30" s="119"/>
      <c r="AC30" s="120">
        <v>30.5</v>
      </c>
      <c r="AD30" s="114"/>
      <c r="AE30" s="116">
        <v>27</v>
      </c>
      <c r="AF30" s="114" t="s">
        <v>208</v>
      </c>
      <c r="AG30" s="116" t="s">
        <v>75</v>
      </c>
      <c r="AH30" s="120">
        <v>24.5</v>
      </c>
      <c r="AI30" s="114">
        <f t="shared" si="0"/>
        <v>661.5</v>
      </c>
      <c r="AJ30" s="114"/>
      <c r="AK30" s="117" t="s">
        <v>186</v>
      </c>
      <c r="AL30" s="116">
        <v>27</v>
      </c>
      <c r="AM30" s="114">
        <v>18</v>
      </c>
      <c r="AN30" s="114">
        <f t="shared" si="18"/>
        <v>486</v>
      </c>
      <c r="AO30" s="114"/>
      <c r="AP30" s="114"/>
      <c r="AQ30" s="114">
        <f t="shared" si="19"/>
        <v>0</v>
      </c>
      <c r="AR30" s="114">
        <f t="shared" si="20"/>
        <v>486</v>
      </c>
      <c r="AS30" s="114"/>
      <c r="AT30" s="112" t="s">
        <v>373</v>
      </c>
      <c r="AU30" s="113"/>
      <c r="AV30" s="114">
        <f t="shared" si="21"/>
        <v>18</v>
      </c>
      <c r="AW30" s="114">
        <f t="shared" si="22"/>
        <v>486</v>
      </c>
      <c r="AX30" s="114"/>
      <c r="AY30" s="116" t="s">
        <v>185</v>
      </c>
      <c r="AZ30" s="121"/>
      <c r="BA30" s="114">
        <f t="shared" si="23"/>
        <v>18</v>
      </c>
      <c r="BB30" s="114">
        <f t="shared" si="24"/>
        <v>27</v>
      </c>
      <c r="BC30" s="114">
        <f t="shared" si="25"/>
        <v>486</v>
      </c>
      <c r="BD30" s="114"/>
      <c r="BE30" s="114" t="s">
        <v>202</v>
      </c>
      <c r="BF30" s="115" t="s">
        <v>458</v>
      </c>
      <c r="BG30" s="122" t="s">
        <v>176</v>
      </c>
    </row>
    <row r="31" spans="1:59" s="122" customFormat="1" ht="15" customHeight="1" x14ac:dyDescent="0.2">
      <c r="A31" s="114">
        <f t="shared" si="9"/>
        <v>29</v>
      </c>
      <c r="B31" s="115" t="s">
        <v>459</v>
      </c>
      <c r="C31" s="116" t="s">
        <v>237</v>
      </c>
      <c r="D31" s="124"/>
      <c r="E31" s="116" t="s">
        <v>239</v>
      </c>
      <c r="F31" s="114"/>
      <c r="G31" s="117" t="s">
        <v>188</v>
      </c>
      <c r="H31" s="114" t="s">
        <v>374</v>
      </c>
      <c r="I31" s="116" t="s">
        <v>133</v>
      </c>
      <c r="J31" s="116" t="s">
        <v>181</v>
      </c>
      <c r="K31" s="116" t="s">
        <v>133</v>
      </c>
      <c r="L31" s="115" t="s">
        <v>224</v>
      </c>
      <c r="M31" s="115" t="s">
        <v>224</v>
      </c>
      <c r="N31" s="118">
        <v>46112</v>
      </c>
      <c r="O31" s="116">
        <v>36</v>
      </c>
      <c r="P31" s="118">
        <v>46113</v>
      </c>
      <c r="Q31" s="118">
        <v>46125</v>
      </c>
      <c r="R31" s="118">
        <v>46113</v>
      </c>
      <c r="S31" s="114"/>
      <c r="T31" s="114"/>
      <c r="U31" s="114" t="s">
        <v>206</v>
      </c>
      <c r="V31" s="116" t="s">
        <v>76</v>
      </c>
      <c r="W31" s="116">
        <v>36</v>
      </c>
      <c r="X31" s="116">
        <v>26</v>
      </c>
      <c r="Y31" s="114"/>
      <c r="Z31" s="114" t="s">
        <v>207</v>
      </c>
      <c r="AA31" s="114"/>
      <c r="AB31" s="119"/>
      <c r="AC31" s="120">
        <v>25.5</v>
      </c>
      <c r="AD31" s="114"/>
      <c r="AE31" s="116">
        <v>36</v>
      </c>
      <c r="AF31" s="114" t="s">
        <v>208</v>
      </c>
      <c r="AG31" s="116" t="s">
        <v>76</v>
      </c>
      <c r="AH31" s="120">
        <v>12.5</v>
      </c>
      <c r="AI31" s="114">
        <f t="shared" si="0"/>
        <v>450</v>
      </c>
      <c r="AJ31" s="114"/>
      <c r="AK31" s="117" t="s">
        <v>186</v>
      </c>
      <c r="AL31" s="116">
        <v>26</v>
      </c>
      <c r="AM31" s="114">
        <v>18</v>
      </c>
      <c r="AN31" s="114">
        <f t="shared" si="18"/>
        <v>468</v>
      </c>
      <c r="AO31" s="114"/>
      <c r="AP31" s="114"/>
      <c r="AQ31" s="114">
        <f t="shared" si="19"/>
        <v>0</v>
      </c>
      <c r="AR31" s="114">
        <f t="shared" si="20"/>
        <v>468</v>
      </c>
      <c r="AS31" s="114"/>
      <c r="AT31" s="112" t="s">
        <v>373</v>
      </c>
      <c r="AU31" s="113"/>
      <c r="AV31" s="114">
        <f t="shared" si="21"/>
        <v>18</v>
      </c>
      <c r="AW31" s="114">
        <f t="shared" si="22"/>
        <v>468</v>
      </c>
      <c r="AX31" s="114"/>
      <c r="AY31" s="116" t="s">
        <v>185</v>
      </c>
      <c r="AZ31" s="121"/>
      <c r="BA31" s="114">
        <f t="shared" si="23"/>
        <v>18</v>
      </c>
      <c r="BB31" s="114">
        <f t="shared" si="24"/>
        <v>26</v>
      </c>
      <c r="BC31" s="114">
        <f t="shared" si="25"/>
        <v>468</v>
      </c>
      <c r="BD31" s="114"/>
      <c r="BE31" s="114" t="s">
        <v>203</v>
      </c>
      <c r="BF31" s="115" t="s">
        <v>459</v>
      </c>
      <c r="BG31" s="122" t="s">
        <v>176</v>
      </c>
    </row>
    <row r="32" spans="1:59" s="122" customFormat="1" ht="15" customHeight="1" x14ac:dyDescent="0.2">
      <c r="A32" s="114">
        <f t="shared" si="9"/>
        <v>30</v>
      </c>
      <c r="B32" s="115" t="s">
        <v>489</v>
      </c>
      <c r="C32" s="116" t="s">
        <v>240</v>
      </c>
      <c r="D32" s="124"/>
      <c r="E32" s="116" t="s">
        <v>241</v>
      </c>
      <c r="F32" s="114"/>
      <c r="G32" s="117" t="s">
        <v>188</v>
      </c>
      <c r="H32" s="114" t="s">
        <v>374</v>
      </c>
      <c r="I32" s="116" t="s">
        <v>133</v>
      </c>
      <c r="J32" s="116" t="s">
        <v>181</v>
      </c>
      <c r="K32" s="116" t="s">
        <v>133</v>
      </c>
      <c r="L32" s="115" t="s">
        <v>224</v>
      </c>
      <c r="M32" s="115" t="s">
        <v>224</v>
      </c>
      <c r="N32" s="118">
        <v>46112</v>
      </c>
      <c r="O32" s="116">
        <v>10</v>
      </c>
      <c r="P32" s="118">
        <v>46113</v>
      </c>
      <c r="Q32" s="118">
        <v>46125</v>
      </c>
      <c r="R32" s="118">
        <v>46113</v>
      </c>
      <c r="S32" s="114"/>
      <c r="T32" s="114"/>
      <c r="U32" s="114" t="s">
        <v>206</v>
      </c>
      <c r="V32" s="116" t="s">
        <v>76</v>
      </c>
      <c r="W32" s="116">
        <v>10</v>
      </c>
      <c r="X32" s="116">
        <v>10</v>
      </c>
      <c r="Y32" s="114"/>
      <c r="Z32" s="114" t="s">
        <v>207</v>
      </c>
      <c r="AA32" s="114"/>
      <c r="AB32" s="119"/>
      <c r="AC32" s="120">
        <v>25.5</v>
      </c>
      <c r="AD32" s="114"/>
      <c r="AE32" s="116">
        <v>10</v>
      </c>
      <c r="AF32" s="114" t="s">
        <v>208</v>
      </c>
      <c r="AG32" s="116" t="s">
        <v>76</v>
      </c>
      <c r="AH32" s="120">
        <v>12.5</v>
      </c>
      <c r="AI32" s="114">
        <f t="shared" si="0"/>
        <v>125</v>
      </c>
      <c r="AJ32" s="114"/>
      <c r="AK32" s="117" t="s">
        <v>186</v>
      </c>
      <c r="AL32" s="116">
        <v>10</v>
      </c>
      <c r="AM32" s="114">
        <v>18</v>
      </c>
      <c r="AN32" s="114">
        <f t="shared" si="18"/>
        <v>180</v>
      </c>
      <c r="AO32" s="114"/>
      <c r="AP32" s="114"/>
      <c r="AQ32" s="114">
        <f t="shared" si="19"/>
        <v>0</v>
      </c>
      <c r="AR32" s="114">
        <f t="shared" si="20"/>
        <v>180</v>
      </c>
      <c r="AS32" s="114"/>
      <c r="AT32" s="112" t="s">
        <v>373</v>
      </c>
      <c r="AU32" s="113"/>
      <c r="AV32" s="114">
        <f t="shared" si="21"/>
        <v>18</v>
      </c>
      <c r="AW32" s="114">
        <f t="shared" si="22"/>
        <v>180</v>
      </c>
      <c r="AX32" s="114"/>
      <c r="AY32" s="116" t="s">
        <v>185</v>
      </c>
      <c r="AZ32" s="121"/>
      <c r="BA32" s="114">
        <f t="shared" si="23"/>
        <v>18</v>
      </c>
      <c r="BB32" s="114">
        <f t="shared" si="24"/>
        <v>10</v>
      </c>
      <c r="BC32" s="114">
        <f t="shared" si="25"/>
        <v>180</v>
      </c>
      <c r="BD32" s="114"/>
      <c r="BE32" s="114" t="s">
        <v>204</v>
      </c>
      <c r="BF32" s="115" t="s">
        <v>489</v>
      </c>
      <c r="BG32" s="122" t="s">
        <v>176</v>
      </c>
    </row>
    <row r="33" spans="1:59" s="122" customFormat="1" ht="15" customHeight="1" x14ac:dyDescent="0.2">
      <c r="A33" s="114">
        <f t="shared" si="9"/>
        <v>31</v>
      </c>
      <c r="B33" s="115" t="s">
        <v>467</v>
      </c>
      <c r="C33" s="116" t="s">
        <v>240</v>
      </c>
      <c r="D33" s="124"/>
      <c r="E33" s="116" t="s">
        <v>423</v>
      </c>
      <c r="F33" s="114"/>
      <c r="G33" s="117" t="s">
        <v>188</v>
      </c>
      <c r="H33" s="114" t="s">
        <v>374</v>
      </c>
      <c r="I33" s="116" t="s">
        <v>133</v>
      </c>
      <c r="J33" s="116" t="s">
        <v>181</v>
      </c>
      <c r="K33" s="116" t="s">
        <v>133</v>
      </c>
      <c r="L33" s="115" t="s">
        <v>224</v>
      </c>
      <c r="M33" s="115" t="s">
        <v>224</v>
      </c>
      <c r="N33" s="118">
        <v>46112</v>
      </c>
      <c r="O33" s="116">
        <v>90</v>
      </c>
      <c r="P33" s="118">
        <v>46113</v>
      </c>
      <c r="Q33" s="118">
        <v>46125</v>
      </c>
      <c r="R33" s="118">
        <v>46113</v>
      </c>
      <c r="S33" s="114"/>
      <c r="T33" s="114"/>
      <c r="U33" s="114" t="s">
        <v>206</v>
      </c>
      <c r="V33" s="116" t="s">
        <v>75</v>
      </c>
      <c r="W33" s="116">
        <v>90</v>
      </c>
      <c r="X33" s="116">
        <v>90</v>
      </c>
      <c r="Y33" s="114"/>
      <c r="Z33" s="114" t="s">
        <v>207</v>
      </c>
      <c r="AA33" s="114"/>
      <c r="AB33" s="119"/>
      <c r="AC33" s="120">
        <v>30.5</v>
      </c>
      <c r="AD33" s="114"/>
      <c r="AE33" s="116">
        <v>90</v>
      </c>
      <c r="AF33" s="114" t="s">
        <v>208</v>
      </c>
      <c r="AG33" s="116" t="s">
        <v>75</v>
      </c>
      <c r="AH33" s="120">
        <v>24.5</v>
      </c>
      <c r="AI33" s="114">
        <f t="shared" si="0"/>
        <v>2205</v>
      </c>
      <c r="AJ33" s="114"/>
      <c r="AK33" s="117" t="s">
        <v>186</v>
      </c>
      <c r="AL33" s="116">
        <v>90</v>
      </c>
      <c r="AM33" s="114">
        <v>18</v>
      </c>
      <c r="AN33" s="114">
        <f t="shared" si="18"/>
        <v>1620</v>
      </c>
      <c r="AO33" s="114"/>
      <c r="AP33" s="114"/>
      <c r="AQ33" s="114">
        <f t="shared" si="19"/>
        <v>0</v>
      </c>
      <c r="AR33" s="114">
        <f t="shared" si="20"/>
        <v>1620</v>
      </c>
      <c r="AS33" s="114"/>
      <c r="AT33" s="112" t="s">
        <v>373</v>
      </c>
      <c r="AU33" s="113"/>
      <c r="AV33" s="114">
        <f t="shared" si="21"/>
        <v>18</v>
      </c>
      <c r="AW33" s="114">
        <f t="shared" si="22"/>
        <v>1620</v>
      </c>
      <c r="AX33" s="114"/>
      <c r="AY33" s="116" t="s">
        <v>185</v>
      </c>
      <c r="AZ33" s="121"/>
      <c r="BA33" s="114">
        <f t="shared" si="23"/>
        <v>18</v>
      </c>
      <c r="BB33" s="114">
        <f t="shared" si="24"/>
        <v>90</v>
      </c>
      <c r="BC33" s="114">
        <f t="shared" si="25"/>
        <v>1620</v>
      </c>
      <c r="BD33" s="114"/>
      <c r="BE33" s="114" t="s">
        <v>375</v>
      </c>
      <c r="BF33" s="115" t="s">
        <v>467</v>
      </c>
      <c r="BG33" s="122" t="s">
        <v>176</v>
      </c>
    </row>
    <row r="34" spans="1:59" s="122" customFormat="1" ht="15" customHeight="1" x14ac:dyDescent="0.2">
      <c r="A34" s="114">
        <f t="shared" si="9"/>
        <v>32</v>
      </c>
      <c r="B34" s="115" t="s">
        <v>473</v>
      </c>
      <c r="C34" s="116" t="s">
        <v>423</v>
      </c>
      <c r="D34" s="124"/>
      <c r="E34" s="116" t="s">
        <v>246</v>
      </c>
      <c r="F34" s="114"/>
      <c r="G34" s="117" t="s">
        <v>188</v>
      </c>
      <c r="H34" s="114" t="s">
        <v>374</v>
      </c>
      <c r="I34" s="116" t="s">
        <v>133</v>
      </c>
      <c r="J34" s="116" t="s">
        <v>181</v>
      </c>
      <c r="K34" s="116" t="s">
        <v>133</v>
      </c>
      <c r="L34" s="115" t="s">
        <v>224</v>
      </c>
      <c r="M34" s="115" t="s">
        <v>224</v>
      </c>
      <c r="N34" s="118">
        <v>46112</v>
      </c>
      <c r="O34" s="116">
        <v>176</v>
      </c>
      <c r="P34" s="118">
        <v>46113</v>
      </c>
      <c r="Q34" s="118">
        <v>46125</v>
      </c>
      <c r="R34" s="118">
        <v>46113</v>
      </c>
      <c r="S34" s="114"/>
      <c r="T34" s="114"/>
      <c r="U34" s="114" t="s">
        <v>206</v>
      </c>
      <c r="V34" s="116" t="s">
        <v>76</v>
      </c>
      <c r="W34" s="116">
        <v>176</v>
      </c>
      <c r="X34" s="116">
        <v>156</v>
      </c>
      <c r="Y34" s="114"/>
      <c r="Z34" s="114" t="s">
        <v>207</v>
      </c>
      <c r="AA34" s="114"/>
      <c r="AB34" s="119"/>
      <c r="AC34" s="120">
        <v>25.5</v>
      </c>
      <c r="AD34" s="114"/>
      <c r="AE34" s="116">
        <v>176</v>
      </c>
      <c r="AF34" s="114" t="s">
        <v>208</v>
      </c>
      <c r="AG34" s="116" t="s">
        <v>76</v>
      </c>
      <c r="AH34" s="120">
        <v>12.5</v>
      </c>
      <c r="AI34" s="114">
        <f t="shared" si="0"/>
        <v>2200</v>
      </c>
      <c r="AJ34" s="114"/>
      <c r="AK34" s="117" t="s">
        <v>186</v>
      </c>
      <c r="AL34" s="116">
        <v>156</v>
      </c>
      <c r="AM34" s="114">
        <v>18</v>
      </c>
      <c r="AN34" s="114">
        <f t="shared" si="18"/>
        <v>2808</v>
      </c>
      <c r="AO34" s="114"/>
      <c r="AP34" s="114"/>
      <c r="AQ34" s="114">
        <f t="shared" si="19"/>
        <v>0</v>
      </c>
      <c r="AR34" s="114">
        <f t="shared" si="20"/>
        <v>2808</v>
      </c>
      <c r="AS34" s="114"/>
      <c r="AT34" s="112" t="s">
        <v>373</v>
      </c>
      <c r="AU34" s="113"/>
      <c r="AV34" s="114">
        <f t="shared" si="21"/>
        <v>18</v>
      </c>
      <c r="AW34" s="114">
        <f t="shared" si="22"/>
        <v>2808</v>
      </c>
      <c r="AX34" s="114"/>
      <c r="AY34" s="116" t="s">
        <v>185</v>
      </c>
      <c r="AZ34" s="121"/>
      <c r="BA34" s="114">
        <f t="shared" si="23"/>
        <v>18</v>
      </c>
      <c r="BB34" s="114">
        <f t="shared" si="24"/>
        <v>156</v>
      </c>
      <c r="BC34" s="114">
        <f t="shared" si="25"/>
        <v>2808</v>
      </c>
      <c r="BD34" s="114"/>
      <c r="BE34" s="114" t="s">
        <v>376</v>
      </c>
      <c r="BF34" s="115" t="s">
        <v>473</v>
      </c>
      <c r="BG34" s="122" t="s">
        <v>176</v>
      </c>
    </row>
    <row r="35" spans="1:59" s="122" customFormat="1" ht="15" customHeight="1" x14ac:dyDescent="0.2">
      <c r="A35" s="114">
        <f t="shared" si="9"/>
        <v>33</v>
      </c>
      <c r="B35" s="115" t="s">
        <v>490</v>
      </c>
      <c r="C35" s="116" t="s">
        <v>240</v>
      </c>
      <c r="D35" s="124"/>
      <c r="E35" s="116" t="s">
        <v>247</v>
      </c>
      <c r="F35" s="114"/>
      <c r="G35" s="117" t="s">
        <v>188</v>
      </c>
      <c r="H35" s="114" t="s">
        <v>374</v>
      </c>
      <c r="I35" s="116" t="s">
        <v>133</v>
      </c>
      <c r="J35" s="116" t="s">
        <v>181</v>
      </c>
      <c r="K35" s="116" t="s">
        <v>133</v>
      </c>
      <c r="L35" s="115" t="s">
        <v>224</v>
      </c>
      <c r="M35" s="115" t="s">
        <v>224</v>
      </c>
      <c r="N35" s="118">
        <v>46112</v>
      </c>
      <c r="O35" s="116">
        <v>38</v>
      </c>
      <c r="P35" s="118">
        <v>46113</v>
      </c>
      <c r="Q35" s="118">
        <v>46125</v>
      </c>
      <c r="R35" s="118">
        <v>46113</v>
      </c>
      <c r="S35" s="114"/>
      <c r="T35" s="114"/>
      <c r="U35" s="114" t="s">
        <v>206</v>
      </c>
      <c r="V35" s="116" t="s">
        <v>75</v>
      </c>
      <c r="W35" s="116">
        <v>38</v>
      </c>
      <c r="X35" s="116">
        <v>37</v>
      </c>
      <c r="Y35" s="114"/>
      <c r="Z35" s="114" t="s">
        <v>207</v>
      </c>
      <c r="AA35" s="114"/>
      <c r="AB35" s="119"/>
      <c r="AC35" s="120">
        <v>30.5</v>
      </c>
      <c r="AD35" s="114"/>
      <c r="AE35" s="116">
        <v>38</v>
      </c>
      <c r="AF35" s="114" t="s">
        <v>208</v>
      </c>
      <c r="AG35" s="116" t="s">
        <v>75</v>
      </c>
      <c r="AH35" s="120">
        <v>24.5</v>
      </c>
      <c r="AI35" s="114">
        <f t="shared" si="0"/>
        <v>931</v>
      </c>
      <c r="AJ35" s="114"/>
      <c r="AK35" s="117" t="s">
        <v>186</v>
      </c>
      <c r="AL35" s="116">
        <v>37</v>
      </c>
      <c r="AM35" s="114">
        <v>18</v>
      </c>
      <c r="AN35" s="114">
        <f t="shared" si="18"/>
        <v>666</v>
      </c>
      <c r="AO35" s="114"/>
      <c r="AP35" s="114"/>
      <c r="AQ35" s="114">
        <f t="shared" si="19"/>
        <v>0</v>
      </c>
      <c r="AR35" s="114">
        <f t="shared" si="20"/>
        <v>666</v>
      </c>
      <c r="AS35" s="114"/>
      <c r="AT35" s="112" t="s">
        <v>373</v>
      </c>
      <c r="AU35" s="113"/>
      <c r="AV35" s="114">
        <f t="shared" si="21"/>
        <v>18</v>
      </c>
      <c r="AW35" s="114">
        <f t="shared" si="22"/>
        <v>666</v>
      </c>
      <c r="AX35" s="114"/>
      <c r="AY35" s="116" t="s">
        <v>185</v>
      </c>
      <c r="AZ35" s="121"/>
      <c r="BA35" s="114">
        <f t="shared" si="23"/>
        <v>18</v>
      </c>
      <c r="BB35" s="114">
        <f t="shared" si="24"/>
        <v>37</v>
      </c>
      <c r="BC35" s="114">
        <f t="shared" si="25"/>
        <v>666</v>
      </c>
      <c r="BD35" s="114"/>
      <c r="BE35" s="114" t="s">
        <v>377</v>
      </c>
      <c r="BF35" s="115" t="s">
        <v>490</v>
      </c>
      <c r="BG35" s="122" t="s">
        <v>176</v>
      </c>
    </row>
    <row r="36" spans="1:59" s="122" customFormat="1" ht="15" customHeight="1" x14ac:dyDescent="0.2">
      <c r="A36" s="114">
        <f t="shared" si="9"/>
        <v>34</v>
      </c>
      <c r="B36" s="115" t="s">
        <v>482</v>
      </c>
      <c r="C36" s="116" t="s">
        <v>424</v>
      </c>
      <c r="D36" s="124"/>
      <c r="E36" s="116" t="s">
        <v>250</v>
      </c>
      <c r="F36" s="114"/>
      <c r="G36" s="117" t="s">
        <v>188</v>
      </c>
      <c r="H36" s="114" t="s">
        <v>374</v>
      </c>
      <c r="I36" s="116" t="s">
        <v>133</v>
      </c>
      <c r="J36" s="116" t="s">
        <v>181</v>
      </c>
      <c r="K36" s="116" t="s">
        <v>133</v>
      </c>
      <c r="L36" s="115" t="s">
        <v>224</v>
      </c>
      <c r="M36" s="115" t="s">
        <v>224</v>
      </c>
      <c r="N36" s="118">
        <v>46112</v>
      </c>
      <c r="O36" s="116">
        <v>88</v>
      </c>
      <c r="P36" s="118">
        <v>46113</v>
      </c>
      <c r="Q36" s="118">
        <v>46125</v>
      </c>
      <c r="R36" s="118">
        <v>46113</v>
      </c>
      <c r="S36" s="114"/>
      <c r="T36" s="114"/>
      <c r="U36" s="114" t="s">
        <v>206</v>
      </c>
      <c r="V36" s="116" t="s">
        <v>76</v>
      </c>
      <c r="W36" s="116">
        <v>88</v>
      </c>
      <c r="X36" s="116">
        <v>73</v>
      </c>
      <c r="Y36" s="114"/>
      <c r="Z36" s="114" t="s">
        <v>207</v>
      </c>
      <c r="AA36" s="114"/>
      <c r="AB36" s="119"/>
      <c r="AC36" s="120">
        <v>25.5</v>
      </c>
      <c r="AD36" s="114"/>
      <c r="AE36" s="116">
        <v>88</v>
      </c>
      <c r="AF36" s="114" t="s">
        <v>208</v>
      </c>
      <c r="AG36" s="116" t="s">
        <v>76</v>
      </c>
      <c r="AH36" s="120">
        <v>12.5</v>
      </c>
      <c r="AI36" s="114">
        <f t="shared" si="0"/>
        <v>1100</v>
      </c>
      <c r="AJ36" s="114"/>
      <c r="AK36" s="117" t="s">
        <v>186</v>
      </c>
      <c r="AL36" s="116">
        <v>73</v>
      </c>
      <c r="AM36" s="114">
        <v>18</v>
      </c>
      <c r="AN36" s="114">
        <f t="shared" si="18"/>
        <v>1314</v>
      </c>
      <c r="AO36" s="114"/>
      <c r="AP36" s="114"/>
      <c r="AQ36" s="114">
        <f t="shared" si="19"/>
        <v>0</v>
      </c>
      <c r="AR36" s="114">
        <f t="shared" si="20"/>
        <v>1314</v>
      </c>
      <c r="AS36" s="114"/>
      <c r="AT36" s="112" t="s">
        <v>373</v>
      </c>
      <c r="AU36" s="113"/>
      <c r="AV36" s="114">
        <f t="shared" si="21"/>
        <v>18</v>
      </c>
      <c r="AW36" s="114">
        <f t="shared" si="22"/>
        <v>1314</v>
      </c>
      <c r="AX36" s="114"/>
      <c r="AY36" s="116" t="s">
        <v>185</v>
      </c>
      <c r="AZ36" s="121"/>
      <c r="BA36" s="114">
        <f t="shared" si="23"/>
        <v>18</v>
      </c>
      <c r="BB36" s="114">
        <f t="shared" si="24"/>
        <v>73</v>
      </c>
      <c r="BC36" s="114">
        <f t="shared" si="25"/>
        <v>1314</v>
      </c>
      <c r="BD36" s="114"/>
      <c r="BE36" s="114" t="s">
        <v>378</v>
      </c>
      <c r="BF36" s="115" t="s">
        <v>482</v>
      </c>
      <c r="BG36" s="122" t="s">
        <v>176</v>
      </c>
    </row>
    <row r="37" spans="1:59" s="122" customFormat="1" ht="15" customHeight="1" x14ac:dyDescent="0.2">
      <c r="A37" s="114">
        <f t="shared" si="9"/>
        <v>35</v>
      </c>
      <c r="B37" s="115" t="s">
        <v>491</v>
      </c>
      <c r="C37" s="116" t="s">
        <v>251</v>
      </c>
      <c r="D37" s="124"/>
      <c r="E37" s="116" t="s">
        <v>252</v>
      </c>
      <c r="F37" s="114"/>
      <c r="G37" s="117" t="s">
        <v>188</v>
      </c>
      <c r="H37" s="114" t="s">
        <v>374</v>
      </c>
      <c r="I37" s="116" t="s">
        <v>133</v>
      </c>
      <c r="J37" s="116" t="s">
        <v>181</v>
      </c>
      <c r="K37" s="116" t="s">
        <v>133</v>
      </c>
      <c r="L37" s="115" t="s">
        <v>224</v>
      </c>
      <c r="M37" s="115" t="s">
        <v>224</v>
      </c>
      <c r="N37" s="118">
        <v>46112</v>
      </c>
      <c r="O37" s="116">
        <v>10</v>
      </c>
      <c r="P37" s="118">
        <v>46113</v>
      </c>
      <c r="Q37" s="118">
        <v>46125</v>
      </c>
      <c r="R37" s="118">
        <v>46113</v>
      </c>
      <c r="S37" s="114"/>
      <c r="T37" s="114"/>
      <c r="U37" s="114" t="s">
        <v>206</v>
      </c>
      <c r="V37" s="116" t="s">
        <v>76</v>
      </c>
      <c r="W37" s="116">
        <v>10</v>
      </c>
      <c r="X37" s="116">
        <v>10</v>
      </c>
      <c r="Y37" s="114"/>
      <c r="Z37" s="114" t="s">
        <v>207</v>
      </c>
      <c r="AA37" s="114"/>
      <c r="AB37" s="119"/>
      <c r="AC37" s="120">
        <v>25.5</v>
      </c>
      <c r="AD37" s="114"/>
      <c r="AE37" s="116">
        <v>10</v>
      </c>
      <c r="AF37" s="114" t="s">
        <v>208</v>
      </c>
      <c r="AG37" s="116" t="s">
        <v>76</v>
      </c>
      <c r="AH37" s="120">
        <v>12.5</v>
      </c>
      <c r="AI37" s="114">
        <f t="shared" si="0"/>
        <v>125</v>
      </c>
      <c r="AJ37" s="114"/>
      <c r="AK37" s="117" t="s">
        <v>186</v>
      </c>
      <c r="AL37" s="116">
        <v>10</v>
      </c>
      <c r="AM37" s="114">
        <v>18</v>
      </c>
      <c r="AN37" s="114">
        <f t="shared" si="18"/>
        <v>180</v>
      </c>
      <c r="AO37" s="114"/>
      <c r="AP37" s="114"/>
      <c r="AQ37" s="114">
        <f t="shared" si="19"/>
        <v>0</v>
      </c>
      <c r="AR37" s="114">
        <f t="shared" si="20"/>
        <v>180</v>
      </c>
      <c r="AS37" s="114"/>
      <c r="AT37" s="112" t="s">
        <v>373</v>
      </c>
      <c r="AU37" s="113"/>
      <c r="AV37" s="114">
        <f t="shared" si="21"/>
        <v>18</v>
      </c>
      <c r="AW37" s="114">
        <f t="shared" si="22"/>
        <v>180</v>
      </c>
      <c r="AX37" s="114"/>
      <c r="AY37" s="116" t="s">
        <v>185</v>
      </c>
      <c r="AZ37" s="121"/>
      <c r="BA37" s="114">
        <f t="shared" si="23"/>
        <v>18</v>
      </c>
      <c r="BB37" s="114">
        <f t="shared" si="24"/>
        <v>10</v>
      </c>
      <c r="BC37" s="114">
        <f t="shared" si="25"/>
        <v>180</v>
      </c>
      <c r="BD37" s="114"/>
      <c r="BE37" s="114" t="s">
        <v>379</v>
      </c>
      <c r="BF37" s="115" t="s">
        <v>491</v>
      </c>
      <c r="BG37" s="122" t="s">
        <v>176</v>
      </c>
    </row>
    <row r="38" spans="1:59" s="122" customFormat="1" ht="15" customHeight="1" x14ac:dyDescent="0.2">
      <c r="A38" s="114">
        <f t="shared" si="9"/>
        <v>36</v>
      </c>
      <c r="B38" s="115" t="s">
        <v>492</v>
      </c>
      <c r="C38" s="116" t="s">
        <v>425</v>
      </c>
      <c r="D38" s="124"/>
      <c r="E38" s="116" t="s">
        <v>255</v>
      </c>
      <c r="F38" s="114"/>
      <c r="G38" s="117" t="s">
        <v>188</v>
      </c>
      <c r="H38" s="114" t="s">
        <v>374</v>
      </c>
      <c r="I38" s="116" t="s">
        <v>133</v>
      </c>
      <c r="J38" s="116" t="s">
        <v>181</v>
      </c>
      <c r="K38" s="116" t="s">
        <v>133</v>
      </c>
      <c r="L38" s="115" t="s">
        <v>224</v>
      </c>
      <c r="M38" s="115" t="s">
        <v>224</v>
      </c>
      <c r="N38" s="118">
        <v>46112</v>
      </c>
      <c r="O38" s="116">
        <v>55</v>
      </c>
      <c r="P38" s="118">
        <v>46113</v>
      </c>
      <c r="Q38" s="118">
        <v>46125</v>
      </c>
      <c r="R38" s="118">
        <v>46113</v>
      </c>
      <c r="S38" s="114"/>
      <c r="T38" s="114"/>
      <c r="U38" s="114" t="s">
        <v>206</v>
      </c>
      <c r="V38" s="116" t="s">
        <v>76</v>
      </c>
      <c r="W38" s="116">
        <v>55</v>
      </c>
      <c r="X38" s="116">
        <v>43</v>
      </c>
      <c r="Y38" s="114"/>
      <c r="Z38" s="114" t="s">
        <v>207</v>
      </c>
      <c r="AA38" s="114"/>
      <c r="AB38" s="119"/>
      <c r="AC38" s="120">
        <v>25.5</v>
      </c>
      <c r="AD38" s="114"/>
      <c r="AE38" s="116">
        <v>55</v>
      </c>
      <c r="AF38" s="114" t="s">
        <v>208</v>
      </c>
      <c r="AG38" s="116" t="s">
        <v>76</v>
      </c>
      <c r="AH38" s="120">
        <v>12.5</v>
      </c>
      <c r="AI38" s="114">
        <f t="shared" si="0"/>
        <v>687.5</v>
      </c>
      <c r="AJ38" s="114"/>
      <c r="AK38" s="117" t="s">
        <v>186</v>
      </c>
      <c r="AL38" s="116">
        <v>43</v>
      </c>
      <c r="AM38" s="114">
        <v>18</v>
      </c>
      <c r="AN38" s="114">
        <f t="shared" si="18"/>
        <v>774</v>
      </c>
      <c r="AO38" s="114"/>
      <c r="AP38" s="114"/>
      <c r="AQ38" s="114">
        <f t="shared" si="19"/>
        <v>0</v>
      </c>
      <c r="AR38" s="114">
        <f t="shared" si="20"/>
        <v>774</v>
      </c>
      <c r="AS38" s="114"/>
      <c r="AT38" s="112" t="s">
        <v>373</v>
      </c>
      <c r="AU38" s="113"/>
      <c r="AV38" s="114">
        <f t="shared" si="21"/>
        <v>18</v>
      </c>
      <c r="AW38" s="114">
        <f t="shared" si="22"/>
        <v>774</v>
      </c>
      <c r="AX38" s="114"/>
      <c r="AY38" s="116" t="s">
        <v>185</v>
      </c>
      <c r="AZ38" s="121"/>
      <c r="BA38" s="114">
        <f t="shared" si="23"/>
        <v>18</v>
      </c>
      <c r="BB38" s="114">
        <f t="shared" si="24"/>
        <v>43</v>
      </c>
      <c r="BC38" s="114">
        <f t="shared" si="25"/>
        <v>774</v>
      </c>
      <c r="BD38" s="114"/>
      <c r="BE38" s="114" t="s">
        <v>380</v>
      </c>
      <c r="BF38" s="115" t="s">
        <v>492</v>
      </c>
      <c r="BG38" s="122" t="s">
        <v>176</v>
      </c>
    </row>
    <row r="39" spans="1:59" s="122" customFormat="1" ht="15" customHeight="1" x14ac:dyDescent="0.2">
      <c r="A39" s="114">
        <f t="shared" si="9"/>
        <v>37</v>
      </c>
      <c r="B39" s="115" t="s">
        <v>493</v>
      </c>
      <c r="C39" s="116" t="s">
        <v>251</v>
      </c>
      <c r="D39" s="124"/>
      <c r="E39" s="116" t="s">
        <v>258</v>
      </c>
      <c r="F39" s="114"/>
      <c r="G39" s="117" t="s">
        <v>188</v>
      </c>
      <c r="H39" s="114" t="s">
        <v>374</v>
      </c>
      <c r="I39" s="116" t="s">
        <v>133</v>
      </c>
      <c r="J39" s="116" t="s">
        <v>181</v>
      </c>
      <c r="K39" s="116" t="s">
        <v>133</v>
      </c>
      <c r="L39" s="115" t="s">
        <v>224</v>
      </c>
      <c r="M39" s="115" t="s">
        <v>224</v>
      </c>
      <c r="N39" s="118">
        <v>46112</v>
      </c>
      <c r="O39" s="116">
        <v>68</v>
      </c>
      <c r="P39" s="118">
        <v>46113</v>
      </c>
      <c r="Q39" s="118">
        <v>46125</v>
      </c>
      <c r="R39" s="118">
        <v>46113</v>
      </c>
      <c r="S39" s="114"/>
      <c r="T39" s="114"/>
      <c r="U39" s="114" t="s">
        <v>206</v>
      </c>
      <c r="V39" s="116" t="s">
        <v>76</v>
      </c>
      <c r="W39" s="116">
        <v>68</v>
      </c>
      <c r="X39" s="116">
        <v>56</v>
      </c>
      <c r="Y39" s="114"/>
      <c r="Z39" s="114" t="s">
        <v>207</v>
      </c>
      <c r="AA39" s="114"/>
      <c r="AB39" s="119"/>
      <c r="AC39" s="120">
        <v>25.5</v>
      </c>
      <c r="AD39" s="114"/>
      <c r="AE39" s="116">
        <v>68</v>
      </c>
      <c r="AF39" s="114" t="s">
        <v>208</v>
      </c>
      <c r="AG39" s="116" t="s">
        <v>76</v>
      </c>
      <c r="AH39" s="120">
        <v>12.5</v>
      </c>
      <c r="AI39" s="114">
        <f t="shared" si="0"/>
        <v>850</v>
      </c>
      <c r="AJ39" s="114"/>
      <c r="AK39" s="117" t="s">
        <v>186</v>
      </c>
      <c r="AL39" s="116">
        <v>56</v>
      </c>
      <c r="AM39" s="114">
        <v>18</v>
      </c>
      <c r="AN39" s="114">
        <f t="shared" si="18"/>
        <v>1008</v>
      </c>
      <c r="AO39" s="114"/>
      <c r="AP39" s="114"/>
      <c r="AQ39" s="114">
        <f t="shared" si="19"/>
        <v>0</v>
      </c>
      <c r="AR39" s="114">
        <f t="shared" si="20"/>
        <v>1008</v>
      </c>
      <c r="AS39" s="114"/>
      <c r="AT39" s="112" t="s">
        <v>373</v>
      </c>
      <c r="AU39" s="113"/>
      <c r="AV39" s="114">
        <f t="shared" si="21"/>
        <v>18</v>
      </c>
      <c r="AW39" s="114">
        <f t="shared" si="22"/>
        <v>1008</v>
      </c>
      <c r="AX39" s="114"/>
      <c r="AY39" s="116" t="s">
        <v>185</v>
      </c>
      <c r="AZ39" s="121"/>
      <c r="BA39" s="114">
        <f t="shared" si="23"/>
        <v>18</v>
      </c>
      <c r="BB39" s="114">
        <f t="shared" si="24"/>
        <v>56</v>
      </c>
      <c r="BC39" s="114">
        <f t="shared" si="25"/>
        <v>1008</v>
      </c>
      <c r="BD39" s="114"/>
      <c r="BE39" s="114" t="s">
        <v>381</v>
      </c>
      <c r="BF39" s="115" t="s">
        <v>493</v>
      </c>
      <c r="BG39" s="122" t="s">
        <v>176</v>
      </c>
    </row>
    <row r="40" spans="1:59" s="122" customFormat="1" ht="15" customHeight="1" x14ac:dyDescent="0.2">
      <c r="A40" s="114">
        <f t="shared" si="9"/>
        <v>38</v>
      </c>
      <c r="B40" s="115" t="s">
        <v>460</v>
      </c>
      <c r="C40" s="116" t="s">
        <v>256</v>
      </c>
      <c r="D40" s="124"/>
      <c r="E40" s="116" t="s">
        <v>261</v>
      </c>
      <c r="F40" s="114"/>
      <c r="G40" s="117" t="s">
        <v>188</v>
      </c>
      <c r="H40" s="114" t="s">
        <v>374</v>
      </c>
      <c r="I40" s="116" t="s">
        <v>133</v>
      </c>
      <c r="J40" s="116" t="s">
        <v>181</v>
      </c>
      <c r="K40" s="116" t="s">
        <v>133</v>
      </c>
      <c r="L40" s="115" t="s">
        <v>224</v>
      </c>
      <c r="M40" s="115" t="s">
        <v>224</v>
      </c>
      <c r="N40" s="118">
        <v>46112</v>
      </c>
      <c r="O40" s="116">
        <v>56</v>
      </c>
      <c r="P40" s="118">
        <v>46113</v>
      </c>
      <c r="Q40" s="118">
        <v>46125</v>
      </c>
      <c r="R40" s="118">
        <v>46113</v>
      </c>
      <c r="S40" s="114"/>
      <c r="T40" s="114"/>
      <c r="U40" s="114" t="s">
        <v>206</v>
      </c>
      <c r="V40" s="116" t="s">
        <v>76</v>
      </c>
      <c r="W40" s="116">
        <v>56</v>
      </c>
      <c r="X40" s="116">
        <v>44</v>
      </c>
      <c r="Y40" s="114"/>
      <c r="Z40" s="114" t="s">
        <v>207</v>
      </c>
      <c r="AA40" s="114"/>
      <c r="AB40" s="119"/>
      <c r="AC40" s="120">
        <v>25.5</v>
      </c>
      <c r="AD40" s="114"/>
      <c r="AE40" s="116">
        <v>56</v>
      </c>
      <c r="AF40" s="114" t="s">
        <v>208</v>
      </c>
      <c r="AG40" s="116" t="s">
        <v>76</v>
      </c>
      <c r="AH40" s="120">
        <v>12.5</v>
      </c>
      <c r="AI40" s="114">
        <f t="shared" si="0"/>
        <v>700</v>
      </c>
      <c r="AJ40" s="114"/>
      <c r="AK40" s="117" t="s">
        <v>186</v>
      </c>
      <c r="AL40" s="116">
        <v>44</v>
      </c>
      <c r="AM40" s="114">
        <v>18</v>
      </c>
      <c r="AN40" s="114">
        <f t="shared" si="18"/>
        <v>792</v>
      </c>
      <c r="AO40" s="114"/>
      <c r="AP40" s="114"/>
      <c r="AQ40" s="114">
        <f t="shared" si="19"/>
        <v>0</v>
      </c>
      <c r="AR40" s="114">
        <f t="shared" si="20"/>
        <v>792</v>
      </c>
      <c r="AS40" s="114"/>
      <c r="AT40" s="112" t="s">
        <v>373</v>
      </c>
      <c r="AU40" s="113"/>
      <c r="AV40" s="114">
        <f t="shared" si="21"/>
        <v>18</v>
      </c>
      <c r="AW40" s="114">
        <f t="shared" si="22"/>
        <v>792</v>
      </c>
      <c r="AX40" s="114"/>
      <c r="AY40" s="116" t="s">
        <v>185</v>
      </c>
      <c r="AZ40" s="121"/>
      <c r="BA40" s="114">
        <f t="shared" si="23"/>
        <v>18</v>
      </c>
      <c r="BB40" s="114">
        <f t="shared" si="24"/>
        <v>44</v>
      </c>
      <c r="BC40" s="114">
        <f t="shared" si="25"/>
        <v>792</v>
      </c>
      <c r="BD40" s="114"/>
      <c r="BE40" s="114" t="s">
        <v>382</v>
      </c>
      <c r="BF40" s="115" t="s">
        <v>460</v>
      </c>
      <c r="BG40" s="122" t="s">
        <v>176</v>
      </c>
    </row>
    <row r="41" spans="1:59" s="122" customFormat="1" ht="15" customHeight="1" x14ac:dyDescent="0.2">
      <c r="A41" s="114">
        <f t="shared" si="9"/>
        <v>39</v>
      </c>
      <c r="B41" s="115" t="s">
        <v>494</v>
      </c>
      <c r="C41" s="116" t="s">
        <v>262</v>
      </c>
      <c r="D41" s="124"/>
      <c r="E41" s="116" t="s">
        <v>264</v>
      </c>
      <c r="F41" s="114"/>
      <c r="G41" s="117" t="s">
        <v>188</v>
      </c>
      <c r="H41" s="114" t="s">
        <v>374</v>
      </c>
      <c r="I41" s="116" t="s">
        <v>133</v>
      </c>
      <c r="J41" s="116" t="s">
        <v>181</v>
      </c>
      <c r="K41" s="116" t="s">
        <v>133</v>
      </c>
      <c r="L41" s="115" t="s">
        <v>224</v>
      </c>
      <c r="M41" s="115" t="s">
        <v>224</v>
      </c>
      <c r="N41" s="118">
        <v>46112</v>
      </c>
      <c r="O41" s="116">
        <v>70</v>
      </c>
      <c r="P41" s="118">
        <v>46113</v>
      </c>
      <c r="Q41" s="118">
        <v>46125</v>
      </c>
      <c r="R41" s="118">
        <v>46113</v>
      </c>
      <c r="S41" s="114"/>
      <c r="T41" s="114"/>
      <c r="U41" s="114" t="s">
        <v>206</v>
      </c>
      <c r="V41" s="116" t="s">
        <v>76</v>
      </c>
      <c r="W41" s="116">
        <v>70</v>
      </c>
      <c r="X41" s="116">
        <v>62</v>
      </c>
      <c r="Y41" s="114"/>
      <c r="Z41" s="114" t="s">
        <v>207</v>
      </c>
      <c r="AA41" s="114"/>
      <c r="AB41" s="119"/>
      <c r="AC41" s="120">
        <v>25.5</v>
      </c>
      <c r="AD41" s="114"/>
      <c r="AE41" s="116">
        <v>70</v>
      </c>
      <c r="AF41" s="114" t="s">
        <v>208</v>
      </c>
      <c r="AG41" s="116" t="s">
        <v>76</v>
      </c>
      <c r="AH41" s="120">
        <v>12.5</v>
      </c>
      <c r="AI41" s="114">
        <f t="shared" si="0"/>
        <v>875</v>
      </c>
      <c r="AJ41" s="114"/>
      <c r="AK41" s="117" t="s">
        <v>186</v>
      </c>
      <c r="AL41" s="116">
        <v>62</v>
      </c>
      <c r="AM41" s="114">
        <v>18</v>
      </c>
      <c r="AN41" s="114">
        <f t="shared" si="18"/>
        <v>1116</v>
      </c>
      <c r="AO41" s="114"/>
      <c r="AP41" s="114"/>
      <c r="AQ41" s="114">
        <f t="shared" si="19"/>
        <v>0</v>
      </c>
      <c r="AR41" s="114">
        <f t="shared" si="20"/>
        <v>1116</v>
      </c>
      <c r="AS41" s="114"/>
      <c r="AT41" s="112" t="s">
        <v>373</v>
      </c>
      <c r="AU41" s="113"/>
      <c r="AV41" s="114">
        <f t="shared" si="21"/>
        <v>18</v>
      </c>
      <c r="AW41" s="114">
        <f t="shared" si="22"/>
        <v>1116</v>
      </c>
      <c r="AX41" s="114"/>
      <c r="AY41" s="116" t="s">
        <v>185</v>
      </c>
      <c r="AZ41" s="121"/>
      <c r="BA41" s="114">
        <f t="shared" si="23"/>
        <v>18</v>
      </c>
      <c r="BB41" s="114">
        <f t="shared" si="24"/>
        <v>62</v>
      </c>
      <c r="BC41" s="114">
        <f t="shared" si="25"/>
        <v>1116</v>
      </c>
      <c r="BD41" s="114"/>
      <c r="BE41" s="114" t="s">
        <v>383</v>
      </c>
      <c r="BF41" s="115" t="s">
        <v>494</v>
      </c>
      <c r="BG41" s="122" t="s">
        <v>176</v>
      </c>
    </row>
    <row r="42" spans="1:59" s="122" customFormat="1" ht="15" customHeight="1" x14ac:dyDescent="0.2">
      <c r="A42" s="114">
        <f t="shared" si="9"/>
        <v>40</v>
      </c>
      <c r="B42" s="115" t="s">
        <v>495</v>
      </c>
      <c r="C42" s="116" t="s">
        <v>262</v>
      </c>
      <c r="D42" s="124"/>
      <c r="E42" s="116" t="s">
        <v>267</v>
      </c>
      <c r="F42" s="114"/>
      <c r="G42" s="117" t="s">
        <v>188</v>
      </c>
      <c r="H42" s="114" t="s">
        <v>374</v>
      </c>
      <c r="I42" s="116" t="s">
        <v>133</v>
      </c>
      <c r="J42" s="116" t="s">
        <v>181</v>
      </c>
      <c r="K42" s="116" t="s">
        <v>133</v>
      </c>
      <c r="L42" s="115" t="s">
        <v>224</v>
      </c>
      <c r="M42" s="115" t="s">
        <v>224</v>
      </c>
      <c r="N42" s="118">
        <v>46112</v>
      </c>
      <c r="O42" s="116">
        <v>118</v>
      </c>
      <c r="P42" s="118">
        <v>46113</v>
      </c>
      <c r="Q42" s="118">
        <v>46125</v>
      </c>
      <c r="R42" s="118">
        <v>46113</v>
      </c>
      <c r="S42" s="114"/>
      <c r="T42" s="114"/>
      <c r="U42" s="114" t="s">
        <v>206</v>
      </c>
      <c r="V42" s="116" t="s">
        <v>76</v>
      </c>
      <c r="W42" s="116">
        <v>118</v>
      </c>
      <c r="X42" s="116">
        <v>106</v>
      </c>
      <c r="Y42" s="114"/>
      <c r="Z42" s="114" t="s">
        <v>207</v>
      </c>
      <c r="AA42" s="114"/>
      <c r="AB42" s="119"/>
      <c r="AC42" s="120">
        <v>25.5</v>
      </c>
      <c r="AD42" s="114"/>
      <c r="AE42" s="116">
        <v>118</v>
      </c>
      <c r="AF42" s="114" t="s">
        <v>208</v>
      </c>
      <c r="AG42" s="116" t="s">
        <v>76</v>
      </c>
      <c r="AH42" s="120">
        <v>12.5</v>
      </c>
      <c r="AI42" s="114">
        <f t="shared" si="0"/>
        <v>1475</v>
      </c>
      <c r="AJ42" s="114"/>
      <c r="AK42" s="117" t="s">
        <v>186</v>
      </c>
      <c r="AL42" s="116">
        <v>106</v>
      </c>
      <c r="AM42" s="114">
        <v>18</v>
      </c>
      <c r="AN42" s="114">
        <f t="shared" si="18"/>
        <v>1908</v>
      </c>
      <c r="AO42" s="114"/>
      <c r="AP42" s="114"/>
      <c r="AQ42" s="114">
        <f t="shared" si="19"/>
        <v>0</v>
      </c>
      <c r="AR42" s="114">
        <f t="shared" si="20"/>
        <v>1908</v>
      </c>
      <c r="AS42" s="114"/>
      <c r="AT42" s="112" t="s">
        <v>373</v>
      </c>
      <c r="AU42" s="113"/>
      <c r="AV42" s="114">
        <f t="shared" si="21"/>
        <v>18</v>
      </c>
      <c r="AW42" s="114">
        <f t="shared" si="22"/>
        <v>1908</v>
      </c>
      <c r="AX42" s="114"/>
      <c r="AY42" s="116" t="s">
        <v>185</v>
      </c>
      <c r="AZ42" s="121"/>
      <c r="BA42" s="114">
        <f t="shared" si="23"/>
        <v>18</v>
      </c>
      <c r="BB42" s="114">
        <f t="shared" si="24"/>
        <v>106</v>
      </c>
      <c r="BC42" s="114">
        <f t="shared" si="25"/>
        <v>1908</v>
      </c>
      <c r="BD42" s="114"/>
      <c r="BE42" s="114" t="s">
        <v>384</v>
      </c>
      <c r="BF42" s="115" t="s">
        <v>495</v>
      </c>
      <c r="BG42" s="122" t="s">
        <v>176</v>
      </c>
    </row>
    <row r="43" spans="1:59" s="122" customFormat="1" ht="15" customHeight="1" x14ac:dyDescent="0.2">
      <c r="A43" s="114">
        <f t="shared" si="9"/>
        <v>41</v>
      </c>
      <c r="B43" s="115" t="s">
        <v>496</v>
      </c>
      <c r="C43" s="116" t="s">
        <v>262</v>
      </c>
      <c r="D43" s="124"/>
      <c r="E43" s="116" t="s">
        <v>271</v>
      </c>
      <c r="F43" s="114"/>
      <c r="G43" s="117" t="s">
        <v>188</v>
      </c>
      <c r="H43" s="114" t="s">
        <v>374</v>
      </c>
      <c r="I43" s="116" t="s">
        <v>133</v>
      </c>
      <c r="J43" s="116" t="s">
        <v>181</v>
      </c>
      <c r="K43" s="116" t="s">
        <v>133</v>
      </c>
      <c r="L43" s="115" t="s">
        <v>224</v>
      </c>
      <c r="M43" s="115" t="s">
        <v>224</v>
      </c>
      <c r="N43" s="118">
        <v>46112</v>
      </c>
      <c r="O43" s="116">
        <v>237</v>
      </c>
      <c r="P43" s="118">
        <v>46113</v>
      </c>
      <c r="Q43" s="118">
        <v>46125</v>
      </c>
      <c r="R43" s="118">
        <v>46113</v>
      </c>
      <c r="S43" s="114"/>
      <c r="T43" s="114"/>
      <c r="U43" s="114" t="s">
        <v>206</v>
      </c>
      <c r="V43" s="116" t="s">
        <v>76</v>
      </c>
      <c r="W43" s="116">
        <v>237</v>
      </c>
      <c r="X43" s="116">
        <v>229</v>
      </c>
      <c r="Y43" s="114"/>
      <c r="Z43" s="114" t="s">
        <v>207</v>
      </c>
      <c r="AA43" s="114"/>
      <c r="AB43" s="119"/>
      <c r="AC43" s="120">
        <v>25.5</v>
      </c>
      <c r="AD43" s="114"/>
      <c r="AE43" s="116">
        <v>237</v>
      </c>
      <c r="AF43" s="114" t="s">
        <v>208</v>
      </c>
      <c r="AG43" s="116" t="s">
        <v>76</v>
      </c>
      <c r="AH43" s="120">
        <v>12.5</v>
      </c>
      <c r="AI43" s="114">
        <f t="shared" si="0"/>
        <v>2962.5</v>
      </c>
      <c r="AJ43" s="114"/>
      <c r="AK43" s="117" t="s">
        <v>186</v>
      </c>
      <c r="AL43" s="116">
        <v>229</v>
      </c>
      <c r="AM43" s="114">
        <v>18</v>
      </c>
      <c r="AN43" s="114">
        <f t="shared" si="18"/>
        <v>4122</v>
      </c>
      <c r="AO43" s="114"/>
      <c r="AP43" s="114"/>
      <c r="AQ43" s="114">
        <f t="shared" si="19"/>
        <v>0</v>
      </c>
      <c r="AR43" s="114">
        <f t="shared" si="20"/>
        <v>4122</v>
      </c>
      <c r="AS43" s="114"/>
      <c r="AT43" s="112" t="s">
        <v>373</v>
      </c>
      <c r="AU43" s="113"/>
      <c r="AV43" s="114">
        <f t="shared" si="21"/>
        <v>18</v>
      </c>
      <c r="AW43" s="114">
        <f t="shared" si="22"/>
        <v>4122</v>
      </c>
      <c r="AX43" s="114"/>
      <c r="AY43" s="116" t="s">
        <v>185</v>
      </c>
      <c r="AZ43" s="121"/>
      <c r="BA43" s="114">
        <f t="shared" si="23"/>
        <v>18</v>
      </c>
      <c r="BB43" s="114">
        <f t="shared" si="24"/>
        <v>229</v>
      </c>
      <c r="BC43" s="114">
        <f t="shared" si="25"/>
        <v>4122</v>
      </c>
      <c r="BD43" s="114"/>
      <c r="BE43" s="114" t="s">
        <v>385</v>
      </c>
      <c r="BF43" s="115" t="s">
        <v>496</v>
      </c>
      <c r="BG43" s="122" t="s">
        <v>176</v>
      </c>
    </row>
    <row r="44" spans="1:59" s="122" customFormat="1" ht="15" customHeight="1" x14ac:dyDescent="0.2">
      <c r="A44" s="114">
        <f t="shared" si="9"/>
        <v>42</v>
      </c>
      <c r="B44" s="115" t="s">
        <v>497</v>
      </c>
      <c r="C44" s="116" t="s">
        <v>272</v>
      </c>
      <c r="D44" s="124"/>
      <c r="E44" s="116" t="s">
        <v>273</v>
      </c>
      <c r="F44" s="114"/>
      <c r="G44" s="117" t="s">
        <v>188</v>
      </c>
      <c r="H44" s="114" t="s">
        <v>374</v>
      </c>
      <c r="I44" s="116" t="s">
        <v>133</v>
      </c>
      <c r="J44" s="116" t="s">
        <v>181</v>
      </c>
      <c r="K44" s="116" t="s">
        <v>133</v>
      </c>
      <c r="L44" s="115" t="s">
        <v>224</v>
      </c>
      <c r="M44" s="115" t="s">
        <v>224</v>
      </c>
      <c r="N44" s="118">
        <v>46112</v>
      </c>
      <c r="O44" s="116">
        <v>10</v>
      </c>
      <c r="P44" s="118">
        <v>46113</v>
      </c>
      <c r="Q44" s="118">
        <v>46125</v>
      </c>
      <c r="R44" s="118">
        <v>46113</v>
      </c>
      <c r="S44" s="114"/>
      <c r="T44" s="114"/>
      <c r="U44" s="114" t="s">
        <v>206</v>
      </c>
      <c r="V44" s="116" t="s">
        <v>76</v>
      </c>
      <c r="W44" s="116">
        <v>10</v>
      </c>
      <c r="X44" s="116">
        <v>10</v>
      </c>
      <c r="Y44" s="114"/>
      <c r="Z44" s="114" t="s">
        <v>207</v>
      </c>
      <c r="AA44" s="114"/>
      <c r="AB44" s="119"/>
      <c r="AC44" s="120">
        <v>25.5</v>
      </c>
      <c r="AD44" s="114"/>
      <c r="AE44" s="116">
        <v>10</v>
      </c>
      <c r="AF44" s="114" t="s">
        <v>208</v>
      </c>
      <c r="AG44" s="116" t="s">
        <v>76</v>
      </c>
      <c r="AH44" s="120">
        <v>12.5</v>
      </c>
      <c r="AI44" s="114">
        <f t="shared" si="0"/>
        <v>125</v>
      </c>
      <c r="AJ44" s="114"/>
      <c r="AK44" s="117" t="s">
        <v>186</v>
      </c>
      <c r="AL44" s="116">
        <v>10</v>
      </c>
      <c r="AM44" s="114">
        <v>18</v>
      </c>
      <c r="AN44" s="114">
        <f t="shared" si="18"/>
        <v>180</v>
      </c>
      <c r="AO44" s="114"/>
      <c r="AP44" s="114"/>
      <c r="AQ44" s="114">
        <f t="shared" si="19"/>
        <v>0</v>
      </c>
      <c r="AR44" s="114">
        <f t="shared" si="20"/>
        <v>180</v>
      </c>
      <c r="AS44" s="114"/>
      <c r="AT44" s="112" t="s">
        <v>373</v>
      </c>
      <c r="AU44" s="113"/>
      <c r="AV44" s="114">
        <f t="shared" si="21"/>
        <v>18</v>
      </c>
      <c r="AW44" s="114">
        <f t="shared" si="22"/>
        <v>180</v>
      </c>
      <c r="AX44" s="114"/>
      <c r="AY44" s="116" t="s">
        <v>185</v>
      </c>
      <c r="AZ44" s="121"/>
      <c r="BA44" s="114">
        <f t="shared" si="23"/>
        <v>18</v>
      </c>
      <c r="BB44" s="114">
        <f t="shared" si="24"/>
        <v>10</v>
      </c>
      <c r="BC44" s="114">
        <f t="shared" si="25"/>
        <v>180</v>
      </c>
      <c r="BD44" s="114"/>
      <c r="BE44" s="114" t="s">
        <v>386</v>
      </c>
      <c r="BF44" s="115" t="s">
        <v>497</v>
      </c>
      <c r="BG44" s="122" t="s">
        <v>176</v>
      </c>
    </row>
    <row r="45" spans="1:59" s="122" customFormat="1" ht="15" customHeight="1" x14ac:dyDescent="0.2">
      <c r="A45" s="114">
        <f t="shared" si="9"/>
        <v>43</v>
      </c>
      <c r="B45" s="115" t="s">
        <v>498</v>
      </c>
      <c r="C45" s="116" t="s">
        <v>272</v>
      </c>
      <c r="D45" s="124"/>
      <c r="E45" s="116" t="s">
        <v>274</v>
      </c>
      <c r="F45" s="114"/>
      <c r="G45" s="117" t="s">
        <v>188</v>
      </c>
      <c r="H45" s="114" t="s">
        <v>374</v>
      </c>
      <c r="I45" s="116" t="s">
        <v>133</v>
      </c>
      <c r="J45" s="116" t="s">
        <v>181</v>
      </c>
      <c r="K45" s="116" t="s">
        <v>133</v>
      </c>
      <c r="L45" s="115" t="s">
        <v>224</v>
      </c>
      <c r="M45" s="115" t="s">
        <v>224</v>
      </c>
      <c r="N45" s="118">
        <v>46112</v>
      </c>
      <c r="O45" s="116">
        <v>73</v>
      </c>
      <c r="P45" s="118">
        <v>46113</v>
      </c>
      <c r="Q45" s="118">
        <v>46125</v>
      </c>
      <c r="R45" s="118">
        <v>46113</v>
      </c>
      <c r="S45" s="114"/>
      <c r="T45" s="114"/>
      <c r="U45" s="114" t="s">
        <v>206</v>
      </c>
      <c r="V45" s="116" t="s">
        <v>76</v>
      </c>
      <c r="W45" s="116">
        <v>73</v>
      </c>
      <c r="X45" s="116">
        <v>71</v>
      </c>
      <c r="Y45" s="114"/>
      <c r="Z45" s="114" t="s">
        <v>207</v>
      </c>
      <c r="AA45" s="114"/>
      <c r="AB45" s="119"/>
      <c r="AC45" s="120">
        <v>25.5</v>
      </c>
      <c r="AD45" s="114"/>
      <c r="AE45" s="116">
        <v>73</v>
      </c>
      <c r="AF45" s="114" t="s">
        <v>208</v>
      </c>
      <c r="AG45" s="116" t="s">
        <v>76</v>
      </c>
      <c r="AH45" s="120">
        <v>12.5</v>
      </c>
      <c r="AI45" s="114">
        <f t="shared" si="0"/>
        <v>912.5</v>
      </c>
      <c r="AJ45" s="114"/>
      <c r="AK45" s="117" t="s">
        <v>186</v>
      </c>
      <c r="AL45" s="116">
        <v>71</v>
      </c>
      <c r="AM45" s="114">
        <v>18</v>
      </c>
      <c r="AN45" s="114">
        <f t="shared" si="18"/>
        <v>1278</v>
      </c>
      <c r="AO45" s="114"/>
      <c r="AP45" s="114"/>
      <c r="AQ45" s="114">
        <f t="shared" si="19"/>
        <v>0</v>
      </c>
      <c r="AR45" s="114">
        <f t="shared" si="20"/>
        <v>1278</v>
      </c>
      <c r="AS45" s="114"/>
      <c r="AT45" s="112" t="s">
        <v>373</v>
      </c>
      <c r="AU45" s="113"/>
      <c r="AV45" s="114">
        <f t="shared" si="21"/>
        <v>18</v>
      </c>
      <c r="AW45" s="114">
        <f t="shared" si="22"/>
        <v>1278</v>
      </c>
      <c r="AX45" s="114"/>
      <c r="AY45" s="116" t="s">
        <v>185</v>
      </c>
      <c r="AZ45" s="121"/>
      <c r="BA45" s="114">
        <f t="shared" si="23"/>
        <v>18</v>
      </c>
      <c r="BB45" s="114">
        <f t="shared" si="24"/>
        <v>71</v>
      </c>
      <c r="BC45" s="114">
        <f t="shared" si="25"/>
        <v>1278</v>
      </c>
      <c r="BD45" s="114"/>
      <c r="BE45" s="114" t="s">
        <v>387</v>
      </c>
      <c r="BF45" s="115" t="s">
        <v>498</v>
      </c>
      <c r="BG45" s="122" t="s">
        <v>176</v>
      </c>
    </row>
    <row r="46" spans="1:59" s="122" customFormat="1" ht="15" customHeight="1" x14ac:dyDescent="0.2">
      <c r="A46" s="114">
        <f t="shared" si="9"/>
        <v>44</v>
      </c>
      <c r="B46" s="115" t="s">
        <v>499</v>
      </c>
      <c r="C46" s="116" t="s">
        <v>426</v>
      </c>
      <c r="D46" s="124"/>
      <c r="E46" s="116" t="s">
        <v>277</v>
      </c>
      <c r="F46" s="114"/>
      <c r="G46" s="117" t="s">
        <v>188</v>
      </c>
      <c r="H46" s="114" t="s">
        <v>374</v>
      </c>
      <c r="I46" s="116" t="s">
        <v>133</v>
      </c>
      <c r="J46" s="116" t="s">
        <v>181</v>
      </c>
      <c r="K46" s="116" t="s">
        <v>133</v>
      </c>
      <c r="L46" s="115" t="s">
        <v>224</v>
      </c>
      <c r="M46" s="115" t="s">
        <v>224</v>
      </c>
      <c r="N46" s="118">
        <v>46112</v>
      </c>
      <c r="O46" s="116">
        <v>156</v>
      </c>
      <c r="P46" s="118">
        <v>46113</v>
      </c>
      <c r="Q46" s="118">
        <v>46125</v>
      </c>
      <c r="R46" s="118">
        <v>46113</v>
      </c>
      <c r="S46" s="114"/>
      <c r="T46" s="114"/>
      <c r="U46" s="114" t="s">
        <v>206</v>
      </c>
      <c r="V46" s="116" t="s">
        <v>76</v>
      </c>
      <c r="W46" s="116">
        <v>156</v>
      </c>
      <c r="X46" s="116">
        <v>150</v>
      </c>
      <c r="Y46" s="114"/>
      <c r="Z46" s="114" t="s">
        <v>207</v>
      </c>
      <c r="AA46" s="114"/>
      <c r="AB46" s="119"/>
      <c r="AC46" s="120">
        <v>25.5</v>
      </c>
      <c r="AD46" s="114"/>
      <c r="AE46" s="116">
        <v>156</v>
      </c>
      <c r="AF46" s="114" t="s">
        <v>208</v>
      </c>
      <c r="AG46" s="116" t="s">
        <v>76</v>
      </c>
      <c r="AH46" s="120">
        <v>12.5</v>
      </c>
      <c r="AI46" s="114">
        <f t="shared" si="0"/>
        <v>1950</v>
      </c>
      <c r="AJ46" s="114"/>
      <c r="AK46" s="117" t="s">
        <v>186</v>
      </c>
      <c r="AL46" s="116">
        <v>150</v>
      </c>
      <c r="AM46" s="114">
        <v>18</v>
      </c>
      <c r="AN46" s="114">
        <f t="shared" si="18"/>
        <v>2700</v>
      </c>
      <c r="AO46" s="114"/>
      <c r="AP46" s="114"/>
      <c r="AQ46" s="114">
        <f t="shared" si="19"/>
        <v>0</v>
      </c>
      <c r="AR46" s="114">
        <f t="shared" si="20"/>
        <v>2700</v>
      </c>
      <c r="AS46" s="114"/>
      <c r="AT46" s="112" t="s">
        <v>373</v>
      </c>
      <c r="AU46" s="113"/>
      <c r="AV46" s="114">
        <f t="shared" si="21"/>
        <v>18</v>
      </c>
      <c r="AW46" s="114">
        <f t="shared" si="22"/>
        <v>2700</v>
      </c>
      <c r="AX46" s="114"/>
      <c r="AY46" s="116" t="s">
        <v>185</v>
      </c>
      <c r="AZ46" s="121"/>
      <c r="BA46" s="114">
        <f t="shared" si="23"/>
        <v>18</v>
      </c>
      <c r="BB46" s="114">
        <f t="shared" si="24"/>
        <v>150</v>
      </c>
      <c r="BC46" s="114">
        <f t="shared" si="25"/>
        <v>2700</v>
      </c>
      <c r="BD46" s="114"/>
      <c r="BE46" s="114" t="s">
        <v>388</v>
      </c>
      <c r="BF46" s="115" t="s">
        <v>499</v>
      </c>
      <c r="BG46" s="122" t="s">
        <v>176</v>
      </c>
    </row>
    <row r="47" spans="1:59" s="122" customFormat="1" ht="15" customHeight="1" x14ac:dyDescent="0.2">
      <c r="A47" s="114">
        <f t="shared" si="9"/>
        <v>45</v>
      </c>
      <c r="B47" s="115" t="s">
        <v>500</v>
      </c>
      <c r="C47" s="116" t="s">
        <v>427</v>
      </c>
      <c r="D47" s="124"/>
      <c r="E47" s="116" t="s">
        <v>283</v>
      </c>
      <c r="F47" s="114"/>
      <c r="G47" s="117" t="s">
        <v>188</v>
      </c>
      <c r="H47" s="114" t="s">
        <v>374</v>
      </c>
      <c r="I47" s="116" t="s">
        <v>133</v>
      </c>
      <c r="J47" s="116" t="s">
        <v>181</v>
      </c>
      <c r="K47" s="116" t="s">
        <v>133</v>
      </c>
      <c r="L47" s="115" t="s">
        <v>224</v>
      </c>
      <c r="M47" s="115" t="s">
        <v>224</v>
      </c>
      <c r="N47" s="118">
        <v>46112</v>
      </c>
      <c r="O47" s="116">
        <v>56</v>
      </c>
      <c r="P47" s="118">
        <v>46113</v>
      </c>
      <c r="Q47" s="118">
        <v>46125</v>
      </c>
      <c r="R47" s="118">
        <v>46113</v>
      </c>
      <c r="S47" s="114"/>
      <c r="T47" s="114"/>
      <c r="U47" s="114" t="s">
        <v>206</v>
      </c>
      <c r="V47" s="116" t="s">
        <v>75</v>
      </c>
      <c r="W47" s="116">
        <v>56</v>
      </c>
      <c r="X47" s="116">
        <v>56</v>
      </c>
      <c r="Y47" s="114"/>
      <c r="Z47" s="114" t="s">
        <v>207</v>
      </c>
      <c r="AA47" s="114"/>
      <c r="AB47" s="119"/>
      <c r="AC47" s="120">
        <v>30.5</v>
      </c>
      <c r="AD47" s="114"/>
      <c r="AE47" s="116">
        <v>56</v>
      </c>
      <c r="AF47" s="114" t="s">
        <v>208</v>
      </c>
      <c r="AG47" s="116" t="s">
        <v>75</v>
      </c>
      <c r="AH47" s="120">
        <v>24.5</v>
      </c>
      <c r="AI47" s="114">
        <f t="shared" si="0"/>
        <v>1372</v>
      </c>
      <c r="AJ47" s="114"/>
      <c r="AK47" s="117" t="s">
        <v>186</v>
      </c>
      <c r="AL47" s="116">
        <v>56</v>
      </c>
      <c r="AM47" s="114">
        <v>18</v>
      </c>
      <c r="AN47" s="114">
        <f t="shared" si="18"/>
        <v>1008</v>
      </c>
      <c r="AO47" s="114"/>
      <c r="AP47" s="114"/>
      <c r="AQ47" s="114">
        <f t="shared" si="19"/>
        <v>0</v>
      </c>
      <c r="AR47" s="114">
        <f t="shared" si="20"/>
        <v>1008</v>
      </c>
      <c r="AS47" s="114"/>
      <c r="AT47" s="112" t="s">
        <v>373</v>
      </c>
      <c r="AU47" s="113"/>
      <c r="AV47" s="114">
        <f t="shared" si="21"/>
        <v>18</v>
      </c>
      <c r="AW47" s="114">
        <f t="shared" si="22"/>
        <v>1008</v>
      </c>
      <c r="AX47" s="114"/>
      <c r="AY47" s="116" t="s">
        <v>185</v>
      </c>
      <c r="AZ47" s="121"/>
      <c r="BA47" s="114">
        <f t="shared" si="23"/>
        <v>18</v>
      </c>
      <c r="BB47" s="114">
        <f t="shared" si="24"/>
        <v>56</v>
      </c>
      <c r="BC47" s="114">
        <f t="shared" si="25"/>
        <v>1008</v>
      </c>
      <c r="BD47" s="114"/>
      <c r="BE47" s="114" t="s">
        <v>389</v>
      </c>
      <c r="BF47" s="115" t="s">
        <v>500</v>
      </c>
      <c r="BG47" s="122" t="s">
        <v>176</v>
      </c>
    </row>
    <row r="48" spans="1:59" s="122" customFormat="1" ht="15" customHeight="1" x14ac:dyDescent="0.2">
      <c r="A48" s="114">
        <f t="shared" si="9"/>
        <v>46</v>
      </c>
      <c r="B48" s="115" t="s">
        <v>501</v>
      </c>
      <c r="C48" s="116" t="s">
        <v>427</v>
      </c>
      <c r="D48" s="124"/>
      <c r="E48" s="116" t="s">
        <v>284</v>
      </c>
      <c r="F48" s="114"/>
      <c r="G48" s="117" t="s">
        <v>188</v>
      </c>
      <c r="H48" s="114" t="s">
        <v>374</v>
      </c>
      <c r="I48" s="116" t="s">
        <v>133</v>
      </c>
      <c r="J48" s="116" t="s">
        <v>181</v>
      </c>
      <c r="K48" s="116" t="s">
        <v>133</v>
      </c>
      <c r="L48" s="115" t="s">
        <v>224</v>
      </c>
      <c r="M48" s="115" t="s">
        <v>224</v>
      </c>
      <c r="N48" s="118">
        <v>46112</v>
      </c>
      <c r="O48" s="116">
        <v>113</v>
      </c>
      <c r="P48" s="118">
        <v>46113</v>
      </c>
      <c r="Q48" s="118">
        <v>46125</v>
      </c>
      <c r="R48" s="118">
        <v>46113</v>
      </c>
      <c r="S48" s="114"/>
      <c r="T48" s="114"/>
      <c r="U48" s="114" t="s">
        <v>206</v>
      </c>
      <c r="V48" s="116" t="s">
        <v>75</v>
      </c>
      <c r="W48" s="116">
        <v>113</v>
      </c>
      <c r="X48" s="116">
        <v>113</v>
      </c>
      <c r="Y48" s="114"/>
      <c r="Z48" s="114" t="s">
        <v>207</v>
      </c>
      <c r="AA48" s="114"/>
      <c r="AB48" s="119"/>
      <c r="AC48" s="120">
        <v>30.5</v>
      </c>
      <c r="AD48" s="114"/>
      <c r="AE48" s="116">
        <v>113</v>
      </c>
      <c r="AF48" s="114" t="s">
        <v>208</v>
      </c>
      <c r="AG48" s="116" t="s">
        <v>75</v>
      </c>
      <c r="AH48" s="120">
        <v>24.5</v>
      </c>
      <c r="AI48" s="114">
        <f t="shared" si="0"/>
        <v>2768.5</v>
      </c>
      <c r="AJ48" s="114"/>
      <c r="AK48" s="117" t="s">
        <v>186</v>
      </c>
      <c r="AL48" s="116">
        <v>113</v>
      </c>
      <c r="AM48" s="114">
        <v>18</v>
      </c>
      <c r="AN48" s="114">
        <f t="shared" si="18"/>
        <v>2034</v>
      </c>
      <c r="AO48" s="114"/>
      <c r="AP48" s="114"/>
      <c r="AQ48" s="114">
        <f t="shared" si="19"/>
        <v>0</v>
      </c>
      <c r="AR48" s="114">
        <f t="shared" si="20"/>
        <v>2034</v>
      </c>
      <c r="AS48" s="114"/>
      <c r="AT48" s="112" t="s">
        <v>373</v>
      </c>
      <c r="AU48" s="113"/>
      <c r="AV48" s="114">
        <f t="shared" si="21"/>
        <v>18</v>
      </c>
      <c r="AW48" s="114">
        <f t="shared" si="22"/>
        <v>2034</v>
      </c>
      <c r="AX48" s="114"/>
      <c r="AY48" s="116" t="s">
        <v>185</v>
      </c>
      <c r="AZ48" s="121"/>
      <c r="BA48" s="114">
        <f t="shared" si="23"/>
        <v>18</v>
      </c>
      <c r="BB48" s="114">
        <f t="shared" si="24"/>
        <v>113</v>
      </c>
      <c r="BC48" s="114">
        <f t="shared" si="25"/>
        <v>2034</v>
      </c>
      <c r="BD48" s="114"/>
      <c r="BE48" s="114" t="s">
        <v>390</v>
      </c>
      <c r="BF48" s="115" t="s">
        <v>501</v>
      </c>
      <c r="BG48" s="122" t="s">
        <v>176</v>
      </c>
    </row>
    <row r="49" spans="1:59" s="122" customFormat="1" ht="15" customHeight="1" x14ac:dyDescent="0.2">
      <c r="A49" s="114">
        <f t="shared" si="9"/>
        <v>47</v>
      </c>
      <c r="B49" s="115" t="s">
        <v>502</v>
      </c>
      <c r="C49" s="116" t="s">
        <v>427</v>
      </c>
      <c r="D49" s="124"/>
      <c r="E49" s="116" t="s">
        <v>279</v>
      </c>
      <c r="F49" s="114"/>
      <c r="G49" s="117" t="s">
        <v>188</v>
      </c>
      <c r="H49" s="114" t="s">
        <v>374</v>
      </c>
      <c r="I49" s="116" t="s">
        <v>133</v>
      </c>
      <c r="J49" s="116" t="s">
        <v>181</v>
      </c>
      <c r="K49" s="116" t="s">
        <v>133</v>
      </c>
      <c r="L49" s="115" t="s">
        <v>224</v>
      </c>
      <c r="M49" s="115" t="s">
        <v>224</v>
      </c>
      <c r="N49" s="118">
        <v>46112</v>
      </c>
      <c r="O49" s="116">
        <v>10</v>
      </c>
      <c r="P49" s="118">
        <v>46113</v>
      </c>
      <c r="Q49" s="118">
        <v>46125</v>
      </c>
      <c r="R49" s="118">
        <v>46113</v>
      </c>
      <c r="S49" s="114"/>
      <c r="T49" s="114"/>
      <c r="U49" s="114" t="s">
        <v>206</v>
      </c>
      <c r="V49" s="116" t="s">
        <v>76</v>
      </c>
      <c r="W49" s="116">
        <v>10</v>
      </c>
      <c r="X49" s="116">
        <v>10</v>
      </c>
      <c r="Y49" s="114"/>
      <c r="Z49" s="114" t="s">
        <v>207</v>
      </c>
      <c r="AA49" s="114"/>
      <c r="AB49" s="119"/>
      <c r="AC49" s="120">
        <v>25.5</v>
      </c>
      <c r="AD49" s="114"/>
      <c r="AE49" s="116">
        <v>10</v>
      </c>
      <c r="AF49" s="114" t="s">
        <v>208</v>
      </c>
      <c r="AG49" s="116" t="s">
        <v>76</v>
      </c>
      <c r="AH49" s="120">
        <v>12.5</v>
      </c>
      <c r="AI49" s="114">
        <f t="shared" si="0"/>
        <v>125</v>
      </c>
      <c r="AJ49" s="114"/>
      <c r="AK49" s="117" t="s">
        <v>186</v>
      </c>
      <c r="AL49" s="116">
        <v>10</v>
      </c>
      <c r="AM49" s="114">
        <v>18</v>
      </c>
      <c r="AN49" s="114">
        <f t="shared" si="18"/>
        <v>180</v>
      </c>
      <c r="AO49" s="114"/>
      <c r="AP49" s="114"/>
      <c r="AQ49" s="114">
        <f t="shared" si="19"/>
        <v>0</v>
      </c>
      <c r="AR49" s="114">
        <f t="shared" si="20"/>
        <v>180</v>
      </c>
      <c r="AS49" s="114"/>
      <c r="AT49" s="112" t="s">
        <v>373</v>
      </c>
      <c r="AU49" s="113"/>
      <c r="AV49" s="114">
        <f t="shared" si="21"/>
        <v>18</v>
      </c>
      <c r="AW49" s="114">
        <f t="shared" si="22"/>
        <v>180</v>
      </c>
      <c r="AX49" s="114"/>
      <c r="AY49" s="116" t="s">
        <v>185</v>
      </c>
      <c r="AZ49" s="121"/>
      <c r="BA49" s="114">
        <f t="shared" si="23"/>
        <v>18</v>
      </c>
      <c r="BB49" s="114">
        <f t="shared" si="24"/>
        <v>10</v>
      </c>
      <c r="BC49" s="114">
        <f t="shared" si="25"/>
        <v>180</v>
      </c>
      <c r="BD49" s="114"/>
      <c r="BE49" s="114" t="s">
        <v>391</v>
      </c>
      <c r="BF49" s="115" t="s">
        <v>502</v>
      </c>
      <c r="BG49" s="122" t="s">
        <v>176</v>
      </c>
    </row>
    <row r="50" spans="1:59" s="122" customFormat="1" ht="15" customHeight="1" x14ac:dyDescent="0.2">
      <c r="A50" s="114">
        <f t="shared" si="9"/>
        <v>48</v>
      </c>
      <c r="B50" s="115" t="s">
        <v>503</v>
      </c>
      <c r="C50" s="116" t="s">
        <v>427</v>
      </c>
      <c r="D50" s="124"/>
      <c r="E50" s="116" t="s">
        <v>282</v>
      </c>
      <c r="F50" s="114"/>
      <c r="G50" s="117" t="s">
        <v>188</v>
      </c>
      <c r="H50" s="114" t="s">
        <v>374</v>
      </c>
      <c r="I50" s="116" t="s">
        <v>133</v>
      </c>
      <c r="J50" s="116" t="s">
        <v>181</v>
      </c>
      <c r="K50" s="116" t="s">
        <v>133</v>
      </c>
      <c r="L50" s="115" t="s">
        <v>224</v>
      </c>
      <c r="M50" s="115" t="s">
        <v>224</v>
      </c>
      <c r="N50" s="118">
        <v>46112</v>
      </c>
      <c r="O50" s="116">
        <v>149</v>
      </c>
      <c r="P50" s="118">
        <v>46113</v>
      </c>
      <c r="Q50" s="118">
        <v>46125</v>
      </c>
      <c r="R50" s="118">
        <v>46113</v>
      </c>
      <c r="S50" s="114"/>
      <c r="T50" s="114"/>
      <c r="U50" s="114" t="s">
        <v>206</v>
      </c>
      <c r="V50" s="116" t="s">
        <v>76</v>
      </c>
      <c r="W50" s="116">
        <v>149</v>
      </c>
      <c r="X50" s="116">
        <v>143</v>
      </c>
      <c r="Y50" s="114"/>
      <c r="Z50" s="114" t="s">
        <v>207</v>
      </c>
      <c r="AA50" s="114"/>
      <c r="AB50" s="119"/>
      <c r="AC50" s="120">
        <v>25.5</v>
      </c>
      <c r="AD50" s="114"/>
      <c r="AE50" s="116">
        <v>149</v>
      </c>
      <c r="AF50" s="114" t="s">
        <v>208</v>
      </c>
      <c r="AG50" s="116" t="s">
        <v>76</v>
      </c>
      <c r="AH50" s="120">
        <v>12.5</v>
      </c>
      <c r="AI50" s="114">
        <f t="shared" si="0"/>
        <v>1862.5</v>
      </c>
      <c r="AJ50" s="114"/>
      <c r="AK50" s="117" t="s">
        <v>186</v>
      </c>
      <c r="AL50" s="116">
        <v>143</v>
      </c>
      <c r="AM50" s="114">
        <v>18</v>
      </c>
      <c r="AN50" s="114">
        <f t="shared" si="18"/>
        <v>2574</v>
      </c>
      <c r="AO50" s="114"/>
      <c r="AP50" s="114"/>
      <c r="AQ50" s="114">
        <f t="shared" si="19"/>
        <v>0</v>
      </c>
      <c r="AR50" s="114">
        <f t="shared" si="20"/>
        <v>2574</v>
      </c>
      <c r="AS50" s="114"/>
      <c r="AT50" s="112" t="s">
        <v>373</v>
      </c>
      <c r="AU50" s="113"/>
      <c r="AV50" s="114">
        <f t="shared" si="21"/>
        <v>18</v>
      </c>
      <c r="AW50" s="114">
        <f t="shared" si="22"/>
        <v>2574</v>
      </c>
      <c r="AX50" s="114"/>
      <c r="AY50" s="116" t="s">
        <v>185</v>
      </c>
      <c r="AZ50" s="121"/>
      <c r="BA50" s="114">
        <f t="shared" si="23"/>
        <v>18</v>
      </c>
      <c r="BB50" s="114">
        <f t="shared" si="24"/>
        <v>143</v>
      </c>
      <c r="BC50" s="114">
        <f t="shared" si="25"/>
        <v>2574</v>
      </c>
      <c r="BD50" s="114"/>
      <c r="BE50" s="114" t="s">
        <v>392</v>
      </c>
      <c r="BF50" s="115" t="s">
        <v>503</v>
      </c>
      <c r="BG50" s="122" t="s">
        <v>176</v>
      </c>
    </row>
    <row r="51" spans="1:59" s="122" customFormat="1" ht="15" customHeight="1" x14ac:dyDescent="0.2">
      <c r="A51" s="114">
        <f t="shared" si="9"/>
        <v>49</v>
      </c>
      <c r="B51" s="115" t="s">
        <v>483</v>
      </c>
      <c r="C51" s="116" t="s">
        <v>428</v>
      </c>
      <c r="D51" s="124"/>
      <c r="E51" s="116" t="s">
        <v>286</v>
      </c>
      <c r="F51" s="114"/>
      <c r="G51" s="117" t="s">
        <v>188</v>
      </c>
      <c r="H51" s="114" t="s">
        <v>374</v>
      </c>
      <c r="I51" s="116" t="s">
        <v>133</v>
      </c>
      <c r="J51" s="116" t="s">
        <v>181</v>
      </c>
      <c r="K51" s="116" t="s">
        <v>133</v>
      </c>
      <c r="L51" s="115" t="s">
        <v>224</v>
      </c>
      <c r="M51" s="115" t="s">
        <v>224</v>
      </c>
      <c r="N51" s="118">
        <v>46112</v>
      </c>
      <c r="O51" s="116">
        <v>97</v>
      </c>
      <c r="P51" s="118">
        <v>46113</v>
      </c>
      <c r="Q51" s="118">
        <v>46125</v>
      </c>
      <c r="R51" s="118">
        <v>46113</v>
      </c>
      <c r="S51" s="114"/>
      <c r="T51" s="114"/>
      <c r="U51" s="114" t="s">
        <v>206</v>
      </c>
      <c r="V51" s="116" t="s">
        <v>76</v>
      </c>
      <c r="W51" s="116">
        <v>97</v>
      </c>
      <c r="X51" s="116">
        <v>93</v>
      </c>
      <c r="Y51" s="114"/>
      <c r="Z51" s="114" t="s">
        <v>207</v>
      </c>
      <c r="AA51" s="114"/>
      <c r="AB51" s="119"/>
      <c r="AC51" s="120">
        <v>25.5</v>
      </c>
      <c r="AD51" s="114"/>
      <c r="AE51" s="116">
        <v>97</v>
      </c>
      <c r="AF51" s="114" t="s">
        <v>208</v>
      </c>
      <c r="AG51" s="116" t="s">
        <v>76</v>
      </c>
      <c r="AH51" s="120">
        <v>12.5</v>
      </c>
      <c r="AI51" s="114">
        <f t="shared" si="0"/>
        <v>1212.5</v>
      </c>
      <c r="AJ51" s="114"/>
      <c r="AK51" s="117" t="s">
        <v>186</v>
      </c>
      <c r="AL51" s="116">
        <v>93</v>
      </c>
      <c r="AM51" s="114">
        <v>18</v>
      </c>
      <c r="AN51" s="114">
        <f t="shared" si="18"/>
        <v>1674</v>
      </c>
      <c r="AO51" s="114"/>
      <c r="AP51" s="114"/>
      <c r="AQ51" s="114">
        <f t="shared" si="19"/>
        <v>0</v>
      </c>
      <c r="AR51" s="114">
        <f t="shared" si="20"/>
        <v>1674</v>
      </c>
      <c r="AS51" s="114"/>
      <c r="AT51" s="112" t="s">
        <v>373</v>
      </c>
      <c r="AU51" s="113"/>
      <c r="AV51" s="114">
        <f t="shared" si="21"/>
        <v>18</v>
      </c>
      <c r="AW51" s="114">
        <f t="shared" si="22"/>
        <v>1674</v>
      </c>
      <c r="AX51" s="114"/>
      <c r="AY51" s="116" t="s">
        <v>185</v>
      </c>
      <c r="AZ51" s="121"/>
      <c r="BA51" s="114">
        <f t="shared" si="23"/>
        <v>18</v>
      </c>
      <c r="BB51" s="114">
        <f t="shared" si="24"/>
        <v>93</v>
      </c>
      <c r="BC51" s="114">
        <f t="shared" si="25"/>
        <v>1674</v>
      </c>
      <c r="BD51" s="114"/>
      <c r="BE51" s="114" t="s">
        <v>393</v>
      </c>
      <c r="BF51" s="115" t="s">
        <v>483</v>
      </c>
      <c r="BG51" s="122" t="s">
        <v>176</v>
      </c>
    </row>
    <row r="52" spans="1:59" s="122" customFormat="1" ht="15" customHeight="1" x14ac:dyDescent="0.2">
      <c r="A52" s="114">
        <f t="shared" si="9"/>
        <v>50</v>
      </c>
      <c r="B52" s="115" t="s">
        <v>484</v>
      </c>
      <c r="C52" s="116" t="s">
        <v>428</v>
      </c>
      <c r="D52" s="124"/>
      <c r="E52" s="116" t="s">
        <v>288</v>
      </c>
      <c r="F52" s="114"/>
      <c r="G52" s="117" t="s">
        <v>188</v>
      </c>
      <c r="H52" s="114" t="s">
        <v>374</v>
      </c>
      <c r="I52" s="116" t="s">
        <v>133</v>
      </c>
      <c r="J52" s="116" t="s">
        <v>181</v>
      </c>
      <c r="K52" s="116" t="s">
        <v>133</v>
      </c>
      <c r="L52" s="115" t="s">
        <v>224</v>
      </c>
      <c r="M52" s="115" t="s">
        <v>224</v>
      </c>
      <c r="N52" s="118">
        <v>46112</v>
      </c>
      <c r="O52" s="116">
        <v>123</v>
      </c>
      <c r="P52" s="118">
        <v>46113</v>
      </c>
      <c r="Q52" s="118">
        <v>46125</v>
      </c>
      <c r="R52" s="118">
        <v>46113</v>
      </c>
      <c r="S52" s="114"/>
      <c r="T52" s="114"/>
      <c r="U52" s="114" t="s">
        <v>206</v>
      </c>
      <c r="V52" s="116" t="s">
        <v>76</v>
      </c>
      <c r="W52" s="116">
        <v>123</v>
      </c>
      <c r="X52" s="116">
        <v>119</v>
      </c>
      <c r="Y52" s="114"/>
      <c r="Z52" s="114" t="s">
        <v>207</v>
      </c>
      <c r="AA52" s="114"/>
      <c r="AB52" s="119"/>
      <c r="AC52" s="120">
        <v>25.5</v>
      </c>
      <c r="AD52" s="114"/>
      <c r="AE52" s="116">
        <v>123</v>
      </c>
      <c r="AF52" s="114" t="s">
        <v>208</v>
      </c>
      <c r="AG52" s="116" t="s">
        <v>76</v>
      </c>
      <c r="AH52" s="120">
        <v>12.5</v>
      </c>
      <c r="AI52" s="114">
        <f t="shared" si="0"/>
        <v>1537.5</v>
      </c>
      <c r="AJ52" s="114"/>
      <c r="AK52" s="117" t="s">
        <v>186</v>
      </c>
      <c r="AL52" s="116">
        <v>119</v>
      </c>
      <c r="AM52" s="114">
        <v>18</v>
      </c>
      <c r="AN52" s="114">
        <f t="shared" si="18"/>
        <v>2142</v>
      </c>
      <c r="AO52" s="114"/>
      <c r="AP52" s="114"/>
      <c r="AQ52" s="114">
        <f t="shared" si="19"/>
        <v>0</v>
      </c>
      <c r="AR52" s="114">
        <f t="shared" si="20"/>
        <v>2142</v>
      </c>
      <c r="AS52" s="114"/>
      <c r="AT52" s="112" t="s">
        <v>373</v>
      </c>
      <c r="AU52" s="113"/>
      <c r="AV52" s="114">
        <f t="shared" si="21"/>
        <v>18</v>
      </c>
      <c r="AW52" s="114">
        <f t="shared" si="22"/>
        <v>2142</v>
      </c>
      <c r="AX52" s="114"/>
      <c r="AY52" s="116" t="s">
        <v>185</v>
      </c>
      <c r="AZ52" s="121"/>
      <c r="BA52" s="114">
        <f t="shared" si="23"/>
        <v>18</v>
      </c>
      <c r="BB52" s="114">
        <f t="shared" si="24"/>
        <v>119</v>
      </c>
      <c r="BC52" s="114">
        <f t="shared" si="25"/>
        <v>2142</v>
      </c>
      <c r="BD52" s="114"/>
      <c r="BE52" s="114" t="s">
        <v>394</v>
      </c>
      <c r="BF52" s="115" t="s">
        <v>484</v>
      </c>
      <c r="BG52" s="122" t="s">
        <v>176</v>
      </c>
    </row>
    <row r="53" spans="1:59" s="122" customFormat="1" ht="15" customHeight="1" x14ac:dyDescent="0.2">
      <c r="A53" s="114">
        <f t="shared" si="9"/>
        <v>51</v>
      </c>
      <c r="B53" s="115" t="s">
        <v>469</v>
      </c>
      <c r="C53" s="116" t="s">
        <v>429</v>
      </c>
      <c r="D53" s="124"/>
      <c r="E53" s="116" t="s">
        <v>297</v>
      </c>
      <c r="F53" s="114"/>
      <c r="G53" s="117" t="s">
        <v>188</v>
      </c>
      <c r="H53" s="114" t="s">
        <v>374</v>
      </c>
      <c r="I53" s="116" t="s">
        <v>133</v>
      </c>
      <c r="J53" s="116" t="s">
        <v>181</v>
      </c>
      <c r="K53" s="116" t="s">
        <v>133</v>
      </c>
      <c r="L53" s="115" t="s">
        <v>224</v>
      </c>
      <c r="M53" s="115" t="s">
        <v>224</v>
      </c>
      <c r="N53" s="118">
        <v>46112</v>
      </c>
      <c r="O53" s="116">
        <v>211</v>
      </c>
      <c r="P53" s="118">
        <v>46113</v>
      </c>
      <c r="Q53" s="118">
        <v>46125</v>
      </c>
      <c r="R53" s="118">
        <v>46113</v>
      </c>
      <c r="S53" s="114"/>
      <c r="T53" s="114"/>
      <c r="U53" s="114" t="s">
        <v>206</v>
      </c>
      <c r="V53" s="116" t="s">
        <v>75</v>
      </c>
      <c r="W53" s="116">
        <v>211</v>
      </c>
      <c r="X53" s="116">
        <v>211</v>
      </c>
      <c r="Y53" s="114"/>
      <c r="Z53" s="114" t="s">
        <v>207</v>
      </c>
      <c r="AA53" s="114"/>
      <c r="AB53" s="119"/>
      <c r="AC53" s="120">
        <v>30.5</v>
      </c>
      <c r="AD53" s="114"/>
      <c r="AE53" s="116">
        <v>211</v>
      </c>
      <c r="AF53" s="114" t="s">
        <v>208</v>
      </c>
      <c r="AG53" s="116" t="s">
        <v>75</v>
      </c>
      <c r="AH53" s="120">
        <v>24.5</v>
      </c>
      <c r="AI53" s="114">
        <f t="shared" si="0"/>
        <v>5169.5</v>
      </c>
      <c r="AJ53" s="114"/>
      <c r="AK53" s="117" t="s">
        <v>186</v>
      </c>
      <c r="AL53" s="116">
        <v>211</v>
      </c>
      <c r="AM53" s="114">
        <v>18</v>
      </c>
      <c r="AN53" s="114">
        <f t="shared" si="18"/>
        <v>3798</v>
      </c>
      <c r="AO53" s="114"/>
      <c r="AP53" s="114"/>
      <c r="AQ53" s="114">
        <f t="shared" si="19"/>
        <v>0</v>
      </c>
      <c r="AR53" s="114">
        <f t="shared" si="20"/>
        <v>3798</v>
      </c>
      <c r="AS53" s="114"/>
      <c r="AT53" s="112" t="s">
        <v>373</v>
      </c>
      <c r="AU53" s="113"/>
      <c r="AV53" s="114">
        <f t="shared" si="21"/>
        <v>18</v>
      </c>
      <c r="AW53" s="114">
        <f t="shared" si="22"/>
        <v>3798</v>
      </c>
      <c r="AX53" s="114"/>
      <c r="AY53" s="116" t="s">
        <v>185</v>
      </c>
      <c r="AZ53" s="121"/>
      <c r="BA53" s="114">
        <f t="shared" si="23"/>
        <v>18</v>
      </c>
      <c r="BB53" s="114">
        <f t="shared" si="24"/>
        <v>211</v>
      </c>
      <c r="BC53" s="114">
        <f t="shared" si="25"/>
        <v>3798</v>
      </c>
      <c r="BD53" s="114"/>
      <c r="BE53" s="114" t="s">
        <v>395</v>
      </c>
      <c r="BF53" s="115" t="s">
        <v>469</v>
      </c>
      <c r="BG53" s="122" t="s">
        <v>176</v>
      </c>
    </row>
    <row r="54" spans="1:59" s="122" customFormat="1" ht="15" customHeight="1" x14ac:dyDescent="0.2">
      <c r="A54" s="114">
        <f t="shared" si="9"/>
        <v>52</v>
      </c>
      <c r="B54" s="115" t="s">
        <v>504</v>
      </c>
      <c r="C54" s="116" t="s">
        <v>430</v>
      </c>
      <c r="D54" s="124"/>
      <c r="E54" s="116" t="s">
        <v>290</v>
      </c>
      <c r="F54" s="114"/>
      <c r="G54" s="117" t="s">
        <v>188</v>
      </c>
      <c r="H54" s="114" t="s">
        <v>374</v>
      </c>
      <c r="I54" s="116" t="s">
        <v>133</v>
      </c>
      <c r="J54" s="116" t="s">
        <v>181</v>
      </c>
      <c r="K54" s="116" t="s">
        <v>133</v>
      </c>
      <c r="L54" s="115" t="s">
        <v>224</v>
      </c>
      <c r="M54" s="115" t="s">
        <v>224</v>
      </c>
      <c r="N54" s="118">
        <v>46112</v>
      </c>
      <c r="O54" s="116">
        <v>10</v>
      </c>
      <c r="P54" s="118">
        <v>46113</v>
      </c>
      <c r="Q54" s="118">
        <v>46125</v>
      </c>
      <c r="R54" s="118">
        <v>46113</v>
      </c>
      <c r="S54" s="114"/>
      <c r="T54" s="114"/>
      <c r="U54" s="114" t="s">
        <v>206</v>
      </c>
      <c r="V54" s="116" t="s">
        <v>76</v>
      </c>
      <c r="W54" s="116">
        <v>10</v>
      </c>
      <c r="X54" s="116">
        <v>10</v>
      </c>
      <c r="Y54" s="114"/>
      <c r="Z54" s="114" t="s">
        <v>207</v>
      </c>
      <c r="AA54" s="114"/>
      <c r="AB54" s="119"/>
      <c r="AC54" s="120">
        <v>25.5</v>
      </c>
      <c r="AD54" s="114"/>
      <c r="AE54" s="116">
        <v>10</v>
      </c>
      <c r="AF54" s="114" t="s">
        <v>208</v>
      </c>
      <c r="AG54" s="116" t="s">
        <v>76</v>
      </c>
      <c r="AH54" s="120">
        <v>12.5</v>
      </c>
      <c r="AI54" s="114">
        <f t="shared" si="0"/>
        <v>125</v>
      </c>
      <c r="AJ54" s="114"/>
      <c r="AK54" s="117" t="s">
        <v>186</v>
      </c>
      <c r="AL54" s="116">
        <v>10</v>
      </c>
      <c r="AM54" s="114">
        <v>18</v>
      </c>
      <c r="AN54" s="114">
        <f t="shared" si="18"/>
        <v>180</v>
      </c>
      <c r="AO54" s="114"/>
      <c r="AP54" s="114"/>
      <c r="AQ54" s="114">
        <f t="shared" si="19"/>
        <v>0</v>
      </c>
      <c r="AR54" s="114">
        <f t="shared" si="20"/>
        <v>180</v>
      </c>
      <c r="AS54" s="114"/>
      <c r="AT54" s="112" t="s">
        <v>373</v>
      </c>
      <c r="AU54" s="113"/>
      <c r="AV54" s="114">
        <f t="shared" si="21"/>
        <v>18</v>
      </c>
      <c r="AW54" s="114">
        <f t="shared" si="22"/>
        <v>180</v>
      </c>
      <c r="AX54" s="114"/>
      <c r="AY54" s="116" t="s">
        <v>185</v>
      </c>
      <c r="AZ54" s="121"/>
      <c r="BA54" s="114">
        <f t="shared" si="23"/>
        <v>18</v>
      </c>
      <c r="BB54" s="114">
        <f t="shared" si="24"/>
        <v>10</v>
      </c>
      <c r="BC54" s="114">
        <f t="shared" si="25"/>
        <v>180</v>
      </c>
      <c r="BD54" s="114"/>
      <c r="BE54" s="114" t="s">
        <v>396</v>
      </c>
      <c r="BF54" s="115" t="s">
        <v>504</v>
      </c>
      <c r="BG54" s="122" t="s">
        <v>176</v>
      </c>
    </row>
    <row r="55" spans="1:59" s="122" customFormat="1" ht="15" customHeight="1" x14ac:dyDescent="0.2">
      <c r="A55" s="114">
        <f t="shared" si="9"/>
        <v>53</v>
      </c>
      <c r="B55" s="115" t="s">
        <v>505</v>
      </c>
      <c r="C55" s="116" t="s">
        <v>430</v>
      </c>
      <c r="D55" s="124"/>
      <c r="E55" s="116" t="s">
        <v>293</v>
      </c>
      <c r="F55" s="114"/>
      <c r="G55" s="117" t="s">
        <v>188</v>
      </c>
      <c r="H55" s="114" t="s">
        <v>374</v>
      </c>
      <c r="I55" s="116" t="s">
        <v>133</v>
      </c>
      <c r="J55" s="116" t="s">
        <v>181</v>
      </c>
      <c r="K55" s="116" t="s">
        <v>133</v>
      </c>
      <c r="L55" s="115" t="s">
        <v>224</v>
      </c>
      <c r="M55" s="115" t="s">
        <v>224</v>
      </c>
      <c r="N55" s="118">
        <v>46112</v>
      </c>
      <c r="O55" s="116">
        <v>178</v>
      </c>
      <c r="P55" s="118">
        <v>46113</v>
      </c>
      <c r="Q55" s="118">
        <v>46125</v>
      </c>
      <c r="R55" s="118">
        <v>46113</v>
      </c>
      <c r="S55" s="114"/>
      <c r="T55" s="114"/>
      <c r="U55" s="114" t="s">
        <v>206</v>
      </c>
      <c r="V55" s="116" t="s">
        <v>76</v>
      </c>
      <c r="W55" s="116">
        <v>178</v>
      </c>
      <c r="X55" s="116">
        <v>172</v>
      </c>
      <c r="Y55" s="114"/>
      <c r="Z55" s="114" t="s">
        <v>207</v>
      </c>
      <c r="AA55" s="114"/>
      <c r="AB55" s="119"/>
      <c r="AC55" s="120">
        <v>25.5</v>
      </c>
      <c r="AD55" s="114"/>
      <c r="AE55" s="116">
        <v>178</v>
      </c>
      <c r="AF55" s="114" t="s">
        <v>208</v>
      </c>
      <c r="AG55" s="116" t="s">
        <v>76</v>
      </c>
      <c r="AH55" s="120">
        <v>12.5</v>
      </c>
      <c r="AI55" s="114">
        <f t="shared" si="0"/>
        <v>2225</v>
      </c>
      <c r="AJ55" s="114"/>
      <c r="AK55" s="117" t="s">
        <v>186</v>
      </c>
      <c r="AL55" s="116">
        <v>172</v>
      </c>
      <c r="AM55" s="114">
        <v>18</v>
      </c>
      <c r="AN55" s="114">
        <f t="shared" si="18"/>
        <v>3096</v>
      </c>
      <c r="AO55" s="114"/>
      <c r="AP55" s="114"/>
      <c r="AQ55" s="114">
        <f t="shared" si="19"/>
        <v>0</v>
      </c>
      <c r="AR55" s="114">
        <f t="shared" si="20"/>
        <v>3096</v>
      </c>
      <c r="AS55" s="114"/>
      <c r="AT55" s="112" t="s">
        <v>373</v>
      </c>
      <c r="AU55" s="113"/>
      <c r="AV55" s="114">
        <f t="shared" si="21"/>
        <v>18</v>
      </c>
      <c r="AW55" s="114">
        <f t="shared" si="22"/>
        <v>3096</v>
      </c>
      <c r="AX55" s="114"/>
      <c r="AY55" s="116" t="s">
        <v>185</v>
      </c>
      <c r="AZ55" s="121"/>
      <c r="BA55" s="114">
        <f t="shared" si="23"/>
        <v>18</v>
      </c>
      <c r="BB55" s="114">
        <f t="shared" si="24"/>
        <v>172</v>
      </c>
      <c r="BC55" s="114">
        <f t="shared" si="25"/>
        <v>3096</v>
      </c>
      <c r="BD55" s="114"/>
      <c r="BE55" s="114" t="s">
        <v>397</v>
      </c>
      <c r="BF55" s="115" t="s">
        <v>505</v>
      </c>
      <c r="BG55" s="122" t="s">
        <v>176</v>
      </c>
    </row>
    <row r="56" spans="1:59" s="122" customFormat="1" ht="15" customHeight="1" x14ac:dyDescent="0.2">
      <c r="A56" s="114">
        <f t="shared" si="9"/>
        <v>54</v>
      </c>
      <c r="B56" s="115" t="s">
        <v>477</v>
      </c>
      <c r="C56" s="116" t="s">
        <v>431</v>
      </c>
      <c r="D56" s="124"/>
      <c r="E56" s="116" t="s">
        <v>300</v>
      </c>
      <c r="F56" s="114"/>
      <c r="G56" s="117" t="s">
        <v>188</v>
      </c>
      <c r="H56" s="114" t="s">
        <v>374</v>
      </c>
      <c r="I56" s="116" t="s">
        <v>133</v>
      </c>
      <c r="J56" s="116" t="s">
        <v>181</v>
      </c>
      <c r="K56" s="116" t="s">
        <v>133</v>
      </c>
      <c r="L56" s="115" t="s">
        <v>224</v>
      </c>
      <c r="M56" s="115" t="s">
        <v>224</v>
      </c>
      <c r="N56" s="118">
        <v>46112</v>
      </c>
      <c r="O56" s="116">
        <v>160</v>
      </c>
      <c r="P56" s="118">
        <v>46113</v>
      </c>
      <c r="Q56" s="118">
        <v>46125</v>
      </c>
      <c r="R56" s="118">
        <v>46113</v>
      </c>
      <c r="S56" s="114"/>
      <c r="T56" s="114"/>
      <c r="U56" s="114" t="s">
        <v>206</v>
      </c>
      <c r="V56" s="116" t="s">
        <v>76</v>
      </c>
      <c r="W56" s="116">
        <v>160</v>
      </c>
      <c r="X56" s="116">
        <v>154</v>
      </c>
      <c r="Y56" s="114"/>
      <c r="Z56" s="114" t="s">
        <v>207</v>
      </c>
      <c r="AA56" s="114"/>
      <c r="AB56" s="119"/>
      <c r="AC56" s="120">
        <v>25.5</v>
      </c>
      <c r="AD56" s="114"/>
      <c r="AE56" s="116">
        <v>160</v>
      </c>
      <c r="AF56" s="114" t="s">
        <v>208</v>
      </c>
      <c r="AG56" s="116" t="s">
        <v>76</v>
      </c>
      <c r="AH56" s="120">
        <v>12.5</v>
      </c>
      <c r="AI56" s="114">
        <f t="shared" si="0"/>
        <v>2000</v>
      </c>
      <c r="AJ56" s="114"/>
      <c r="AK56" s="117" t="s">
        <v>186</v>
      </c>
      <c r="AL56" s="116">
        <v>154</v>
      </c>
      <c r="AM56" s="114">
        <v>18</v>
      </c>
      <c r="AN56" s="114">
        <f t="shared" si="18"/>
        <v>2772</v>
      </c>
      <c r="AO56" s="114"/>
      <c r="AP56" s="114"/>
      <c r="AQ56" s="114">
        <f t="shared" si="19"/>
        <v>0</v>
      </c>
      <c r="AR56" s="114">
        <f t="shared" si="20"/>
        <v>2772</v>
      </c>
      <c r="AS56" s="114"/>
      <c r="AT56" s="112" t="s">
        <v>373</v>
      </c>
      <c r="AU56" s="113"/>
      <c r="AV56" s="114">
        <f t="shared" si="21"/>
        <v>18</v>
      </c>
      <c r="AW56" s="114">
        <f t="shared" si="22"/>
        <v>2772</v>
      </c>
      <c r="AX56" s="114"/>
      <c r="AY56" s="116" t="s">
        <v>185</v>
      </c>
      <c r="AZ56" s="121"/>
      <c r="BA56" s="114">
        <f t="shared" si="23"/>
        <v>18</v>
      </c>
      <c r="BB56" s="114">
        <f t="shared" si="24"/>
        <v>154</v>
      </c>
      <c r="BC56" s="114">
        <f t="shared" si="25"/>
        <v>2772</v>
      </c>
      <c r="BD56" s="114"/>
      <c r="BE56" s="114" t="s">
        <v>398</v>
      </c>
      <c r="BF56" s="115" t="s">
        <v>477</v>
      </c>
      <c r="BG56" s="122" t="s">
        <v>176</v>
      </c>
    </row>
    <row r="57" spans="1:59" s="122" customFormat="1" ht="15" customHeight="1" x14ac:dyDescent="0.2">
      <c r="A57" s="114">
        <f t="shared" si="9"/>
        <v>55</v>
      </c>
      <c r="B57" s="115" t="s">
        <v>506</v>
      </c>
      <c r="C57" s="116" t="s">
        <v>432</v>
      </c>
      <c r="D57" s="124"/>
      <c r="E57" s="116" t="s">
        <v>304</v>
      </c>
      <c r="F57" s="114"/>
      <c r="G57" s="117" t="s">
        <v>188</v>
      </c>
      <c r="H57" s="114" t="s">
        <v>374</v>
      </c>
      <c r="I57" s="116" t="s">
        <v>133</v>
      </c>
      <c r="J57" s="116" t="s">
        <v>181</v>
      </c>
      <c r="K57" s="116" t="s">
        <v>133</v>
      </c>
      <c r="L57" s="115" t="s">
        <v>224</v>
      </c>
      <c r="M57" s="115" t="s">
        <v>224</v>
      </c>
      <c r="N57" s="118">
        <v>46112</v>
      </c>
      <c r="O57" s="116">
        <v>162</v>
      </c>
      <c r="P57" s="118">
        <v>46113</v>
      </c>
      <c r="Q57" s="118">
        <v>46125</v>
      </c>
      <c r="R57" s="118">
        <v>46113</v>
      </c>
      <c r="S57" s="114"/>
      <c r="T57" s="114"/>
      <c r="U57" s="114" t="s">
        <v>206</v>
      </c>
      <c r="V57" s="116" t="s">
        <v>76</v>
      </c>
      <c r="W57" s="116">
        <v>162</v>
      </c>
      <c r="X57" s="116">
        <v>156</v>
      </c>
      <c r="Y57" s="114"/>
      <c r="Z57" s="114" t="s">
        <v>207</v>
      </c>
      <c r="AA57" s="114"/>
      <c r="AB57" s="119"/>
      <c r="AC57" s="120">
        <v>25.5</v>
      </c>
      <c r="AD57" s="114"/>
      <c r="AE57" s="116">
        <v>162</v>
      </c>
      <c r="AF57" s="114" t="s">
        <v>208</v>
      </c>
      <c r="AG57" s="116" t="s">
        <v>76</v>
      </c>
      <c r="AH57" s="120">
        <v>12.5</v>
      </c>
      <c r="AI57" s="114">
        <f t="shared" si="0"/>
        <v>2025</v>
      </c>
      <c r="AJ57" s="114"/>
      <c r="AK57" s="117" t="s">
        <v>186</v>
      </c>
      <c r="AL57" s="116">
        <v>156</v>
      </c>
      <c r="AM57" s="114">
        <v>18</v>
      </c>
      <c r="AN57" s="114">
        <f t="shared" si="18"/>
        <v>2808</v>
      </c>
      <c r="AO57" s="114"/>
      <c r="AP57" s="114"/>
      <c r="AQ57" s="114">
        <f t="shared" si="19"/>
        <v>0</v>
      </c>
      <c r="AR57" s="114">
        <f t="shared" si="20"/>
        <v>2808</v>
      </c>
      <c r="AS57" s="114"/>
      <c r="AT57" s="112" t="s">
        <v>373</v>
      </c>
      <c r="AU57" s="113"/>
      <c r="AV57" s="114">
        <f t="shared" si="21"/>
        <v>18</v>
      </c>
      <c r="AW57" s="114">
        <f t="shared" si="22"/>
        <v>2808</v>
      </c>
      <c r="AX57" s="114"/>
      <c r="AY57" s="116" t="s">
        <v>185</v>
      </c>
      <c r="AZ57" s="121"/>
      <c r="BA57" s="114">
        <f t="shared" si="23"/>
        <v>18</v>
      </c>
      <c r="BB57" s="114">
        <f t="shared" si="24"/>
        <v>156</v>
      </c>
      <c r="BC57" s="114">
        <f t="shared" si="25"/>
        <v>2808</v>
      </c>
      <c r="BD57" s="114"/>
      <c r="BE57" s="114" t="s">
        <v>399</v>
      </c>
      <c r="BF57" s="115" t="s">
        <v>506</v>
      </c>
      <c r="BG57" s="122" t="s">
        <v>176</v>
      </c>
    </row>
    <row r="58" spans="1:59" s="122" customFormat="1" ht="15" customHeight="1" x14ac:dyDescent="0.2">
      <c r="A58" s="114">
        <f t="shared" si="9"/>
        <v>56</v>
      </c>
      <c r="B58" s="115" t="s">
        <v>470</v>
      </c>
      <c r="C58" s="116" t="s">
        <v>433</v>
      </c>
      <c r="D58" s="124"/>
      <c r="E58" s="116" t="s">
        <v>306</v>
      </c>
      <c r="F58" s="114"/>
      <c r="G58" s="117" t="s">
        <v>188</v>
      </c>
      <c r="H58" s="114" t="s">
        <v>374</v>
      </c>
      <c r="I58" s="116" t="s">
        <v>133</v>
      </c>
      <c r="J58" s="116" t="s">
        <v>181</v>
      </c>
      <c r="K58" s="116" t="s">
        <v>133</v>
      </c>
      <c r="L58" s="115" t="s">
        <v>224</v>
      </c>
      <c r="M58" s="115" t="s">
        <v>224</v>
      </c>
      <c r="N58" s="118">
        <v>46112</v>
      </c>
      <c r="O58" s="116">
        <v>86</v>
      </c>
      <c r="P58" s="118">
        <v>46113</v>
      </c>
      <c r="Q58" s="118">
        <v>46125</v>
      </c>
      <c r="R58" s="118">
        <v>46113</v>
      </c>
      <c r="S58" s="114"/>
      <c r="T58" s="114"/>
      <c r="U58" s="114" t="s">
        <v>206</v>
      </c>
      <c r="V58" s="116" t="s">
        <v>76</v>
      </c>
      <c r="W58" s="116">
        <v>86</v>
      </c>
      <c r="X58" s="116">
        <v>82</v>
      </c>
      <c r="Y58" s="114"/>
      <c r="Z58" s="114" t="s">
        <v>207</v>
      </c>
      <c r="AA58" s="114"/>
      <c r="AB58" s="119"/>
      <c r="AC58" s="120">
        <v>25.5</v>
      </c>
      <c r="AD58" s="114"/>
      <c r="AE58" s="116">
        <v>86</v>
      </c>
      <c r="AF58" s="114" t="s">
        <v>208</v>
      </c>
      <c r="AG58" s="116" t="s">
        <v>76</v>
      </c>
      <c r="AH58" s="120">
        <v>12.5</v>
      </c>
      <c r="AI58" s="114">
        <f t="shared" si="0"/>
        <v>1075</v>
      </c>
      <c r="AJ58" s="114"/>
      <c r="AK58" s="117" t="s">
        <v>186</v>
      </c>
      <c r="AL58" s="116">
        <v>82</v>
      </c>
      <c r="AM58" s="114">
        <v>18</v>
      </c>
      <c r="AN58" s="114">
        <f t="shared" si="18"/>
        <v>1476</v>
      </c>
      <c r="AO58" s="114"/>
      <c r="AP58" s="114"/>
      <c r="AQ58" s="114">
        <f t="shared" si="19"/>
        <v>0</v>
      </c>
      <c r="AR58" s="114">
        <f t="shared" si="20"/>
        <v>1476</v>
      </c>
      <c r="AS58" s="114"/>
      <c r="AT58" s="112" t="s">
        <v>373</v>
      </c>
      <c r="AU58" s="113"/>
      <c r="AV58" s="114">
        <f t="shared" si="21"/>
        <v>18</v>
      </c>
      <c r="AW58" s="114">
        <f t="shared" si="22"/>
        <v>1476</v>
      </c>
      <c r="AX58" s="114"/>
      <c r="AY58" s="116" t="s">
        <v>185</v>
      </c>
      <c r="AZ58" s="121"/>
      <c r="BA58" s="114">
        <f t="shared" si="23"/>
        <v>18</v>
      </c>
      <c r="BB58" s="114">
        <f t="shared" si="24"/>
        <v>82</v>
      </c>
      <c r="BC58" s="114">
        <f t="shared" si="25"/>
        <v>1476</v>
      </c>
      <c r="BD58" s="114"/>
      <c r="BE58" s="114" t="s">
        <v>400</v>
      </c>
      <c r="BF58" s="115" t="s">
        <v>470</v>
      </c>
      <c r="BG58" s="122" t="s">
        <v>176</v>
      </c>
    </row>
    <row r="59" spans="1:59" s="122" customFormat="1" ht="15" customHeight="1" x14ac:dyDescent="0.2">
      <c r="A59" s="114">
        <f t="shared" si="9"/>
        <v>57</v>
      </c>
      <c r="B59" s="115" t="s">
        <v>478</v>
      </c>
      <c r="C59" s="116" t="s">
        <v>434</v>
      </c>
      <c r="D59" s="124"/>
      <c r="E59" s="116" t="s">
        <v>308</v>
      </c>
      <c r="F59" s="114"/>
      <c r="G59" s="117" t="s">
        <v>188</v>
      </c>
      <c r="H59" s="114" t="s">
        <v>374</v>
      </c>
      <c r="I59" s="116" t="s">
        <v>133</v>
      </c>
      <c r="J59" s="116" t="s">
        <v>181</v>
      </c>
      <c r="K59" s="116" t="s">
        <v>133</v>
      </c>
      <c r="L59" s="115" t="s">
        <v>224</v>
      </c>
      <c r="M59" s="115" t="s">
        <v>224</v>
      </c>
      <c r="N59" s="118">
        <v>46112</v>
      </c>
      <c r="O59" s="116">
        <v>146</v>
      </c>
      <c r="P59" s="118">
        <v>46113</v>
      </c>
      <c r="Q59" s="118">
        <v>46125</v>
      </c>
      <c r="R59" s="118">
        <v>46113</v>
      </c>
      <c r="S59" s="114"/>
      <c r="T59" s="114"/>
      <c r="U59" s="114" t="s">
        <v>206</v>
      </c>
      <c r="V59" s="116" t="s">
        <v>76</v>
      </c>
      <c r="W59" s="116">
        <v>146</v>
      </c>
      <c r="X59" s="116">
        <v>142</v>
      </c>
      <c r="Y59" s="114"/>
      <c r="Z59" s="114" t="s">
        <v>207</v>
      </c>
      <c r="AA59" s="114"/>
      <c r="AB59" s="119"/>
      <c r="AC59" s="120">
        <v>25.5</v>
      </c>
      <c r="AD59" s="114"/>
      <c r="AE59" s="116">
        <v>146</v>
      </c>
      <c r="AF59" s="114" t="s">
        <v>208</v>
      </c>
      <c r="AG59" s="116" t="s">
        <v>76</v>
      </c>
      <c r="AH59" s="120">
        <v>12.5</v>
      </c>
      <c r="AI59" s="114">
        <f t="shared" si="0"/>
        <v>1825</v>
      </c>
      <c r="AJ59" s="114"/>
      <c r="AK59" s="117" t="s">
        <v>186</v>
      </c>
      <c r="AL59" s="116">
        <v>142</v>
      </c>
      <c r="AM59" s="114">
        <v>18</v>
      </c>
      <c r="AN59" s="114">
        <f t="shared" si="18"/>
        <v>2556</v>
      </c>
      <c r="AO59" s="114"/>
      <c r="AP59" s="114"/>
      <c r="AQ59" s="114">
        <f t="shared" si="19"/>
        <v>0</v>
      </c>
      <c r="AR59" s="114">
        <f t="shared" si="20"/>
        <v>2556</v>
      </c>
      <c r="AS59" s="114"/>
      <c r="AT59" s="112" t="s">
        <v>373</v>
      </c>
      <c r="AU59" s="113"/>
      <c r="AV59" s="114">
        <f t="shared" si="21"/>
        <v>18</v>
      </c>
      <c r="AW59" s="114">
        <f t="shared" si="22"/>
        <v>2556</v>
      </c>
      <c r="AX59" s="114"/>
      <c r="AY59" s="116" t="s">
        <v>185</v>
      </c>
      <c r="AZ59" s="121"/>
      <c r="BA59" s="114">
        <f t="shared" si="23"/>
        <v>18</v>
      </c>
      <c r="BB59" s="114">
        <f t="shared" si="24"/>
        <v>142</v>
      </c>
      <c r="BC59" s="114">
        <f t="shared" si="25"/>
        <v>2556</v>
      </c>
      <c r="BD59" s="114"/>
      <c r="BE59" s="114" t="s">
        <v>401</v>
      </c>
      <c r="BF59" s="115" t="s">
        <v>478</v>
      </c>
      <c r="BG59" s="122" t="s">
        <v>176</v>
      </c>
    </row>
    <row r="60" spans="1:59" s="122" customFormat="1" ht="15" customHeight="1" x14ac:dyDescent="0.2">
      <c r="A60" s="114">
        <f t="shared" si="9"/>
        <v>58</v>
      </c>
      <c r="B60" s="115" t="s">
        <v>507</v>
      </c>
      <c r="C60" s="116" t="s">
        <v>435</v>
      </c>
      <c r="D60" s="124"/>
      <c r="E60" s="116" t="s">
        <v>311</v>
      </c>
      <c r="F60" s="114"/>
      <c r="G60" s="117" t="s">
        <v>188</v>
      </c>
      <c r="H60" s="114" t="s">
        <v>374</v>
      </c>
      <c r="I60" s="116" t="s">
        <v>133</v>
      </c>
      <c r="J60" s="116" t="s">
        <v>181</v>
      </c>
      <c r="K60" s="116" t="s">
        <v>133</v>
      </c>
      <c r="L60" s="115" t="s">
        <v>224</v>
      </c>
      <c r="M60" s="115" t="s">
        <v>224</v>
      </c>
      <c r="N60" s="118">
        <v>46112</v>
      </c>
      <c r="O60" s="116">
        <v>100</v>
      </c>
      <c r="P60" s="118">
        <v>46113</v>
      </c>
      <c r="Q60" s="118">
        <v>46125</v>
      </c>
      <c r="R60" s="118">
        <v>46113</v>
      </c>
      <c r="S60" s="114"/>
      <c r="T60" s="114"/>
      <c r="U60" s="114" t="s">
        <v>206</v>
      </c>
      <c r="V60" s="116" t="s">
        <v>76</v>
      </c>
      <c r="W60" s="116">
        <v>100</v>
      </c>
      <c r="X60" s="116">
        <v>96</v>
      </c>
      <c r="Y60" s="114"/>
      <c r="Z60" s="114" t="s">
        <v>207</v>
      </c>
      <c r="AA60" s="114"/>
      <c r="AB60" s="119"/>
      <c r="AC60" s="120">
        <v>25.5</v>
      </c>
      <c r="AD60" s="114"/>
      <c r="AE60" s="116">
        <v>100</v>
      </c>
      <c r="AF60" s="114" t="s">
        <v>208</v>
      </c>
      <c r="AG60" s="116" t="s">
        <v>76</v>
      </c>
      <c r="AH60" s="120">
        <v>12.5</v>
      </c>
      <c r="AI60" s="114">
        <f t="shared" si="0"/>
        <v>1250</v>
      </c>
      <c r="AJ60" s="114"/>
      <c r="AK60" s="117" t="s">
        <v>186</v>
      </c>
      <c r="AL60" s="116">
        <v>96</v>
      </c>
      <c r="AM60" s="114">
        <v>18</v>
      </c>
      <c r="AN60" s="114">
        <f t="shared" si="18"/>
        <v>1728</v>
      </c>
      <c r="AO60" s="114"/>
      <c r="AP60" s="114"/>
      <c r="AQ60" s="114">
        <f t="shared" si="19"/>
        <v>0</v>
      </c>
      <c r="AR60" s="114">
        <f t="shared" si="20"/>
        <v>1728</v>
      </c>
      <c r="AS60" s="114"/>
      <c r="AT60" s="112" t="s">
        <v>373</v>
      </c>
      <c r="AU60" s="113"/>
      <c r="AV60" s="114">
        <f t="shared" si="21"/>
        <v>18</v>
      </c>
      <c r="AW60" s="114">
        <f t="shared" si="22"/>
        <v>1728</v>
      </c>
      <c r="AX60" s="114"/>
      <c r="AY60" s="116" t="s">
        <v>185</v>
      </c>
      <c r="AZ60" s="121"/>
      <c r="BA60" s="114">
        <f t="shared" si="23"/>
        <v>18</v>
      </c>
      <c r="BB60" s="114">
        <f t="shared" si="24"/>
        <v>96</v>
      </c>
      <c r="BC60" s="114">
        <f t="shared" si="25"/>
        <v>1728</v>
      </c>
      <c r="BD60" s="114"/>
      <c r="BE60" s="114" t="s">
        <v>402</v>
      </c>
      <c r="BF60" s="115" t="s">
        <v>507</v>
      </c>
      <c r="BG60" s="122" t="s">
        <v>176</v>
      </c>
    </row>
    <row r="61" spans="1:59" s="122" customFormat="1" ht="15" customHeight="1" x14ac:dyDescent="0.2">
      <c r="A61" s="114">
        <f t="shared" si="9"/>
        <v>59</v>
      </c>
      <c r="B61" s="115" t="s">
        <v>508</v>
      </c>
      <c r="C61" s="116" t="s">
        <v>435</v>
      </c>
      <c r="D61" s="124"/>
      <c r="E61" s="116" t="s">
        <v>313</v>
      </c>
      <c r="F61" s="114"/>
      <c r="G61" s="117" t="s">
        <v>188</v>
      </c>
      <c r="H61" s="114" t="s">
        <v>374</v>
      </c>
      <c r="I61" s="116" t="s">
        <v>133</v>
      </c>
      <c r="J61" s="116" t="s">
        <v>181</v>
      </c>
      <c r="K61" s="116" t="s">
        <v>133</v>
      </c>
      <c r="L61" s="115" t="s">
        <v>224</v>
      </c>
      <c r="M61" s="115" t="s">
        <v>224</v>
      </c>
      <c r="N61" s="118">
        <v>46112</v>
      </c>
      <c r="O61" s="116">
        <v>116</v>
      </c>
      <c r="P61" s="118">
        <v>46113</v>
      </c>
      <c r="Q61" s="118">
        <v>46125</v>
      </c>
      <c r="R61" s="118">
        <v>46113</v>
      </c>
      <c r="S61" s="114"/>
      <c r="T61" s="114"/>
      <c r="U61" s="114" t="s">
        <v>206</v>
      </c>
      <c r="V61" s="116" t="s">
        <v>75</v>
      </c>
      <c r="W61" s="116">
        <v>116</v>
      </c>
      <c r="X61" s="116">
        <v>116</v>
      </c>
      <c r="Y61" s="114"/>
      <c r="Z61" s="114" t="s">
        <v>207</v>
      </c>
      <c r="AA61" s="114"/>
      <c r="AB61" s="119"/>
      <c r="AC61" s="120">
        <v>30.5</v>
      </c>
      <c r="AD61" s="114"/>
      <c r="AE61" s="116">
        <v>116</v>
      </c>
      <c r="AF61" s="114" t="s">
        <v>208</v>
      </c>
      <c r="AG61" s="116" t="s">
        <v>75</v>
      </c>
      <c r="AH61" s="120">
        <v>24.5</v>
      </c>
      <c r="AI61" s="114">
        <f t="shared" si="0"/>
        <v>2842</v>
      </c>
      <c r="AJ61" s="114"/>
      <c r="AK61" s="117" t="s">
        <v>186</v>
      </c>
      <c r="AL61" s="116">
        <v>116</v>
      </c>
      <c r="AM61" s="114">
        <v>18</v>
      </c>
      <c r="AN61" s="114">
        <f t="shared" si="18"/>
        <v>2088</v>
      </c>
      <c r="AO61" s="114"/>
      <c r="AP61" s="114"/>
      <c r="AQ61" s="114">
        <f t="shared" si="19"/>
        <v>0</v>
      </c>
      <c r="AR61" s="114">
        <f t="shared" si="20"/>
        <v>2088</v>
      </c>
      <c r="AS61" s="114"/>
      <c r="AT61" s="112" t="s">
        <v>373</v>
      </c>
      <c r="AU61" s="113"/>
      <c r="AV61" s="114">
        <f t="shared" si="21"/>
        <v>18</v>
      </c>
      <c r="AW61" s="114">
        <f t="shared" si="22"/>
        <v>2088</v>
      </c>
      <c r="AX61" s="114"/>
      <c r="AY61" s="116" t="s">
        <v>185</v>
      </c>
      <c r="AZ61" s="121"/>
      <c r="BA61" s="114">
        <f t="shared" si="23"/>
        <v>18</v>
      </c>
      <c r="BB61" s="114">
        <f t="shared" si="24"/>
        <v>116</v>
      </c>
      <c r="BC61" s="114">
        <f t="shared" si="25"/>
        <v>2088</v>
      </c>
      <c r="BD61" s="114"/>
      <c r="BE61" s="114" t="s">
        <v>403</v>
      </c>
      <c r="BF61" s="115" t="s">
        <v>508</v>
      </c>
      <c r="BG61" s="122" t="s">
        <v>176</v>
      </c>
    </row>
    <row r="62" spans="1:59" s="122" customFormat="1" ht="15" customHeight="1" x14ac:dyDescent="0.2">
      <c r="A62" s="114">
        <f t="shared" si="9"/>
        <v>60</v>
      </c>
      <c r="B62" s="115" t="s">
        <v>475</v>
      </c>
      <c r="C62" s="116" t="s">
        <v>436</v>
      </c>
      <c r="D62" s="124"/>
      <c r="E62" s="116" t="s">
        <v>315</v>
      </c>
      <c r="F62" s="114"/>
      <c r="G62" s="117" t="s">
        <v>188</v>
      </c>
      <c r="H62" s="114" t="s">
        <v>374</v>
      </c>
      <c r="I62" s="116" t="s">
        <v>133</v>
      </c>
      <c r="J62" s="116" t="s">
        <v>181</v>
      </c>
      <c r="K62" s="116" t="s">
        <v>133</v>
      </c>
      <c r="L62" s="115" t="s">
        <v>224</v>
      </c>
      <c r="M62" s="115" t="s">
        <v>224</v>
      </c>
      <c r="N62" s="118">
        <v>46112</v>
      </c>
      <c r="O62" s="116">
        <v>148</v>
      </c>
      <c r="P62" s="118">
        <v>46113</v>
      </c>
      <c r="Q62" s="118">
        <v>46125</v>
      </c>
      <c r="R62" s="118">
        <v>46113</v>
      </c>
      <c r="S62" s="114"/>
      <c r="T62" s="114"/>
      <c r="U62" s="114" t="s">
        <v>206</v>
      </c>
      <c r="V62" s="116" t="s">
        <v>76</v>
      </c>
      <c r="W62" s="116">
        <v>148</v>
      </c>
      <c r="X62" s="116">
        <v>144</v>
      </c>
      <c r="Y62" s="114"/>
      <c r="Z62" s="114" t="s">
        <v>207</v>
      </c>
      <c r="AA62" s="114"/>
      <c r="AB62" s="119"/>
      <c r="AC62" s="120">
        <v>25.5</v>
      </c>
      <c r="AD62" s="114"/>
      <c r="AE62" s="116">
        <v>148</v>
      </c>
      <c r="AF62" s="114" t="s">
        <v>208</v>
      </c>
      <c r="AG62" s="116" t="s">
        <v>76</v>
      </c>
      <c r="AH62" s="120">
        <v>12.5</v>
      </c>
      <c r="AI62" s="114">
        <f t="shared" si="0"/>
        <v>1850</v>
      </c>
      <c r="AJ62" s="114"/>
      <c r="AK62" s="117" t="s">
        <v>186</v>
      </c>
      <c r="AL62" s="116">
        <v>144</v>
      </c>
      <c r="AM62" s="114">
        <v>18</v>
      </c>
      <c r="AN62" s="114">
        <f t="shared" si="18"/>
        <v>2592</v>
      </c>
      <c r="AO62" s="114"/>
      <c r="AP62" s="114"/>
      <c r="AQ62" s="114">
        <f t="shared" si="19"/>
        <v>0</v>
      </c>
      <c r="AR62" s="114">
        <f t="shared" si="20"/>
        <v>2592</v>
      </c>
      <c r="AS62" s="114"/>
      <c r="AT62" s="112" t="s">
        <v>373</v>
      </c>
      <c r="AU62" s="113"/>
      <c r="AV62" s="114">
        <f t="shared" si="21"/>
        <v>18</v>
      </c>
      <c r="AW62" s="114">
        <f t="shared" si="22"/>
        <v>2592</v>
      </c>
      <c r="AX62" s="114"/>
      <c r="AY62" s="116" t="s">
        <v>185</v>
      </c>
      <c r="AZ62" s="121"/>
      <c r="BA62" s="114">
        <f t="shared" si="23"/>
        <v>18</v>
      </c>
      <c r="BB62" s="114">
        <f t="shared" si="24"/>
        <v>144</v>
      </c>
      <c r="BC62" s="114">
        <f t="shared" si="25"/>
        <v>2592</v>
      </c>
      <c r="BD62" s="114"/>
      <c r="BE62" s="114" t="s">
        <v>404</v>
      </c>
      <c r="BF62" s="115" t="s">
        <v>475</v>
      </c>
      <c r="BG62" s="122" t="s">
        <v>176</v>
      </c>
    </row>
    <row r="63" spans="1:59" s="122" customFormat="1" ht="15" customHeight="1" x14ac:dyDescent="0.2">
      <c r="A63" s="114">
        <f t="shared" si="9"/>
        <v>61</v>
      </c>
      <c r="B63" s="115" t="s">
        <v>461</v>
      </c>
      <c r="C63" s="116" t="s">
        <v>313</v>
      </c>
      <c r="D63" s="124"/>
      <c r="E63" s="116" t="s">
        <v>317</v>
      </c>
      <c r="F63" s="114"/>
      <c r="G63" s="117" t="s">
        <v>188</v>
      </c>
      <c r="H63" s="114" t="s">
        <v>374</v>
      </c>
      <c r="I63" s="116" t="s">
        <v>133</v>
      </c>
      <c r="J63" s="116" t="s">
        <v>181</v>
      </c>
      <c r="K63" s="116" t="s">
        <v>133</v>
      </c>
      <c r="L63" s="115" t="s">
        <v>224</v>
      </c>
      <c r="M63" s="115" t="s">
        <v>224</v>
      </c>
      <c r="N63" s="118">
        <v>46112</v>
      </c>
      <c r="O63" s="116">
        <v>76</v>
      </c>
      <c r="P63" s="118">
        <v>46113</v>
      </c>
      <c r="Q63" s="118">
        <v>46125</v>
      </c>
      <c r="R63" s="118">
        <v>46113</v>
      </c>
      <c r="S63" s="114"/>
      <c r="T63" s="114"/>
      <c r="U63" s="114" t="s">
        <v>206</v>
      </c>
      <c r="V63" s="116" t="s">
        <v>76</v>
      </c>
      <c r="W63" s="116">
        <v>76</v>
      </c>
      <c r="X63" s="116">
        <v>72</v>
      </c>
      <c r="Y63" s="114"/>
      <c r="Z63" s="114" t="s">
        <v>207</v>
      </c>
      <c r="AA63" s="114"/>
      <c r="AB63" s="119"/>
      <c r="AC63" s="120">
        <v>25.5</v>
      </c>
      <c r="AD63" s="114"/>
      <c r="AE63" s="116">
        <v>76</v>
      </c>
      <c r="AF63" s="114" t="s">
        <v>208</v>
      </c>
      <c r="AG63" s="116" t="s">
        <v>76</v>
      </c>
      <c r="AH63" s="120">
        <v>12.5</v>
      </c>
      <c r="AI63" s="114">
        <f t="shared" si="0"/>
        <v>950</v>
      </c>
      <c r="AJ63" s="114"/>
      <c r="AK63" s="117" t="s">
        <v>186</v>
      </c>
      <c r="AL63" s="116">
        <v>72</v>
      </c>
      <c r="AM63" s="114">
        <v>18</v>
      </c>
      <c r="AN63" s="114">
        <f t="shared" si="18"/>
        <v>1296</v>
      </c>
      <c r="AO63" s="114"/>
      <c r="AP63" s="114"/>
      <c r="AQ63" s="114">
        <f t="shared" si="19"/>
        <v>0</v>
      </c>
      <c r="AR63" s="114">
        <f t="shared" si="20"/>
        <v>1296</v>
      </c>
      <c r="AS63" s="114"/>
      <c r="AT63" s="112" t="s">
        <v>373</v>
      </c>
      <c r="AU63" s="113"/>
      <c r="AV63" s="114">
        <f t="shared" si="21"/>
        <v>18</v>
      </c>
      <c r="AW63" s="114">
        <f t="shared" si="22"/>
        <v>1296</v>
      </c>
      <c r="AX63" s="114"/>
      <c r="AY63" s="116" t="s">
        <v>185</v>
      </c>
      <c r="AZ63" s="121"/>
      <c r="BA63" s="114">
        <f t="shared" si="23"/>
        <v>18</v>
      </c>
      <c r="BB63" s="114">
        <f t="shared" si="24"/>
        <v>72</v>
      </c>
      <c r="BC63" s="114">
        <f t="shared" si="25"/>
        <v>1296</v>
      </c>
      <c r="BD63" s="114"/>
      <c r="BE63" s="114" t="s">
        <v>405</v>
      </c>
      <c r="BF63" s="115" t="s">
        <v>461</v>
      </c>
      <c r="BG63" s="122" t="s">
        <v>176</v>
      </c>
    </row>
    <row r="64" spans="1:59" s="122" customFormat="1" ht="15" customHeight="1" x14ac:dyDescent="0.2">
      <c r="A64" s="114">
        <f t="shared" si="9"/>
        <v>62</v>
      </c>
      <c r="B64" s="115" t="s">
        <v>479</v>
      </c>
      <c r="C64" s="116" t="s">
        <v>437</v>
      </c>
      <c r="D64" s="124"/>
      <c r="E64" s="116" t="s">
        <v>318</v>
      </c>
      <c r="F64" s="114"/>
      <c r="G64" s="117" t="s">
        <v>188</v>
      </c>
      <c r="H64" s="114" t="s">
        <v>374</v>
      </c>
      <c r="I64" s="116" t="s">
        <v>133</v>
      </c>
      <c r="J64" s="116" t="s">
        <v>181</v>
      </c>
      <c r="K64" s="116" t="s">
        <v>133</v>
      </c>
      <c r="L64" s="115" t="s">
        <v>224</v>
      </c>
      <c r="M64" s="115" t="s">
        <v>224</v>
      </c>
      <c r="N64" s="118">
        <v>46112</v>
      </c>
      <c r="O64" s="116">
        <v>49</v>
      </c>
      <c r="P64" s="118">
        <v>46113</v>
      </c>
      <c r="Q64" s="118">
        <v>46125</v>
      </c>
      <c r="R64" s="118">
        <v>46113</v>
      </c>
      <c r="S64" s="114"/>
      <c r="T64" s="114"/>
      <c r="U64" s="114" t="s">
        <v>206</v>
      </c>
      <c r="V64" s="116" t="s">
        <v>76</v>
      </c>
      <c r="W64" s="116">
        <v>49</v>
      </c>
      <c r="X64" s="116">
        <v>47</v>
      </c>
      <c r="Y64" s="114"/>
      <c r="Z64" s="114" t="s">
        <v>207</v>
      </c>
      <c r="AA64" s="114"/>
      <c r="AB64" s="119"/>
      <c r="AC64" s="120">
        <v>25.5</v>
      </c>
      <c r="AD64" s="114"/>
      <c r="AE64" s="116">
        <v>49</v>
      </c>
      <c r="AF64" s="114" t="s">
        <v>208</v>
      </c>
      <c r="AG64" s="116" t="s">
        <v>76</v>
      </c>
      <c r="AH64" s="120">
        <v>12.5</v>
      </c>
      <c r="AI64" s="114">
        <f t="shared" si="0"/>
        <v>612.5</v>
      </c>
      <c r="AJ64" s="114"/>
      <c r="AK64" s="117" t="s">
        <v>186</v>
      </c>
      <c r="AL64" s="116">
        <v>47</v>
      </c>
      <c r="AM64" s="114">
        <v>18</v>
      </c>
      <c r="AN64" s="114">
        <f t="shared" si="18"/>
        <v>846</v>
      </c>
      <c r="AO64" s="114"/>
      <c r="AP64" s="114"/>
      <c r="AQ64" s="114">
        <f t="shared" si="19"/>
        <v>0</v>
      </c>
      <c r="AR64" s="114">
        <f t="shared" si="20"/>
        <v>846</v>
      </c>
      <c r="AS64" s="114"/>
      <c r="AT64" s="112" t="s">
        <v>373</v>
      </c>
      <c r="AU64" s="113"/>
      <c r="AV64" s="114">
        <f t="shared" si="21"/>
        <v>18</v>
      </c>
      <c r="AW64" s="114">
        <f t="shared" si="22"/>
        <v>846</v>
      </c>
      <c r="AX64" s="114"/>
      <c r="AY64" s="116" t="s">
        <v>185</v>
      </c>
      <c r="AZ64" s="121"/>
      <c r="BA64" s="114">
        <f t="shared" si="23"/>
        <v>18</v>
      </c>
      <c r="BB64" s="114">
        <f t="shared" si="24"/>
        <v>47</v>
      </c>
      <c r="BC64" s="114">
        <f t="shared" si="25"/>
        <v>846</v>
      </c>
      <c r="BD64" s="114"/>
      <c r="BE64" s="114" t="s">
        <v>406</v>
      </c>
      <c r="BF64" s="115" t="s">
        <v>479</v>
      </c>
      <c r="BG64" s="122" t="s">
        <v>176</v>
      </c>
    </row>
    <row r="65" spans="1:59" s="122" customFormat="1" ht="15" customHeight="1" x14ac:dyDescent="0.2">
      <c r="A65" s="114">
        <f t="shared" si="9"/>
        <v>63</v>
      </c>
      <c r="B65" s="115" t="s">
        <v>471</v>
      </c>
      <c r="C65" s="116" t="s">
        <v>438</v>
      </c>
      <c r="D65" s="124"/>
      <c r="E65" s="116" t="s">
        <v>320</v>
      </c>
      <c r="F65" s="114"/>
      <c r="G65" s="117" t="s">
        <v>188</v>
      </c>
      <c r="H65" s="114" t="s">
        <v>374</v>
      </c>
      <c r="I65" s="116" t="s">
        <v>133</v>
      </c>
      <c r="J65" s="116" t="s">
        <v>181</v>
      </c>
      <c r="K65" s="116" t="s">
        <v>133</v>
      </c>
      <c r="L65" s="115" t="s">
        <v>224</v>
      </c>
      <c r="M65" s="115" t="s">
        <v>224</v>
      </c>
      <c r="N65" s="118">
        <v>46112</v>
      </c>
      <c r="O65" s="116">
        <v>10</v>
      </c>
      <c r="P65" s="118">
        <v>46113</v>
      </c>
      <c r="Q65" s="118">
        <v>46125</v>
      </c>
      <c r="R65" s="118">
        <v>46113</v>
      </c>
      <c r="S65" s="114"/>
      <c r="T65" s="114"/>
      <c r="U65" s="114" t="s">
        <v>206</v>
      </c>
      <c r="V65" s="116" t="s">
        <v>76</v>
      </c>
      <c r="W65" s="116">
        <v>10</v>
      </c>
      <c r="X65" s="116">
        <v>10</v>
      </c>
      <c r="Y65" s="114"/>
      <c r="Z65" s="114" t="s">
        <v>207</v>
      </c>
      <c r="AA65" s="114"/>
      <c r="AB65" s="119"/>
      <c r="AC65" s="120">
        <v>25.5</v>
      </c>
      <c r="AD65" s="114"/>
      <c r="AE65" s="116">
        <v>10</v>
      </c>
      <c r="AF65" s="114" t="s">
        <v>208</v>
      </c>
      <c r="AG65" s="116" t="s">
        <v>76</v>
      </c>
      <c r="AH65" s="120">
        <v>12.5</v>
      </c>
      <c r="AI65" s="114">
        <f t="shared" si="0"/>
        <v>125</v>
      </c>
      <c r="AJ65" s="114"/>
      <c r="AK65" s="117" t="s">
        <v>186</v>
      </c>
      <c r="AL65" s="116">
        <v>10</v>
      </c>
      <c r="AM65" s="114">
        <v>18</v>
      </c>
      <c r="AN65" s="114">
        <f t="shared" si="18"/>
        <v>180</v>
      </c>
      <c r="AO65" s="114"/>
      <c r="AP65" s="114"/>
      <c r="AQ65" s="114">
        <f t="shared" si="19"/>
        <v>0</v>
      </c>
      <c r="AR65" s="114">
        <f t="shared" si="20"/>
        <v>180</v>
      </c>
      <c r="AS65" s="114"/>
      <c r="AT65" s="112" t="s">
        <v>373</v>
      </c>
      <c r="AU65" s="113"/>
      <c r="AV65" s="114">
        <f t="shared" si="21"/>
        <v>18</v>
      </c>
      <c r="AW65" s="114">
        <f t="shared" si="22"/>
        <v>180</v>
      </c>
      <c r="AX65" s="114"/>
      <c r="AY65" s="116" t="s">
        <v>185</v>
      </c>
      <c r="AZ65" s="121"/>
      <c r="BA65" s="114">
        <f t="shared" si="23"/>
        <v>18</v>
      </c>
      <c r="BB65" s="114">
        <f t="shared" si="24"/>
        <v>10</v>
      </c>
      <c r="BC65" s="114">
        <f t="shared" si="25"/>
        <v>180</v>
      </c>
      <c r="BD65" s="114"/>
      <c r="BE65" s="114" t="s">
        <v>407</v>
      </c>
      <c r="BF65" s="115" t="s">
        <v>471</v>
      </c>
      <c r="BG65" s="122" t="s">
        <v>176</v>
      </c>
    </row>
    <row r="66" spans="1:59" s="122" customFormat="1" ht="15" customHeight="1" x14ac:dyDescent="0.2">
      <c r="A66" s="114">
        <f t="shared" si="9"/>
        <v>64</v>
      </c>
      <c r="B66" s="115" t="s">
        <v>509</v>
      </c>
      <c r="C66" s="116" t="s">
        <v>439</v>
      </c>
      <c r="D66" s="124"/>
      <c r="E66" s="116" t="s">
        <v>321</v>
      </c>
      <c r="F66" s="114"/>
      <c r="G66" s="117" t="s">
        <v>188</v>
      </c>
      <c r="H66" s="114" t="s">
        <v>374</v>
      </c>
      <c r="I66" s="116" t="s">
        <v>133</v>
      </c>
      <c r="J66" s="116" t="s">
        <v>181</v>
      </c>
      <c r="K66" s="116" t="s">
        <v>133</v>
      </c>
      <c r="L66" s="115" t="s">
        <v>224</v>
      </c>
      <c r="M66" s="115" t="s">
        <v>224</v>
      </c>
      <c r="N66" s="118">
        <v>46112</v>
      </c>
      <c r="O66" s="116">
        <v>42</v>
      </c>
      <c r="P66" s="118">
        <v>46113</v>
      </c>
      <c r="Q66" s="118">
        <v>46125</v>
      </c>
      <c r="R66" s="118">
        <v>46113</v>
      </c>
      <c r="S66" s="114"/>
      <c r="T66" s="114"/>
      <c r="U66" s="114" t="s">
        <v>206</v>
      </c>
      <c r="V66" s="116" t="s">
        <v>76</v>
      </c>
      <c r="W66" s="116">
        <v>42</v>
      </c>
      <c r="X66" s="116">
        <v>40</v>
      </c>
      <c r="Y66" s="114"/>
      <c r="Z66" s="114" t="s">
        <v>207</v>
      </c>
      <c r="AA66" s="114"/>
      <c r="AB66" s="119"/>
      <c r="AC66" s="120">
        <v>25.5</v>
      </c>
      <c r="AD66" s="114"/>
      <c r="AE66" s="116">
        <v>42</v>
      </c>
      <c r="AF66" s="114" t="s">
        <v>208</v>
      </c>
      <c r="AG66" s="116" t="s">
        <v>76</v>
      </c>
      <c r="AH66" s="120">
        <v>12.5</v>
      </c>
      <c r="AI66" s="114">
        <f t="shared" si="0"/>
        <v>525</v>
      </c>
      <c r="AJ66" s="114"/>
      <c r="AK66" s="117" t="s">
        <v>186</v>
      </c>
      <c r="AL66" s="116">
        <v>40</v>
      </c>
      <c r="AM66" s="114">
        <v>18</v>
      </c>
      <c r="AN66" s="114">
        <f t="shared" si="18"/>
        <v>720</v>
      </c>
      <c r="AO66" s="114"/>
      <c r="AP66" s="114"/>
      <c r="AQ66" s="114">
        <f t="shared" si="19"/>
        <v>0</v>
      </c>
      <c r="AR66" s="114">
        <f t="shared" si="20"/>
        <v>720</v>
      </c>
      <c r="AS66" s="114"/>
      <c r="AT66" s="112" t="s">
        <v>373</v>
      </c>
      <c r="AU66" s="113"/>
      <c r="AV66" s="114">
        <f t="shared" si="21"/>
        <v>18</v>
      </c>
      <c r="AW66" s="114">
        <f t="shared" si="22"/>
        <v>720</v>
      </c>
      <c r="AX66" s="114"/>
      <c r="AY66" s="116" t="s">
        <v>185</v>
      </c>
      <c r="AZ66" s="121"/>
      <c r="BA66" s="114">
        <f t="shared" si="23"/>
        <v>18</v>
      </c>
      <c r="BB66" s="114">
        <f t="shared" si="24"/>
        <v>40</v>
      </c>
      <c r="BC66" s="114">
        <f t="shared" si="25"/>
        <v>720</v>
      </c>
      <c r="BD66" s="114"/>
      <c r="BE66" s="114" t="s">
        <v>408</v>
      </c>
      <c r="BF66" s="115" t="s">
        <v>509</v>
      </c>
      <c r="BG66" s="122" t="s">
        <v>176</v>
      </c>
    </row>
    <row r="67" spans="1:59" s="122" customFormat="1" ht="15" customHeight="1" x14ac:dyDescent="0.2">
      <c r="A67" s="114">
        <f t="shared" si="9"/>
        <v>65</v>
      </c>
      <c r="B67" s="115" t="s">
        <v>510</v>
      </c>
      <c r="C67" s="116" t="s">
        <v>439</v>
      </c>
      <c r="D67" s="124"/>
      <c r="E67" s="116" t="s">
        <v>323</v>
      </c>
      <c r="F67" s="114"/>
      <c r="G67" s="117" t="s">
        <v>188</v>
      </c>
      <c r="H67" s="114" t="s">
        <v>374</v>
      </c>
      <c r="I67" s="116" t="s">
        <v>133</v>
      </c>
      <c r="J67" s="116" t="s">
        <v>181</v>
      </c>
      <c r="K67" s="116" t="s">
        <v>133</v>
      </c>
      <c r="L67" s="115" t="s">
        <v>224</v>
      </c>
      <c r="M67" s="115" t="s">
        <v>224</v>
      </c>
      <c r="N67" s="118">
        <v>46112</v>
      </c>
      <c r="O67" s="116">
        <v>133</v>
      </c>
      <c r="P67" s="118">
        <v>46113</v>
      </c>
      <c r="Q67" s="118">
        <v>46125</v>
      </c>
      <c r="R67" s="118">
        <v>46113</v>
      </c>
      <c r="S67" s="114"/>
      <c r="T67" s="114"/>
      <c r="U67" s="114" t="s">
        <v>206</v>
      </c>
      <c r="V67" s="116" t="s">
        <v>76</v>
      </c>
      <c r="W67" s="116">
        <v>133</v>
      </c>
      <c r="X67" s="116">
        <v>129</v>
      </c>
      <c r="Y67" s="114"/>
      <c r="Z67" s="114" t="s">
        <v>207</v>
      </c>
      <c r="AA67" s="114"/>
      <c r="AB67" s="119"/>
      <c r="AC67" s="120">
        <v>25.5</v>
      </c>
      <c r="AD67" s="114"/>
      <c r="AE67" s="116">
        <v>133</v>
      </c>
      <c r="AF67" s="114" t="s">
        <v>208</v>
      </c>
      <c r="AG67" s="116" t="s">
        <v>76</v>
      </c>
      <c r="AH67" s="120">
        <v>12.5</v>
      </c>
      <c r="AI67" s="114">
        <f t="shared" ref="AI67:AI86" si="26">IF(AE67&lt;&gt;"",AH67*AE67,0)</f>
        <v>1662.5</v>
      </c>
      <c r="AJ67" s="114"/>
      <c r="AK67" s="117" t="s">
        <v>186</v>
      </c>
      <c r="AL67" s="116">
        <v>129</v>
      </c>
      <c r="AM67" s="114">
        <v>18</v>
      </c>
      <c r="AN67" s="114">
        <f t="shared" si="18"/>
        <v>2322</v>
      </c>
      <c r="AO67" s="114"/>
      <c r="AP67" s="114"/>
      <c r="AQ67" s="114">
        <f t="shared" si="19"/>
        <v>0</v>
      </c>
      <c r="AR67" s="114">
        <f t="shared" si="20"/>
        <v>2322</v>
      </c>
      <c r="AS67" s="114"/>
      <c r="AT67" s="112" t="s">
        <v>373</v>
      </c>
      <c r="AU67" s="113"/>
      <c r="AV67" s="114">
        <f t="shared" si="21"/>
        <v>18</v>
      </c>
      <c r="AW67" s="114">
        <f t="shared" si="22"/>
        <v>2322</v>
      </c>
      <c r="AX67" s="114"/>
      <c r="AY67" s="116" t="s">
        <v>185</v>
      </c>
      <c r="AZ67" s="121"/>
      <c r="BA67" s="114">
        <f t="shared" si="23"/>
        <v>18</v>
      </c>
      <c r="BB67" s="114">
        <f t="shared" si="24"/>
        <v>129</v>
      </c>
      <c r="BC67" s="114">
        <f t="shared" si="25"/>
        <v>2322</v>
      </c>
      <c r="BD67" s="114"/>
      <c r="BE67" s="114" t="s">
        <v>409</v>
      </c>
      <c r="BF67" s="115" t="s">
        <v>510</v>
      </c>
      <c r="BG67" s="122" t="s">
        <v>176</v>
      </c>
    </row>
    <row r="68" spans="1:59" s="122" customFormat="1" ht="15" customHeight="1" x14ac:dyDescent="0.2">
      <c r="A68" s="114">
        <f t="shared" si="9"/>
        <v>66</v>
      </c>
      <c r="B68" s="115" t="s">
        <v>511</v>
      </c>
      <c r="C68" s="116" t="s">
        <v>440</v>
      </c>
      <c r="D68" s="124"/>
      <c r="E68" s="116" t="s">
        <v>325</v>
      </c>
      <c r="F68" s="114"/>
      <c r="G68" s="117" t="s">
        <v>188</v>
      </c>
      <c r="H68" s="114" t="s">
        <v>374</v>
      </c>
      <c r="I68" s="116" t="s">
        <v>133</v>
      </c>
      <c r="J68" s="116" t="s">
        <v>181</v>
      </c>
      <c r="K68" s="116" t="s">
        <v>133</v>
      </c>
      <c r="L68" s="115" t="s">
        <v>224</v>
      </c>
      <c r="M68" s="115" t="s">
        <v>224</v>
      </c>
      <c r="N68" s="118">
        <v>46112</v>
      </c>
      <c r="O68" s="116">
        <v>10</v>
      </c>
      <c r="P68" s="118">
        <v>46113</v>
      </c>
      <c r="Q68" s="118">
        <v>46125</v>
      </c>
      <c r="R68" s="118">
        <v>46113</v>
      </c>
      <c r="S68" s="114"/>
      <c r="T68" s="114"/>
      <c r="U68" s="114" t="s">
        <v>206</v>
      </c>
      <c r="V68" s="116" t="s">
        <v>76</v>
      </c>
      <c r="W68" s="116">
        <v>10</v>
      </c>
      <c r="X68" s="116">
        <v>10</v>
      </c>
      <c r="Y68" s="114"/>
      <c r="Z68" s="114" t="s">
        <v>207</v>
      </c>
      <c r="AA68" s="114"/>
      <c r="AB68" s="119"/>
      <c r="AC68" s="120">
        <v>25.5</v>
      </c>
      <c r="AD68" s="114"/>
      <c r="AE68" s="116">
        <v>10</v>
      </c>
      <c r="AF68" s="114" t="s">
        <v>208</v>
      </c>
      <c r="AG68" s="116" t="s">
        <v>76</v>
      </c>
      <c r="AH68" s="120">
        <v>12.5</v>
      </c>
      <c r="AI68" s="114">
        <f t="shared" si="26"/>
        <v>125</v>
      </c>
      <c r="AJ68" s="114"/>
      <c r="AK68" s="117" t="s">
        <v>186</v>
      </c>
      <c r="AL68" s="116">
        <v>10</v>
      </c>
      <c r="AM68" s="114">
        <v>18</v>
      </c>
      <c r="AN68" s="114">
        <f t="shared" si="18"/>
        <v>180</v>
      </c>
      <c r="AO68" s="114"/>
      <c r="AP68" s="114"/>
      <c r="AQ68" s="114">
        <f t="shared" si="19"/>
        <v>0</v>
      </c>
      <c r="AR68" s="114">
        <f t="shared" si="20"/>
        <v>180</v>
      </c>
      <c r="AS68" s="114"/>
      <c r="AT68" s="112" t="s">
        <v>373</v>
      </c>
      <c r="AU68" s="113"/>
      <c r="AV68" s="114">
        <f t="shared" si="21"/>
        <v>18</v>
      </c>
      <c r="AW68" s="114">
        <f t="shared" si="22"/>
        <v>180</v>
      </c>
      <c r="AX68" s="114"/>
      <c r="AY68" s="116" t="s">
        <v>185</v>
      </c>
      <c r="AZ68" s="121"/>
      <c r="BA68" s="114">
        <f t="shared" si="23"/>
        <v>18</v>
      </c>
      <c r="BB68" s="114">
        <f t="shared" si="24"/>
        <v>10</v>
      </c>
      <c r="BC68" s="114">
        <f t="shared" si="25"/>
        <v>180</v>
      </c>
      <c r="BD68" s="114"/>
      <c r="BE68" s="114" t="s">
        <v>410</v>
      </c>
      <c r="BF68" s="115" t="s">
        <v>511</v>
      </c>
      <c r="BG68" s="122" t="s">
        <v>176</v>
      </c>
    </row>
    <row r="69" spans="1:59" s="122" customFormat="1" ht="15" customHeight="1" x14ac:dyDescent="0.2">
      <c r="A69" s="114">
        <f t="shared" ref="A69:A86" si="27">A68+1</f>
        <v>67</v>
      </c>
      <c r="B69" s="115" t="s">
        <v>512</v>
      </c>
      <c r="C69" s="116" t="s">
        <v>440</v>
      </c>
      <c r="D69" s="124"/>
      <c r="E69" s="116" t="s">
        <v>328</v>
      </c>
      <c r="F69" s="114"/>
      <c r="G69" s="117" t="s">
        <v>188</v>
      </c>
      <c r="H69" s="114" t="s">
        <v>374</v>
      </c>
      <c r="I69" s="116" t="s">
        <v>133</v>
      </c>
      <c r="J69" s="116" t="s">
        <v>181</v>
      </c>
      <c r="K69" s="116" t="s">
        <v>133</v>
      </c>
      <c r="L69" s="115" t="s">
        <v>224</v>
      </c>
      <c r="M69" s="115" t="s">
        <v>224</v>
      </c>
      <c r="N69" s="118">
        <v>46112</v>
      </c>
      <c r="O69" s="116">
        <v>186</v>
      </c>
      <c r="P69" s="118">
        <v>46113</v>
      </c>
      <c r="Q69" s="118">
        <v>46125</v>
      </c>
      <c r="R69" s="118">
        <v>46113</v>
      </c>
      <c r="S69" s="114"/>
      <c r="T69" s="114"/>
      <c r="U69" s="114" t="s">
        <v>206</v>
      </c>
      <c r="V69" s="116" t="s">
        <v>76</v>
      </c>
      <c r="W69" s="116">
        <v>186</v>
      </c>
      <c r="X69" s="116">
        <v>180</v>
      </c>
      <c r="Y69" s="114"/>
      <c r="Z69" s="114" t="s">
        <v>207</v>
      </c>
      <c r="AA69" s="114"/>
      <c r="AB69" s="119"/>
      <c r="AC69" s="120">
        <v>25.5</v>
      </c>
      <c r="AD69" s="114"/>
      <c r="AE69" s="116">
        <v>186</v>
      </c>
      <c r="AF69" s="114" t="s">
        <v>208</v>
      </c>
      <c r="AG69" s="116" t="s">
        <v>76</v>
      </c>
      <c r="AH69" s="120">
        <v>12.5</v>
      </c>
      <c r="AI69" s="114">
        <f t="shared" si="26"/>
        <v>2325</v>
      </c>
      <c r="AJ69" s="114"/>
      <c r="AK69" s="117" t="s">
        <v>186</v>
      </c>
      <c r="AL69" s="116">
        <v>180</v>
      </c>
      <c r="AM69" s="114">
        <v>18</v>
      </c>
      <c r="AN69" s="114">
        <f t="shared" si="18"/>
        <v>3240</v>
      </c>
      <c r="AO69" s="114"/>
      <c r="AP69" s="114"/>
      <c r="AQ69" s="114">
        <f t="shared" si="19"/>
        <v>0</v>
      </c>
      <c r="AR69" s="114">
        <f t="shared" si="20"/>
        <v>3240</v>
      </c>
      <c r="AS69" s="114"/>
      <c r="AT69" s="112" t="s">
        <v>373</v>
      </c>
      <c r="AU69" s="113"/>
      <c r="AV69" s="114">
        <f t="shared" si="21"/>
        <v>18</v>
      </c>
      <c r="AW69" s="114">
        <f t="shared" si="22"/>
        <v>3240</v>
      </c>
      <c r="AX69" s="114"/>
      <c r="AY69" s="116" t="s">
        <v>185</v>
      </c>
      <c r="AZ69" s="121"/>
      <c r="BA69" s="114">
        <f t="shared" si="23"/>
        <v>18</v>
      </c>
      <c r="BB69" s="114">
        <f t="shared" si="24"/>
        <v>180</v>
      </c>
      <c r="BC69" s="114">
        <f t="shared" si="25"/>
        <v>3240</v>
      </c>
      <c r="BD69" s="114"/>
      <c r="BE69" s="114" t="s">
        <v>411</v>
      </c>
      <c r="BF69" s="115" t="s">
        <v>512</v>
      </c>
      <c r="BG69" s="122" t="s">
        <v>176</v>
      </c>
    </row>
    <row r="70" spans="1:59" s="122" customFormat="1" ht="15" customHeight="1" x14ac:dyDescent="0.2">
      <c r="A70" s="114">
        <f t="shared" si="27"/>
        <v>68</v>
      </c>
      <c r="B70" s="115" t="s">
        <v>513</v>
      </c>
      <c r="C70" s="116" t="s">
        <v>440</v>
      </c>
      <c r="D70" s="124"/>
      <c r="E70" s="116" t="s">
        <v>332</v>
      </c>
      <c r="F70" s="114"/>
      <c r="G70" s="117" t="s">
        <v>188</v>
      </c>
      <c r="H70" s="114" t="s">
        <v>374</v>
      </c>
      <c r="I70" s="116" t="s">
        <v>133</v>
      </c>
      <c r="J70" s="116" t="s">
        <v>181</v>
      </c>
      <c r="K70" s="116" t="s">
        <v>133</v>
      </c>
      <c r="L70" s="115" t="s">
        <v>224</v>
      </c>
      <c r="M70" s="115" t="s">
        <v>224</v>
      </c>
      <c r="N70" s="118">
        <v>46112</v>
      </c>
      <c r="O70" s="116">
        <v>204</v>
      </c>
      <c r="P70" s="118">
        <v>46113</v>
      </c>
      <c r="Q70" s="118">
        <v>46125</v>
      </c>
      <c r="R70" s="118">
        <v>46113</v>
      </c>
      <c r="S70" s="114"/>
      <c r="T70" s="114"/>
      <c r="U70" s="114" t="s">
        <v>206</v>
      </c>
      <c r="V70" s="116" t="s">
        <v>76</v>
      </c>
      <c r="W70" s="116">
        <v>204</v>
      </c>
      <c r="X70" s="116">
        <v>196</v>
      </c>
      <c r="Y70" s="114"/>
      <c r="Z70" s="114" t="s">
        <v>207</v>
      </c>
      <c r="AA70" s="114"/>
      <c r="AB70" s="119"/>
      <c r="AC70" s="120">
        <v>25.5</v>
      </c>
      <c r="AD70" s="114"/>
      <c r="AE70" s="116">
        <v>204</v>
      </c>
      <c r="AF70" s="114" t="s">
        <v>208</v>
      </c>
      <c r="AG70" s="116" t="s">
        <v>76</v>
      </c>
      <c r="AH70" s="120">
        <v>12.5</v>
      </c>
      <c r="AI70" s="114">
        <f t="shared" si="26"/>
        <v>2550</v>
      </c>
      <c r="AJ70" s="114"/>
      <c r="AK70" s="117" t="s">
        <v>186</v>
      </c>
      <c r="AL70" s="116">
        <v>196</v>
      </c>
      <c r="AM70" s="114">
        <v>18</v>
      </c>
      <c r="AN70" s="114">
        <f t="shared" si="18"/>
        <v>3528</v>
      </c>
      <c r="AO70" s="114"/>
      <c r="AP70" s="114"/>
      <c r="AQ70" s="114">
        <f t="shared" si="19"/>
        <v>0</v>
      </c>
      <c r="AR70" s="114">
        <f t="shared" si="20"/>
        <v>3528</v>
      </c>
      <c r="AS70" s="114"/>
      <c r="AT70" s="112" t="s">
        <v>373</v>
      </c>
      <c r="AU70" s="113"/>
      <c r="AV70" s="114">
        <f t="shared" si="21"/>
        <v>18</v>
      </c>
      <c r="AW70" s="114">
        <f t="shared" si="22"/>
        <v>3528</v>
      </c>
      <c r="AX70" s="114"/>
      <c r="AY70" s="116" t="s">
        <v>185</v>
      </c>
      <c r="AZ70" s="121"/>
      <c r="BA70" s="114">
        <f t="shared" si="23"/>
        <v>18</v>
      </c>
      <c r="BB70" s="114">
        <f t="shared" si="24"/>
        <v>196</v>
      </c>
      <c r="BC70" s="114">
        <f t="shared" si="25"/>
        <v>3528</v>
      </c>
      <c r="BD70" s="114"/>
      <c r="BE70" s="114" t="s">
        <v>412</v>
      </c>
      <c r="BF70" s="115" t="s">
        <v>513</v>
      </c>
      <c r="BG70" s="122" t="s">
        <v>176</v>
      </c>
    </row>
    <row r="71" spans="1:59" s="122" customFormat="1" ht="15" customHeight="1" x14ac:dyDescent="0.2">
      <c r="A71" s="114">
        <f t="shared" si="27"/>
        <v>69</v>
      </c>
      <c r="B71" s="115" t="s">
        <v>514</v>
      </c>
      <c r="C71" s="116" t="s">
        <v>441</v>
      </c>
      <c r="D71" s="124"/>
      <c r="E71" s="116" t="s">
        <v>334</v>
      </c>
      <c r="F71" s="114"/>
      <c r="G71" s="117" t="s">
        <v>188</v>
      </c>
      <c r="H71" s="114" t="s">
        <v>374</v>
      </c>
      <c r="I71" s="116" t="s">
        <v>133</v>
      </c>
      <c r="J71" s="116" t="s">
        <v>181</v>
      </c>
      <c r="K71" s="116" t="s">
        <v>133</v>
      </c>
      <c r="L71" s="115" t="s">
        <v>224</v>
      </c>
      <c r="M71" s="115" t="s">
        <v>224</v>
      </c>
      <c r="N71" s="118">
        <v>46112</v>
      </c>
      <c r="O71" s="116">
        <v>10</v>
      </c>
      <c r="P71" s="118">
        <v>46113</v>
      </c>
      <c r="Q71" s="118">
        <v>46125</v>
      </c>
      <c r="R71" s="118">
        <v>46113</v>
      </c>
      <c r="S71" s="114"/>
      <c r="T71" s="114"/>
      <c r="U71" s="114" t="s">
        <v>206</v>
      </c>
      <c r="V71" s="116" t="s">
        <v>76</v>
      </c>
      <c r="W71" s="116">
        <v>10</v>
      </c>
      <c r="X71" s="116">
        <v>10</v>
      </c>
      <c r="Y71" s="114"/>
      <c r="Z71" s="114" t="s">
        <v>207</v>
      </c>
      <c r="AA71" s="114"/>
      <c r="AB71" s="119"/>
      <c r="AC71" s="120">
        <v>25.5</v>
      </c>
      <c r="AD71" s="114"/>
      <c r="AE71" s="116">
        <v>10</v>
      </c>
      <c r="AF71" s="114" t="s">
        <v>208</v>
      </c>
      <c r="AG71" s="116" t="s">
        <v>76</v>
      </c>
      <c r="AH71" s="120">
        <v>12.5</v>
      </c>
      <c r="AI71" s="114">
        <f t="shared" si="26"/>
        <v>125</v>
      </c>
      <c r="AJ71" s="114"/>
      <c r="AK71" s="117" t="s">
        <v>186</v>
      </c>
      <c r="AL71" s="116">
        <v>10</v>
      </c>
      <c r="AM71" s="114">
        <v>18</v>
      </c>
      <c r="AN71" s="114">
        <f t="shared" si="18"/>
        <v>180</v>
      </c>
      <c r="AO71" s="114"/>
      <c r="AP71" s="114"/>
      <c r="AQ71" s="114">
        <f t="shared" si="19"/>
        <v>0</v>
      </c>
      <c r="AR71" s="114">
        <f t="shared" si="20"/>
        <v>180</v>
      </c>
      <c r="AS71" s="114"/>
      <c r="AT71" s="112" t="s">
        <v>373</v>
      </c>
      <c r="AU71" s="113"/>
      <c r="AV71" s="114">
        <f t="shared" si="21"/>
        <v>18</v>
      </c>
      <c r="AW71" s="114">
        <f t="shared" si="22"/>
        <v>180</v>
      </c>
      <c r="AX71" s="114"/>
      <c r="AY71" s="116" t="s">
        <v>185</v>
      </c>
      <c r="AZ71" s="121"/>
      <c r="BA71" s="114">
        <f t="shared" si="23"/>
        <v>18</v>
      </c>
      <c r="BB71" s="114">
        <f t="shared" si="24"/>
        <v>10</v>
      </c>
      <c r="BC71" s="114">
        <f t="shared" si="25"/>
        <v>180</v>
      </c>
      <c r="BD71" s="114"/>
      <c r="BE71" s="114" t="s">
        <v>413</v>
      </c>
      <c r="BF71" s="115" t="s">
        <v>514</v>
      </c>
      <c r="BG71" s="122" t="s">
        <v>176</v>
      </c>
    </row>
    <row r="72" spans="1:59" s="122" customFormat="1" ht="15" customHeight="1" x14ac:dyDescent="0.2">
      <c r="A72" s="114">
        <f t="shared" si="27"/>
        <v>70</v>
      </c>
      <c r="B72" s="115" t="s">
        <v>515</v>
      </c>
      <c r="C72" s="116" t="s">
        <v>441</v>
      </c>
      <c r="D72" s="124"/>
      <c r="E72" s="116" t="s">
        <v>335</v>
      </c>
      <c r="F72" s="114"/>
      <c r="G72" s="117" t="s">
        <v>188</v>
      </c>
      <c r="H72" s="114" t="s">
        <v>374</v>
      </c>
      <c r="I72" s="116" t="s">
        <v>133</v>
      </c>
      <c r="J72" s="116" t="s">
        <v>181</v>
      </c>
      <c r="K72" s="116" t="s">
        <v>133</v>
      </c>
      <c r="L72" s="115" t="s">
        <v>224</v>
      </c>
      <c r="M72" s="115" t="s">
        <v>224</v>
      </c>
      <c r="N72" s="118">
        <v>46112</v>
      </c>
      <c r="O72" s="116">
        <v>55</v>
      </c>
      <c r="P72" s="118">
        <v>46113</v>
      </c>
      <c r="Q72" s="118">
        <v>46125</v>
      </c>
      <c r="R72" s="118">
        <v>46113</v>
      </c>
      <c r="S72" s="114"/>
      <c r="T72" s="114"/>
      <c r="U72" s="114" t="s">
        <v>206</v>
      </c>
      <c r="V72" s="116" t="s">
        <v>76</v>
      </c>
      <c r="W72" s="116">
        <v>55</v>
      </c>
      <c r="X72" s="116">
        <v>53</v>
      </c>
      <c r="Y72" s="114"/>
      <c r="Z72" s="114" t="s">
        <v>207</v>
      </c>
      <c r="AA72" s="114"/>
      <c r="AB72" s="119"/>
      <c r="AC72" s="120">
        <v>25.5</v>
      </c>
      <c r="AD72" s="114"/>
      <c r="AE72" s="116">
        <v>55</v>
      </c>
      <c r="AF72" s="114" t="s">
        <v>208</v>
      </c>
      <c r="AG72" s="116" t="s">
        <v>76</v>
      </c>
      <c r="AH72" s="120">
        <v>12.5</v>
      </c>
      <c r="AI72" s="114">
        <f t="shared" si="26"/>
        <v>687.5</v>
      </c>
      <c r="AJ72" s="114"/>
      <c r="AK72" s="117" t="s">
        <v>186</v>
      </c>
      <c r="AL72" s="116">
        <v>53</v>
      </c>
      <c r="AM72" s="114">
        <v>18</v>
      </c>
      <c r="AN72" s="114">
        <f t="shared" si="18"/>
        <v>954</v>
      </c>
      <c r="AO72" s="114"/>
      <c r="AP72" s="114"/>
      <c r="AQ72" s="114">
        <f t="shared" si="19"/>
        <v>0</v>
      </c>
      <c r="AR72" s="114">
        <f t="shared" si="20"/>
        <v>954</v>
      </c>
      <c r="AS72" s="114"/>
      <c r="AT72" s="112" t="s">
        <v>373</v>
      </c>
      <c r="AU72" s="113"/>
      <c r="AV72" s="114">
        <f t="shared" si="21"/>
        <v>18</v>
      </c>
      <c r="AW72" s="114">
        <f t="shared" si="22"/>
        <v>954</v>
      </c>
      <c r="AX72" s="114"/>
      <c r="AY72" s="116" t="s">
        <v>185</v>
      </c>
      <c r="AZ72" s="121"/>
      <c r="BA72" s="114">
        <f t="shared" si="23"/>
        <v>18</v>
      </c>
      <c r="BB72" s="114">
        <f t="shared" si="24"/>
        <v>53</v>
      </c>
      <c r="BC72" s="114">
        <f t="shared" si="25"/>
        <v>954</v>
      </c>
      <c r="BD72" s="114"/>
      <c r="BE72" s="114" t="s">
        <v>414</v>
      </c>
      <c r="BF72" s="115" t="s">
        <v>515</v>
      </c>
      <c r="BG72" s="122" t="s">
        <v>176</v>
      </c>
    </row>
    <row r="73" spans="1:59" s="122" customFormat="1" ht="15" customHeight="1" x14ac:dyDescent="0.2">
      <c r="A73" s="114">
        <f t="shared" si="27"/>
        <v>71</v>
      </c>
      <c r="B73" s="115" t="s">
        <v>516</v>
      </c>
      <c r="C73" s="116" t="s">
        <v>441</v>
      </c>
      <c r="D73" s="124"/>
      <c r="E73" s="116" t="s">
        <v>338</v>
      </c>
      <c r="F73" s="114"/>
      <c r="G73" s="117" t="s">
        <v>188</v>
      </c>
      <c r="H73" s="114" t="s">
        <v>374</v>
      </c>
      <c r="I73" s="116" t="s">
        <v>133</v>
      </c>
      <c r="J73" s="116" t="s">
        <v>181</v>
      </c>
      <c r="K73" s="116" t="s">
        <v>133</v>
      </c>
      <c r="L73" s="115" t="s">
        <v>224</v>
      </c>
      <c r="M73" s="115" t="s">
        <v>224</v>
      </c>
      <c r="N73" s="118">
        <v>46112</v>
      </c>
      <c r="O73" s="116">
        <v>168</v>
      </c>
      <c r="P73" s="118">
        <v>46113</v>
      </c>
      <c r="Q73" s="118">
        <v>46125</v>
      </c>
      <c r="R73" s="118">
        <v>46113</v>
      </c>
      <c r="S73" s="114"/>
      <c r="T73" s="114"/>
      <c r="U73" s="114" t="s">
        <v>206</v>
      </c>
      <c r="V73" s="116" t="s">
        <v>75</v>
      </c>
      <c r="W73" s="116">
        <v>168</v>
      </c>
      <c r="X73" s="116">
        <v>168</v>
      </c>
      <c r="Y73" s="114"/>
      <c r="Z73" s="114" t="s">
        <v>207</v>
      </c>
      <c r="AA73" s="114"/>
      <c r="AB73" s="119"/>
      <c r="AC73" s="120">
        <v>30.5</v>
      </c>
      <c r="AD73" s="114"/>
      <c r="AE73" s="116">
        <v>168</v>
      </c>
      <c r="AF73" s="114" t="s">
        <v>208</v>
      </c>
      <c r="AG73" s="116" t="s">
        <v>75</v>
      </c>
      <c r="AH73" s="120">
        <v>24.5</v>
      </c>
      <c r="AI73" s="114">
        <f t="shared" si="26"/>
        <v>4116</v>
      </c>
      <c r="AJ73" s="114"/>
      <c r="AK73" s="117" t="s">
        <v>186</v>
      </c>
      <c r="AL73" s="116">
        <v>168</v>
      </c>
      <c r="AM73" s="114">
        <v>18</v>
      </c>
      <c r="AN73" s="114">
        <f t="shared" si="18"/>
        <v>3024</v>
      </c>
      <c r="AO73" s="114"/>
      <c r="AP73" s="114"/>
      <c r="AQ73" s="114">
        <f t="shared" si="19"/>
        <v>0</v>
      </c>
      <c r="AR73" s="114">
        <f t="shared" si="20"/>
        <v>3024</v>
      </c>
      <c r="AS73" s="114"/>
      <c r="AT73" s="112" t="s">
        <v>373</v>
      </c>
      <c r="AU73" s="113"/>
      <c r="AV73" s="114">
        <f t="shared" si="21"/>
        <v>18</v>
      </c>
      <c r="AW73" s="114">
        <f t="shared" si="22"/>
        <v>3024</v>
      </c>
      <c r="AX73" s="114"/>
      <c r="AY73" s="116" t="s">
        <v>185</v>
      </c>
      <c r="AZ73" s="121"/>
      <c r="BA73" s="114">
        <f t="shared" si="23"/>
        <v>18</v>
      </c>
      <c r="BB73" s="114">
        <f t="shared" si="24"/>
        <v>168</v>
      </c>
      <c r="BC73" s="114">
        <f t="shared" si="25"/>
        <v>3024</v>
      </c>
      <c r="BD73" s="114"/>
      <c r="BE73" s="114" t="s">
        <v>415</v>
      </c>
      <c r="BF73" s="115" t="s">
        <v>516</v>
      </c>
      <c r="BG73" s="122" t="s">
        <v>176</v>
      </c>
    </row>
    <row r="74" spans="1:59" s="122" customFormat="1" ht="15" customHeight="1" x14ac:dyDescent="0.2">
      <c r="A74" s="114">
        <f t="shared" si="27"/>
        <v>72</v>
      </c>
      <c r="B74" s="115" t="s">
        <v>480</v>
      </c>
      <c r="C74" s="116" t="s">
        <v>442</v>
      </c>
      <c r="D74" s="124"/>
      <c r="E74" s="116" t="s">
        <v>339</v>
      </c>
      <c r="F74" s="114"/>
      <c r="G74" s="117" t="s">
        <v>188</v>
      </c>
      <c r="H74" s="114" t="s">
        <v>374</v>
      </c>
      <c r="I74" s="116" t="s">
        <v>133</v>
      </c>
      <c r="J74" s="116" t="s">
        <v>181</v>
      </c>
      <c r="K74" s="116" t="s">
        <v>133</v>
      </c>
      <c r="L74" s="115" t="s">
        <v>224</v>
      </c>
      <c r="M74" s="115" t="s">
        <v>224</v>
      </c>
      <c r="N74" s="118">
        <v>46112</v>
      </c>
      <c r="O74" s="116">
        <v>41</v>
      </c>
      <c r="P74" s="118">
        <v>46113</v>
      </c>
      <c r="Q74" s="118">
        <v>46125</v>
      </c>
      <c r="R74" s="118">
        <v>46113</v>
      </c>
      <c r="S74" s="114"/>
      <c r="T74" s="114"/>
      <c r="U74" s="114" t="s">
        <v>206</v>
      </c>
      <c r="V74" s="116" t="s">
        <v>76</v>
      </c>
      <c r="W74" s="116">
        <v>41</v>
      </c>
      <c r="X74" s="116">
        <v>39</v>
      </c>
      <c r="Y74" s="114"/>
      <c r="Z74" s="114" t="s">
        <v>207</v>
      </c>
      <c r="AA74" s="114"/>
      <c r="AB74" s="119"/>
      <c r="AC74" s="120">
        <v>25.5</v>
      </c>
      <c r="AD74" s="114"/>
      <c r="AE74" s="116">
        <v>41</v>
      </c>
      <c r="AF74" s="114" t="s">
        <v>208</v>
      </c>
      <c r="AG74" s="116" t="s">
        <v>76</v>
      </c>
      <c r="AH74" s="120">
        <v>12.5</v>
      </c>
      <c r="AI74" s="114">
        <f t="shared" si="26"/>
        <v>512.5</v>
      </c>
      <c r="AJ74" s="114"/>
      <c r="AK74" s="117" t="s">
        <v>186</v>
      </c>
      <c r="AL74" s="116">
        <v>39</v>
      </c>
      <c r="AM74" s="114">
        <v>18</v>
      </c>
      <c r="AN74" s="114">
        <f t="shared" si="18"/>
        <v>702</v>
      </c>
      <c r="AO74" s="114"/>
      <c r="AP74" s="114"/>
      <c r="AQ74" s="114">
        <f t="shared" si="19"/>
        <v>0</v>
      </c>
      <c r="AR74" s="114">
        <f t="shared" si="20"/>
        <v>702</v>
      </c>
      <c r="AS74" s="114"/>
      <c r="AT74" s="112" t="s">
        <v>373</v>
      </c>
      <c r="AU74" s="113"/>
      <c r="AV74" s="114">
        <f t="shared" si="21"/>
        <v>18</v>
      </c>
      <c r="AW74" s="114">
        <f t="shared" si="22"/>
        <v>702</v>
      </c>
      <c r="AX74" s="114"/>
      <c r="AY74" s="116" t="s">
        <v>185</v>
      </c>
      <c r="AZ74" s="121"/>
      <c r="BA74" s="114">
        <f t="shared" si="23"/>
        <v>18</v>
      </c>
      <c r="BB74" s="114">
        <f t="shared" si="24"/>
        <v>39</v>
      </c>
      <c r="BC74" s="114">
        <f t="shared" si="25"/>
        <v>702</v>
      </c>
      <c r="BD74" s="114"/>
      <c r="BE74" s="114" t="s">
        <v>416</v>
      </c>
      <c r="BF74" s="115" t="s">
        <v>480</v>
      </c>
      <c r="BG74" s="122" t="s">
        <v>176</v>
      </c>
    </row>
    <row r="75" spans="1:59" s="122" customFormat="1" ht="15" customHeight="1" x14ac:dyDescent="0.2">
      <c r="A75" s="114">
        <f t="shared" si="27"/>
        <v>73</v>
      </c>
      <c r="B75" s="115" t="s">
        <v>476</v>
      </c>
      <c r="C75" s="116" t="s">
        <v>443</v>
      </c>
      <c r="D75" s="124"/>
      <c r="E75" s="116" t="s">
        <v>343</v>
      </c>
      <c r="F75" s="114"/>
      <c r="G75" s="117" t="s">
        <v>188</v>
      </c>
      <c r="H75" s="114" t="s">
        <v>374</v>
      </c>
      <c r="I75" s="116" t="s">
        <v>133</v>
      </c>
      <c r="J75" s="116" t="s">
        <v>181</v>
      </c>
      <c r="K75" s="116" t="s">
        <v>133</v>
      </c>
      <c r="L75" s="115" t="s">
        <v>224</v>
      </c>
      <c r="M75" s="115" t="s">
        <v>224</v>
      </c>
      <c r="N75" s="118">
        <v>46112</v>
      </c>
      <c r="O75" s="116">
        <v>178</v>
      </c>
      <c r="P75" s="118">
        <v>46113</v>
      </c>
      <c r="Q75" s="118">
        <v>46125</v>
      </c>
      <c r="R75" s="118">
        <v>46113</v>
      </c>
      <c r="S75" s="114"/>
      <c r="T75" s="114"/>
      <c r="U75" s="114" t="s">
        <v>206</v>
      </c>
      <c r="V75" s="116" t="s">
        <v>76</v>
      </c>
      <c r="W75" s="116">
        <v>178</v>
      </c>
      <c r="X75" s="116">
        <v>170</v>
      </c>
      <c r="Y75" s="114"/>
      <c r="Z75" s="114" t="s">
        <v>207</v>
      </c>
      <c r="AA75" s="114"/>
      <c r="AB75" s="119"/>
      <c r="AC75" s="120">
        <v>25.5</v>
      </c>
      <c r="AD75" s="114"/>
      <c r="AE75" s="116">
        <v>178</v>
      </c>
      <c r="AF75" s="114" t="s">
        <v>208</v>
      </c>
      <c r="AG75" s="116" t="s">
        <v>76</v>
      </c>
      <c r="AH75" s="120">
        <v>12.5</v>
      </c>
      <c r="AI75" s="114">
        <f t="shared" si="26"/>
        <v>2225</v>
      </c>
      <c r="AJ75" s="114"/>
      <c r="AK75" s="117" t="s">
        <v>186</v>
      </c>
      <c r="AL75" s="116">
        <v>170</v>
      </c>
      <c r="AM75" s="114">
        <v>18</v>
      </c>
      <c r="AN75" s="114">
        <f t="shared" si="18"/>
        <v>3060</v>
      </c>
      <c r="AO75" s="114"/>
      <c r="AP75" s="114"/>
      <c r="AQ75" s="114">
        <f t="shared" si="19"/>
        <v>0</v>
      </c>
      <c r="AR75" s="114">
        <f t="shared" si="20"/>
        <v>3060</v>
      </c>
      <c r="AS75" s="114"/>
      <c r="AT75" s="112" t="s">
        <v>373</v>
      </c>
      <c r="AU75" s="113"/>
      <c r="AV75" s="114">
        <f t="shared" si="21"/>
        <v>18</v>
      </c>
      <c r="AW75" s="114">
        <f t="shared" si="22"/>
        <v>3060</v>
      </c>
      <c r="AX75" s="114"/>
      <c r="AY75" s="116" t="s">
        <v>185</v>
      </c>
      <c r="AZ75" s="121"/>
      <c r="BA75" s="114">
        <f t="shared" si="23"/>
        <v>18</v>
      </c>
      <c r="BB75" s="114">
        <f t="shared" si="24"/>
        <v>170</v>
      </c>
      <c r="BC75" s="114">
        <f t="shared" si="25"/>
        <v>3060</v>
      </c>
      <c r="BD75" s="114"/>
      <c r="BE75" s="114" t="s">
        <v>417</v>
      </c>
      <c r="BF75" s="115" t="s">
        <v>476</v>
      </c>
      <c r="BG75" s="122" t="s">
        <v>176</v>
      </c>
    </row>
    <row r="76" spans="1:59" s="122" customFormat="1" ht="15" customHeight="1" x14ac:dyDescent="0.2">
      <c r="A76" s="114">
        <f t="shared" si="27"/>
        <v>74</v>
      </c>
      <c r="B76" s="115" t="s">
        <v>517</v>
      </c>
      <c r="C76" s="116" t="s">
        <v>452</v>
      </c>
      <c r="D76" s="124"/>
      <c r="E76" s="116" t="s">
        <v>347</v>
      </c>
      <c r="F76" s="114"/>
      <c r="G76" s="117" t="s">
        <v>188</v>
      </c>
      <c r="H76" s="114" t="s">
        <v>374</v>
      </c>
      <c r="I76" s="116" t="s">
        <v>133</v>
      </c>
      <c r="J76" s="116" t="s">
        <v>181</v>
      </c>
      <c r="K76" s="116" t="s">
        <v>133</v>
      </c>
      <c r="L76" s="115" t="s">
        <v>224</v>
      </c>
      <c r="M76" s="115" t="s">
        <v>224</v>
      </c>
      <c r="N76" s="118">
        <v>46112</v>
      </c>
      <c r="O76" s="116">
        <v>131</v>
      </c>
      <c r="P76" s="118">
        <v>46113</v>
      </c>
      <c r="Q76" s="118">
        <v>46125</v>
      </c>
      <c r="R76" s="118">
        <v>46113</v>
      </c>
      <c r="S76" s="114"/>
      <c r="T76" s="114"/>
      <c r="U76" s="114" t="s">
        <v>206</v>
      </c>
      <c r="V76" s="116" t="s">
        <v>76</v>
      </c>
      <c r="W76" s="116">
        <v>131</v>
      </c>
      <c r="X76" s="116">
        <v>125</v>
      </c>
      <c r="Y76" s="114"/>
      <c r="Z76" s="114" t="s">
        <v>207</v>
      </c>
      <c r="AA76" s="114"/>
      <c r="AB76" s="119"/>
      <c r="AC76" s="120">
        <v>25.5</v>
      </c>
      <c r="AD76" s="114"/>
      <c r="AE76" s="116">
        <v>131</v>
      </c>
      <c r="AF76" s="114" t="s">
        <v>208</v>
      </c>
      <c r="AG76" s="116" t="s">
        <v>76</v>
      </c>
      <c r="AH76" s="120">
        <v>12.5</v>
      </c>
      <c r="AI76" s="114">
        <f t="shared" si="26"/>
        <v>1637.5</v>
      </c>
      <c r="AJ76" s="114"/>
      <c r="AK76" s="117" t="s">
        <v>186</v>
      </c>
      <c r="AL76" s="116">
        <v>125</v>
      </c>
      <c r="AM76" s="114">
        <v>18</v>
      </c>
      <c r="AN76" s="114">
        <f t="shared" si="18"/>
        <v>2250</v>
      </c>
      <c r="AO76" s="114"/>
      <c r="AP76" s="114"/>
      <c r="AQ76" s="114">
        <f t="shared" si="19"/>
        <v>0</v>
      </c>
      <c r="AR76" s="114">
        <f t="shared" si="20"/>
        <v>2250</v>
      </c>
      <c r="AS76" s="114"/>
      <c r="AT76" s="112" t="s">
        <v>373</v>
      </c>
      <c r="AU76" s="113"/>
      <c r="AV76" s="114">
        <f t="shared" si="21"/>
        <v>18</v>
      </c>
      <c r="AW76" s="114">
        <f t="shared" si="22"/>
        <v>2250</v>
      </c>
      <c r="AX76" s="114"/>
      <c r="AY76" s="116" t="s">
        <v>185</v>
      </c>
      <c r="AZ76" s="121"/>
      <c r="BA76" s="114">
        <f t="shared" si="23"/>
        <v>18</v>
      </c>
      <c r="BB76" s="114">
        <f t="shared" si="24"/>
        <v>125</v>
      </c>
      <c r="BC76" s="114">
        <f t="shared" si="25"/>
        <v>2250</v>
      </c>
      <c r="BD76" s="114"/>
      <c r="BE76" s="114" t="s">
        <v>418</v>
      </c>
      <c r="BF76" s="115" t="s">
        <v>517</v>
      </c>
      <c r="BG76" s="122" t="s">
        <v>176</v>
      </c>
    </row>
    <row r="77" spans="1:59" s="122" customFormat="1" ht="15" customHeight="1" x14ac:dyDescent="0.2">
      <c r="A77" s="114">
        <f t="shared" si="27"/>
        <v>75</v>
      </c>
      <c r="B77" s="115" t="s">
        <v>472</v>
      </c>
      <c r="C77" s="116" t="s">
        <v>453</v>
      </c>
      <c r="D77" s="124"/>
      <c r="E77" s="116" t="s">
        <v>348</v>
      </c>
      <c r="F77" s="114"/>
      <c r="G77" s="117" t="s">
        <v>188</v>
      </c>
      <c r="H77" s="114" t="s">
        <v>374</v>
      </c>
      <c r="I77" s="116" t="s">
        <v>133</v>
      </c>
      <c r="J77" s="116" t="s">
        <v>181</v>
      </c>
      <c r="K77" s="116" t="s">
        <v>133</v>
      </c>
      <c r="L77" s="115" t="s">
        <v>224</v>
      </c>
      <c r="M77" s="115" t="s">
        <v>224</v>
      </c>
      <c r="N77" s="118">
        <v>46112</v>
      </c>
      <c r="O77" s="116">
        <v>10</v>
      </c>
      <c r="P77" s="118">
        <v>46113</v>
      </c>
      <c r="Q77" s="118">
        <v>46125</v>
      </c>
      <c r="R77" s="118">
        <v>46113</v>
      </c>
      <c r="S77" s="114"/>
      <c r="T77" s="114"/>
      <c r="U77" s="114" t="s">
        <v>206</v>
      </c>
      <c r="V77" s="116" t="s">
        <v>76</v>
      </c>
      <c r="W77" s="116">
        <v>10</v>
      </c>
      <c r="X77" s="116">
        <v>10</v>
      </c>
      <c r="Y77" s="114"/>
      <c r="Z77" s="114" t="s">
        <v>207</v>
      </c>
      <c r="AA77" s="114"/>
      <c r="AB77" s="119"/>
      <c r="AC77" s="120">
        <v>25.5</v>
      </c>
      <c r="AD77" s="114"/>
      <c r="AE77" s="116">
        <v>10</v>
      </c>
      <c r="AF77" s="114" t="s">
        <v>208</v>
      </c>
      <c r="AG77" s="116" t="s">
        <v>76</v>
      </c>
      <c r="AH77" s="120">
        <v>12.5</v>
      </c>
      <c r="AI77" s="114">
        <f t="shared" si="26"/>
        <v>125</v>
      </c>
      <c r="AJ77" s="114"/>
      <c r="AK77" s="117" t="s">
        <v>186</v>
      </c>
      <c r="AL77" s="116">
        <v>10</v>
      </c>
      <c r="AM77" s="114">
        <v>18</v>
      </c>
      <c r="AN77" s="114">
        <f t="shared" si="18"/>
        <v>180</v>
      </c>
      <c r="AO77" s="114"/>
      <c r="AP77" s="114"/>
      <c r="AQ77" s="114">
        <f t="shared" si="19"/>
        <v>0</v>
      </c>
      <c r="AR77" s="114">
        <f t="shared" si="20"/>
        <v>180</v>
      </c>
      <c r="AS77" s="114"/>
      <c r="AT77" s="112" t="s">
        <v>373</v>
      </c>
      <c r="AU77" s="113"/>
      <c r="AV77" s="114">
        <f t="shared" si="21"/>
        <v>18</v>
      </c>
      <c r="AW77" s="114">
        <f t="shared" si="22"/>
        <v>180</v>
      </c>
      <c r="AX77" s="114"/>
      <c r="AY77" s="116" t="s">
        <v>185</v>
      </c>
      <c r="AZ77" s="121"/>
      <c r="BA77" s="114">
        <f t="shared" si="23"/>
        <v>18</v>
      </c>
      <c r="BB77" s="114">
        <f t="shared" si="24"/>
        <v>10</v>
      </c>
      <c r="BC77" s="114">
        <f t="shared" si="25"/>
        <v>180</v>
      </c>
      <c r="BD77" s="114"/>
      <c r="BE77" s="114" t="s">
        <v>419</v>
      </c>
      <c r="BF77" s="115" t="s">
        <v>472</v>
      </c>
      <c r="BG77" s="122" t="s">
        <v>176</v>
      </c>
    </row>
    <row r="78" spans="1:59" s="122" customFormat="1" ht="15" customHeight="1" x14ac:dyDescent="0.2">
      <c r="A78" s="114">
        <f t="shared" si="27"/>
        <v>76</v>
      </c>
      <c r="B78" s="115" t="s">
        <v>518</v>
      </c>
      <c r="C78" s="116" t="s">
        <v>452</v>
      </c>
      <c r="D78" s="124"/>
      <c r="E78" s="116" t="s">
        <v>351</v>
      </c>
      <c r="F78" s="114"/>
      <c r="G78" s="117" t="s">
        <v>188</v>
      </c>
      <c r="H78" s="114" t="s">
        <v>374</v>
      </c>
      <c r="I78" s="116" t="s">
        <v>133</v>
      </c>
      <c r="J78" s="116" t="s">
        <v>181</v>
      </c>
      <c r="K78" s="116" t="s">
        <v>133</v>
      </c>
      <c r="L78" s="115" t="s">
        <v>224</v>
      </c>
      <c r="M78" s="115" t="s">
        <v>224</v>
      </c>
      <c r="N78" s="118">
        <v>46112</v>
      </c>
      <c r="O78" s="116">
        <v>139</v>
      </c>
      <c r="P78" s="118">
        <v>46113</v>
      </c>
      <c r="Q78" s="118">
        <v>46125</v>
      </c>
      <c r="R78" s="118">
        <v>46113</v>
      </c>
      <c r="S78" s="114"/>
      <c r="T78" s="114"/>
      <c r="U78" s="114" t="s">
        <v>206</v>
      </c>
      <c r="V78" s="116" t="s">
        <v>76</v>
      </c>
      <c r="W78" s="116">
        <v>139</v>
      </c>
      <c r="X78" s="116">
        <v>133</v>
      </c>
      <c r="Y78" s="114"/>
      <c r="Z78" s="114" t="s">
        <v>207</v>
      </c>
      <c r="AA78" s="114"/>
      <c r="AB78" s="119"/>
      <c r="AC78" s="120">
        <v>25.5</v>
      </c>
      <c r="AD78" s="114"/>
      <c r="AE78" s="116">
        <v>139</v>
      </c>
      <c r="AF78" s="114" t="s">
        <v>208</v>
      </c>
      <c r="AG78" s="116" t="s">
        <v>76</v>
      </c>
      <c r="AH78" s="120">
        <v>12.5</v>
      </c>
      <c r="AI78" s="114">
        <f t="shared" si="26"/>
        <v>1737.5</v>
      </c>
      <c r="AJ78" s="114"/>
      <c r="AK78" s="117" t="s">
        <v>186</v>
      </c>
      <c r="AL78" s="116">
        <v>133</v>
      </c>
      <c r="AM78" s="114">
        <v>18</v>
      </c>
      <c r="AN78" s="114">
        <f t="shared" si="18"/>
        <v>2394</v>
      </c>
      <c r="AO78" s="114"/>
      <c r="AP78" s="114"/>
      <c r="AQ78" s="114">
        <f t="shared" si="19"/>
        <v>0</v>
      </c>
      <c r="AR78" s="114">
        <f t="shared" si="20"/>
        <v>2394</v>
      </c>
      <c r="AS78" s="114"/>
      <c r="AT78" s="112" t="s">
        <v>373</v>
      </c>
      <c r="AU78" s="113"/>
      <c r="AV78" s="114">
        <f t="shared" si="21"/>
        <v>18</v>
      </c>
      <c r="AW78" s="114">
        <f t="shared" si="22"/>
        <v>2394</v>
      </c>
      <c r="AX78" s="114"/>
      <c r="AY78" s="116" t="s">
        <v>185</v>
      </c>
      <c r="AZ78" s="121"/>
      <c r="BA78" s="114">
        <f t="shared" si="23"/>
        <v>18</v>
      </c>
      <c r="BB78" s="114">
        <f t="shared" si="24"/>
        <v>133</v>
      </c>
      <c r="BC78" s="114">
        <f t="shared" si="25"/>
        <v>2394</v>
      </c>
      <c r="BD78" s="114"/>
      <c r="BE78" s="114" t="s">
        <v>420</v>
      </c>
      <c r="BF78" s="115" t="s">
        <v>518</v>
      </c>
      <c r="BG78" s="122" t="s">
        <v>176</v>
      </c>
    </row>
    <row r="79" spans="1:59" s="122" customFormat="1" ht="15" customHeight="1" x14ac:dyDescent="0.2">
      <c r="A79" s="114">
        <f t="shared" si="27"/>
        <v>77</v>
      </c>
      <c r="B79" s="115" t="s">
        <v>519</v>
      </c>
      <c r="C79" s="116" t="s">
        <v>454</v>
      </c>
      <c r="D79" s="124"/>
      <c r="E79" s="116" t="s">
        <v>353</v>
      </c>
      <c r="F79" s="114"/>
      <c r="G79" s="117" t="s">
        <v>188</v>
      </c>
      <c r="H79" s="114" t="s">
        <v>374</v>
      </c>
      <c r="I79" s="116" t="s">
        <v>133</v>
      </c>
      <c r="J79" s="116" t="s">
        <v>181</v>
      </c>
      <c r="K79" s="116" t="s">
        <v>133</v>
      </c>
      <c r="L79" s="115" t="s">
        <v>224</v>
      </c>
      <c r="M79" s="115" t="s">
        <v>224</v>
      </c>
      <c r="N79" s="118">
        <v>46112</v>
      </c>
      <c r="O79" s="116">
        <v>10</v>
      </c>
      <c r="P79" s="118">
        <v>46113</v>
      </c>
      <c r="Q79" s="118">
        <v>46125</v>
      </c>
      <c r="R79" s="118">
        <v>46113</v>
      </c>
      <c r="S79" s="114"/>
      <c r="T79" s="114"/>
      <c r="U79" s="114" t="s">
        <v>206</v>
      </c>
      <c r="V79" s="116" t="s">
        <v>76</v>
      </c>
      <c r="W79" s="116">
        <v>10</v>
      </c>
      <c r="X79" s="116">
        <v>10</v>
      </c>
      <c r="Y79" s="114"/>
      <c r="Z79" s="114" t="s">
        <v>207</v>
      </c>
      <c r="AA79" s="114"/>
      <c r="AB79" s="119"/>
      <c r="AC79" s="120">
        <v>25.5</v>
      </c>
      <c r="AD79" s="114"/>
      <c r="AE79" s="116">
        <v>10</v>
      </c>
      <c r="AF79" s="114" t="s">
        <v>208</v>
      </c>
      <c r="AG79" s="116" t="s">
        <v>76</v>
      </c>
      <c r="AH79" s="120">
        <v>12.5</v>
      </c>
      <c r="AI79" s="114">
        <f t="shared" si="26"/>
        <v>125</v>
      </c>
      <c r="AJ79" s="114"/>
      <c r="AK79" s="117" t="s">
        <v>186</v>
      </c>
      <c r="AL79" s="116">
        <v>10</v>
      </c>
      <c r="AM79" s="114">
        <v>18</v>
      </c>
      <c r="AN79" s="114">
        <f t="shared" si="18"/>
        <v>180</v>
      </c>
      <c r="AO79" s="114"/>
      <c r="AP79" s="114"/>
      <c r="AQ79" s="114">
        <f t="shared" si="19"/>
        <v>0</v>
      </c>
      <c r="AR79" s="114">
        <f t="shared" si="20"/>
        <v>180</v>
      </c>
      <c r="AS79" s="114"/>
      <c r="AT79" s="112" t="s">
        <v>373</v>
      </c>
      <c r="AU79" s="113"/>
      <c r="AV79" s="114">
        <f t="shared" si="21"/>
        <v>18</v>
      </c>
      <c r="AW79" s="114">
        <f t="shared" si="22"/>
        <v>180</v>
      </c>
      <c r="AX79" s="114"/>
      <c r="AY79" s="116" t="s">
        <v>185</v>
      </c>
      <c r="AZ79" s="121"/>
      <c r="BA79" s="114">
        <f t="shared" si="23"/>
        <v>18</v>
      </c>
      <c r="BB79" s="114">
        <f t="shared" si="24"/>
        <v>10</v>
      </c>
      <c r="BC79" s="114">
        <f t="shared" si="25"/>
        <v>180</v>
      </c>
      <c r="BD79" s="114"/>
      <c r="BE79" s="114" t="s">
        <v>444</v>
      </c>
      <c r="BF79" s="115" t="s">
        <v>519</v>
      </c>
      <c r="BG79" s="122" t="s">
        <v>176</v>
      </c>
    </row>
    <row r="80" spans="1:59" s="122" customFormat="1" ht="15" customHeight="1" x14ac:dyDescent="0.2">
      <c r="A80" s="114">
        <f t="shared" si="27"/>
        <v>78</v>
      </c>
      <c r="B80" s="115" t="s">
        <v>520</v>
      </c>
      <c r="C80" s="116" t="s">
        <v>454</v>
      </c>
      <c r="D80" s="124"/>
      <c r="E80" s="116" t="s">
        <v>356</v>
      </c>
      <c r="F80" s="114"/>
      <c r="G80" s="117" t="s">
        <v>188</v>
      </c>
      <c r="H80" s="114" t="s">
        <v>374</v>
      </c>
      <c r="I80" s="116" t="s">
        <v>133</v>
      </c>
      <c r="J80" s="116" t="s">
        <v>181</v>
      </c>
      <c r="K80" s="116" t="s">
        <v>133</v>
      </c>
      <c r="L80" s="115" t="s">
        <v>224</v>
      </c>
      <c r="M80" s="115" t="s">
        <v>224</v>
      </c>
      <c r="N80" s="118">
        <v>46112</v>
      </c>
      <c r="O80" s="116">
        <v>139</v>
      </c>
      <c r="P80" s="118">
        <v>46113</v>
      </c>
      <c r="Q80" s="118">
        <v>46125</v>
      </c>
      <c r="R80" s="118">
        <v>46113</v>
      </c>
      <c r="S80" s="114"/>
      <c r="T80" s="114"/>
      <c r="U80" s="114" t="s">
        <v>206</v>
      </c>
      <c r="V80" s="116" t="s">
        <v>76</v>
      </c>
      <c r="W80" s="116">
        <v>139</v>
      </c>
      <c r="X80" s="116">
        <v>133</v>
      </c>
      <c r="Y80" s="114"/>
      <c r="Z80" s="114" t="s">
        <v>207</v>
      </c>
      <c r="AA80" s="114"/>
      <c r="AB80" s="119"/>
      <c r="AC80" s="120">
        <v>25.5</v>
      </c>
      <c r="AD80" s="114"/>
      <c r="AE80" s="116">
        <v>139</v>
      </c>
      <c r="AF80" s="114" t="s">
        <v>208</v>
      </c>
      <c r="AG80" s="116" t="s">
        <v>76</v>
      </c>
      <c r="AH80" s="120">
        <v>12.5</v>
      </c>
      <c r="AI80" s="114">
        <f t="shared" si="26"/>
        <v>1737.5</v>
      </c>
      <c r="AJ80" s="114"/>
      <c r="AK80" s="117" t="s">
        <v>186</v>
      </c>
      <c r="AL80" s="116">
        <v>133</v>
      </c>
      <c r="AM80" s="114">
        <v>18</v>
      </c>
      <c r="AN80" s="114">
        <f t="shared" si="18"/>
        <v>2394</v>
      </c>
      <c r="AO80" s="114"/>
      <c r="AP80" s="114"/>
      <c r="AQ80" s="114">
        <f t="shared" si="19"/>
        <v>0</v>
      </c>
      <c r="AR80" s="114">
        <f t="shared" si="20"/>
        <v>2394</v>
      </c>
      <c r="AS80" s="114"/>
      <c r="AT80" s="112" t="s">
        <v>373</v>
      </c>
      <c r="AU80" s="113"/>
      <c r="AV80" s="114">
        <f t="shared" si="21"/>
        <v>18</v>
      </c>
      <c r="AW80" s="114">
        <f t="shared" si="22"/>
        <v>2394</v>
      </c>
      <c r="AX80" s="114"/>
      <c r="AY80" s="116" t="s">
        <v>185</v>
      </c>
      <c r="AZ80" s="121"/>
      <c r="BA80" s="114">
        <f t="shared" si="23"/>
        <v>18</v>
      </c>
      <c r="BB80" s="114">
        <f t="shared" si="24"/>
        <v>133</v>
      </c>
      <c r="BC80" s="114">
        <f t="shared" si="25"/>
        <v>2394</v>
      </c>
      <c r="BD80" s="114"/>
      <c r="BE80" s="114" t="s">
        <v>445</v>
      </c>
      <c r="BF80" s="115" t="s">
        <v>520</v>
      </c>
      <c r="BG80" s="122" t="s">
        <v>176</v>
      </c>
    </row>
    <row r="81" spans="1:59" s="122" customFormat="1" ht="15" customHeight="1" x14ac:dyDescent="0.2">
      <c r="A81" s="114">
        <f t="shared" si="27"/>
        <v>79</v>
      </c>
      <c r="B81" s="115" t="s">
        <v>521</v>
      </c>
      <c r="C81" s="116" t="s">
        <v>454</v>
      </c>
      <c r="D81" s="124"/>
      <c r="E81" s="116" t="s">
        <v>359</v>
      </c>
      <c r="F81" s="114"/>
      <c r="G81" s="117" t="s">
        <v>188</v>
      </c>
      <c r="H81" s="114" t="s">
        <v>374</v>
      </c>
      <c r="I81" s="116" t="s">
        <v>133</v>
      </c>
      <c r="J81" s="116" t="s">
        <v>181</v>
      </c>
      <c r="K81" s="116" t="s">
        <v>133</v>
      </c>
      <c r="L81" s="115" t="s">
        <v>224</v>
      </c>
      <c r="M81" s="115" t="s">
        <v>224</v>
      </c>
      <c r="N81" s="118">
        <v>46112</v>
      </c>
      <c r="O81" s="116">
        <v>133</v>
      </c>
      <c r="P81" s="118">
        <v>46113</v>
      </c>
      <c r="Q81" s="118">
        <v>46125</v>
      </c>
      <c r="R81" s="118">
        <v>46113</v>
      </c>
      <c r="S81" s="114"/>
      <c r="T81" s="114"/>
      <c r="U81" s="114" t="s">
        <v>206</v>
      </c>
      <c r="V81" s="116" t="s">
        <v>76</v>
      </c>
      <c r="W81" s="116">
        <v>133</v>
      </c>
      <c r="X81" s="116">
        <v>127</v>
      </c>
      <c r="Y81" s="114"/>
      <c r="Z81" s="114" t="s">
        <v>207</v>
      </c>
      <c r="AA81" s="114"/>
      <c r="AB81" s="119"/>
      <c r="AC81" s="120">
        <v>25.5</v>
      </c>
      <c r="AD81" s="114"/>
      <c r="AE81" s="116">
        <v>133</v>
      </c>
      <c r="AF81" s="114" t="s">
        <v>208</v>
      </c>
      <c r="AG81" s="116" t="s">
        <v>76</v>
      </c>
      <c r="AH81" s="120">
        <v>12.5</v>
      </c>
      <c r="AI81" s="114">
        <f t="shared" si="26"/>
        <v>1662.5</v>
      </c>
      <c r="AJ81" s="114"/>
      <c r="AK81" s="117" t="s">
        <v>186</v>
      </c>
      <c r="AL81" s="116">
        <v>127</v>
      </c>
      <c r="AM81" s="114">
        <v>18</v>
      </c>
      <c r="AN81" s="114">
        <f t="shared" si="18"/>
        <v>2286</v>
      </c>
      <c r="AO81" s="114"/>
      <c r="AP81" s="114"/>
      <c r="AQ81" s="114">
        <f t="shared" si="19"/>
        <v>0</v>
      </c>
      <c r="AR81" s="114">
        <f t="shared" si="20"/>
        <v>2286</v>
      </c>
      <c r="AS81" s="114"/>
      <c r="AT81" s="112" t="s">
        <v>373</v>
      </c>
      <c r="AU81" s="113"/>
      <c r="AV81" s="114">
        <f t="shared" si="21"/>
        <v>18</v>
      </c>
      <c r="AW81" s="114">
        <f t="shared" si="22"/>
        <v>2286</v>
      </c>
      <c r="AX81" s="114"/>
      <c r="AY81" s="116" t="s">
        <v>185</v>
      </c>
      <c r="AZ81" s="121"/>
      <c r="BA81" s="114">
        <f t="shared" si="23"/>
        <v>18</v>
      </c>
      <c r="BB81" s="114">
        <f t="shared" si="24"/>
        <v>127</v>
      </c>
      <c r="BC81" s="114">
        <f t="shared" si="25"/>
        <v>2286</v>
      </c>
      <c r="BD81" s="114"/>
      <c r="BE81" s="114" t="s">
        <v>446</v>
      </c>
      <c r="BF81" s="115" t="s">
        <v>521</v>
      </c>
      <c r="BG81" s="122" t="s">
        <v>176</v>
      </c>
    </row>
    <row r="82" spans="1:59" s="122" customFormat="1" ht="15" customHeight="1" x14ac:dyDescent="0.2">
      <c r="A82" s="114">
        <f t="shared" si="27"/>
        <v>80</v>
      </c>
      <c r="B82" s="115" t="s">
        <v>522</v>
      </c>
      <c r="C82" s="116" t="s">
        <v>454</v>
      </c>
      <c r="D82" s="124"/>
      <c r="E82" s="116" t="s">
        <v>360</v>
      </c>
      <c r="F82" s="114"/>
      <c r="G82" s="117" t="s">
        <v>188</v>
      </c>
      <c r="H82" s="114" t="s">
        <v>374</v>
      </c>
      <c r="I82" s="116" t="s">
        <v>133</v>
      </c>
      <c r="J82" s="116" t="s">
        <v>181</v>
      </c>
      <c r="K82" s="116" t="s">
        <v>133</v>
      </c>
      <c r="L82" s="115" t="s">
        <v>224</v>
      </c>
      <c r="M82" s="115" t="s">
        <v>224</v>
      </c>
      <c r="N82" s="118">
        <v>46112</v>
      </c>
      <c r="O82" s="116">
        <v>68</v>
      </c>
      <c r="P82" s="118">
        <v>46113</v>
      </c>
      <c r="Q82" s="118">
        <v>46125</v>
      </c>
      <c r="R82" s="118">
        <v>46113</v>
      </c>
      <c r="S82" s="114"/>
      <c r="T82" s="114"/>
      <c r="U82" s="114" t="s">
        <v>206</v>
      </c>
      <c r="V82" s="116" t="s">
        <v>76</v>
      </c>
      <c r="W82" s="116">
        <v>68</v>
      </c>
      <c r="X82" s="116">
        <v>66</v>
      </c>
      <c r="Y82" s="114"/>
      <c r="Z82" s="114" t="s">
        <v>207</v>
      </c>
      <c r="AA82" s="114"/>
      <c r="AB82" s="119"/>
      <c r="AC82" s="120">
        <v>25.5</v>
      </c>
      <c r="AD82" s="114"/>
      <c r="AE82" s="116">
        <v>68</v>
      </c>
      <c r="AF82" s="114" t="s">
        <v>208</v>
      </c>
      <c r="AG82" s="116" t="s">
        <v>76</v>
      </c>
      <c r="AH82" s="120">
        <v>12.5</v>
      </c>
      <c r="AI82" s="114">
        <f t="shared" si="26"/>
        <v>850</v>
      </c>
      <c r="AJ82" s="114"/>
      <c r="AK82" s="117" t="s">
        <v>186</v>
      </c>
      <c r="AL82" s="116">
        <v>66</v>
      </c>
      <c r="AM82" s="114">
        <v>18</v>
      </c>
      <c r="AN82" s="114">
        <f t="shared" ref="AN82:AN86" si="28">IF(AL82&lt;&gt;"",AM82*AL82,0)</f>
        <v>1188</v>
      </c>
      <c r="AO82" s="114"/>
      <c r="AP82" s="114"/>
      <c r="AQ82" s="114">
        <f t="shared" ref="AQ82:AQ86" si="29">IF(AO82&lt;&gt;"",AP82*AO82,0)</f>
        <v>0</v>
      </c>
      <c r="AR82" s="114">
        <f t="shared" ref="AR82:AR86" si="30">AQ82+AN82</f>
        <v>1188</v>
      </c>
      <c r="AS82" s="114"/>
      <c r="AT82" s="112" t="s">
        <v>373</v>
      </c>
      <c r="AU82" s="113"/>
      <c r="AV82" s="114">
        <f t="shared" ref="AV82:AV86" si="31">AM82</f>
        <v>18</v>
      </c>
      <c r="AW82" s="114">
        <f t="shared" ref="AW82:AW86" si="32">AV82*AL82</f>
        <v>1188</v>
      </c>
      <c r="AX82" s="114"/>
      <c r="AY82" s="116" t="s">
        <v>185</v>
      </c>
      <c r="AZ82" s="121"/>
      <c r="BA82" s="114">
        <f t="shared" ref="BA82:BA86" si="33">AM82</f>
        <v>18</v>
      </c>
      <c r="BB82" s="114">
        <f t="shared" ref="BB82:BB86" si="34">AL82</f>
        <v>66</v>
      </c>
      <c r="BC82" s="114">
        <f t="shared" ref="BC82:BC86" si="35">IF(BB82&lt;&gt;"",BB82*BA82,0)</f>
        <v>1188</v>
      </c>
      <c r="BD82" s="114"/>
      <c r="BE82" s="114" t="s">
        <v>447</v>
      </c>
      <c r="BF82" s="115" t="s">
        <v>522</v>
      </c>
      <c r="BG82" s="122" t="s">
        <v>176</v>
      </c>
    </row>
    <row r="83" spans="1:59" s="122" customFormat="1" ht="15" customHeight="1" x14ac:dyDescent="0.2">
      <c r="A83" s="114">
        <f t="shared" si="27"/>
        <v>81</v>
      </c>
      <c r="B83" s="115" t="s">
        <v>523</v>
      </c>
      <c r="C83" s="116" t="s">
        <v>455</v>
      </c>
      <c r="D83" s="124"/>
      <c r="E83" s="116" t="s">
        <v>362</v>
      </c>
      <c r="F83" s="114"/>
      <c r="G83" s="117" t="s">
        <v>188</v>
      </c>
      <c r="H83" s="114" t="s">
        <v>374</v>
      </c>
      <c r="I83" s="116" t="s">
        <v>133</v>
      </c>
      <c r="J83" s="116" t="s">
        <v>181</v>
      </c>
      <c r="K83" s="116" t="s">
        <v>133</v>
      </c>
      <c r="L83" s="115" t="s">
        <v>224</v>
      </c>
      <c r="M83" s="115" t="s">
        <v>224</v>
      </c>
      <c r="N83" s="118">
        <v>46112</v>
      </c>
      <c r="O83" s="116">
        <v>10</v>
      </c>
      <c r="P83" s="118">
        <v>46113</v>
      </c>
      <c r="Q83" s="118">
        <v>46125</v>
      </c>
      <c r="R83" s="118">
        <v>46113</v>
      </c>
      <c r="S83" s="114"/>
      <c r="T83" s="114"/>
      <c r="U83" s="114" t="s">
        <v>206</v>
      </c>
      <c r="V83" s="116" t="s">
        <v>76</v>
      </c>
      <c r="W83" s="116">
        <v>10</v>
      </c>
      <c r="X83" s="116">
        <v>10</v>
      </c>
      <c r="Y83" s="114"/>
      <c r="Z83" s="114" t="s">
        <v>207</v>
      </c>
      <c r="AA83" s="114"/>
      <c r="AB83" s="119"/>
      <c r="AC83" s="120">
        <v>25.5</v>
      </c>
      <c r="AD83" s="114"/>
      <c r="AE83" s="116">
        <v>10</v>
      </c>
      <c r="AF83" s="114" t="s">
        <v>208</v>
      </c>
      <c r="AG83" s="116" t="s">
        <v>76</v>
      </c>
      <c r="AH83" s="120">
        <v>12.5</v>
      </c>
      <c r="AI83" s="114">
        <f t="shared" si="26"/>
        <v>125</v>
      </c>
      <c r="AJ83" s="114"/>
      <c r="AK83" s="117" t="s">
        <v>186</v>
      </c>
      <c r="AL83" s="116">
        <v>10</v>
      </c>
      <c r="AM83" s="114">
        <v>18</v>
      </c>
      <c r="AN83" s="114">
        <f t="shared" si="28"/>
        <v>180</v>
      </c>
      <c r="AO83" s="114"/>
      <c r="AP83" s="114"/>
      <c r="AQ83" s="114">
        <f t="shared" si="29"/>
        <v>0</v>
      </c>
      <c r="AR83" s="114">
        <f t="shared" si="30"/>
        <v>180</v>
      </c>
      <c r="AS83" s="114"/>
      <c r="AT83" s="112" t="s">
        <v>373</v>
      </c>
      <c r="AU83" s="113"/>
      <c r="AV83" s="114">
        <f t="shared" si="31"/>
        <v>18</v>
      </c>
      <c r="AW83" s="114">
        <f t="shared" si="32"/>
        <v>180</v>
      </c>
      <c r="AX83" s="114"/>
      <c r="AY83" s="116" t="s">
        <v>185</v>
      </c>
      <c r="AZ83" s="121"/>
      <c r="BA83" s="114">
        <f t="shared" si="33"/>
        <v>18</v>
      </c>
      <c r="BB83" s="114">
        <f t="shared" si="34"/>
        <v>10</v>
      </c>
      <c r="BC83" s="114">
        <f t="shared" si="35"/>
        <v>180</v>
      </c>
      <c r="BD83" s="114"/>
      <c r="BE83" s="114" t="s">
        <v>448</v>
      </c>
      <c r="BF83" s="115" t="s">
        <v>523</v>
      </c>
      <c r="BG83" s="122" t="s">
        <v>176</v>
      </c>
    </row>
    <row r="84" spans="1:59" s="122" customFormat="1" ht="15" customHeight="1" x14ac:dyDescent="0.2">
      <c r="A84" s="114">
        <f t="shared" si="27"/>
        <v>82</v>
      </c>
      <c r="B84" s="115" t="s">
        <v>524</v>
      </c>
      <c r="C84" s="116" t="s">
        <v>455</v>
      </c>
      <c r="D84" s="124"/>
      <c r="E84" s="116" t="s">
        <v>366</v>
      </c>
      <c r="F84" s="114"/>
      <c r="G84" s="117" t="s">
        <v>188</v>
      </c>
      <c r="H84" s="114" t="s">
        <v>374</v>
      </c>
      <c r="I84" s="116" t="s">
        <v>133</v>
      </c>
      <c r="J84" s="116" t="s">
        <v>181</v>
      </c>
      <c r="K84" s="116" t="s">
        <v>133</v>
      </c>
      <c r="L84" s="115" t="s">
        <v>224</v>
      </c>
      <c r="M84" s="115" t="s">
        <v>224</v>
      </c>
      <c r="N84" s="118">
        <v>46112</v>
      </c>
      <c r="O84" s="116">
        <v>91</v>
      </c>
      <c r="P84" s="118">
        <v>46113</v>
      </c>
      <c r="Q84" s="118">
        <v>46125</v>
      </c>
      <c r="R84" s="118">
        <v>46113</v>
      </c>
      <c r="S84" s="114"/>
      <c r="T84" s="114"/>
      <c r="U84" s="114" t="s">
        <v>206</v>
      </c>
      <c r="V84" s="116" t="s">
        <v>75</v>
      </c>
      <c r="W84" s="116">
        <v>91</v>
      </c>
      <c r="X84" s="116">
        <v>91</v>
      </c>
      <c r="Y84" s="114"/>
      <c r="Z84" s="114" t="s">
        <v>207</v>
      </c>
      <c r="AA84" s="114"/>
      <c r="AB84" s="119"/>
      <c r="AC84" s="120">
        <v>30.5</v>
      </c>
      <c r="AD84" s="114"/>
      <c r="AE84" s="116">
        <v>91</v>
      </c>
      <c r="AF84" s="114" t="s">
        <v>208</v>
      </c>
      <c r="AG84" s="116" t="s">
        <v>75</v>
      </c>
      <c r="AH84" s="120">
        <v>24.5</v>
      </c>
      <c r="AI84" s="114">
        <f t="shared" si="26"/>
        <v>2229.5</v>
      </c>
      <c r="AJ84" s="114"/>
      <c r="AK84" s="117" t="s">
        <v>186</v>
      </c>
      <c r="AL84" s="116">
        <v>91</v>
      </c>
      <c r="AM84" s="114">
        <v>18</v>
      </c>
      <c r="AN84" s="114">
        <f t="shared" si="28"/>
        <v>1638</v>
      </c>
      <c r="AO84" s="114"/>
      <c r="AP84" s="114"/>
      <c r="AQ84" s="114">
        <f t="shared" si="29"/>
        <v>0</v>
      </c>
      <c r="AR84" s="114">
        <f t="shared" si="30"/>
        <v>1638</v>
      </c>
      <c r="AS84" s="114"/>
      <c r="AT84" s="112" t="s">
        <v>373</v>
      </c>
      <c r="AU84" s="113"/>
      <c r="AV84" s="114">
        <f t="shared" si="31"/>
        <v>18</v>
      </c>
      <c r="AW84" s="114">
        <f t="shared" si="32"/>
        <v>1638</v>
      </c>
      <c r="AX84" s="114"/>
      <c r="AY84" s="116" t="s">
        <v>185</v>
      </c>
      <c r="AZ84" s="121"/>
      <c r="BA84" s="114">
        <f t="shared" si="33"/>
        <v>18</v>
      </c>
      <c r="BB84" s="114">
        <f t="shared" si="34"/>
        <v>91</v>
      </c>
      <c r="BC84" s="114">
        <f t="shared" si="35"/>
        <v>1638</v>
      </c>
      <c r="BD84" s="114"/>
      <c r="BE84" s="114" t="s">
        <v>449</v>
      </c>
      <c r="BF84" s="115" t="s">
        <v>524</v>
      </c>
      <c r="BG84" s="122" t="s">
        <v>176</v>
      </c>
    </row>
    <row r="85" spans="1:59" s="122" customFormat="1" ht="15" customHeight="1" x14ac:dyDescent="0.2">
      <c r="A85" s="114">
        <f t="shared" si="27"/>
        <v>83</v>
      </c>
      <c r="B85" s="115" t="s">
        <v>525</v>
      </c>
      <c r="C85" s="116" t="s">
        <v>455</v>
      </c>
      <c r="D85" s="124"/>
      <c r="E85" s="116" t="s">
        <v>367</v>
      </c>
      <c r="F85" s="114"/>
      <c r="G85" s="117" t="s">
        <v>188</v>
      </c>
      <c r="H85" s="114" t="s">
        <v>374</v>
      </c>
      <c r="I85" s="116" t="s">
        <v>133</v>
      </c>
      <c r="J85" s="116" t="s">
        <v>181</v>
      </c>
      <c r="K85" s="116" t="s">
        <v>133</v>
      </c>
      <c r="L85" s="115" t="s">
        <v>224</v>
      </c>
      <c r="M85" s="115" t="s">
        <v>224</v>
      </c>
      <c r="N85" s="118">
        <v>46112</v>
      </c>
      <c r="O85" s="116">
        <v>110</v>
      </c>
      <c r="P85" s="118">
        <v>46113</v>
      </c>
      <c r="Q85" s="118">
        <v>46125</v>
      </c>
      <c r="R85" s="118">
        <v>46113</v>
      </c>
      <c r="S85" s="114"/>
      <c r="T85" s="114"/>
      <c r="U85" s="114" t="s">
        <v>206</v>
      </c>
      <c r="V85" s="116" t="s">
        <v>76</v>
      </c>
      <c r="W85" s="116">
        <v>110</v>
      </c>
      <c r="X85" s="116">
        <v>104</v>
      </c>
      <c r="Y85" s="114"/>
      <c r="Z85" s="114" t="s">
        <v>207</v>
      </c>
      <c r="AA85" s="114"/>
      <c r="AB85" s="119"/>
      <c r="AC85" s="120">
        <v>25.5</v>
      </c>
      <c r="AD85" s="114"/>
      <c r="AE85" s="116">
        <v>110</v>
      </c>
      <c r="AF85" s="114" t="s">
        <v>208</v>
      </c>
      <c r="AG85" s="116" t="s">
        <v>76</v>
      </c>
      <c r="AH85" s="120">
        <v>12.5</v>
      </c>
      <c r="AI85" s="114">
        <f t="shared" si="26"/>
        <v>1375</v>
      </c>
      <c r="AJ85" s="114"/>
      <c r="AK85" s="117" t="s">
        <v>186</v>
      </c>
      <c r="AL85" s="116">
        <v>104</v>
      </c>
      <c r="AM85" s="114">
        <v>18</v>
      </c>
      <c r="AN85" s="114">
        <f t="shared" ref="AN85" si="36">IF(AL85&lt;&gt;"",AM85*AL85,0)</f>
        <v>1872</v>
      </c>
      <c r="AO85" s="114"/>
      <c r="AP85" s="114"/>
      <c r="AQ85" s="114">
        <f t="shared" ref="AQ85" si="37">IF(AO85&lt;&gt;"",AP85*AO85,0)</f>
        <v>0</v>
      </c>
      <c r="AR85" s="114">
        <f t="shared" ref="AR85" si="38">AQ85+AN85</f>
        <v>1872</v>
      </c>
      <c r="AS85" s="114"/>
      <c r="AT85" s="112" t="s">
        <v>373</v>
      </c>
      <c r="AU85" s="113"/>
      <c r="AV85" s="114">
        <f t="shared" ref="AV85" si="39">AM85</f>
        <v>18</v>
      </c>
      <c r="AW85" s="114">
        <f t="shared" ref="AW85" si="40">AV85*AL85</f>
        <v>1872</v>
      </c>
      <c r="AX85" s="114"/>
      <c r="AY85" s="116" t="s">
        <v>185</v>
      </c>
      <c r="AZ85" s="121"/>
      <c r="BA85" s="114">
        <f t="shared" ref="BA85" si="41">AM85</f>
        <v>18</v>
      </c>
      <c r="BB85" s="114">
        <f t="shared" ref="BB85" si="42">AL85</f>
        <v>104</v>
      </c>
      <c r="BC85" s="114">
        <f t="shared" ref="BC85" si="43">IF(BB85&lt;&gt;"",BB85*BA85,0)</f>
        <v>1872</v>
      </c>
      <c r="BD85" s="114"/>
      <c r="BE85" s="114" t="s">
        <v>451</v>
      </c>
      <c r="BF85" s="115" t="s">
        <v>525</v>
      </c>
    </row>
    <row r="86" spans="1:59" s="122" customFormat="1" ht="15" customHeight="1" x14ac:dyDescent="0.2">
      <c r="A86" s="114">
        <f t="shared" si="27"/>
        <v>84</v>
      </c>
      <c r="B86" s="115" t="s">
        <v>481</v>
      </c>
      <c r="C86" s="116" t="s">
        <v>456</v>
      </c>
      <c r="D86" s="124"/>
      <c r="E86" s="116" t="s">
        <v>366</v>
      </c>
      <c r="F86" s="114"/>
      <c r="G86" s="117" t="s">
        <v>188</v>
      </c>
      <c r="H86" s="114" t="s">
        <v>374</v>
      </c>
      <c r="I86" s="116" t="s">
        <v>133</v>
      </c>
      <c r="J86" s="116" t="s">
        <v>181</v>
      </c>
      <c r="K86" s="116" t="s">
        <v>133</v>
      </c>
      <c r="L86" s="115" t="s">
        <v>224</v>
      </c>
      <c r="M86" s="115" t="s">
        <v>224</v>
      </c>
      <c r="N86" s="118">
        <v>46112</v>
      </c>
      <c r="O86" s="116">
        <v>122</v>
      </c>
      <c r="P86" s="118">
        <v>46113</v>
      </c>
      <c r="Q86" s="118">
        <v>46125</v>
      </c>
      <c r="R86" s="118">
        <v>46113</v>
      </c>
      <c r="S86" s="114"/>
      <c r="T86" s="114"/>
      <c r="U86" s="114" t="s">
        <v>206</v>
      </c>
      <c r="V86" s="116" t="s">
        <v>76</v>
      </c>
      <c r="W86" s="116">
        <v>122</v>
      </c>
      <c r="X86" s="116">
        <v>117</v>
      </c>
      <c r="Y86" s="114"/>
      <c r="Z86" s="114" t="s">
        <v>207</v>
      </c>
      <c r="AA86" s="114"/>
      <c r="AB86" s="119"/>
      <c r="AC86" s="120">
        <v>25.5</v>
      </c>
      <c r="AD86" s="114"/>
      <c r="AE86" s="116">
        <v>122</v>
      </c>
      <c r="AF86" s="114" t="s">
        <v>208</v>
      </c>
      <c r="AG86" s="116" t="s">
        <v>76</v>
      </c>
      <c r="AH86" s="120">
        <v>12.5</v>
      </c>
      <c r="AI86" s="114">
        <f t="shared" si="26"/>
        <v>1525</v>
      </c>
      <c r="AJ86" s="114"/>
      <c r="AK86" s="117" t="s">
        <v>186</v>
      </c>
      <c r="AL86" s="116">
        <v>117</v>
      </c>
      <c r="AM86" s="114">
        <v>18</v>
      </c>
      <c r="AN86" s="114">
        <f t="shared" si="28"/>
        <v>2106</v>
      </c>
      <c r="AO86" s="114"/>
      <c r="AP86" s="114"/>
      <c r="AQ86" s="114">
        <f t="shared" si="29"/>
        <v>0</v>
      </c>
      <c r="AR86" s="114">
        <f t="shared" si="30"/>
        <v>2106</v>
      </c>
      <c r="AS86" s="114"/>
      <c r="AT86" s="112" t="s">
        <v>373</v>
      </c>
      <c r="AU86" s="113"/>
      <c r="AV86" s="114">
        <f t="shared" si="31"/>
        <v>18</v>
      </c>
      <c r="AW86" s="114">
        <f t="shared" si="32"/>
        <v>2106</v>
      </c>
      <c r="AX86" s="114"/>
      <c r="AY86" s="116" t="s">
        <v>185</v>
      </c>
      <c r="AZ86" s="121"/>
      <c r="BA86" s="114">
        <f t="shared" si="33"/>
        <v>18</v>
      </c>
      <c r="BB86" s="114">
        <f t="shared" si="34"/>
        <v>117</v>
      </c>
      <c r="BC86" s="114">
        <f t="shared" si="35"/>
        <v>2106</v>
      </c>
      <c r="BD86" s="114"/>
      <c r="BE86" s="114" t="s">
        <v>450</v>
      </c>
      <c r="BF86" s="115" t="s">
        <v>481</v>
      </c>
      <c r="BG86" s="122" t="s">
        <v>176</v>
      </c>
    </row>
  </sheetData>
  <autoFilter ref="A2:BD86" xr:uid="{00000000-0001-0000-0300-000000000000}"/>
  <phoneticPr fontId="3" type="noConversion"/>
  <conditionalFormatting sqref="E3">
    <cfRule type="duplicateValues" dxfId="35" priority="37"/>
    <cfRule type="duplicateValues" dxfId="34" priority="38"/>
  </conditionalFormatting>
  <conditionalFormatting sqref="E4">
    <cfRule type="duplicateValues" dxfId="33" priority="35"/>
    <cfRule type="duplicateValues" dxfId="32" priority="36"/>
  </conditionalFormatting>
  <conditionalFormatting sqref="E5">
    <cfRule type="duplicateValues" dxfId="31" priority="27"/>
    <cfRule type="duplicateValues" dxfId="30" priority="28"/>
  </conditionalFormatting>
  <conditionalFormatting sqref="E6">
    <cfRule type="duplicateValues" dxfId="29" priority="25"/>
    <cfRule type="duplicateValues" dxfId="28" priority="26"/>
  </conditionalFormatting>
  <conditionalFormatting sqref="E7">
    <cfRule type="duplicateValues" dxfId="27" priority="23"/>
    <cfRule type="duplicateValues" dxfId="26" priority="24"/>
  </conditionalFormatting>
  <conditionalFormatting sqref="E8">
    <cfRule type="duplicateValues" dxfId="25" priority="21"/>
    <cfRule type="duplicateValues" dxfId="24" priority="22"/>
  </conditionalFormatting>
  <conditionalFormatting sqref="E9">
    <cfRule type="duplicateValues" dxfId="23" priority="19"/>
    <cfRule type="duplicateValues" dxfId="22" priority="20"/>
  </conditionalFormatting>
  <conditionalFormatting sqref="E10">
    <cfRule type="duplicateValues" dxfId="21" priority="17"/>
    <cfRule type="duplicateValues" dxfId="20" priority="18"/>
  </conditionalFormatting>
  <conditionalFormatting sqref="E11">
    <cfRule type="duplicateValues" dxfId="19" priority="15"/>
    <cfRule type="duplicateValues" dxfId="18" priority="16"/>
  </conditionalFormatting>
  <conditionalFormatting sqref="E12">
    <cfRule type="duplicateValues" dxfId="17" priority="13"/>
    <cfRule type="duplicateValues" dxfId="16" priority="14"/>
  </conditionalFormatting>
  <conditionalFormatting sqref="E13">
    <cfRule type="duplicateValues" dxfId="15" priority="11"/>
    <cfRule type="duplicateValues" dxfId="14" priority="12"/>
  </conditionalFormatting>
  <conditionalFormatting sqref="E14">
    <cfRule type="duplicateValues" dxfId="13" priority="3"/>
    <cfRule type="duplicateValues" dxfId="12" priority="4"/>
  </conditionalFormatting>
  <conditionalFormatting sqref="E15">
    <cfRule type="duplicateValues" dxfId="11" priority="1"/>
    <cfRule type="duplicateValues" dxfId="10" priority="2"/>
  </conditionalFormatting>
  <conditionalFormatting sqref="E16">
    <cfRule type="duplicateValues" dxfId="9" priority="7"/>
    <cfRule type="duplicateValues" dxfId="8" priority="8"/>
  </conditionalFormatting>
  <conditionalFormatting sqref="E17:E86">
    <cfRule type="duplicateValues" dxfId="7" priority="5"/>
    <cfRule type="duplicateValues" dxfId="6" priority="6"/>
  </conditionalFormatting>
  <dataValidations count="2">
    <dataValidation type="list" allowBlank="1" showInputMessage="1" showErrorMessage="1" sqref="AF3:AF86" xr:uid="{00000000-0002-0000-0300-000000000000}">
      <formula1>"ADSS, UA, A"</formula1>
    </dataValidation>
    <dataValidation type="list" allowBlank="1" showInputMessage="1" showErrorMessage="1" sqref="U3:U86" xr:uid="{00000000-0002-0000-0300-000002000000}">
      <formula1>"Fresh, Renewal"</formula1>
    </dataValidation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BC185"/>
  <sheetViews>
    <sheetView zoomScaleNormal="100" workbookViewId="0">
      <pane ySplit="2" topLeftCell="A169" activePane="bottomLeft" state="frozen"/>
      <selection activeCell="D110" sqref="D110"/>
      <selection pane="bottomLeft" activeCell="A40" sqref="A40:XFD185"/>
    </sheetView>
  </sheetViews>
  <sheetFormatPr defaultRowHeight="15" x14ac:dyDescent="0.25"/>
  <cols>
    <col min="1" max="1" width="8.7109375" style="9" customWidth="1"/>
    <col min="2" max="2" width="14.5703125" customWidth="1"/>
    <col min="3" max="3" width="19.140625" bestFit="1" customWidth="1"/>
    <col min="4" max="4" width="34.140625" customWidth="1"/>
    <col min="5" max="5" width="13.5703125" bestFit="1" customWidth="1"/>
    <col min="6" max="6" width="17.140625" style="10" bestFit="1" customWidth="1"/>
    <col min="7" max="7" width="8.5703125" bestFit="1" customWidth="1"/>
    <col min="8" max="8" width="17.42578125" bestFit="1" customWidth="1"/>
    <col min="9" max="9" width="10.85546875" bestFit="1" customWidth="1"/>
    <col min="10" max="10" width="13.5703125" bestFit="1" customWidth="1"/>
    <col min="11" max="11" width="13.5703125" style="17" customWidth="1"/>
    <col min="12" max="12" width="10.42578125" style="8" bestFit="1" customWidth="1"/>
    <col min="13" max="13" width="15.5703125" style="8" bestFit="1" customWidth="1"/>
    <col min="14" max="14" width="12" style="8" customWidth="1"/>
    <col min="16" max="16" width="10" customWidth="1"/>
    <col min="17" max="17" width="13.28515625" customWidth="1"/>
    <col min="18" max="18" width="0" hidden="1" customWidth="1"/>
    <col min="19" max="19" width="15" hidden="1" customWidth="1"/>
    <col min="20" max="20" width="13.42578125" hidden="1" customWidth="1"/>
    <col min="21" max="21" width="16.42578125" hidden="1" customWidth="1"/>
    <col min="22" max="22" width="1.7109375" hidden="1" customWidth="1"/>
    <col min="23" max="23" width="14.42578125" hidden="1" customWidth="1"/>
    <col min="24" max="26" width="0" hidden="1" customWidth="1"/>
    <col min="27" max="27" width="1.7109375" hidden="1" customWidth="1"/>
    <col min="28" max="28" width="14.5703125" hidden="1" customWidth="1"/>
    <col min="29" max="29" width="9.42578125" hidden="1" customWidth="1"/>
    <col min="30" max="30" width="0" hidden="1" customWidth="1"/>
    <col min="31" max="31" width="11.7109375" hidden="1" customWidth="1"/>
    <col min="32" max="32" width="0" hidden="1" customWidth="1"/>
    <col min="33" max="33" width="1.7109375" hidden="1" customWidth="1"/>
    <col min="34" max="34" width="12.85546875" hidden="1" customWidth="1"/>
    <col min="35" max="35" width="16.42578125" hidden="1" customWidth="1"/>
    <col min="36" max="41" width="0" hidden="1" customWidth="1"/>
    <col min="42" max="42" width="1.7109375" hidden="1" customWidth="1"/>
    <col min="43" max="43" width="0" hidden="1" customWidth="1"/>
    <col min="44" max="44" width="10.42578125" hidden="1" customWidth="1"/>
    <col min="45" max="46" width="0" hidden="1" customWidth="1"/>
    <col min="47" max="47" width="1.7109375" hidden="1" customWidth="1"/>
    <col min="48" max="48" width="0" hidden="1" customWidth="1"/>
    <col min="49" max="49" width="10.42578125" hidden="1" customWidth="1"/>
    <col min="50" max="52" width="0" hidden="1" customWidth="1"/>
    <col min="53" max="53" width="1.28515625" customWidth="1"/>
  </cols>
  <sheetData>
    <row r="1" spans="1:55" s="26" customFormat="1" ht="15.75" customHeight="1" thickBot="1" x14ac:dyDescent="0.3">
      <c r="A1" s="29"/>
      <c r="E1" s="26">
        <f>MATCH(E2,'Route-Details'!$B$2:$X$2,0)</f>
        <v>6</v>
      </c>
      <c r="F1" s="28">
        <f>MATCH(F2,'Route-Details'!$B$2:$X$2,0)</f>
        <v>7</v>
      </c>
      <c r="G1" s="26">
        <f>MATCH(G2,'Route-Details'!$B$2:$X$2,0)</f>
        <v>8</v>
      </c>
      <c r="H1" s="26">
        <f>MATCH(H2,'Route-Details'!$B$2:$X$2,0)</f>
        <v>9</v>
      </c>
      <c r="I1" s="26">
        <f>MATCH(I2,'Route-Details'!$B$2:$X$2,0)</f>
        <v>11</v>
      </c>
      <c r="J1" s="26">
        <f>MATCH(J2,'Route-Details'!$B$2:$X$2,0)</f>
        <v>12</v>
      </c>
      <c r="S1" s="26">
        <f>SUBTOTAL(9,S3:S1048576)</f>
        <v>0</v>
      </c>
    </row>
    <row r="2" spans="1:55" s="19" customFormat="1" ht="33.950000000000003" customHeight="1" x14ac:dyDescent="0.25">
      <c r="A2" s="63" t="s">
        <v>0</v>
      </c>
      <c r="B2" s="64" t="s">
        <v>30</v>
      </c>
      <c r="C2" s="64" t="s">
        <v>77</v>
      </c>
      <c r="D2" s="64" t="s">
        <v>78</v>
      </c>
      <c r="E2" s="65" t="s">
        <v>32</v>
      </c>
      <c r="F2" s="66" t="s">
        <v>33</v>
      </c>
      <c r="G2" s="65" t="s">
        <v>34</v>
      </c>
      <c r="H2" s="65" t="s">
        <v>35</v>
      </c>
      <c r="I2" s="65" t="s">
        <v>37</v>
      </c>
      <c r="J2" s="65" t="s">
        <v>38</v>
      </c>
      <c r="K2" s="67" t="s">
        <v>39</v>
      </c>
      <c r="L2" s="68" t="s">
        <v>41</v>
      </c>
      <c r="M2" s="68" t="s">
        <v>42</v>
      </c>
      <c r="N2" s="68" t="s">
        <v>43</v>
      </c>
      <c r="O2" s="64" t="s">
        <v>44</v>
      </c>
      <c r="P2" s="64" t="s">
        <v>45</v>
      </c>
      <c r="Q2" s="64" t="s">
        <v>79</v>
      </c>
      <c r="R2" s="64" t="s">
        <v>47</v>
      </c>
      <c r="S2" s="64" t="s">
        <v>40</v>
      </c>
      <c r="T2" s="64" t="s">
        <v>48</v>
      </c>
      <c r="U2" s="69" t="s">
        <v>49</v>
      </c>
      <c r="V2" s="18"/>
      <c r="W2" s="63" t="s">
        <v>50</v>
      </c>
      <c r="X2" s="64" t="s">
        <v>51</v>
      </c>
      <c r="Y2" s="64" t="s">
        <v>52</v>
      </c>
      <c r="Z2" s="69" t="s">
        <v>53</v>
      </c>
      <c r="AA2" s="18"/>
      <c r="AB2" s="63" t="s">
        <v>54</v>
      </c>
      <c r="AC2" s="64" t="s">
        <v>55</v>
      </c>
      <c r="AD2" s="64" t="s">
        <v>47</v>
      </c>
      <c r="AE2" s="64" t="s">
        <v>56</v>
      </c>
      <c r="AF2" s="70" t="s">
        <v>57</v>
      </c>
      <c r="AG2" s="18"/>
      <c r="AH2" s="63" t="s">
        <v>58</v>
      </c>
      <c r="AI2" s="64" t="s">
        <v>59</v>
      </c>
      <c r="AJ2" s="64" t="s">
        <v>60</v>
      </c>
      <c r="AK2" s="65" t="s">
        <v>61</v>
      </c>
      <c r="AL2" s="64" t="s">
        <v>62</v>
      </c>
      <c r="AM2" s="64" t="s">
        <v>63</v>
      </c>
      <c r="AN2" s="65" t="s">
        <v>64</v>
      </c>
      <c r="AO2" s="70" t="s">
        <v>65</v>
      </c>
      <c r="AP2" s="18"/>
      <c r="AQ2" s="63" t="s">
        <v>66</v>
      </c>
      <c r="AR2" s="64" t="s">
        <v>67</v>
      </c>
      <c r="AS2" s="65" t="s">
        <v>68</v>
      </c>
      <c r="AT2" s="70" t="s">
        <v>69</v>
      </c>
      <c r="AU2" s="18"/>
      <c r="AV2" s="63" t="s">
        <v>70</v>
      </c>
      <c r="AW2" s="64" t="s">
        <v>71</v>
      </c>
      <c r="AX2" s="65" t="s">
        <v>72</v>
      </c>
      <c r="AY2" s="65" t="s">
        <v>73</v>
      </c>
      <c r="AZ2" s="70" t="s">
        <v>74</v>
      </c>
      <c r="BB2" s="19" t="s">
        <v>174</v>
      </c>
      <c r="BC2" s="19" t="s">
        <v>175</v>
      </c>
    </row>
    <row r="3" spans="1:55" s="98" customFormat="1" ht="15" customHeight="1" x14ac:dyDescent="0.2">
      <c r="A3" s="88">
        <v>1</v>
      </c>
      <c r="B3" s="77" t="s">
        <v>136</v>
      </c>
      <c r="C3" s="9"/>
      <c r="D3" s="78" t="s">
        <v>211</v>
      </c>
      <c r="E3" s="90" t="str">
        <f>_xlfn.IFNA(VLOOKUP($D3,'Route-Details'!$B$2:$X$1048576,'Node Details'!E$1,0),"")</f>
        <v>Airtel</v>
      </c>
      <c r="F3" s="90" t="str">
        <f>_xlfn.IFNA(VLOOKUP($D3,'Route-Details'!$B$2:$X$1048576,'Node Details'!F$1,0),"")</f>
        <v>PLAN OF AXZ DARIA</v>
      </c>
      <c r="G3" s="90" t="str">
        <f>_xlfn.IFNA(VLOOKUP($D3,'Route-Details'!$B$2:$X$1048576,'Node Details'!G$1,0),"")</f>
        <v>Chandigarh</v>
      </c>
      <c r="H3" s="90" t="str">
        <f>_xlfn.IFNA(VLOOKUP($D4,'Route-Details'!$B$2:$X$1048576,'Node Details'!H$1,0),"")</f>
        <v>Punjab</v>
      </c>
      <c r="I3" s="90" t="str">
        <f>_xlfn.IFNA(VLOOKUP($D3,'Route-Details'!$B$2:$X$1048576,'Node Details'!I$1,0),"")</f>
        <v>AXZ</v>
      </c>
      <c r="J3" s="90" t="str">
        <f>_xlfn.IFNA(VLOOKUP($D3,'Route-Details'!$B$2:$X$1048576,'Node Details'!J$1,0),"")</f>
        <v>AXZ</v>
      </c>
      <c r="K3" s="78">
        <v>46110</v>
      </c>
      <c r="L3" s="78">
        <v>46110</v>
      </c>
      <c r="M3" s="91">
        <v>46119</v>
      </c>
      <c r="N3" s="78">
        <v>46110</v>
      </c>
      <c r="O3" s="88"/>
      <c r="P3" s="88"/>
      <c r="Q3" s="88" t="s">
        <v>173</v>
      </c>
      <c r="R3" s="92"/>
      <c r="S3" s="89"/>
      <c r="T3" s="89"/>
      <c r="U3" s="89"/>
      <c r="V3" s="92"/>
      <c r="W3" s="93"/>
      <c r="X3" s="89"/>
      <c r="Y3" s="94"/>
      <c r="Z3" s="92"/>
      <c r="AA3" s="92"/>
      <c r="AB3" s="89"/>
      <c r="AC3" s="93"/>
      <c r="AD3" s="92"/>
      <c r="AE3" s="88"/>
      <c r="AF3" s="84">
        <f t="shared" ref="AF3:AF39" si="0">IF(AB3&lt;&gt;"",AE3*AB3,0)</f>
        <v>0</v>
      </c>
      <c r="AG3" s="88"/>
      <c r="AH3" s="95"/>
      <c r="AI3" s="89"/>
      <c r="AJ3" s="88"/>
      <c r="AK3" s="83">
        <f t="shared" ref="AK3:AK39" si="1">IF(AI3&lt;&gt;"",AJ3*AI3,0)</f>
        <v>0</v>
      </c>
      <c r="AL3" s="88"/>
      <c r="AM3" s="88"/>
      <c r="AN3" s="83">
        <f t="shared" ref="AN3:AN39" si="2">IF(AL3&lt;&gt;"",AM3*AL3,0)</f>
        <v>0</v>
      </c>
      <c r="AO3" s="83">
        <f t="shared" ref="AO3:AO39" si="3">AN3+AK3</f>
        <v>0</v>
      </c>
      <c r="AP3" s="88"/>
      <c r="AQ3" s="95"/>
      <c r="AR3" s="96"/>
      <c r="AS3" s="84">
        <f t="shared" ref="AS3:AS39" si="4">AJ3</f>
        <v>0</v>
      </c>
      <c r="AT3" s="84">
        <f t="shared" ref="AT3:AT39" si="5">AS3*AI3</f>
        <v>0</v>
      </c>
      <c r="AU3" s="88"/>
      <c r="AV3" s="95"/>
      <c r="AW3" s="96"/>
      <c r="AX3" s="97">
        <f t="shared" ref="AX3:AX39" si="6">AJ3</f>
        <v>0</v>
      </c>
      <c r="AY3" s="97">
        <f t="shared" ref="AY3:AY39" si="7">AI3</f>
        <v>0</v>
      </c>
      <c r="AZ3" s="97">
        <f t="shared" ref="AZ3:AZ39" si="8">IF(AY3&lt;&gt;"",AY3*AX3,0)</f>
        <v>0</v>
      </c>
      <c r="BB3" s="9" t="s">
        <v>190</v>
      </c>
      <c r="BC3" s="98" t="s">
        <v>176</v>
      </c>
    </row>
    <row r="4" spans="1:55" s="98" customFormat="1" ht="15" customHeight="1" x14ac:dyDescent="0.2">
      <c r="A4" s="88">
        <f>A3+1</f>
        <v>2</v>
      </c>
      <c r="B4" s="77" t="s">
        <v>137</v>
      </c>
      <c r="C4" s="9"/>
      <c r="D4" s="78" t="s">
        <v>212</v>
      </c>
      <c r="E4" s="90" t="str">
        <f>_xlfn.IFNA(VLOOKUP($D4,'Route-Details'!$B$2:$X$1048576,'Node Details'!E$1,0),"")</f>
        <v>Airtel</v>
      </c>
      <c r="F4" s="90" t="str">
        <f>_xlfn.IFNA(VLOOKUP($D4,'Route-Details'!$B$2:$X$1048576,'Node Details'!F$1,0),"")</f>
        <v>PLAN OF AXZ DARIA</v>
      </c>
      <c r="G4" s="90" t="str">
        <f>_xlfn.IFNA(VLOOKUP($D4,'Route-Details'!$B$2:$X$1048576,'Node Details'!G$1,0),"")</f>
        <v>Chandigarh</v>
      </c>
      <c r="H4" s="90" t="str">
        <f>_xlfn.IFNA(VLOOKUP($D5,'Route-Details'!$B$2:$X$1048576,'Node Details'!H$1,0),"")</f>
        <v>Punjab</v>
      </c>
      <c r="I4" s="90" t="str">
        <f>_xlfn.IFNA(VLOOKUP($D4,'Route-Details'!$B$2:$X$1048576,'Node Details'!I$1,0),"")</f>
        <v>AXZ</v>
      </c>
      <c r="J4" s="90" t="str">
        <f>_xlfn.IFNA(VLOOKUP($D4,'Route-Details'!$B$2:$X$1048576,'Node Details'!J$1,0),"")</f>
        <v>AXZ</v>
      </c>
      <c r="K4" s="78">
        <v>46110</v>
      </c>
      <c r="L4" s="78">
        <v>46110</v>
      </c>
      <c r="M4" s="91">
        <v>46119</v>
      </c>
      <c r="N4" s="78">
        <v>46110</v>
      </c>
      <c r="O4" s="88"/>
      <c r="P4" s="88"/>
      <c r="Q4" s="88" t="s">
        <v>173</v>
      </c>
      <c r="R4" s="92"/>
      <c r="S4" s="89"/>
      <c r="T4" s="89"/>
      <c r="U4" s="89"/>
      <c r="V4" s="92"/>
      <c r="W4" s="93"/>
      <c r="X4" s="89"/>
      <c r="Y4" s="94"/>
      <c r="Z4" s="92"/>
      <c r="AA4" s="92"/>
      <c r="AB4" s="89"/>
      <c r="AC4" s="93"/>
      <c r="AD4" s="92"/>
      <c r="AE4" s="88"/>
      <c r="AF4" s="84">
        <f t="shared" si="0"/>
        <v>0</v>
      </c>
      <c r="AG4" s="88"/>
      <c r="AH4" s="95"/>
      <c r="AI4" s="89"/>
      <c r="AJ4" s="88"/>
      <c r="AK4" s="83">
        <f t="shared" si="1"/>
        <v>0</v>
      </c>
      <c r="AL4" s="88"/>
      <c r="AM4" s="88"/>
      <c r="AN4" s="83">
        <f t="shared" si="2"/>
        <v>0</v>
      </c>
      <c r="AO4" s="83">
        <f t="shared" si="3"/>
        <v>0</v>
      </c>
      <c r="AP4" s="88"/>
      <c r="AQ4" s="95"/>
      <c r="AR4" s="96"/>
      <c r="AS4" s="84">
        <f t="shared" si="4"/>
        <v>0</v>
      </c>
      <c r="AT4" s="84">
        <f t="shared" si="5"/>
        <v>0</v>
      </c>
      <c r="AU4" s="88"/>
      <c r="AV4" s="95"/>
      <c r="AW4" s="96"/>
      <c r="AX4" s="97">
        <f t="shared" si="6"/>
        <v>0</v>
      </c>
      <c r="AY4" s="97">
        <f t="shared" si="7"/>
        <v>0</v>
      </c>
      <c r="AZ4" s="97">
        <f t="shared" si="8"/>
        <v>0</v>
      </c>
      <c r="BB4" s="9" t="s">
        <v>192</v>
      </c>
      <c r="BC4" s="98" t="s">
        <v>176</v>
      </c>
    </row>
    <row r="5" spans="1:55" s="98" customFormat="1" ht="15" customHeight="1" x14ac:dyDescent="0.2">
      <c r="A5" s="88">
        <f t="shared" ref="A5:A68" si="9">A4+1</f>
        <v>3</v>
      </c>
      <c r="B5" s="77" t="s">
        <v>138</v>
      </c>
      <c r="C5" s="9"/>
      <c r="D5" s="78" t="s">
        <v>221</v>
      </c>
      <c r="E5" s="90" t="str">
        <f>_xlfn.IFNA(VLOOKUP($D5,'Route-Details'!$B$2:$X$1048576,'Node Details'!E$1,0),"")</f>
        <v>Airtel</v>
      </c>
      <c r="F5" s="90" t="str">
        <f>_xlfn.IFNA(VLOOKUP($D5,'Route-Details'!$B$2:$X$1048576,'Node Details'!F$1,0),"")</f>
        <v>PLAN OF AXZ DARIA</v>
      </c>
      <c r="G5" s="90" t="str">
        <f>_xlfn.IFNA(VLOOKUP($D5,'Route-Details'!$B$2:$X$1048576,'Node Details'!G$1,0),"")</f>
        <v>Chandigarh</v>
      </c>
      <c r="H5" s="90" t="str">
        <f>_xlfn.IFNA(VLOOKUP($D6,'Route-Details'!$B$2:$X$1048576,'Node Details'!H$1,0),"")</f>
        <v>Punjab</v>
      </c>
      <c r="I5" s="90" t="str">
        <f>_xlfn.IFNA(VLOOKUP($D5,'Route-Details'!$B$2:$X$1048576,'Node Details'!I$1,0),"")</f>
        <v>AXZ</v>
      </c>
      <c r="J5" s="90" t="str">
        <f>_xlfn.IFNA(VLOOKUP($D5,'Route-Details'!$B$2:$X$1048576,'Node Details'!J$1,0),"")</f>
        <v>AXZ</v>
      </c>
      <c r="K5" s="78">
        <v>46110</v>
      </c>
      <c r="L5" s="78">
        <v>46110</v>
      </c>
      <c r="M5" s="91">
        <v>46119</v>
      </c>
      <c r="N5" s="78">
        <v>46110</v>
      </c>
      <c r="O5" s="88"/>
      <c r="P5" s="88"/>
      <c r="Q5" s="88" t="s">
        <v>173</v>
      </c>
      <c r="R5" s="92"/>
      <c r="S5" s="89"/>
      <c r="T5" s="89"/>
      <c r="U5" s="89"/>
      <c r="V5" s="92"/>
      <c r="W5" s="93"/>
      <c r="X5" s="89"/>
      <c r="Y5" s="94"/>
      <c r="Z5" s="92"/>
      <c r="AA5" s="92"/>
      <c r="AB5" s="89"/>
      <c r="AC5" s="93"/>
      <c r="AD5" s="92"/>
      <c r="AE5" s="88"/>
      <c r="AF5" s="84">
        <f t="shared" si="0"/>
        <v>0</v>
      </c>
      <c r="AG5" s="88"/>
      <c r="AH5" s="95"/>
      <c r="AI5" s="89"/>
      <c r="AJ5" s="88"/>
      <c r="AK5" s="83">
        <f t="shared" si="1"/>
        <v>0</v>
      </c>
      <c r="AL5" s="88"/>
      <c r="AM5" s="88"/>
      <c r="AN5" s="83">
        <f t="shared" si="2"/>
        <v>0</v>
      </c>
      <c r="AO5" s="83">
        <f t="shared" si="3"/>
        <v>0</v>
      </c>
      <c r="AP5" s="88"/>
      <c r="AQ5" s="95"/>
      <c r="AR5" s="96"/>
      <c r="AS5" s="84">
        <f t="shared" si="4"/>
        <v>0</v>
      </c>
      <c r="AT5" s="84">
        <f t="shared" si="5"/>
        <v>0</v>
      </c>
      <c r="AU5" s="88"/>
      <c r="AV5" s="95"/>
      <c r="AW5" s="96"/>
      <c r="AX5" s="97">
        <f t="shared" si="6"/>
        <v>0</v>
      </c>
      <c r="AY5" s="97">
        <f t="shared" si="7"/>
        <v>0</v>
      </c>
      <c r="AZ5" s="97">
        <f t="shared" si="8"/>
        <v>0</v>
      </c>
      <c r="BB5" s="9" t="s">
        <v>193</v>
      </c>
      <c r="BC5" s="98" t="s">
        <v>176</v>
      </c>
    </row>
    <row r="6" spans="1:55" s="98" customFormat="1" ht="15" customHeight="1" x14ac:dyDescent="0.2">
      <c r="A6" s="88">
        <f t="shared" si="9"/>
        <v>4</v>
      </c>
      <c r="B6" s="77" t="s">
        <v>139</v>
      </c>
      <c r="C6" s="9"/>
      <c r="D6" s="78" t="s">
        <v>222</v>
      </c>
      <c r="E6" s="90" t="str">
        <f>_xlfn.IFNA(VLOOKUP($D6,'Route-Details'!$B$2:$X$1048576,'Node Details'!E$1,0),"")</f>
        <v>Airtel</v>
      </c>
      <c r="F6" s="90" t="str">
        <f>_xlfn.IFNA(VLOOKUP($D6,'Route-Details'!$B$2:$X$1048576,'Node Details'!F$1,0),"")</f>
        <v>PLAN OF AXZ DARIA</v>
      </c>
      <c r="G6" s="90" t="str">
        <f>_xlfn.IFNA(VLOOKUP($D6,'Route-Details'!$B$2:$X$1048576,'Node Details'!G$1,0),"")</f>
        <v>Chandigarh</v>
      </c>
      <c r="H6" s="90" t="str">
        <f>_xlfn.IFNA(VLOOKUP($D7,'Route-Details'!$B$2:$X$1048576,'Node Details'!H$1,0),"")</f>
        <v>Punjab</v>
      </c>
      <c r="I6" s="90" t="str">
        <f>_xlfn.IFNA(VLOOKUP($D6,'Route-Details'!$B$2:$X$1048576,'Node Details'!I$1,0),"")</f>
        <v>AXZ</v>
      </c>
      <c r="J6" s="90" t="str">
        <f>_xlfn.IFNA(VLOOKUP($D6,'Route-Details'!$B$2:$X$1048576,'Node Details'!J$1,0),"")</f>
        <v>AXZ</v>
      </c>
      <c r="K6" s="78">
        <v>46110</v>
      </c>
      <c r="L6" s="78">
        <v>46110</v>
      </c>
      <c r="M6" s="91">
        <v>46119</v>
      </c>
      <c r="N6" s="78">
        <v>46110</v>
      </c>
      <c r="O6" s="88"/>
      <c r="P6" s="88"/>
      <c r="Q6" s="88" t="s">
        <v>173</v>
      </c>
      <c r="R6" s="92"/>
      <c r="S6" s="89"/>
      <c r="T6" s="89"/>
      <c r="U6" s="89"/>
      <c r="V6" s="92"/>
      <c r="W6" s="93"/>
      <c r="X6" s="89"/>
      <c r="Y6" s="94"/>
      <c r="Z6" s="92"/>
      <c r="AA6" s="92"/>
      <c r="AB6" s="89"/>
      <c r="AC6" s="93"/>
      <c r="AD6" s="92"/>
      <c r="AE6" s="88"/>
      <c r="AF6" s="84">
        <f t="shared" si="0"/>
        <v>0</v>
      </c>
      <c r="AG6" s="88"/>
      <c r="AH6" s="95"/>
      <c r="AI6" s="89"/>
      <c r="AJ6" s="88"/>
      <c r="AK6" s="83">
        <f t="shared" si="1"/>
        <v>0</v>
      </c>
      <c r="AL6" s="88"/>
      <c r="AM6" s="88"/>
      <c r="AN6" s="83">
        <f t="shared" si="2"/>
        <v>0</v>
      </c>
      <c r="AO6" s="83">
        <f t="shared" si="3"/>
        <v>0</v>
      </c>
      <c r="AP6" s="88"/>
      <c r="AQ6" s="95"/>
      <c r="AR6" s="96"/>
      <c r="AS6" s="84">
        <f t="shared" si="4"/>
        <v>0</v>
      </c>
      <c r="AT6" s="84">
        <f t="shared" si="5"/>
        <v>0</v>
      </c>
      <c r="AU6" s="88"/>
      <c r="AV6" s="95"/>
      <c r="AW6" s="96"/>
      <c r="AX6" s="97">
        <f t="shared" si="6"/>
        <v>0</v>
      </c>
      <c r="AY6" s="97">
        <f t="shared" si="7"/>
        <v>0</v>
      </c>
      <c r="AZ6" s="97">
        <f t="shared" si="8"/>
        <v>0</v>
      </c>
      <c r="BB6" s="9" t="s">
        <v>194</v>
      </c>
      <c r="BC6" s="98" t="s">
        <v>176</v>
      </c>
    </row>
    <row r="7" spans="1:55" s="98" customFormat="1" ht="15" customHeight="1" x14ac:dyDescent="0.2">
      <c r="A7" s="88">
        <f t="shared" si="9"/>
        <v>5</v>
      </c>
      <c r="B7" s="77" t="s">
        <v>140</v>
      </c>
      <c r="C7" s="9"/>
      <c r="D7" s="78" t="s">
        <v>222</v>
      </c>
      <c r="E7" s="90" t="str">
        <f>_xlfn.IFNA(VLOOKUP($D7,'Route-Details'!$B$2:$X$1048576,'Node Details'!E$1,0),"")</f>
        <v>Airtel</v>
      </c>
      <c r="F7" s="90" t="str">
        <f>_xlfn.IFNA(VLOOKUP($D7,'Route-Details'!$B$2:$X$1048576,'Node Details'!F$1,0),"")</f>
        <v>PLAN OF AXZ DARIA</v>
      </c>
      <c r="G7" s="90" t="str">
        <f>_xlfn.IFNA(VLOOKUP($D7,'Route-Details'!$B$2:$X$1048576,'Node Details'!G$1,0),"")</f>
        <v>Chandigarh</v>
      </c>
      <c r="H7" s="90" t="str">
        <f>_xlfn.IFNA(VLOOKUP($D8,'Route-Details'!$B$2:$X$1048576,'Node Details'!H$1,0),"")</f>
        <v>Punjab</v>
      </c>
      <c r="I7" s="90" t="str">
        <f>_xlfn.IFNA(VLOOKUP($D7,'Route-Details'!$B$2:$X$1048576,'Node Details'!I$1,0),"")</f>
        <v>AXZ</v>
      </c>
      <c r="J7" s="90" t="str">
        <f>_xlfn.IFNA(VLOOKUP($D7,'Route-Details'!$B$2:$X$1048576,'Node Details'!J$1,0),"")</f>
        <v>AXZ</v>
      </c>
      <c r="K7" s="78">
        <v>46110</v>
      </c>
      <c r="L7" s="78">
        <v>46110</v>
      </c>
      <c r="M7" s="91">
        <v>46119</v>
      </c>
      <c r="N7" s="78">
        <v>46110</v>
      </c>
      <c r="O7" s="88"/>
      <c r="P7" s="88"/>
      <c r="Q7" s="88" t="s">
        <v>173</v>
      </c>
      <c r="R7" s="92"/>
      <c r="S7" s="89"/>
      <c r="T7" s="89"/>
      <c r="U7" s="89"/>
      <c r="V7" s="92"/>
      <c r="W7" s="93"/>
      <c r="X7" s="89"/>
      <c r="Y7" s="94"/>
      <c r="Z7" s="92"/>
      <c r="AA7" s="92"/>
      <c r="AB7" s="89"/>
      <c r="AC7" s="93"/>
      <c r="AD7" s="92"/>
      <c r="AE7" s="88"/>
      <c r="AF7" s="84">
        <f t="shared" si="0"/>
        <v>0</v>
      </c>
      <c r="AG7" s="88"/>
      <c r="AH7" s="95"/>
      <c r="AI7" s="89"/>
      <c r="AJ7" s="88"/>
      <c r="AK7" s="83">
        <f t="shared" si="1"/>
        <v>0</v>
      </c>
      <c r="AL7" s="88"/>
      <c r="AM7" s="88"/>
      <c r="AN7" s="83">
        <f t="shared" si="2"/>
        <v>0</v>
      </c>
      <c r="AO7" s="83">
        <f t="shared" si="3"/>
        <v>0</v>
      </c>
      <c r="AP7" s="88"/>
      <c r="AQ7" s="95"/>
      <c r="AR7" s="96"/>
      <c r="AS7" s="84">
        <f t="shared" si="4"/>
        <v>0</v>
      </c>
      <c r="AT7" s="84">
        <f t="shared" si="5"/>
        <v>0</v>
      </c>
      <c r="AU7" s="88"/>
      <c r="AV7" s="95"/>
      <c r="AW7" s="96"/>
      <c r="AX7" s="97">
        <f t="shared" si="6"/>
        <v>0</v>
      </c>
      <c r="AY7" s="97">
        <f t="shared" si="7"/>
        <v>0</v>
      </c>
      <c r="AZ7" s="97">
        <f t="shared" si="8"/>
        <v>0</v>
      </c>
      <c r="BB7" s="9" t="s">
        <v>194</v>
      </c>
      <c r="BC7" s="98" t="s">
        <v>176</v>
      </c>
    </row>
    <row r="8" spans="1:55" s="98" customFormat="1" ht="15" customHeight="1" x14ac:dyDescent="0.2">
      <c r="A8" s="88">
        <f t="shared" si="9"/>
        <v>6</v>
      </c>
      <c r="B8" s="77" t="s">
        <v>141</v>
      </c>
      <c r="C8" s="9"/>
      <c r="D8" s="78" t="s">
        <v>222</v>
      </c>
      <c r="E8" s="90" t="str">
        <f>_xlfn.IFNA(VLOOKUP($D8,'Route-Details'!$B$2:$X$1048576,'Node Details'!E$1,0),"")</f>
        <v>Airtel</v>
      </c>
      <c r="F8" s="90" t="str">
        <f>_xlfn.IFNA(VLOOKUP($D8,'Route-Details'!$B$2:$X$1048576,'Node Details'!F$1,0),"")</f>
        <v>PLAN OF AXZ DARIA</v>
      </c>
      <c r="G8" s="90" t="str">
        <f>_xlfn.IFNA(VLOOKUP($D8,'Route-Details'!$B$2:$X$1048576,'Node Details'!G$1,0),"")</f>
        <v>Chandigarh</v>
      </c>
      <c r="H8" s="90" t="str">
        <f>_xlfn.IFNA(VLOOKUP($D9,'Route-Details'!$B$2:$X$1048576,'Node Details'!H$1,0),"")</f>
        <v>Punjab</v>
      </c>
      <c r="I8" s="90" t="str">
        <f>_xlfn.IFNA(VLOOKUP($D8,'Route-Details'!$B$2:$X$1048576,'Node Details'!I$1,0),"")</f>
        <v>AXZ</v>
      </c>
      <c r="J8" s="90" t="str">
        <f>_xlfn.IFNA(VLOOKUP($D8,'Route-Details'!$B$2:$X$1048576,'Node Details'!J$1,0),"")</f>
        <v>AXZ</v>
      </c>
      <c r="K8" s="78">
        <v>46110</v>
      </c>
      <c r="L8" s="78">
        <v>46110</v>
      </c>
      <c r="M8" s="91">
        <v>46119</v>
      </c>
      <c r="N8" s="78">
        <v>46110</v>
      </c>
      <c r="O8" s="88"/>
      <c r="P8" s="88"/>
      <c r="Q8" s="88" t="s">
        <v>173</v>
      </c>
      <c r="R8" s="92"/>
      <c r="S8" s="89"/>
      <c r="T8" s="89"/>
      <c r="U8" s="89"/>
      <c r="V8" s="92"/>
      <c r="W8" s="93"/>
      <c r="X8" s="89"/>
      <c r="Y8" s="94"/>
      <c r="Z8" s="92"/>
      <c r="AA8" s="92"/>
      <c r="AB8" s="89"/>
      <c r="AC8" s="93"/>
      <c r="AD8" s="92"/>
      <c r="AE8" s="88"/>
      <c r="AF8" s="84">
        <f t="shared" si="0"/>
        <v>0</v>
      </c>
      <c r="AG8" s="88"/>
      <c r="AH8" s="95"/>
      <c r="AI8" s="89"/>
      <c r="AJ8" s="88"/>
      <c r="AK8" s="83">
        <f t="shared" si="1"/>
        <v>0</v>
      </c>
      <c r="AL8" s="88"/>
      <c r="AM8" s="88"/>
      <c r="AN8" s="83">
        <f t="shared" si="2"/>
        <v>0</v>
      </c>
      <c r="AO8" s="83">
        <f t="shared" si="3"/>
        <v>0</v>
      </c>
      <c r="AP8" s="88"/>
      <c r="AQ8" s="95"/>
      <c r="AR8" s="96"/>
      <c r="AS8" s="84">
        <f t="shared" si="4"/>
        <v>0</v>
      </c>
      <c r="AT8" s="84">
        <f t="shared" si="5"/>
        <v>0</v>
      </c>
      <c r="AU8" s="88"/>
      <c r="AV8" s="95"/>
      <c r="AW8" s="96"/>
      <c r="AX8" s="97">
        <f t="shared" si="6"/>
        <v>0</v>
      </c>
      <c r="AY8" s="97">
        <f t="shared" si="7"/>
        <v>0</v>
      </c>
      <c r="AZ8" s="97">
        <f t="shared" si="8"/>
        <v>0</v>
      </c>
      <c r="BB8" s="9" t="s">
        <v>194</v>
      </c>
      <c r="BC8" s="98" t="s">
        <v>176</v>
      </c>
    </row>
    <row r="9" spans="1:55" s="98" customFormat="1" ht="15" customHeight="1" x14ac:dyDescent="0.2">
      <c r="A9" s="88">
        <f t="shared" si="9"/>
        <v>7</v>
      </c>
      <c r="B9" s="77" t="s">
        <v>142</v>
      </c>
      <c r="C9" s="9"/>
      <c r="D9" s="78" t="s">
        <v>213</v>
      </c>
      <c r="E9" s="90" t="str">
        <f>_xlfn.IFNA(VLOOKUP($D9,'Route-Details'!$B$2:$X$1048576,'Node Details'!E$1,0),"")</f>
        <v>Airtel</v>
      </c>
      <c r="F9" s="90" t="str">
        <f>_xlfn.IFNA(VLOOKUP($D9,'Route-Details'!$B$2:$X$1048576,'Node Details'!F$1,0),"")</f>
        <v>PLAN OF AXZ DARIA</v>
      </c>
      <c r="G9" s="90" t="str">
        <f>_xlfn.IFNA(VLOOKUP($D9,'Route-Details'!$B$2:$X$1048576,'Node Details'!G$1,0),"")</f>
        <v>Chandigarh</v>
      </c>
      <c r="H9" s="90" t="str">
        <f>_xlfn.IFNA(VLOOKUP($D10,'Route-Details'!$B$2:$X$1048576,'Node Details'!H$1,0),"")</f>
        <v>Punjab</v>
      </c>
      <c r="I9" s="90" t="str">
        <f>_xlfn.IFNA(VLOOKUP($D9,'Route-Details'!$B$2:$X$1048576,'Node Details'!I$1,0),"")</f>
        <v>AXZ</v>
      </c>
      <c r="J9" s="90" t="str">
        <f>_xlfn.IFNA(VLOOKUP($D9,'Route-Details'!$B$2:$X$1048576,'Node Details'!J$1,0),"")</f>
        <v>AXZ</v>
      </c>
      <c r="K9" s="78">
        <v>46110</v>
      </c>
      <c r="L9" s="78">
        <v>46110</v>
      </c>
      <c r="M9" s="91">
        <v>46119</v>
      </c>
      <c r="N9" s="78">
        <v>46110</v>
      </c>
      <c r="O9" s="88"/>
      <c r="P9" s="88"/>
      <c r="Q9" s="88" t="s">
        <v>173</v>
      </c>
      <c r="R9" s="92"/>
      <c r="S9" s="89"/>
      <c r="T9" s="89"/>
      <c r="U9" s="89"/>
      <c r="V9" s="92"/>
      <c r="W9" s="93"/>
      <c r="X9" s="89"/>
      <c r="Y9" s="94"/>
      <c r="Z9" s="92"/>
      <c r="AA9" s="92"/>
      <c r="AB9" s="89"/>
      <c r="AC9" s="93"/>
      <c r="AD9" s="92"/>
      <c r="AE9" s="88"/>
      <c r="AF9" s="84">
        <f t="shared" si="0"/>
        <v>0</v>
      </c>
      <c r="AG9" s="88"/>
      <c r="AH9" s="95"/>
      <c r="AI9" s="89"/>
      <c r="AJ9" s="88"/>
      <c r="AK9" s="83">
        <f t="shared" si="1"/>
        <v>0</v>
      </c>
      <c r="AL9" s="88"/>
      <c r="AM9" s="88"/>
      <c r="AN9" s="83">
        <f t="shared" si="2"/>
        <v>0</v>
      </c>
      <c r="AO9" s="83">
        <f t="shared" si="3"/>
        <v>0</v>
      </c>
      <c r="AP9" s="88"/>
      <c r="AQ9" s="95"/>
      <c r="AR9" s="96"/>
      <c r="AS9" s="84">
        <f t="shared" si="4"/>
        <v>0</v>
      </c>
      <c r="AT9" s="84">
        <f t="shared" si="5"/>
        <v>0</v>
      </c>
      <c r="AU9" s="88"/>
      <c r="AV9" s="95"/>
      <c r="AW9" s="96"/>
      <c r="AX9" s="97">
        <f t="shared" si="6"/>
        <v>0</v>
      </c>
      <c r="AY9" s="97">
        <f t="shared" si="7"/>
        <v>0</v>
      </c>
      <c r="AZ9" s="97">
        <f t="shared" si="8"/>
        <v>0</v>
      </c>
      <c r="BB9" s="9" t="s">
        <v>195</v>
      </c>
      <c r="BC9" s="98" t="s">
        <v>176</v>
      </c>
    </row>
    <row r="10" spans="1:55" s="98" customFormat="1" ht="15" customHeight="1" x14ac:dyDescent="0.2">
      <c r="A10" s="88">
        <f t="shared" si="9"/>
        <v>8</v>
      </c>
      <c r="B10" s="77" t="s">
        <v>143</v>
      </c>
      <c r="C10" s="9"/>
      <c r="D10" s="78" t="s">
        <v>213</v>
      </c>
      <c r="E10" s="90" t="str">
        <f>_xlfn.IFNA(VLOOKUP($D10,'Route-Details'!$B$2:$X$1048576,'Node Details'!E$1,0),"")</f>
        <v>Airtel</v>
      </c>
      <c r="F10" s="90" t="str">
        <f>_xlfn.IFNA(VLOOKUP($D10,'Route-Details'!$B$2:$X$1048576,'Node Details'!F$1,0),"")</f>
        <v>PLAN OF AXZ DARIA</v>
      </c>
      <c r="G10" s="90" t="str">
        <f>_xlfn.IFNA(VLOOKUP($D10,'Route-Details'!$B$2:$X$1048576,'Node Details'!G$1,0),"")</f>
        <v>Chandigarh</v>
      </c>
      <c r="H10" s="90" t="str">
        <f>_xlfn.IFNA(VLOOKUP($D11,'Route-Details'!$B$2:$X$1048576,'Node Details'!H$1,0),"")</f>
        <v>Punjab</v>
      </c>
      <c r="I10" s="90" t="str">
        <f>_xlfn.IFNA(VLOOKUP($D10,'Route-Details'!$B$2:$X$1048576,'Node Details'!I$1,0),"")</f>
        <v>AXZ</v>
      </c>
      <c r="J10" s="90" t="str">
        <f>_xlfn.IFNA(VLOOKUP($D10,'Route-Details'!$B$2:$X$1048576,'Node Details'!J$1,0),"")</f>
        <v>AXZ</v>
      </c>
      <c r="K10" s="78">
        <v>46110</v>
      </c>
      <c r="L10" s="78">
        <v>46110</v>
      </c>
      <c r="M10" s="91">
        <v>46119</v>
      </c>
      <c r="N10" s="78">
        <v>46110</v>
      </c>
      <c r="O10" s="88"/>
      <c r="P10" s="88"/>
      <c r="Q10" s="88" t="s">
        <v>173</v>
      </c>
      <c r="R10" s="92"/>
      <c r="S10" s="89"/>
      <c r="T10" s="89"/>
      <c r="U10" s="89"/>
      <c r="V10" s="92"/>
      <c r="W10" s="93"/>
      <c r="X10" s="89"/>
      <c r="Y10" s="94"/>
      <c r="Z10" s="92"/>
      <c r="AA10" s="92"/>
      <c r="AB10" s="89"/>
      <c r="AC10" s="93"/>
      <c r="AD10" s="92"/>
      <c r="AE10" s="88"/>
      <c r="AF10" s="84">
        <f t="shared" si="0"/>
        <v>0</v>
      </c>
      <c r="AG10" s="88"/>
      <c r="AH10" s="95"/>
      <c r="AI10" s="89"/>
      <c r="AJ10" s="88"/>
      <c r="AK10" s="83">
        <f t="shared" si="1"/>
        <v>0</v>
      </c>
      <c r="AL10" s="88"/>
      <c r="AM10" s="88"/>
      <c r="AN10" s="83">
        <f t="shared" si="2"/>
        <v>0</v>
      </c>
      <c r="AO10" s="83">
        <f t="shared" si="3"/>
        <v>0</v>
      </c>
      <c r="AP10" s="88"/>
      <c r="AQ10" s="95"/>
      <c r="AR10" s="96"/>
      <c r="AS10" s="84">
        <f t="shared" si="4"/>
        <v>0</v>
      </c>
      <c r="AT10" s="84">
        <f t="shared" si="5"/>
        <v>0</v>
      </c>
      <c r="AU10" s="88"/>
      <c r="AV10" s="95"/>
      <c r="AW10" s="96"/>
      <c r="AX10" s="97">
        <f t="shared" si="6"/>
        <v>0</v>
      </c>
      <c r="AY10" s="97">
        <f t="shared" si="7"/>
        <v>0</v>
      </c>
      <c r="AZ10" s="97">
        <f t="shared" si="8"/>
        <v>0</v>
      </c>
      <c r="BB10" s="9" t="s">
        <v>195</v>
      </c>
      <c r="BC10" s="98" t="s">
        <v>176</v>
      </c>
    </row>
    <row r="11" spans="1:55" s="98" customFormat="1" ht="15" customHeight="1" x14ac:dyDescent="0.2">
      <c r="A11" s="88">
        <f t="shared" si="9"/>
        <v>9</v>
      </c>
      <c r="B11" s="77" t="s">
        <v>144</v>
      </c>
      <c r="C11" s="9"/>
      <c r="D11" s="78" t="s">
        <v>213</v>
      </c>
      <c r="E11" s="90" t="str">
        <f>_xlfn.IFNA(VLOOKUP($D11,'Route-Details'!$B$2:$X$1048576,'Node Details'!E$1,0),"")</f>
        <v>Airtel</v>
      </c>
      <c r="F11" s="90" t="str">
        <f>_xlfn.IFNA(VLOOKUP($D11,'Route-Details'!$B$2:$X$1048576,'Node Details'!F$1,0),"")</f>
        <v>PLAN OF AXZ DARIA</v>
      </c>
      <c r="G11" s="90" t="str">
        <f>_xlfn.IFNA(VLOOKUP($D11,'Route-Details'!$B$2:$X$1048576,'Node Details'!G$1,0),"")</f>
        <v>Chandigarh</v>
      </c>
      <c r="H11" s="90" t="str">
        <f>_xlfn.IFNA(VLOOKUP($D12,'Route-Details'!$B$2:$X$1048576,'Node Details'!H$1,0),"")</f>
        <v>Punjab</v>
      </c>
      <c r="I11" s="90" t="str">
        <f>_xlfn.IFNA(VLOOKUP($D11,'Route-Details'!$B$2:$X$1048576,'Node Details'!I$1,0),"")</f>
        <v>AXZ</v>
      </c>
      <c r="J11" s="90" t="str">
        <f>_xlfn.IFNA(VLOOKUP($D11,'Route-Details'!$B$2:$X$1048576,'Node Details'!J$1,0),"")</f>
        <v>AXZ</v>
      </c>
      <c r="K11" s="78">
        <v>46110</v>
      </c>
      <c r="L11" s="78">
        <v>46110</v>
      </c>
      <c r="M11" s="91">
        <v>46119</v>
      </c>
      <c r="N11" s="78">
        <v>46110</v>
      </c>
      <c r="O11" s="88"/>
      <c r="P11" s="88"/>
      <c r="Q11" s="88" t="s">
        <v>173</v>
      </c>
      <c r="R11" s="92"/>
      <c r="S11" s="89"/>
      <c r="T11" s="89"/>
      <c r="U11" s="89"/>
      <c r="V11" s="92"/>
      <c r="W11" s="93"/>
      <c r="X11" s="89"/>
      <c r="Y11" s="94"/>
      <c r="Z11" s="92"/>
      <c r="AA11" s="92"/>
      <c r="AB11" s="89"/>
      <c r="AC11" s="93"/>
      <c r="AD11" s="92"/>
      <c r="AE11" s="88"/>
      <c r="AF11" s="84">
        <f t="shared" si="0"/>
        <v>0</v>
      </c>
      <c r="AG11" s="88"/>
      <c r="AH11" s="95"/>
      <c r="AI11" s="89"/>
      <c r="AJ11" s="88"/>
      <c r="AK11" s="83">
        <f t="shared" si="1"/>
        <v>0</v>
      </c>
      <c r="AL11" s="88"/>
      <c r="AM11" s="88"/>
      <c r="AN11" s="83">
        <f t="shared" si="2"/>
        <v>0</v>
      </c>
      <c r="AO11" s="83">
        <f t="shared" si="3"/>
        <v>0</v>
      </c>
      <c r="AP11" s="88"/>
      <c r="AQ11" s="95"/>
      <c r="AR11" s="96"/>
      <c r="AS11" s="84">
        <f t="shared" si="4"/>
        <v>0</v>
      </c>
      <c r="AT11" s="84">
        <f t="shared" si="5"/>
        <v>0</v>
      </c>
      <c r="AU11" s="88"/>
      <c r="AV11" s="95"/>
      <c r="AW11" s="96"/>
      <c r="AX11" s="97">
        <f t="shared" si="6"/>
        <v>0</v>
      </c>
      <c r="AY11" s="97">
        <f t="shared" si="7"/>
        <v>0</v>
      </c>
      <c r="AZ11" s="97">
        <f t="shared" si="8"/>
        <v>0</v>
      </c>
      <c r="BB11" s="9" t="s">
        <v>195</v>
      </c>
      <c r="BC11" s="98" t="s">
        <v>176</v>
      </c>
    </row>
    <row r="12" spans="1:55" s="98" customFormat="1" ht="15" customHeight="1" x14ac:dyDescent="0.2">
      <c r="A12" s="88">
        <f t="shared" si="9"/>
        <v>10</v>
      </c>
      <c r="B12" s="77" t="s">
        <v>145</v>
      </c>
      <c r="C12" s="9"/>
      <c r="D12" s="78" t="s">
        <v>213</v>
      </c>
      <c r="E12" s="90" t="str">
        <f>_xlfn.IFNA(VLOOKUP($D12,'Route-Details'!$B$2:$X$1048576,'Node Details'!E$1,0),"")</f>
        <v>Airtel</v>
      </c>
      <c r="F12" s="90" t="str">
        <f>_xlfn.IFNA(VLOOKUP($D12,'Route-Details'!$B$2:$X$1048576,'Node Details'!F$1,0),"")</f>
        <v>PLAN OF AXZ DARIA</v>
      </c>
      <c r="G12" s="90" t="str">
        <f>_xlfn.IFNA(VLOOKUP($D12,'Route-Details'!$B$2:$X$1048576,'Node Details'!G$1,0),"")</f>
        <v>Chandigarh</v>
      </c>
      <c r="H12" s="90" t="str">
        <f>_xlfn.IFNA(VLOOKUP($D13,'Route-Details'!$B$2:$X$1048576,'Node Details'!H$1,0),"")</f>
        <v>Punjab</v>
      </c>
      <c r="I12" s="90" t="str">
        <f>_xlfn.IFNA(VLOOKUP($D12,'Route-Details'!$B$2:$X$1048576,'Node Details'!I$1,0),"")</f>
        <v>AXZ</v>
      </c>
      <c r="J12" s="90" t="str">
        <f>_xlfn.IFNA(VLOOKUP($D12,'Route-Details'!$B$2:$X$1048576,'Node Details'!J$1,0),"")</f>
        <v>AXZ</v>
      </c>
      <c r="K12" s="78">
        <v>46110</v>
      </c>
      <c r="L12" s="78">
        <v>46110</v>
      </c>
      <c r="M12" s="91">
        <v>46119</v>
      </c>
      <c r="N12" s="78">
        <v>46110</v>
      </c>
      <c r="O12" s="88"/>
      <c r="P12" s="88"/>
      <c r="Q12" s="88" t="s">
        <v>173</v>
      </c>
      <c r="R12" s="92"/>
      <c r="S12" s="89"/>
      <c r="T12" s="89"/>
      <c r="U12" s="89"/>
      <c r="V12" s="92"/>
      <c r="W12" s="93"/>
      <c r="X12" s="89"/>
      <c r="Y12" s="94"/>
      <c r="Z12" s="92"/>
      <c r="AA12" s="92"/>
      <c r="AB12" s="89"/>
      <c r="AC12" s="93"/>
      <c r="AD12" s="92"/>
      <c r="AE12" s="88"/>
      <c r="AF12" s="84">
        <f t="shared" si="0"/>
        <v>0</v>
      </c>
      <c r="AG12" s="88"/>
      <c r="AH12" s="95"/>
      <c r="AI12" s="89"/>
      <c r="AJ12" s="88"/>
      <c r="AK12" s="83">
        <f t="shared" si="1"/>
        <v>0</v>
      </c>
      <c r="AL12" s="88"/>
      <c r="AM12" s="88"/>
      <c r="AN12" s="83">
        <f t="shared" si="2"/>
        <v>0</v>
      </c>
      <c r="AO12" s="83">
        <f t="shared" si="3"/>
        <v>0</v>
      </c>
      <c r="AP12" s="88"/>
      <c r="AQ12" s="95"/>
      <c r="AR12" s="96"/>
      <c r="AS12" s="84">
        <f t="shared" si="4"/>
        <v>0</v>
      </c>
      <c r="AT12" s="84">
        <f t="shared" si="5"/>
        <v>0</v>
      </c>
      <c r="AU12" s="88"/>
      <c r="AV12" s="95"/>
      <c r="AW12" s="96"/>
      <c r="AX12" s="97">
        <f t="shared" si="6"/>
        <v>0</v>
      </c>
      <c r="AY12" s="97">
        <f t="shared" si="7"/>
        <v>0</v>
      </c>
      <c r="AZ12" s="97">
        <f t="shared" si="8"/>
        <v>0</v>
      </c>
      <c r="BB12" s="9" t="s">
        <v>195</v>
      </c>
      <c r="BC12" s="98" t="s">
        <v>176</v>
      </c>
    </row>
    <row r="13" spans="1:55" s="98" customFormat="1" ht="15" customHeight="1" x14ac:dyDescent="0.2">
      <c r="A13" s="88">
        <f t="shared" si="9"/>
        <v>11</v>
      </c>
      <c r="B13" s="77" t="s">
        <v>146</v>
      </c>
      <c r="C13" s="9"/>
      <c r="D13" s="78" t="s">
        <v>213</v>
      </c>
      <c r="E13" s="90" t="str">
        <f>_xlfn.IFNA(VLOOKUP($D13,'Route-Details'!$B$2:$X$1048576,'Node Details'!E$1,0),"")</f>
        <v>Airtel</v>
      </c>
      <c r="F13" s="90" t="str">
        <f>_xlfn.IFNA(VLOOKUP($D13,'Route-Details'!$B$2:$X$1048576,'Node Details'!F$1,0),"")</f>
        <v>PLAN OF AXZ DARIA</v>
      </c>
      <c r="G13" s="90" t="str">
        <f>_xlfn.IFNA(VLOOKUP($D13,'Route-Details'!$B$2:$X$1048576,'Node Details'!G$1,0),"")</f>
        <v>Chandigarh</v>
      </c>
      <c r="H13" s="90" t="str">
        <f>_xlfn.IFNA(VLOOKUP($D14,'Route-Details'!$B$2:$X$1048576,'Node Details'!H$1,0),"")</f>
        <v>Punjab</v>
      </c>
      <c r="I13" s="90" t="str">
        <f>_xlfn.IFNA(VLOOKUP($D13,'Route-Details'!$B$2:$X$1048576,'Node Details'!I$1,0),"")</f>
        <v>AXZ</v>
      </c>
      <c r="J13" s="90" t="str">
        <f>_xlfn.IFNA(VLOOKUP($D13,'Route-Details'!$B$2:$X$1048576,'Node Details'!J$1,0),"")</f>
        <v>AXZ</v>
      </c>
      <c r="K13" s="78">
        <v>46110</v>
      </c>
      <c r="L13" s="78">
        <v>46110</v>
      </c>
      <c r="M13" s="91">
        <v>46119</v>
      </c>
      <c r="N13" s="78">
        <v>46110</v>
      </c>
      <c r="O13" s="88"/>
      <c r="P13" s="88"/>
      <c r="Q13" s="88" t="s">
        <v>173</v>
      </c>
      <c r="R13" s="92"/>
      <c r="S13" s="89"/>
      <c r="T13" s="89"/>
      <c r="U13" s="89"/>
      <c r="V13" s="92"/>
      <c r="W13" s="93"/>
      <c r="X13" s="89"/>
      <c r="Y13" s="94"/>
      <c r="Z13" s="92"/>
      <c r="AA13" s="92"/>
      <c r="AB13" s="89"/>
      <c r="AC13" s="93"/>
      <c r="AD13" s="92"/>
      <c r="AE13" s="88"/>
      <c r="AF13" s="84">
        <f t="shared" si="0"/>
        <v>0</v>
      </c>
      <c r="AG13" s="88"/>
      <c r="AH13" s="95"/>
      <c r="AI13" s="89"/>
      <c r="AJ13" s="88"/>
      <c r="AK13" s="83">
        <f t="shared" si="1"/>
        <v>0</v>
      </c>
      <c r="AL13" s="88"/>
      <c r="AM13" s="88"/>
      <c r="AN13" s="83">
        <f t="shared" si="2"/>
        <v>0</v>
      </c>
      <c r="AO13" s="83">
        <f t="shared" si="3"/>
        <v>0</v>
      </c>
      <c r="AP13" s="88"/>
      <c r="AQ13" s="95"/>
      <c r="AR13" s="96"/>
      <c r="AS13" s="84">
        <f t="shared" si="4"/>
        <v>0</v>
      </c>
      <c r="AT13" s="84">
        <f t="shared" si="5"/>
        <v>0</v>
      </c>
      <c r="AU13" s="88"/>
      <c r="AV13" s="95"/>
      <c r="AW13" s="96"/>
      <c r="AX13" s="97">
        <f t="shared" si="6"/>
        <v>0</v>
      </c>
      <c r="AY13" s="97">
        <f t="shared" si="7"/>
        <v>0</v>
      </c>
      <c r="AZ13" s="97">
        <f t="shared" si="8"/>
        <v>0</v>
      </c>
      <c r="BB13" s="9" t="s">
        <v>195</v>
      </c>
      <c r="BC13" s="98" t="s">
        <v>176</v>
      </c>
    </row>
    <row r="14" spans="1:55" s="98" customFormat="1" ht="15" customHeight="1" x14ac:dyDescent="0.2">
      <c r="A14" s="88">
        <f t="shared" si="9"/>
        <v>12</v>
      </c>
      <c r="B14" s="77" t="s">
        <v>147</v>
      </c>
      <c r="C14" s="9"/>
      <c r="D14" s="78" t="s">
        <v>223</v>
      </c>
      <c r="E14" s="90" t="str">
        <f>_xlfn.IFNA(VLOOKUP($D14,'Route-Details'!$B$2:$X$1048576,'Node Details'!E$1,0),"")</f>
        <v>Airtel</v>
      </c>
      <c r="F14" s="90" t="str">
        <f>_xlfn.IFNA(VLOOKUP($D14,'Route-Details'!$B$2:$X$1048576,'Node Details'!F$1,0),"")</f>
        <v>PLAN OF AXZ DARIA</v>
      </c>
      <c r="G14" s="90" t="str">
        <f>_xlfn.IFNA(VLOOKUP($D14,'Route-Details'!$B$2:$X$1048576,'Node Details'!G$1,0),"")</f>
        <v>Chandigarh</v>
      </c>
      <c r="H14" s="90" t="str">
        <f>_xlfn.IFNA(VLOOKUP($D15,'Route-Details'!$B$2:$X$1048576,'Node Details'!H$1,0),"")</f>
        <v>Punjab</v>
      </c>
      <c r="I14" s="90" t="str">
        <f>_xlfn.IFNA(VLOOKUP($D14,'Route-Details'!$B$2:$X$1048576,'Node Details'!I$1,0),"")</f>
        <v>AXZ</v>
      </c>
      <c r="J14" s="90" t="str">
        <f>_xlfn.IFNA(VLOOKUP($D14,'Route-Details'!$B$2:$X$1048576,'Node Details'!J$1,0),"")</f>
        <v>AXZ</v>
      </c>
      <c r="K14" s="78">
        <v>46110</v>
      </c>
      <c r="L14" s="78">
        <v>46110</v>
      </c>
      <c r="M14" s="91">
        <v>46119</v>
      </c>
      <c r="N14" s="78">
        <v>46110</v>
      </c>
      <c r="O14" s="88"/>
      <c r="P14" s="88"/>
      <c r="Q14" s="88" t="s">
        <v>173</v>
      </c>
      <c r="R14" s="92"/>
      <c r="S14" s="89"/>
      <c r="T14" s="89"/>
      <c r="U14" s="89"/>
      <c r="V14" s="92"/>
      <c r="W14" s="93"/>
      <c r="X14" s="89"/>
      <c r="Y14" s="94"/>
      <c r="Z14" s="92"/>
      <c r="AA14" s="92"/>
      <c r="AB14" s="89"/>
      <c r="AC14" s="93"/>
      <c r="AD14" s="92"/>
      <c r="AE14" s="88"/>
      <c r="AF14" s="84">
        <f t="shared" si="0"/>
        <v>0</v>
      </c>
      <c r="AG14" s="88"/>
      <c r="AH14" s="95"/>
      <c r="AI14" s="89"/>
      <c r="AJ14" s="88"/>
      <c r="AK14" s="83">
        <f t="shared" si="1"/>
        <v>0</v>
      </c>
      <c r="AL14" s="88"/>
      <c r="AM14" s="88"/>
      <c r="AN14" s="83">
        <f t="shared" si="2"/>
        <v>0</v>
      </c>
      <c r="AO14" s="83">
        <f t="shared" si="3"/>
        <v>0</v>
      </c>
      <c r="AP14" s="88"/>
      <c r="AQ14" s="95"/>
      <c r="AR14" s="96"/>
      <c r="AS14" s="84">
        <f t="shared" si="4"/>
        <v>0</v>
      </c>
      <c r="AT14" s="84">
        <f t="shared" si="5"/>
        <v>0</v>
      </c>
      <c r="AU14" s="88"/>
      <c r="AV14" s="95"/>
      <c r="AW14" s="96"/>
      <c r="AX14" s="97">
        <f t="shared" si="6"/>
        <v>0</v>
      </c>
      <c r="AY14" s="97">
        <f t="shared" si="7"/>
        <v>0</v>
      </c>
      <c r="AZ14" s="97">
        <f t="shared" si="8"/>
        <v>0</v>
      </c>
      <c r="BB14" s="9" t="s">
        <v>191</v>
      </c>
      <c r="BC14" s="98" t="s">
        <v>176</v>
      </c>
    </row>
    <row r="15" spans="1:55" s="98" customFormat="1" ht="15" customHeight="1" x14ac:dyDescent="0.2">
      <c r="A15" s="88">
        <f t="shared" si="9"/>
        <v>13</v>
      </c>
      <c r="B15" s="77" t="s">
        <v>148</v>
      </c>
      <c r="C15" s="9"/>
      <c r="D15" s="78" t="s">
        <v>214</v>
      </c>
      <c r="E15" s="90" t="str">
        <f>_xlfn.IFNA(VLOOKUP($D15,'Route-Details'!$B$2:$X$1048576,'Node Details'!E$1,0),"")</f>
        <v>Airtel</v>
      </c>
      <c r="F15" s="90" t="str">
        <f>_xlfn.IFNA(VLOOKUP($D15,'Route-Details'!$B$2:$X$1048576,'Node Details'!F$1,0),"")</f>
        <v>PLAN OF AXZ DARIA</v>
      </c>
      <c r="G15" s="90" t="str">
        <f>_xlfn.IFNA(VLOOKUP($D15,'Route-Details'!$B$2:$X$1048576,'Node Details'!G$1,0),"")</f>
        <v>Chandigarh</v>
      </c>
      <c r="H15" s="90" t="str">
        <f>_xlfn.IFNA(VLOOKUP($D16,'Route-Details'!$B$2:$X$1048576,'Node Details'!H$1,0),"")</f>
        <v>Punjab</v>
      </c>
      <c r="I15" s="90" t="str">
        <f>_xlfn.IFNA(VLOOKUP($D15,'Route-Details'!$B$2:$X$1048576,'Node Details'!I$1,0),"")</f>
        <v>AXZ</v>
      </c>
      <c r="J15" s="90" t="str">
        <f>_xlfn.IFNA(VLOOKUP($D15,'Route-Details'!$B$2:$X$1048576,'Node Details'!J$1,0),"")</f>
        <v>AXZ</v>
      </c>
      <c r="K15" s="78">
        <v>46110</v>
      </c>
      <c r="L15" s="78">
        <v>46110</v>
      </c>
      <c r="M15" s="91">
        <v>46119</v>
      </c>
      <c r="N15" s="78">
        <v>46110</v>
      </c>
      <c r="O15" s="88"/>
      <c r="P15" s="88"/>
      <c r="Q15" s="88" t="s">
        <v>173</v>
      </c>
      <c r="R15" s="92"/>
      <c r="S15" s="89"/>
      <c r="T15" s="89"/>
      <c r="U15" s="89"/>
      <c r="V15" s="92"/>
      <c r="W15" s="93"/>
      <c r="X15" s="89"/>
      <c r="Y15" s="94"/>
      <c r="Z15" s="92"/>
      <c r="AA15" s="92"/>
      <c r="AB15" s="89"/>
      <c r="AC15" s="93"/>
      <c r="AD15" s="92"/>
      <c r="AE15" s="88"/>
      <c r="AF15" s="84">
        <f t="shared" si="0"/>
        <v>0</v>
      </c>
      <c r="AG15" s="88"/>
      <c r="AH15" s="95"/>
      <c r="AI15" s="89"/>
      <c r="AJ15" s="88"/>
      <c r="AK15" s="83">
        <f t="shared" si="1"/>
        <v>0</v>
      </c>
      <c r="AL15" s="88"/>
      <c r="AM15" s="88"/>
      <c r="AN15" s="83">
        <f t="shared" si="2"/>
        <v>0</v>
      </c>
      <c r="AO15" s="83">
        <f t="shared" si="3"/>
        <v>0</v>
      </c>
      <c r="AP15" s="88"/>
      <c r="AQ15" s="95"/>
      <c r="AR15" s="96"/>
      <c r="AS15" s="84">
        <f t="shared" si="4"/>
        <v>0</v>
      </c>
      <c r="AT15" s="84">
        <f t="shared" si="5"/>
        <v>0</v>
      </c>
      <c r="AU15" s="88"/>
      <c r="AV15" s="95"/>
      <c r="AW15" s="96"/>
      <c r="AX15" s="97">
        <f t="shared" si="6"/>
        <v>0</v>
      </c>
      <c r="AY15" s="97">
        <f t="shared" si="7"/>
        <v>0</v>
      </c>
      <c r="AZ15" s="97">
        <f t="shared" si="8"/>
        <v>0</v>
      </c>
      <c r="BB15" s="9" t="s">
        <v>196</v>
      </c>
      <c r="BC15" s="98" t="s">
        <v>176</v>
      </c>
    </row>
    <row r="16" spans="1:55" s="98" customFormat="1" ht="15" customHeight="1" x14ac:dyDescent="0.2">
      <c r="A16" s="88">
        <f t="shared" si="9"/>
        <v>14</v>
      </c>
      <c r="B16" s="77" t="s">
        <v>149</v>
      </c>
      <c r="C16" s="9"/>
      <c r="D16" s="78" t="s">
        <v>215</v>
      </c>
      <c r="E16" s="90" t="str">
        <f>_xlfn.IFNA(VLOOKUP($D16,'Route-Details'!$B$2:$X$1048576,'Node Details'!E$1,0),"")</f>
        <v>Airtel</v>
      </c>
      <c r="F16" s="90" t="str">
        <f>_xlfn.IFNA(VLOOKUP($D16,'Route-Details'!$B$2:$X$1048576,'Node Details'!F$1,0),"")</f>
        <v>PLAN OF AXZ DARIA</v>
      </c>
      <c r="G16" s="90" t="str">
        <f>_xlfn.IFNA(VLOOKUP($D16,'Route-Details'!$B$2:$X$1048576,'Node Details'!G$1,0),"")</f>
        <v>Chandigarh</v>
      </c>
      <c r="H16" s="90" t="str">
        <f>_xlfn.IFNA(VLOOKUP($D17,'Route-Details'!$B$2:$X$1048576,'Node Details'!H$1,0),"")</f>
        <v>Punjab</v>
      </c>
      <c r="I16" s="90" t="str">
        <f>_xlfn.IFNA(VLOOKUP($D16,'Route-Details'!$B$2:$X$1048576,'Node Details'!I$1,0),"")</f>
        <v>AXZ</v>
      </c>
      <c r="J16" s="90" t="str">
        <f>_xlfn.IFNA(VLOOKUP($D16,'Route-Details'!$B$2:$X$1048576,'Node Details'!J$1,0),"")</f>
        <v>AXZ</v>
      </c>
      <c r="K16" s="78">
        <v>46110</v>
      </c>
      <c r="L16" s="78">
        <v>46110</v>
      </c>
      <c r="M16" s="91">
        <v>46119</v>
      </c>
      <c r="N16" s="78">
        <v>46110</v>
      </c>
      <c r="O16" s="88"/>
      <c r="P16" s="88"/>
      <c r="Q16" s="88" t="s">
        <v>173</v>
      </c>
      <c r="R16" s="92"/>
      <c r="S16" s="89"/>
      <c r="T16" s="89"/>
      <c r="U16" s="89"/>
      <c r="V16" s="92"/>
      <c r="W16" s="93"/>
      <c r="X16" s="89"/>
      <c r="Y16" s="94"/>
      <c r="Z16" s="92"/>
      <c r="AA16" s="92"/>
      <c r="AB16" s="89"/>
      <c r="AC16" s="93"/>
      <c r="AD16" s="92"/>
      <c r="AE16" s="88"/>
      <c r="AF16" s="84">
        <f t="shared" si="0"/>
        <v>0</v>
      </c>
      <c r="AG16" s="88"/>
      <c r="AH16" s="95"/>
      <c r="AI16" s="89"/>
      <c r="AJ16" s="88"/>
      <c r="AK16" s="83">
        <f t="shared" si="1"/>
        <v>0</v>
      </c>
      <c r="AL16" s="88"/>
      <c r="AM16" s="88"/>
      <c r="AN16" s="83">
        <f t="shared" si="2"/>
        <v>0</v>
      </c>
      <c r="AO16" s="83">
        <f t="shared" si="3"/>
        <v>0</v>
      </c>
      <c r="AP16" s="88"/>
      <c r="AQ16" s="95"/>
      <c r="AR16" s="96"/>
      <c r="AS16" s="84">
        <f t="shared" si="4"/>
        <v>0</v>
      </c>
      <c r="AT16" s="84">
        <f t="shared" si="5"/>
        <v>0</v>
      </c>
      <c r="AU16" s="88"/>
      <c r="AV16" s="95"/>
      <c r="AW16" s="96"/>
      <c r="AX16" s="97">
        <f t="shared" si="6"/>
        <v>0</v>
      </c>
      <c r="AY16" s="97">
        <f t="shared" si="7"/>
        <v>0</v>
      </c>
      <c r="AZ16" s="97">
        <f t="shared" si="8"/>
        <v>0</v>
      </c>
      <c r="BB16" s="9" t="s">
        <v>197</v>
      </c>
      <c r="BC16" s="98" t="s">
        <v>176</v>
      </c>
    </row>
    <row r="17" spans="1:55" s="98" customFormat="1" ht="15" customHeight="1" x14ac:dyDescent="0.2">
      <c r="A17" s="88">
        <f t="shared" si="9"/>
        <v>15</v>
      </c>
      <c r="B17" s="77" t="s">
        <v>150</v>
      </c>
      <c r="C17" s="9"/>
      <c r="D17" s="78" t="s">
        <v>215</v>
      </c>
      <c r="E17" s="90" t="str">
        <f>_xlfn.IFNA(VLOOKUP($D17,'Route-Details'!$B$2:$X$1048576,'Node Details'!E$1,0),"")</f>
        <v>Airtel</v>
      </c>
      <c r="F17" s="90" t="str">
        <f>_xlfn.IFNA(VLOOKUP($D17,'Route-Details'!$B$2:$X$1048576,'Node Details'!F$1,0),"")</f>
        <v>PLAN OF AXZ DARIA</v>
      </c>
      <c r="G17" s="90" t="str">
        <f>_xlfn.IFNA(VLOOKUP($D17,'Route-Details'!$B$2:$X$1048576,'Node Details'!G$1,0),"")</f>
        <v>Chandigarh</v>
      </c>
      <c r="H17" s="90" t="str">
        <f>_xlfn.IFNA(VLOOKUP($D18,'Route-Details'!$B$2:$X$1048576,'Node Details'!H$1,0),"")</f>
        <v>Punjab</v>
      </c>
      <c r="I17" s="90" t="str">
        <f>_xlfn.IFNA(VLOOKUP($D17,'Route-Details'!$B$2:$X$1048576,'Node Details'!I$1,0),"")</f>
        <v>AXZ</v>
      </c>
      <c r="J17" s="90" t="str">
        <f>_xlfn.IFNA(VLOOKUP($D17,'Route-Details'!$B$2:$X$1048576,'Node Details'!J$1,0),"")</f>
        <v>AXZ</v>
      </c>
      <c r="K17" s="78">
        <v>46110</v>
      </c>
      <c r="L17" s="78">
        <v>46110</v>
      </c>
      <c r="M17" s="91">
        <v>46119</v>
      </c>
      <c r="N17" s="78">
        <v>46110</v>
      </c>
      <c r="O17" s="88"/>
      <c r="P17" s="88"/>
      <c r="Q17" s="88" t="s">
        <v>173</v>
      </c>
      <c r="R17" s="92"/>
      <c r="S17" s="89"/>
      <c r="T17" s="89"/>
      <c r="U17" s="89"/>
      <c r="V17" s="92"/>
      <c r="W17" s="93"/>
      <c r="X17" s="89"/>
      <c r="Y17" s="94"/>
      <c r="Z17" s="92"/>
      <c r="AA17" s="92"/>
      <c r="AB17" s="89"/>
      <c r="AC17" s="93"/>
      <c r="AD17" s="92"/>
      <c r="AE17" s="88"/>
      <c r="AF17" s="84">
        <f t="shared" si="0"/>
        <v>0</v>
      </c>
      <c r="AG17" s="88"/>
      <c r="AH17" s="95"/>
      <c r="AI17" s="89"/>
      <c r="AJ17" s="88"/>
      <c r="AK17" s="83">
        <f t="shared" si="1"/>
        <v>0</v>
      </c>
      <c r="AL17" s="88"/>
      <c r="AM17" s="88"/>
      <c r="AN17" s="83">
        <f t="shared" si="2"/>
        <v>0</v>
      </c>
      <c r="AO17" s="83">
        <f t="shared" si="3"/>
        <v>0</v>
      </c>
      <c r="AP17" s="88"/>
      <c r="AQ17" s="95"/>
      <c r="AR17" s="96"/>
      <c r="AS17" s="84">
        <f t="shared" si="4"/>
        <v>0</v>
      </c>
      <c r="AT17" s="84">
        <f t="shared" si="5"/>
        <v>0</v>
      </c>
      <c r="AU17" s="88"/>
      <c r="AV17" s="95"/>
      <c r="AW17" s="96"/>
      <c r="AX17" s="97">
        <f t="shared" si="6"/>
        <v>0</v>
      </c>
      <c r="AY17" s="97">
        <f t="shared" si="7"/>
        <v>0</v>
      </c>
      <c r="AZ17" s="97">
        <f t="shared" si="8"/>
        <v>0</v>
      </c>
      <c r="BB17" s="9" t="s">
        <v>197</v>
      </c>
      <c r="BC17" s="98" t="s">
        <v>176</v>
      </c>
    </row>
    <row r="18" spans="1:55" s="98" customFormat="1" ht="15" customHeight="1" x14ac:dyDescent="0.2">
      <c r="A18" s="88">
        <f t="shared" si="9"/>
        <v>16</v>
      </c>
      <c r="B18" s="77" t="s">
        <v>151</v>
      </c>
      <c r="C18" s="9"/>
      <c r="D18" s="78" t="s">
        <v>216</v>
      </c>
      <c r="E18" s="90" t="str">
        <f>_xlfn.IFNA(VLOOKUP($D18,'Route-Details'!$B$2:$X$1048576,'Node Details'!E$1,0),"")</f>
        <v>Airtel</v>
      </c>
      <c r="F18" s="90" t="str">
        <f>_xlfn.IFNA(VLOOKUP($D18,'Route-Details'!$B$2:$X$1048576,'Node Details'!F$1,0),"")</f>
        <v>PLAN OF AXZ DARIA</v>
      </c>
      <c r="G18" s="90" t="str">
        <f>_xlfn.IFNA(VLOOKUP($D18,'Route-Details'!$B$2:$X$1048576,'Node Details'!G$1,0),"")</f>
        <v>Chandigarh</v>
      </c>
      <c r="H18" s="90" t="str">
        <f>_xlfn.IFNA(VLOOKUP($D19,'Route-Details'!$B$2:$X$1048576,'Node Details'!H$1,0),"")</f>
        <v>Punjab</v>
      </c>
      <c r="I18" s="90" t="str">
        <f>_xlfn.IFNA(VLOOKUP($D18,'Route-Details'!$B$2:$X$1048576,'Node Details'!I$1,0),"")</f>
        <v>AXZ</v>
      </c>
      <c r="J18" s="90" t="str">
        <f>_xlfn.IFNA(VLOOKUP($D18,'Route-Details'!$B$2:$X$1048576,'Node Details'!J$1,0),"")</f>
        <v>AXZ</v>
      </c>
      <c r="K18" s="78">
        <v>46110</v>
      </c>
      <c r="L18" s="78">
        <v>46110</v>
      </c>
      <c r="M18" s="91">
        <v>46119</v>
      </c>
      <c r="N18" s="78">
        <v>46110</v>
      </c>
      <c r="O18" s="88"/>
      <c r="P18" s="88"/>
      <c r="Q18" s="88" t="s">
        <v>173</v>
      </c>
      <c r="R18" s="92"/>
      <c r="S18" s="89"/>
      <c r="T18" s="89"/>
      <c r="U18" s="89"/>
      <c r="V18" s="92"/>
      <c r="W18" s="93"/>
      <c r="X18" s="89"/>
      <c r="Y18" s="94"/>
      <c r="Z18" s="92"/>
      <c r="AA18" s="92"/>
      <c r="AB18" s="89"/>
      <c r="AC18" s="93"/>
      <c r="AD18" s="92"/>
      <c r="AE18" s="88"/>
      <c r="AF18" s="84">
        <f t="shared" si="0"/>
        <v>0</v>
      </c>
      <c r="AG18" s="88"/>
      <c r="AH18" s="95"/>
      <c r="AI18" s="89"/>
      <c r="AJ18" s="88"/>
      <c r="AK18" s="83">
        <f t="shared" si="1"/>
        <v>0</v>
      </c>
      <c r="AL18" s="88"/>
      <c r="AM18" s="88"/>
      <c r="AN18" s="83">
        <f t="shared" si="2"/>
        <v>0</v>
      </c>
      <c r="AO18" s="83">
        <f t="shared" si="3"/>
        <v>0</v>
      </c>
      <c r="AP18" s="88"/>
      <c r="AQ18" s="95"/>
      <c r="AR18" s="96"/>
      <c r="AS18" s="84">
        <f t="shared" si="4"/>
        <v>0</v>
      </c>
      <c r="AT18" s="84">
        <f t="shared" si="5"/>
        <v>0</v>
      </c>
      <c r="AU18" s="88"/>
      <c r="AV18" s="95"/>
      <c r="AW18" s="96"/>
      <c r="AX18" s="97">
        <f t="shared" si="6"/>
        <v>0</v>
      </c>
      <c r="AY18" s="97">
        <f t="shared" si="7"/>
        <v>0</v>
      </c>
      <c r="AZ18" s="97">
        <f t="shared" si="8"/>
        <v>0</v>
      </c>
      <c r="BB18" s="9" t="s">
        <v>198</v>
      </c>
      <c r="BC18" s="98" t="s">
        <v>176</v>
      </c>
    </row>
    <row r="19" spans="1:55" s="98" customFormat="1" ht="15" customHeight="1" x14ac:dyDescent="0.2">
      <c r="A19" s="88">
        <f t="shared" si="9"/>
        <v>17</v>
      </c>
      <c r="B19" s="77" t="s">
        <v>152</v>
      </c>
      <c r="C19" s="9"/>
      <c r="D19" s="78" t="s">
        <v>216</v>
      </c>
      <c r="E19" s="90" t="str">
        <f>_xlfn.IFNA(VLOOKUP($D19,'Route-Details'!$B$2:$X$1048576,'Node Details'!E$1,0),"")</f>
        <v>Airtel</v>
      </c>
      <c r="F19" s="90" t="str">
        <f>_xlfn.IFNA(VLOOKUP($D19,'Route-Details'!$B$2:$X$1048576,'Node Details'!F$1,0),"")</f>
        <v>PLAN OF AXZ DARIA</v>
      </c>
      <c r="G19" s="90" t="str">
        <f>_xlfn.IFNA(VLOOKUP($D19,'Route-Details'!$B$2:$X$1048576,'Node Details'!G$1,0),"")</f>
        <v>Chandigarh</v>
      </c>
      <c r="H19" s="90" t="str">
        <f>_xlfn.IFNA(VLOOKUP($D20,'Route-Details'!$B$2:$X$1048576,'Node Details'!H$1,0),"")</f>
        <v>Punjab</v>
      </c>
      <c r="I19" s="90" t="str">
        <f>_xlfn.IFNA(VLOOKUP($D19,'Route-Details'!$B$2:$X$1048576,'Node Details'!I$1,0),"")</f>
        <v>AXZ</v>
      </c>
      <c r="J19" s="90" t="str">
        <f>_xlfn.IFNA(VLOOKUP($D19,'Route-Details'!$B$2:$X$1048576,'Node Details'!J$1,0),"")</f>
        <v>AXZ</v>
      </c>
      <c r="K19" s="78">
        <v>46110</v>
      </c>
      <c r="L19" s="78">
        <v>46110</v>
      </c>
      <c r="M19" s="91">
        <v>46119</v>
      </c>
      <c r="N19" s="78">
        <v>46110</v>
      </c>
      <c r="O19" s="88"/>
      <c r="P19" s="88"/>
      <c r="Q19" s="88" t="s">
        <v>173</v>
      </c>
      <c r="R19" s="92"/>
      <c r="S19" s="89"/>
      <c r="T19" s="89"/>
      <c r="U19" s="89"/>
      <c r="V19" s="92"/>
      <c r="W19" s="93"/>
      <c r="X19" s="89"/>
      <c r="Y19" s="94"/>
      <c r="Z19" s="92"/>
      <c r="AA19" s="92"/>
      <c r="AB19" s="89"/>
      <c r="AC19" s="93"/>
      <c r="AD19" s="92"/>
      <c r="AE19" s="88"/>
      <c r="AF19" s="84">
        <f t="shared" si="0"/>
        <v>0</v>
      </c>
      <c r="AG19" s="88"/>
      <c r="AH19" s="95"/>
      <c r="AI19" s="89"/>
      <c r="AJ19" s="88"/>
      <c r="AK19" s="83">
        <f t="shared" si="1"/>
        <v>0</v>
      </c>
      <c r="AL19" s="88"/>
      <c r="AM19" s="88"/>
      <c r="AN19" s="83">
        <f t="shared" si="2"/>
        <v>0</v>
      </c>
      <c r="AO19" s="83">
        <f t="shared" si="3"/>
        <v>0</v>
      </c>
      <c r="AP19" s="88"/>
      <c r="AQ19" s="95"/>
      <c r="AR19" s="96"/>
      <c r="AS19" s="84">
        <f t="shared" si="4"/>
        <v>0</v>
      </c>
      <c r="AT19" s="84">
        <f t="shared" si="5"/>
        <v>0</v>
      </c>
      <c r="AU19" s="88"/>
      <c r="AV19" s="95"/>
      <c r="AW19" s="96"/>
      <c r="AX19" s="97">
        <f t="shared" si="6"/>
        <v>0</v>
      </c>
      <c r="AY19" s="97">
        <f t="shared" si="7"/>
        <v>0</v>
      </c>
      <c r="AZ19" s="97">
        <f t="shared" si="8"/>
        <v>0</v>
      </c>
      <c r="BB19" s="9" t="s">
        <v>198</v>
      </c>
      <c r="BC19" s="98" t="s">
        <v>176</v>
      </c>
    </row>
    <row r="20" spans="1:55" s="98" customFormat="1" ht="15" customHeight="1" x14ac:dyDescent="0.2">
      <c r="A20" s="88">
        <f t="shared" si="9"/>
        <v>18</v>
      </c>
      <c r="B20" s="77" t="s">
        <v>153</v>
      </c>
      <c r="C20" s="9"/>
      <c r="D20" s="78" t="s">
        <v>216</v>
      </c>
      <c r="E20" s="90" t="str">
        <f>_xlfn.IFNA(VLOOKUP($D20,'Route-Details'!$B$2:$X$1048576,'Node Details'!E$1,0),"")</f>
        <v>Airtel</v>
      </c>
      <c r="F20" s="90" t="str">
        <f>_xlfn.IFNA(VLOOKUP($D20,'Route-Details'!$B$2:$X$1048576,'Node Details'!F$1,0),"")</f>
        <v>PLAN OF AXZ DARIA</v>
      </c>
      <c r="G20" s="90" t="str">
        <f>_xlfn.IFNA(VLOOKUP($D20,'Route-Details'!$B$2:$X$1048576,'Node Details'!G$1,0),"")</f>
        <v>Chandigarh</v>
      </c>
      <c r="H20" s="90" t="str">
        <f>_xlfn.IFNA(VLOOKUP($D21,'Route-Details'!$B$2:$X$1048576,'Node Details'!H$1,0),"")</f>
        <v>Punjab</v>
      </c>
      <c r="I20" s="90" t="str">
        <f>_xlfn.IFNA(VLOOKUP($D20,'Route-Details'!$B$2:$X$1048576,'Node Details'!I$1,0),"")</f>
        <v>AXZ</v>
      </c>
      <c r="J20" s="90" t="str">
        <f>_xlfn.IFNA(VLOOKUP($D20,'Route-Details'!$B$2:$X$1048576,'Node Details'!J$1,0),"")</f>
        <v>AXZ</v>
      </c>
      <c r="K20" s="78">
        <v>46110</v>
      </c>
      <c r="L20" s="78">
        <v>46110</v>
      </c>
      <c r="M20" s="91">
        <v>46119</v>
      </c>
      <c r="N20" s="78">
        <v>46110</v>
      </c>
      <c r="O20" s="88"/>
      <c r="P20" s="88"/>
      <c r="Q20" s="88" t="s">
        <v>173</v>
      </c>
      <c r="R20" s="92"/>
      <c r="S20" s="81"/>
      <c r="T20" s="81"/>
      <c r="U20" s="81"/>
      <c r="V20" s="92"/>
      <c r="W20" s="93"/>
      <c r="X20" s="89"/>
      <c r="Y20" s="94"/>
      <c r="Z20" s="92"/>
      <c r="AA20" s="92"/>
      <c r="AB20" s="81"/>
      <c r="AC20" s="93"/>
      <c r="AD20" s="92"/>
      <c r="AE20" s="88"/>
      <c r="AF20" s="84">
        <f t="shared" si="0"/>
        <v>0</v>
      </c>
      <c r="AG20" s="88"/>
      <c r="AH20" s="95"/>
      <c r="AI20" s="81"/>
      <c r="AJ20" s="88"/>
      <c r="AK20" s="83">
        <f t="shared" si="1"/>
        <v>0</v>
      </c>
      <c r="AL20" s="88"/>
      <c r="AM20" s="88"/>
      <c r="AN20" s="83">
        <f t="shared" si="2"/>
        <v>0</v>
      </c>
      <c r="AO20" s="83">
        <f t="shared" si="3"/>
        <v>0</v>
      </c>
      <c r="AP20" s="88"/>
      <c r="AQ20" s="95"/>
      <c r="AR20" s="96"/>
      <c r="AS20" s="84">
        <f t="shared" si="4"/>
        <v>0</v>
      </c>
      <c r="AT20" s="84">
        <f t="shared" si="5"/>
        <v>0</v>
      </c>
      <c r="AU20" s="88"/>
      <c r="AV20" s="95"/>
      <c r="AW20" s="96"/>
      <c r="AX20" s="97">
        <f t="shared" si="6"/>
        <v>0</v>
      </c>
      <c r="AY20" s="97">
        <f t="shared" si="7"/>
        <v>0</v>
      </c>
      <c r="AZ20" s="97">
        <f t="shared" si="8"/>
        <v>0</v>
      </c>
      <c r="BB20" s="9" t="s">
        <v>198</v>
      </c>
      <c r="BC20" s="98" t="s">
        <v>176</v>
      </c>
    </row>
    <row r="21" spans="1:55" s="98" customFormat="1" ht="15" customHeight="1" x14ac:dyDescent="0.2">
      <c r="A21" s="88">
        <f t="shared" si="9"/>
        <v>19</v>
      </c>
      <c r="B21" s="77" t="s">
        <v>154</v>
      </c>
      <c r="C21" s="9"/>
      <c r="D21" s="78" t="s">
        <v>216</v>
      </c>
      <c r="E21" s="90" t="str">
        <f>_xlfn.IFNA(VLOOKUP($D21,'Route-Details'!$B$2:$X$1048576,'Node Details'!E$1,0),"")</f>
        <v>Airtel</v>
      </c>
      <c r="F21" s="90" t="str">
        <f>_xlfn.IFNA(VLOOKUP($D21,'Route-Details'!$B$2:$X$1048576,'Node Details'!F$1,0),"")</f>
        <v>PLAN OF AXZ DARIA</v>
      </c>
      <c r="G21" s="90" t="str">
        <f>_xlfn.IFNA(VLOOKUP($D21,'Route-Details'!$B$2:$X$1048576,'Node Details'!G$1,0),"")</f>
        <v>Chandigarh</v>
      </c>
      <c r="H21" s="90" t="str">
        <f>_xlfn.IFNA(VLOOKUP($D22,'Route-Details'!$B$2:$X$1048576,'Node Details'!H$1,0),"")</f>
        <v>Punjab</v>
      </c>
      <c r="I21" s="90" t="str">
        <f>_xlfn.IFNA(VLOOKUP($D21,'Route-Details'!$B$2:$X$1048576,'Node Details'!I$1,0),"")</f>
        <v>AXZ</v>
      </c>
      <c r="J21" s="90" t="str">
        <f>_xlfn.IFNA(VLOOKUP($D21,'Route-Details'!$B$2:$X$1048576,'Node Details'!J$1,0),"")</f>
        <v>AXZ</v>
      </c>
      <c r="K21" s="78">
        <v>46110</v>
      </c>
      <c r="L21" s="78">
        <v>46110</v>
      </c>
      <c r="M21" s="91">
        <v>46119</v>
      </c>
      <c r="N21" s="78">
        <v>46110</v>
      </c>
      <c r="O21" s="88"/>
      <c r="P21" s="88"/>
      <c r="Q21" s="88" t="s">
        <v>173</v>
      </c>
      <c r="R21" s="92"/>
      <c r="S21" s="89"/>
      <c r="T21" s="89"/>
      <c r="U21" s="89"/>
      <c r="V21" s="92"/>
      <c r="W21" s="93"/>
      <c r="X21" s="89"/>
      <c r="Y21" s="94"/>
      <c r="Z21" s="92"/>
      <c r="AA21" s="92"/>
      <c r="AB21" s="89"/>
      <c r="AC21" s="93"/>
      <c r="AD21" s="92"/>
      <c r="AE21" s="88"/>
      <c r="AF21" s="84">
        <f t="shared" si="0"/>
        <v>0</v>
      </c>
      <c r="AG21" s="88"/>
      <c r="AH21" s="95"/>
      <c r="AI21" s="89"/>
      <c r="AJ21" s="88"/>
      <c r="AK21" s="83">
        <f t="shared" si="1"/>
        <v>0</v>
      </c>
      <c r="AL21" s="88"/>
      <c r="AM21" s="88"/>
      <c r="AN21" s="83">
        <f t="shared" si="2"/>
        <v>0</v>
      </c>
      <c r="AO21" s="83">
        <f t="shared" si="3"/>
        <v>0</v>
      </c>
      <c r="AP21" s="88"/>
      <c r="AQ21" s="95"/>
      <c r="AR21" s="96"/>
      <c r="AS21" s="84">
        <f t="shared" si="4"/>
        <v>0</v>
      </c>
      <c r="AT21" s="84">
        <f t="shared" si="5"/>
        <v>0</v>
      </c>
      <c r="AU21" s="88"/>
      <c r="AV21" s="95"/>
      <c r="AW21" s="96"/>
      <c r="AX21" s="97">
        <f t="shared" si="6"/>
        <v>0</v>
      </c>
      <c r="AY21" s="97">
        <f t="shared" si="7"/>
        <v>0</v>
      </c>
      <c r="AZ21" s="97">
        <f t="shared" si="8"/>
        <v>0</v>
      </c>
      <c r="BB21" s="9" t="s">
        <v>198</v>
      </c>
      <c r="BC21" s="98" t="s">
        <v>176</v>
      </c>
    </row>
    <row r="22" spans="1:55" s="98" customFormat="1" ht="15" customHeight="1" x14ac:dyDescent="0.2">
      <c r="A22" s="88">
        <f t="shared" si="9"/>
        <v>20</v>
      </c>
      <c r="B22" s="77" t="s">
        <v>155</v>
      </c>
      <c r="C22" s="9"/>
      <c r="D22" s="78" t="s">
        <v>216</v>
      </c>
      <c r="E22" s="90" t="str">
        <f>_xlfn.IFNA(VLOOKUP($D22,'Route-Details'!$B$2:$X$1048576,'Node Details'!E$1,0),"")</f>
        <v>Airtel</v>
      </c>
      <c r="F22" s="90" t="str">
        <f>_xlfn.IFNA(VLOOKUP($D22,'Route-Details'!$B$2:$X$1048576,'Node Details'!F$1,0),"")</f>
        <v>PLAN OF AXZ DARIA</v>
      </c>
      <c r="G22" s="90" t="str">
        <f>_xlfn.IFNA(VLOOKUP($D22,'Route-Details'!$B$2:$X$1048576,'Node Details'!G$1,0),"")</f>
        <v>Chandigarh</v>
      </c>
      <c r="H22" s="90" t="str">
        <f>_xlfn.IFNA(VLOOKUP($D23,'Route-Details'!$B$2:$X$1048576,'Node Details'!H$1,0),"")</f>
        <v>Punjab</v>
      </c>
      <c r="I22" s="90" t="str">
        <f>_xlfn.IFNA(VLOOKUP($D22,'Route-Details'!$B$2:$X$1048576,'Node Details'!I$1,0),"")</f>
        <v>AXZ</v>
      </c>
      <c r="J22" s="90" t="str">
        <f>_xlfn.IFNA(VLOOKUP($D22,'Route-Details'!$B$2:$X$1048576,'Node Details'!J$1,0),"")</f>
        <v>AXZ</v>
      </c>
      <c r="K22" s="78">
        <v>46110</v>
      </c>
      <c r="L22" s="78">
        <v>46110</v>
      </c>
      <c r="M22" s="91">
        <v>46119</v>
      </c>
      <c r="N22" s="78">
        <v>46110</v>
      </c>
      <c r="O22" s="88"/>
      <c r="P22" s="88"/>
      <c r="Q22" s="88" t="s">
        <v>173</v>
      </c>
      <c r="R22" s="92"/>
      <c r="S22" s="89"/>
      <c r="T22" s="89"/>
      <c r="U22" s="89"/>
      <c r="V22" s="92"/>
      <c r="W22" s="93"/>
      <c r="X22" s="89"/>
      <c r="Y22" s="94"/>
      <c r="Z22" s="92"/>
      <c r="AA22" s="92"/>
      <c r="AB22" s="89"/>
      <c r="AC22" s="93"/>
      <c r="AD22" s="92"/>
      <c r="AE22" s="88"/>
      <c r="AF22" s="84">
        <f t="shared" si="0"/>
        <v>0</v>
      </c>
      <c r="AG22" s="88"/>
      <c r="AH22" s="95"/>
      <c r="AI22" s="89"/>
      <c r="AJ22" s="88"/>
      <c r="AK22" s="83">
        <f t="shared" si="1"/>
        <v>0</v>
      </c>
      <c r="AL22" s="88"/>
      <c r="AM22" s="88"/>
      <c r="AN22" s="83">
        <f t="shared" si="2"/>
        <v>0</v>
      </c>
      <c r="AO22" s="83">
        <f t="shared" si="3"/>
        <v>0</v>
      </c>
      <c r="AP22" s="88"/>
      <c r="AQ22" s="95"/>
      <c r="AR22" s="96"/>
      <c r="AS22" s="84">
        <f t="shared" si="4"/>
        <v>0</v>
      </c>
      <c r="AT22" s="84">
        <f t="shared" si="5"/>
        <v>0</v>
      </c>
      <c r="AU22" s="88"/>
      <c r="AV22" s="95"/>
      <c r="AW22" s="96"/>
      <c r="AX22" s="97">
        <f t="shared" si="6"/>
        <v>0</v>
      </c>
      <c r="AY22" s="97">
        <f t="shared" si="7"/>
        <v>0</v>
      </c>
      <c r="AZ22" s="97">
        <f t="shared" si="8"/>
        <v>0</v>
      </c>
      <c r="BB22" s="9" t="s">
        <v>198</v>
      </c>
      <c r="BC22" s="98" t="s">
        <v>176</v>
      </c>
    </row>
    <row r="23" spans="1:55" s="98" customFormat="1" ht="15" customHeight="1" x14ac:dyDescent="0.2">
      <c r="A23" s="88">
        <f t="shared" si="9"/>
        <v>21</v>
      </c>
      <c r="B23" s="77" t="s">
        <v>156</v>
      </c>
      <c r="C23" s="9"/>
      <c r="D23" s="78" t="s">
        <v>216</v>
      </c>
      <c r="E23" s="90" t="str">
        <f>_xlfn.IFNA(VLOOKUP($D23,'Route-Details'!$B$2:$X$1048576,'Node Details'!E$1,0),"")</f>
        <v>Airtel</v>
      </c>
      <c r="F23" s="90" t="str">
        <f>_xlfn.IFNA(VLOOKUP($D23,'Route-Details'!$B$2:$X$1048576,'Node Details'!F$1,0),"")</f>
        <v>PLAN OF AXZ DARIA</v>
      </c>
      <c r="G23" s="90" t="str">
        <f>_xlfn.IFNA(VLOOKUP($D23,'Route-Details'!$B$2:$X$1048576,'Node Details'!G$1,0),"")</f>
        <v>Chandigarh</v>
      </c>
      <c r="H23" s="90" t="str">
        <f>_xlfn.IFNA(VLOOKUP($D24,'Route-Details'!$B$2:$X$1048576,'Node Details'!H$1,0),"")</f>
        <v>Punjab</v>
      </c>
      <c r="I23" s="90" t="str">
        <f>_xlfn.IFNA(VLOOKUP($D23,'Route-Details'!$B$2:$X$1048576,'Node Details'!I$1,0),"")</f>
        <v>AXZ</v>
      </c>
      <c r="J23" s="90" t="str">
        <f>_xlfn.IFNA(VLOOKUP($D23,'Route-Details'!$B$2:$X$1048576,'Node Details'!J$1,0),"")</f>
        <v>AXZ</v>
      </c>
      <c r="K23" s="78">
        <v>46110</v>
      </c>
      <c r="L23" s="78">
        <v>46110</v>
      </c>
      <c r="M23" s="91">
        <v>46119</v>
      </c>
      <c r="N23" s="78">
        <v>46110</v>
      </c>
      <c r="O23" s="88"/>
      <c r="P23" s="88"/>
      <c r="Q23" s="88" t="s">
        <v>173</v>
      </c>
      <c r="R23" s="92"/>
      <c r="S23" s="89"/>
      <c r="T23" s="89"/>
      <c r="U23" s="89"/>
      <c r="V23" s="92"/>
      <c r="W23" s="93"/>
      <c r="X23" s="89"/>
      <c r="Y23" s="94"/>
      <c r="Z23" s="92"/>
      <c r="AA23" s="92"/>
      <c r="AB23" s="89"/>
      <c r="AC23" s="93"/>
      <c r="AD23" s="92"/>
      <c r="AE23" s="88"/>
      <c r="AF23" s="84">
        <f t="shared" si="0"/>
        <v>0</v>
      </c>
      <c r="AG23" s="88"/>
      <c r="AH23" s="95"/>
      <c r="AI23" s="89"/>
      <c r="AJ23" s="88"/>
      <c r="AK23" s="83">
        <f t="shared" si="1"/>
        <v>0</v>
      </c>
      <c r="AL23" s="88"/>
      <c r="AM23" s="88"/>
      <c r="AN23" s="83">
        <f t="shared" si="2"/>
        <v>0</v>
      </c>
      <c r="AO23" s="83">
        <f t="shared" si="3"/>
        <v>0</v>
      </c>
      <c r="AP23" s="88"/>
      <c r="AQ23" s="95"/>
      <c r="AR23" s="96"/>
      <c r="AS23" s="84">
        <f t="shared" si="4"/>
        <v>0</v>
      </c>
      <c r="AT23" s="84">
        <f t="shared" si="5"/>
        <v>0</v>
      </c>
      <c r="AU23" s="88"/>
      <c r="AV23" s="95"/>
      <c r="AW23" s="96"/>
      <c r="AX23" s="97">
        <f t="shared" si="6"/>
        <v>0</v>
      </c>
      <c r="AY23" s="97">
        <f t="shared" si="7"/>
        <v>0</v>
      </c>
      <c r="AZ23" s="97">
        <f t="shared" si="8"/>
        <v>0</v>
      </c>
      <c r="BB23" s="9" t="s">
        <v>198</v>
      </c>
      <c r="BC23" s="98" t="s">
        <v>176</v>
      </c>
    </row>
    <row r="24" spans="1:55" s="98" customFormat="1" ht="15" customHeight="1" x14ac:dyDescent="0.2">
      <c r="A24" s="88">
        <f t="shared" si="9"/>
        <v>22</v>
      </c>
      <c r="B24" s="77" t="s">
        <v>157</v>
      </c>
      <c r="C24" s="9"/>
      <c r="D24" s="78" t="s">
        <v>216</v>
      </c>
      <c r="E24" s="90" t="str">
        <f>_xlfn.IFNA(VLOOKUP($D24,'Route-Details'!$B$2:$X$1048576,'Node Details'!E$1,0),"")</f>
        <v>Airtel</v>
      </c>
      <c r="F24" s="90" t="str">
        <f>_xlfn.IFNA(VLOOKUP($D24,'Route-Details'!$B$2:$X$1048576,'Node Details'!F$1,0),"")</f>
        <v>PLAN OF AXZ DARIA</v>
      </c>
      <c r="G24" s="90" t="str">
        <f>_xlfn.IFNA(VLOOKUP($D24,'Route-Details'!$B$2:$X$1048576,'Node Details'!G$1,0),"")</f>
        <v>Chandigarh</v>
      </c>
      <c r="H24" s="90" t="str">
        <f>_xlfn.IFNA(VLOOKUP($D25,'Route-Details'!$B$2:$X$1048576,'Node Details'!H$1,0),"")</f>
        <v>Punjab</v>
      </c>
      <c r="I24" s="90" t="str">
        <f>_xlfn.IFNA(VLOOKUP($D24,'Route-Details'!$B$2:$X$1048576,'Node Details'!I$1,0),"")</f>
        <v>AXZ</v>
      </c>
      <c r="J24" s="90" t="str">
        <f>_xlfn.IFNA(VLOOKUP($D24,'Route-Details'!$B$2:$X$1048576,'Node Details'!J$1,0),"")</f>
        <v>AXZ</v>
      </c>
      <c r="K24" s="78">
        <v>46110</v>
      </c>
      <c r="L24" s="78">
        <v>46110</v>
      </c>
      <c r="M24" s="91">
        <v>46119</v>
      </c>
      <c r="N24" s="78">
        <v>46110</v>
      </c>
      <c r="O24" s="88"/>
      <c r="P24" s="88"/>
      <c r="Q24" s="88" t="s">
        <v>173</v>
      </c>
      <c r="R24" s="92"/>
      <c r="S24" s="89"/>
      <c r="T24" s="89"/>
      <c r="U24" s="89"/>
      <c r="V24" s="92"/>
      <c r="W24" s="93"/>
      <c r="X24" s="89"/>
      <c r="Y24" s="94"/>
      <c r="Z24" s="92"/>
      <c r="AA24" s="92"/>
      <c r="AB24" s="89"/>
      <c r="AC24" s="93"/>
      <c r="AD24" s="92"/>
      <c r="AE24" s="88"/>
      <c r="AF24" s="84">
        <f t="shared" si="0"/>
        <v>0</v>
      </c>
      <c r="AG24" s="88"/>
      <c r="AH24" s="95"/>
      <c r="AI24" s="89"/>
      <c r="AJ24" s="88"/>
      <c r="AK24" s="83">
        <f t="shared" si="1"/>
        <v>0</v>
      </c>
      <c r="AL24" s="88"/>
      <c r="AM24" s="88"/>
      <c r="AN24" s="83">
        <f t="shared" si="2"/>
        <v>0</v>
      </c>
      <c r="AO24" s="83">
        <f t="shared" si="3"/>
        <v>0</v>
      </c>
      <c r="AP24" s="88"/>
      <c r="AQ24" s="95"/>
      <c r="AR24" s="96"/>
      <c r="AS24" s="84">
        <f t="shared" si="4"/>
        <v>0</v>
      </c>
      <c r="AT24" s="84">
        <f t="shared" si="5"/>
        <v>0</v>
      </c>
      <c r="AU24" s="88"/>
      <c r="AV24" s="95"/>
      <c r="AW24" s="96"/>
      <c r="AX24" s="97">
        <f t="shared" si="6"/>
        <v>0</v>
      </c>
      <c r="AY24" s="97">
        <f t="shared" si="7"/>
        <v>0</v>
      </c>
      <c r="AZ24" s="97">
        <f t="shared" si="8"/>
        <v>0</v>
      </c>
      <c r="BB24" s="9" t="s">
        <v>198</v>
      </c>
      <c r="BC24" s="98" t="s">
        <v>176</v>
      </c>
    </row>
    <row r="25" spans="1:55" s="98" customFormat="1" ht="15" customHeight="1" x14ac:dyDescent="0.2">
      <c r="A25" s="88">
        <f t="shared" si="9"/>
        <v>23</v>
      </c>
      <c r="B25" s="77" t="s">
        <v>158</v>
      </c>
      <c r="C25" s="9"/>
      <c r="D25" s="78" t="s">
        <v>216</v>
      </c>
      <c r="E25" s="90" t="str">
        <f>_xlfn.IFNA(VLOOKUP($D25,'Route-Details'!$B$2:$X$1048576,'Node Details'!E$1,0),"")</f>
        <v>Airtel</v>
      </c>
      <c r="F25" s="90" t="str">
        <f>_xlfn.IFNA(VLOOKUP($D25,'Route-Details'!$B$2:$X$1048576,'Node Details'!F$1,0),"")</f>
        <v>PLAN OF AXZ DARIA</v>
      </c>
      <c r="G25" s="90" t="str">
        <f>_xlfn.IFNA(VLOOKUP($D25,'Route-Details'!$B$2:$X$1048576,'Node Details'!G$1,0),"")</f>
        <v>Chandigarh</v>
      </c>
      <c r="H25" s="90" t="str">
        <f>_xlfn.IFNA(VLOOKUP($D26,'Route-Details'!$B$2:$X$1048576,'Node Details'!H$1,0),"")</f>
        <v>Punjab</v>
      </c>
      <c r="I25" s="90" t="str">
        <f>_xlfn.IFNA(VLOOKUP($D25,'Route-Details'!$B$2:$X$1048576,'Node Details'!I$1,0),"")</f>
        <v>AXZ</v>
      </c>
      <c r="J25" s="90" t="str">
        <f>_xlfn.IFNA(VLOOKUP($D25,'Route-Details'!$B$2:$X$1048576,'Node Details'!J$1,0),"")</f>
        <v>AXZ</v>
      </c>
      <c r="K25" s="78">
        <v>46110</v>
      </c>
      <c r="L25" s="78">
        <v>46110</v>
      </c>
      <c r="M25" s="91">
        <v>46119</v>
      </c>
      <c r="N25" s="78">
        <v>46110</v>
      </c>
      <c r="O25" s="88"/>
      <c r="P25" s="88"/>
      <c r="Q25" s="88" t="s">
        <v>173</v>
      </c>
      <c r="R25" s="92"/>
      <c r="S25" s="89"/>
      <c r="T25" s="89"/>
      <c r="U25" s="89"/>
      <c r="V25" s="92"/>
      <c r="W25" s="93"/>
      <c r="X25" s="89"/>
      <c r="Y25" s="94"/>
      <c r="Z25" s="92"/>
      <c r="AA25" s="92"/>
      <c r="AB25" s="89"/>
      <c r="AC25" s="93"/>
      <c r="AD25" s="92"/>
      <c r="AE25" s="88"/>
      <c r="AF25" s="84">
        <f t="shared" si="0"/>
        <v>0</v>
      </c>
      <c r="AG25" s="88"/>
      <c r="AH25" s="95"/>
      <c r="AI25" s="89"/>
      <c r="AJ25" s="88"/>
      <c r="AK25" s="83">
        <f t="shared" si="1"/>
        <v>0</v>
      </c>
      <c r="AL25" s="88"/>
      <c r="AM25" s="88"/>
      <c r="AN25" s="83">
        <f t="shared" si="2"/>
        <v>0</v>
      </c>
      <c r="AO25" s="83">
        <f t="shared" si="3"/>
        <v>0</v>
      </c>
      <c r="AP25" s="88"/>
      <c r="AQ25" s="95"/>
      <c r="AR25" s="96"/>
      <c r="AS25" s="84">
        <f t="shared" si="4"/>
        <v>0</v>
      </c>
      <c r="AT25" s="84">
        <f t="shared" si="5"/>
        <v>0</v>
      </c>
      <c r="AU25" s="88"/>
      <c r="AV25" s="95"/>
      <c r="AW25" s="96"/>
      <c r="AX25" s="97">
        <f t="shared" si="6"/>
        <v>0</v>
      </c>
      <c r="AY25" s="97">
        <f t="shared" si="7"/>
        <v>0</v>
      </c>
      <c r="AZ25" s="97">
        <f t="shared" si="8"/>
        <v>0</v>
      </c>
      <c r="BB25" s="9" t="s">
        <v>198</v>
      </c>
      <c r="BC25" s="98" t="s">
        <v>176</v>
      </c>
    </row>
    <row r="26" spans="1:55" s="98" customFormat="1" ht="15" customHeight="1" x14ac:dyDescent="0.2">
      <c r="A26" s="88">
        <f t="shared" si="9"/>
        <v>24</v>
      </c>
      <c r="B26" s="77" t="s">
        <v>159</v>
      </c>
      <c r="C26" s="9"/>
      <c r="D26" s="78" t="s">
        <v>223</v>
      </c>
      <c r="E26" s="90" t="str">
        <f>_xlfn.IFNA(VLOOKUP($D26,'Route-Details'!$B$2:$X$1048576,'Node Details'!E$1,0),"")</f>
        <v>Airtel</v>
      </c>
      <c r="F26" s="90" t="str">
        <f>_xlfn.IFNA(VLOOKUP($D26,'Route-Details'!$B$2:$X$1048576,'Node Details'!F$1,0),"")</f>
        <v>PLAN OF AXZ DARIA</v>
      </c>
      <c r="G26" s="90" t="str">
        <f>_xlfn.IFNA(VLOOKUP($D26,'Route-Details'!$B$2:$X$1048576,'Node Details'!G$1,0),"")</f>
        <v>Chandigarh</v>
      </c>
      <c r="H26" s="90" t="str">
        <f>_xlfn.IFNA(VLOOKUP($D27,'Route-Details'!$B$2:$X$1048576,'Node Details'!H$1,0),"")</f>
        <v>Punjab</v>
      </c>
      <c r="I26" s="90" t="str">
        <f>_xlfn.IFNA(VLOOKUP($D26,'Route-Details'!$B$2:$X$1048576,'Node Details'!I$1,0),"")</f>
        <v>AXZ</v>
      </c>
      <c r="J26" s="90" t="str">
        <f>_xlfn.IFNA(VLOOKUP($D26,'Route-Details'!$B$2:$X$1048576,'Node Details'!J$1,0),"")</f>
        <v>AXZ</v>
      </c>
      <c r="K26" s="78">
        <v>46110</v>
      </c>
      <c r="L26" s="78">
        <v>46110</v>
      </c>
      <c r="M26" s="91">
        <v>46119</v>
      </c>
      <c r="N26" s="78">
        <v>46110</v>
      </c>
      <c r="O26" s="88"/>
      <c r="P26" s="88"/>
      <c r="Q26" s="88" t="s">
        <v>173</v>
      </c>
      <c r="R26" s="92"/>
      <c r="S26" s="89"/>
      <c r="T26" s="89"/>
      <c r="U26" s="89"/>
      <c r="V26" s="92"/>
      <c r="W26" s="93"/>
      <c r="X26" s="89"/>
      <c r="Y26" s="94"/>
      <c r="Z26" s="92"/>
      <c r="AA26" s="92"/>
      <c r="AB26" s="89"/>
      <c r="AC26" s="93"/>
      <c r="AD26" s="92"/>
      <c r="AE26" s="88"/>
      <c r="AF26" s="84">
        <f t="shared" si="0"/>
        <v>0</v>
      </c>
      <c r="AG26" s="88"/>
      <c r="AH26" s="95"/>
      <c r="AI26" s="89"/>
      <c r="AJ26" s="88"/>
      <c r="AK26" s="83">
        <f t="shared" si="1"/>
        <v>0</v>
      </c>
      <c r="AL26" s="88"/>
      <c r="AM26" s="88"/>
      <c r="AN26" s="83">
        <f t="shared" si="2"/>
        <v>0</v>
      </c>
      <c r="AO26" s="83">
        <f t="shared" si="3"/>
        <v>0</v>
      </c>
      <c r="AP26" s="88"/>
      <c r="AQ26" s="95"/>
      <c r="AR26" s="96"/>
      <c r="AS26" s="84">
        <f t="shared" si="4"/>
        <v>0</v>
      </c>
      <c r="AT26" s="84">
        <f t="shared" si="5"/>
        <v>0</v>
      </c>
      <c r="AU26" s="88"/>
      <c r="AV26" s="95"/>
      <c r="AW26" s="96"/>
      <c r="AX26" s="97">
        <f t="shared" si="6"/>
        <v>0</v>
      </c>
      <c r="AY26" s="97">
        <f t="shared" si="7"/>
        <v>0</v>
      </c>
      <c r="AZ26" s="97">
        <f t="shared" si="8"/>
        <v>0</v>
      </c>
      <c r="BB26" s="9" t="s">
        <v>191</v>
      </c>
      <c r="BC26" s="98" t="s">
        <v>176</v>
      </c>
    </row>
    <row r="27" spans="1:55" s="98" customFormat="1" ht="15" customHeight="1" x14ac:dyDescent="0.2">
      <c r="A27" s="88">
        <f t="shared" si="9"/>
        <v>25</v>
      </c>
      <c r="B27" s="77" t="s">
        <v>160</v>
      </c>
      <c r="C27" s="9"/>
      <c r="D27" s="78" t="s">
        <v>217</v>
      </c>
      <c r="E27" s="90" t="str">
        <f>_xlfn.IFNA(VLOOKUP($D27,'Route-Details'!$B$2:$X$1048576,'Node Details'!E$1,0),"")</f>
        <v>Airtel</v>
      </c>
      <c r="F27" s="90" t="str">
        <f>_xlfn.IFNA(VLOOKUP($D27,'Route-Details'!$B$2:$X$1048576,'Node Details'!F$1,0),"")</f>
        <v>PLAN OF AXZ DARIA</v>
      </c>
      <c r="G27" s="90" t="str">
        <f>_xlfn.IFNA(VLOOKUP($D27,'Route-Details'!$B$2:$X$1048576,'Node Details'!G$1,0),"")</f>
        <v>Chandigarh</v>
      </c>
      <c r="H27" s="90" t="str">
        <f>_xlfn.IFNA(VLOOKUP($D28,'Route-Details'!$B$2:$X$1048576,'Node Details'!H$1,0),"")</f>
        <v>Punjab</v>
      </c>
      <c r="I27" s="90" t="str">
        <f>_xlfn.IFNA(VLOOKUP($D27,'Route-Details'!$B$2:$X$1048576,'Node Details'!I$1,0),"")</f>
        <v>AXZ</v>
      </c>
      <c r="J27" s="90" t="str">
        <f>_xlfn.IFNA(VLOOKUP($D27,'Route-Details'!$B$2:$X$1048576,'Node Details'!J$1,0),"")</f>
        <v>AXZ</v>
      </c>
      <c r="K27" s="78">
        <v>46110</v>
      </c>
      <c r="L27" s="78">
        <v>46110</v>
      </c>
      <c r="M27" s="91">
        <v>46119</v>
      </c>
      <c r="N27" s="78">
        <v>46110</v>
      </c>
      <c r="O27" s="88"/>
      <c r="P27" s="88"/>
      <c r="Q27" s="88" t="s">
        <v>173</v>
      </c>
      <c r="R27" s="92"/>
      <c r="S27" s="89"/>
      <c r="T27" s="89"/>
      <c r="U27" s="89"/>
      <c r="V27" s="92"/>
      <c r="W27" s="93"/>
      <c r="X27" s="89"/>
      <c r="Y27" s="94"/>
      <c r="Z27" s="92"/>
      <c r="AA27" s="92"/>
      <c r="AB27" s="89"/>
      <c r="AC27" s="93"/>
      <c r="AD27" s="92"/>
      <c r="AE27" s="88"/>
      <c r="AF27" s="84">
        <f t="shared" si="0"/>
        <v>0</v>
      </c>
      <c r="AG27" s="88"/>
      <c r="AH27" s="95"/>
      <c r="AI27" s="89"/>
      <c r="AJ27" s="88"/>
      <c r="AK27" s="83">
        <f t="shared" si="1"/>
        <v>0</v>
      </c>
      <c r="AL27" s="88"/>
      <c r="AM27" s="88"/>
      <c r="AN27" s="83">
        <f t="shared" si="2"/>
        <v>0</v>
      </c>
      <c r="AO27" s="83">
        <f t="shared" si="3"/>
        <v>0</v>
      </c>
      <c r="AP27" s="88"/>
      <c r="AQ27" s="95"/>
      <c r="AR27" s="96"/>
      <c r="AS27" s="84">
        <f t="shared" si="4"/>
        <v>0</v>
      </c>
      <c r="AT27" s="84">
        <f t="shared" si="5"/>
        <v>0</v>
      </c>
      <c r="AU27" s="88"/>
      <c r="AV27" s="95"/>
      <c r="AW27" s="96"/>
      <c r="AX27" s="97">
        <f t="shared" si="6"/>
        <v>0</v>
      </c>
      <c r="AY27" s="97">
        <f t="shared" si="7"/>
        <v>0</v>
      </c>
      <c r="AZ27" s="97">
        <f t="shared" si="8"/>
        <v>0</v>
      </c>
      <c r="BB27" s="9" t="s">
        <v>199</v>
      </c>
      <c r="BC27" s="98" t="s">
        <v>176</v>
      </c>
    </row>
    <row r="28" spans="1:55" s="98" customFormat="1" ht="15" customHeight="1" x14ac:dyDescent="0.2">
      <c r="A28" s="88">
        <f t="shared" si="9"/>
        <v>26</v>
      </c>
      <c r="B28" s="77" t="s">
        <v>161</v>
      </c>
      <c r="C28" s="9"/>
      <c r="D28" s="78" t="s">
        <v>218</v>
      </c>
      <c r="E28" s="90" t="str">
        <f>_xlfn.IFNA(VLOOKUP($D28,'Route-Details'!$B$2:$X$1048576,'Node Details'!E$1,0),"")</f>
        <v>Airtel</v>
      </c>
      <c r="F28" s="90" t="str">
        <f>_xlfn.IFNA(VLOOKUP($D28,'Route-Details'!$B$2:$X$1048576,'Node Details'!F$1,0),"")</f>
        <v>PLAN OF AXZ DARIA</v>
      </c>
      <c r="G28" s="90" t="str">
        <f>_xlfn.IFNA(VLOOKUP($D28,'Route-Details'!$B$2:$X$1048576,'Node Details'!G$1,0),"")</f>
        <v>Chandigarh</v>
      </c>
      <c r="H28" s="90" t="str">
        <f>_xlfn.IFNA(VLOOKUP($D29,'Route-Details'!$B$2:$X$1048576,'Node Details'!H$1,0),"")</f>
        <v>Punjab</v>
      </c>
      <c r="I28" s="90" t="str">
        <f>_xlfn.IFNA(VLOOKUP($D28,'Route-Details'!$B$2:$X$1048576,'Node Details'!I$1,0),"")</f>
        <v>AXZ</v>
      </c>
      <c r="J28" s="90" t="str">
        <f>_xlfn.IFNA(VLOOKUP($D28,'Route-Details'!$B$2:$X$1048576,'Node Details'!J$1,0),"")</f>
        <v>AXZ</v>
      </c>
      <c r="K28" s="78">
        <v>46110</v>
      </c>
      <c r="L28" s="78">
        <v>46110</v>
      </c>
      <c r="M28" s="91">
        <v>46119</v>
      </c>
      <c r="N28" s="78">
        <v>46110</v>
      </c>
      <c r="O28" s="88"/>
      <c r="P28" s="88"/>
      <c r="Q28" s="88" t="s">
        <v>173</v>
      </c>
      <c r="R28" s="92"/>
      <c r="S28" s="89"/>
      <c r="T28" s="89"/>
      <c r="U28" s="89"/>
      <c r="V28" s="92"/>
      <c r="W28" s="93"/>
      <c r="X28" s="89"/>
      <c r="Y28" s="94"/>
      <c r="Z28" s="92"/>
      <c r="AA28" s="92"/>
      <c r="AB28" s="89"/>
      <c r="AC28" s="93"/>
      <c r="AD28" s="92"/>
      <c r="AE28" s="88"/>
      <c r="AF28" s="84">
        <f t="shared" si="0"/>
        <v>0</v>
      </c>
      <c r="AG28" s="88"/>
      <c r="AH28" s="95"/>
      <c r="AI28" s="89"/>
      <c r="AJ28" s="88"/>
      <c r="AK28" s="83">
        <f t="shared" si="1"/>
        <v>0</v>
      </c>
      <c r="AL28" s="88"/>
      <c r="AM28" s="88"/>
      <c r="AN28" s="83">
        <f t="shared" si="2"/>
        <v>0</v>
      </c>
      <c r="AO28" s="83">
        <f t="shared" si="3"/>
        <v>0</v>
      </c>
      <c r="AP28" s="88"/>
      <c r="AQ28" s="95"/>
      <c r="AR28" s="96"/>
      <c r="AS28" s="84">
        <f t="shared" si="4"/>
        <v>0</v>
      </c>
      <c r="AT28" s="84">
        <f t="shared" si="5"/>
        <v>0</v>
      </c>
      <c r="AU28" s="88"/>
      <c r="AV28" s="95"/>
      <c r="AW28" s="96"/>
      <c r="AX28" s="97">
        <f t="shared" si="6"/>
        <v>0</v>
      </c>
      <c r="AY28" s="97">
        <f t="shared" si="7"/>
        <v>0</v>
      </c>
      <c r="AZ28" s="97">
        <f t="shared" si="8"/>
        <v>0</v>
      </c>
      <c r="BB28" s="9" t="s">
        <v>200</v>
      </c>
      <c r="BC28" s="98" t="s">
        <v>176</v>
      </c>
    </row>
    <row r="29" spans="1:55" s="24" customFormat="1" ht="15" customHeight="1" x14ac:dyDescent="0.2">
      <c r="A29" s="88">
        <f t="shared" si="9"/>
        <v>27</v>
      </c>
      <c r="B29" s="77" t="s">
        <v>162</v>
      </c>
      <c r="C29" s="9"/>
      <c r="D29" s="78" t="s">
        <v>219</v>
      </c>
      <c r="E29" s="90" t="str">
        <f>_xlfn.IFNA(VLOOKUP($D29,'Route-Details'!$B$2:$X$1048576,'Node Details'!E$1,0),"")</f>
        <v>Airtel</v>
      </c>
      <c r="F29" s="90" t="str">
        <f>_xlfn.IFNA(VLOOKUP($D29,'Route-Details'!$B$2:$X$1048576,'Node Details'!F$1,0),"")</f>
        <v>PLAN OF AXZ DARIA</v>
      </c>
      <c r="G29" s="90" t="str">
        <f>_xlfn.IFNA(VLOOKUP($D29,'Route-Details'!$B$2:$X$1048576,'Node Details'!G$1,0),"")</f>
        <v>Chandigarh</v>
      </c>
      <c r="H29" s="90" t="str">
        <f>_xlfn.IFNA(VLOOKUP($D30,'Route-Details'!$B$2:$X$1048576,'Node Details'!H$1,0),"")</f>
        <v>Punjab</v>
      </c>
      <c r="I29" s="90" t="str">
        <f>_xlfn.IFNA(VLOOKUP($D29,'Route-Details'!$B$2:$X$1048576,'Node Details'!I$1,0),"")</f>
        <v>AXZ</v>
      </c>
      <c r="J29" s="90" t="str">
        <f>_xlfn.IFNA(VLOOKUP($D29,'Route-Details'!$B$2:$X$1048576,'Node Details'!J$1,0),"")</f>
        <v>AXZ</v>
      </c>
      <c r="K29" s="78">
        <v>46110</v>
      </c>
      <c r="L29" s="78">
        <v>46110</v>
      </c>
      <c r="M29" s="91">
        <v>46119</v>
      </c>
      <c r="N29" s="78">
        <v>46110</v>
      </c>
      <c r="Q29" s="88" t="s">
        <v>173</v>
      </c>
      <c r="R29" s="92"/>
      <c r="S29" s="89"/>
      <c r="T29" s="89"/>
      <c r="U29" s="89"/>
      <c r="V29" s="95"/>
      <c r="W29" s="93"/>
      <c r="X29" s="89"/>
      <c r="Y29" s="94"/>
      <c r="Z29" s="92"/>
      <c r="AA29" s="95"/>
      <c r="AB29" s="89"/>
      <c r="AC29" s="93"/>
      <c r="AD29" s="92"/>
      <c r="AE29" s="88"/>
      <c r="AF29" s="84">
        <f t="shared" si="0"/>
        <v>0</v>
      </c>
      <c r="AH29" s="95"/>
      <c r="AI29" s="89"/>
      <c r="AJ29" s="88"/>
      <c r="AK29" s="83">
        <f t="shared" si="1"/>
        <v>0</v>
      </c>
      <c r="AN29" s="83">
        <f t="shared" si="2"/>
        <v>0</v>
      </c>
      <c r="AO29" s="83">
        <f t="shared" si="3"/>
        <v>0</v>
      </c>
      <c r="AQ29" s="95"/>
      <c r="AR29" s="96"/>
      <c r="AS29" s="84">
        <f t="shared" si="4"/>
        <v>0</v>
      </c>
      <c r="AT29" s="84">
        <f t="shared" si="5"/>
        <v>0</v>
      </c>
      <c r="AV29" s="95"/>
      <c r="AW29" s="96"/>
      <c r="AX29" s="97">
        <f t="shared" si="6"/>
        <v>0</v>
      </c>
      <c r="AY29" s="97">
        <f t="shared" si="7"/>
        <v>0</v>
      </c>
      <c r="AZ29" s="97">
        <f t="shared" si="8"/>
        <v>0</v>
      </c>
      <c r="BB29" s="9" t="s">
        <v>201</v>
      </c>
      <c r="BC29" s="98" t="s">
        <v>176</v>
      </c>
    </row>
    <row r="30" spans="1:55" s="24" customFormat="1" ht="15" customHeight="1" x14ac:dyDescent="0.2">
      <c r="A30" s="88">
        <f t="shared" si="9"/>
        <v>28</v>
      </c>
      <c r="B30" s="77" t="s">
        <v>163</v>
      </c>
      <c r="C30" s="9"/>
      <c r="D30" s="78" t="s">
        <v>219</v>
      </c>
      <c r="E30" s="90" t="str">
        <f>_xlfn.IFNA(VLOOKUP($D30,'Route-Details'!$B$2:$X$1048576,'Node Details'!E$1,0),"")</f>
        <v>Airtel</v>
      </c>
      <c r="F30" s="90" t="str">
        <f>_xlfn.IFNA(VLOOKUP($D30,'Route-Details'!$B$2:$X$1048576,'Node Details'!F$1,0),"")</f>
        <v>PLAN OF AXZ DARIA</v>
      </c>
      <c r="G30" s="90" t="str">
        <f>_xlfn.IFNA(VLOOKUP($D30,'Route-Details'!$B$2:$X$1048576,'Node Details'!G$1,0),"")</f>
        <v>Chandigarh</v>
      </c>
      <c r="H30" s="90" t="str">
        <f>_xlfn.IFNA(VLOOKUP($D31,'Route-Details'!$B$2:$X$1048576,'Node Details'!H$1,0),"")</f>
        <v>Punjab</v>
      </c>
      <c r="I30" s="90" t="str">
        <f>_xlfn.IFNA(VLOOKUP($D30,'Route-Details'!$B$2:$X$1048576,'Node Details'!I$1,0),"")</f>
        <v>AXZ</v>
      </c>
      <c r="J30" s="90" t="str">
        <f>_xlfn.IFNA(VLOOKUP($D30,'Route-Details'!$B$2:$X$1048576,'Node Details'!J$1,0),"")</f>
        <v>AXZ</v>
      </c>
      <c r="K30" s="78">
        <v>46110</v>
      </c>
      <c r="L30" s="78">
        <v>46110</v>
      </c>
      <c r="M30" s="91">
        <v>46119</v>
      </c>
      <c r="N30" s="78">
        <v>46110</v>
      </c>
      <c r="Q30" s="88" t="s">
        <v>173</v>
      </c>
      <c r="R30" s="92"/>
      <c r="S30" s="89"/>
      <c r="T30" s="89"/>
      <c r="U30" s="89"/>
      <c r="V30" s="95"/>
      <c r="W30" s="93"/>
      <c r="X30" s="89"/>
      <c r="Y30" s="94"/>
      <c r="Z30" s="92"/>
      <c r="AA30" s="95"/>
      <c r="AB30" s="89"/>
      <c r="AC30" s="93"/>
      <c r="AD30" s="92"/>
      <c r="AE30" s="88"/>
      <c r="AF30" s="84">
        <f t="shared" si="0"/>
        <v>0</v>
      </c>
      <c r="AH30" s="95"/>
      <c r="AI30" s="89"/>
      <c r="AJ30" s="88"/>
      <c r="AK30" s="83">
        <f t="shared" si="1"/>
        <v>0</v>
      </c>
      <c r="AN30" s="83">
        <f t="shared" si="2"/>
        <v>0</v>
      </c>
      <c r="AO30" s="83">
        <f t="shared" si="3"/>
        <v>0</v>
      </c>
      <c r="AQ30" s="95"/>
      <c r="AR30" s="96"/>
      <c r="AS30" s="84">
        <f t="shared" si="4"/>
        <v>0</v>
      </c>
      <c r="AT30" s="84">
        <f t="shared" si="5"/>
        <v>0</v>
      </c>
      <c r="AV30" s="95"/>
      <c r="AW30" s="96"/>
      <c r="AX30" s="97">
        <f t="shared" si="6"/>
        <v>0</v>
      </c>
      <c r="AY30" s="97">
        <f t="shared" si="7"/>
        <v>0</v>
      </c>
      <c r="AZ30" s="97">
        <f t="shared" si="8"/>
        <v>0</v>
      </c>
      <c r="BB30" s="9" t="s">
        <v>201</v>
      </c>
      <c r="BC30" s="98" t="s">
        <v>176</v>
      </c>
    </row>
    <row r="31" spans="1:55" s="24" customFormat="1" ht="15" customHeight="1" x14ac:dyDescent="0.2">
      <c r="A31" s="88">
        <f t="shared" si="9"/>
        <v>29</v>
      </c>
      <c r="B31" s="77" t="s">
        <v>164</v>
      </c>
      <c r="C31" s="9"/>
      <c r="D31" s="78" t="s">
        <v>209</v>
      </c>
      <c r="E31" s="90" t="str">
        <f>_xlfn.IFNA(VLOOKUP($D31,'Route-Details'!$B$2:$X$1048576,'Node Details'!E$1,0),"")</f>
        <v>Airtel</v>
      </c>
      <c r="F31" s="90" t="str">
        <f>_xlfn.IFNA(VLOOKUP($D31,'Route-Details'!$B$2:$X$1048576,'Node Details'!F$1,0),"")</f>
        <v>PLAN OF AXZ DARIA</v>
      </c>
      <c r="G31" s="90" t="str">
        <f>_xlfn.IFNA(VLOOKUP($D31,'Route-Details'!$B$2:$X$1048576,'Node Details'!G$1,0),"")</f>
        <v>Chandigarh</v>
      </c>
      <c r="H31" s="90" t="str">
        <f>_xlfn.IFNA(VLOOKUP($D32,'Route-Details'!$B$2:$X$1048576,'Node Details'!H$1,0),"")</f>
        <v>Punjab</v>
      </c>
      <c r="I31" s="90" t="str">
        <f>_xlfn.IFNA(VLOOKUP($D31,'Route-Details'!$B$2:$X$1048576,'Node Details'!I$1,0),"")</f>
        <v>AXZ</v>
      </c>
      <c r="J31" s="90" t="str">
        <f>_xlfn.IFNA(VLOOKUP($D31,'Route-Details'!$B$2:$X$1048576,'Node Details'!J$1,0),"")</f>
        <v>AXZ</v>
      </c>
      <c r="K31" s="78">
        <v>46110</v>
      </c>
      <c r="L31" s="78">
        <v>46110</v>
      </c>
      <c r="M31" s="91">
        <v>46119</v>
      </c>
      <c r="N31" s="78">
        <v>46110</v>
      </c>
      <c r="Q31" s="88" t="s">
        <v>173</v>
      </c>
      <c r="R31" s="92"/>
      <c r="S31" s="89"/>
      <c r="T31" s="89"/>
      <c r="U31" s="89"/>
      <c r="V31" s="95"/>
      <c r="W31" s="93"/>
      <c r="X31" s="89"/>
      <c r="Y31" s="94"/>
      <c r="Z31" s="92"/>
      <c r="AA31" s="95"/>
      <c r="AB31" s="89"/>
      <c r="AC31" s="93"/>
      <c r="AD31" s="92"/>
      <c r="AE31" s="88"/>
      <c r="AF31" s="84">
        <f t="shared" si="0"/>
        <v>0</v>
      </c>
      <c r="AH31" s="95"/>
      <c r="AI31" s="89"/>
      <c r="AJ31" s="88"/>
      <c r="AK31" s="83">
        <f t="shared" si="1"/>
        <v>0</v>
      </c>
      <c r="AN31" s="83">
        <f t="shared" si="2"/>
        <v>0</v>
      </c>
      <c r="AO31" s="83">
        <f t="shared" si="3"/>
        <v>0</v>
      </c>
      <c r="AQ31" s="95"/>
      <c r="AR31" s="96"/>
      <c r="AS31" s="84">
        <f t="shared" si="4"/>
        <v>0</v>
      </c>
      <c r="AT31" s="84">
        <f t="shared" si="5"/>
        <v>0</v>
      </c>
      <c r="AV31" s="95"/>
      <c r="AW31" s="96"/>
      <c r="AX31" s="97">
        <f t="shared" si="6"/>
        <v>0</v>
      </c>
      <c r="AY31" s="97">
        <f t="shared" si="7"/>
        <v>0</v>
      </c>
      <c r="AZ31" s="97">
        <f t="shared" si="8"/>
        <v>0</v>
      </c>
      <c r="BB31" s="9" t="s">
        <v>204</v>
      </c>
      <c r="BC31" s="98" t="s">
        <v>176</v>
      </c>
    </row>
    <row r="32" spans="1:55" s="24" customFormat="1" ht="15" customHeight="1" x14ac:dyDescent="0.2">
      <c r="A32" s="88">
        <f t="shared" si="9"/>
        <v>30</v>
      </c>
      <c r="B32" s="77" t="s">
        <v>165</v>
      </c>
      <c r="C32" s="9"/>
      <c r="D32" s="78" t="s">
        <v>209</v>
      </c>
      <c r="E32" s="90" t="str">
        <f>_xlfn.IFNA(VLOOKUP($D32,'Route-Details'!$B$2:$X$1048576,'Node Details'!E$1,0),"")</f>
        <v>Airtel</v>
      </c>
      <c r="F32" s="90" t="str">
        <f>_xlfn.IFNA(VLOOKUP($D32,'Route-Details'!$B$2:$X$1048576,'Node Details'!F$1,0),"")</f>
        <v>PLAN OF AXZ DARIA</v>
      </c>
      <c r="G32" s="90" t="str">
        <f>_xlfn.IFNA(VLOOKUP($D32,'Route-Details'!$B$2:$X$1048576,'Node Details'!G$1,0),"")</f>
        <v>Chandigarh</v>
      </c>
      <c r="H32" s="90" t="str">
        <f>_xlfn.IFNA(VLOOKUP($D33,'Route-Details'!$B$2:$X$1048576,'Node Details'!H$1,0),"")</f>
        <v>Punjab</v>
      </c>
      <c r="I32" s="90" t="str">
        <f>_xlfn.IFNA(VLOOKUP($D32,'Route-Details'!$B$2:$X$1048576,'Node Details'!I$1,0),"")</f>
        <v>AXZ</v>
      </c>
      <c r="J32" s="90" t="str">
        <f>_xlfn.IFNA(VLOOKUP($D32,'Route-Details'!$B$2:$X$1048576,'Node Details'!J$1,0),"")</f>
        <v>AXZ</v>
      </c>
      <c r="K32" s="78">
        <v>46110</v>
      </c>
      <c r="L32" s="78">
        <v>46110</v>
      </c>
      <c r="M32" s="91">
        <v>46119</v>
      </c>
      <c r="N32" s="78">
        <v>46110</v>
      </c>
      <c r="Q32" s="88" t="s">
        <v>173</v>
      </c>
      <c r="R32" s="92"/>
      <c r="S32" s="89"/>
      <c r="T32" s="89"/>
      <c r="U32" s="89"/>
      <c r="V32" s="95"/>
      <c r="W32" s="93"/>
      <c r="X32" s="89"/>
      <c r="Y32" s="94"/>
      <c r="Z32" s="92"/>
      <c r="AA32" s="95"/>
      <c r="AB32" s="89"/>
      <c r="AC32" s="93"/>
      <c r="AD32" s="92"/>
      <c r="AE32" s="88"/>
      <c r="AF32" s="84">
        <f t="shared" si="0"/>
        <v>0</v>
      </c>
      <c r="AH32" s="95"/>
      <c r="AI32" s="89"/>
      <c r="AJ32" s="88"/>
      <c r="AK32" s="83">
        <f t="shared" si="1"/>
        <v>0</v>
      </c>
      <c r="AN32" s="83">
        <f t="shared" si="2"/>
        <v>0</v>
      </c>
      <c r="AO32" s="83">
        <f t="shared" si="3"/>
        <v>0</v>
      </c>
      <c r="AQ32" s="95"/>
      <c r="AR32" s="96"/>
      <c r="AS32" s="84">
        <f t="shared" si="4"/>
        <v>0</v>
      </c>
      <c r="AT32" s="84">
        <f t="shared" si="5"/>
        <v>0</v>
      </c>
      <c r="AV32" s="95"/>
      <c r="AW32" s="96"/>
      <c r="AX32" s="97">
        <f t="shared" si="6"/>
        <v>0</v>
      </c>
      <c r="AY32" s="97">
        <f t="shared" si="7"/>
        <v>0</v>
      </c>
      <c r="AZ32" s="97">
        <f t="shared" si="8"/>
        <v>0</v>
      </c>
      <c r="BB32" s="9" t="s">
        <v>204</v>
      </c>
      <c r="BC32" s="98" t="s">
        <v>176</v>
      </c>
    </row>
    <row r="33" spans="1:55" s="24" customFormat="1" ht="15" customHeight="1" x14ac:dyDescent="0.2">
      <c r="A33" s="88">
        <f t="shared" si="9"/>
        <v>31</v>
      </c>
      <c r="B33" s="77" t="s">
        <v>166</v>
      </c>
      <c r="C33" s="9"/>
      <c r="D33" s="78" t="s">
        <v>220</v>
      </c>
      <c r="E33" s="90" t="str">
        <f>_xlfn.IFNA(VLOOKUP($D33,'Route-Details'!$B$2:$X$1048576,'Node Details'!E$1,0),"")</f>
        <v>Airtel</v>
      </c>
      <c r="F33" s="90" t="str">
        <f>_xlfn.IFNA(VLOOKUP($D33,'Route-Details'!$B$2:$X$1048576,'Node Details'!F$1,0),"")</f>
        <v>PLAN OF AXZ DARIA</v>
      </c>
      <c r="G33" s="90" t="str">
        <f>_xlfn.IFNA(VLOOKUP($D33,'Route-Details'!$B$2:$X$1048576,'Node Details'!G$1,0),"")</f>
        <v>Chandigarh</v>
      </c>
      <c r="H33" s="90" t="str">
        <f>_xlfn.IFNA(VLOOKUP($D34,'Route-Details'!$B$2:$X$1048576,'Node Details'!H$1,0),"")</f>
        <v>Punjab</v>
      </c>
      <c r="I33" s="90" t="str">
        <f>_xlfn.IFNA(VLOOKUP($D33,'Route-Details'!$B$2:$X$1048576,'Node Details'!I$1,0),"")</f>
        <v>AXZ</v>
      </c>
      <c r="J33" s="90" t="str">
        <f>_xlfn.IFNA(VLOOKUP($D33,'Route-Details'!$B$2:$X$1048576,'Node Details'!J$1,0),"")</f>
        <v>AXZ</v>
      </c>
      <c r="K33" s="78">
        <v>46110</v>
      </c>
      <c r="L33" s="78">
        <v>46110</v>
      </c>
      <c r="M33" s="91">
        <v>46119</v>
      </c>
      <c r="N33" s="78">
        <v>46110</v>
      </c>
      <c r="Q33" s="88" t="s">
        <v>173</v>
      </c>
      <c r="R33" s="92"/>
      <c r="S33" s="89"/>
      <c r="T33" s="89"/>
      <c r="U33" s="89"/>
      <c r="V33" s="95"/>
      <c r="W33" s="93"/>
      <c r="X33" s="89"/>
      <c r="Y33" s="94"/>
      <c r="Z33" s="92"/>
      <c r="AA33" s="95"/>
      <c r="AB33" s="89"/>
      <c r="AC33" s="93"/>
      <c r="AD33" s="92"/>
      <c r="AE33" s="88"/>
      <c r="AF33" s="84">
        <f t="shared" si="0"/>
        <v>0</v>
      </c>
      <c r="AH33" s="95"/>
      <c r="AI33" s="89"/>
      <c r="AJ33" s="88"/>
      <c r="AK33" s="83">
        <f t="shared" si="1"/>
        <v>0</v>
      </c>
      <c r="AN33" s="83">
        <f t="shared" si="2"/>
        <v>0</v>
      </c>
      <c r="AO33" s="83">
        <f t="shared" si="3"/>
        <v>0</v>
      </c>
      <c r="AQ33" s="95"/>
      <c r="AR33" s="96"/>
      <c r="AS33" s="84">
        <f t="shared" si="4"/>
        <v>0</v>
      </c>
      <c r="AT33" s="84">
        <f t="shared" si="5"/>
        <v>0</v>
      </c>
      <c r="AV33" s="95"/>
      <c r="AW33" s="96"/>
      <c r="AX33" s="97">
        <f t="shared" si="6"/>
        <v>0</v>
      </c>
      <c r="AY33" s="97">
        <f t="shared" si="7"/>
        <v>0</v>
      </c>
      <c r="AZ33" s="97">
        <f t="shared" si="8"/>
        <v>0</v>
      </c>
      <c r="BB33" s="9" t="s">
        <v>202</v>
      </c>
      <c r="BC33" s="98" t="s">
        <v>176</v>
      </c>
    </row>
    <row r="34" spans="1:55" s="24" customFormat="1" ht="15" customHeight="1" x14ac:dyDescent="0.2">
      <c r="A34" s="88">
        <f t="shared" si="9"/>
        <v>32</v>
      </c>
      <c r="B34" s="77" t="s">
        <v>167</v>
      </c>
      <c r="C34" s="9"/>
      <c r="D34" s="78" t="s">
        <v>220</v>
      </c>
      <c r="E34" s="90" t="str">
        <f>_xlfn.IFNA(VLOOKUP($D34,'Route-Details'!$B$2:$X$1048576,'Node Details'!E$1,0),"")</f>
        <v>Airtel</v>
      </c>
      <c r="F34" s="90" t="str">
        <f>_xlfn.IFNA(VLOOKUP($D34,'Route-Details'!$B$2:$X$1048576,'Node Details'!F$1,0),"")</f>
        <v>PLAN OF AXZ DARIA</v>
      </c>
      <c r="G34" s="90" t="str">
        <f>_xlfn.IFNA(VLOOKUP($D34,'Route-Details'!$B$2:$X$1048576,'Node Details'!G$1,0),"")</f>
        <v>Chandigarh</v>
      </c>
      <c r="H34" s="90" t="str">
        <f>_xlfn.IFNA(VLOOKUP($D35,'Route-Details'!$B$2:$X$1048576,'Node Details'!H$1,0),"")</f>
        <v>Punjab</v>
      </c>
      <c r="I34" s="90" t="str">
        <f>_xlfn.IFNA(VLOOKUP($D34,'Route-Details'!$B$2:$X$1048576,'Node Details'!I$1,0),"")</f>
        <v>AXZ</v>
      </c>
      <c r="J34" s="90" t="str">
        <f>_xlfn.IFNA(VLOOKUP($D34,'Route-Details'!$B$2:$X$1048576,'Node Details'!J$1,0),"")</f>
        <v>AXZ</v>
      </c>
      <c r="K34" s="78">
        <v>46110</v>
      </c>
      <c r="L34" s="78">
        <v>46110</v>
      </c>
      <c r="M34" s="91">
        <v>46119</v>
      </c>
      <c r="N34" s="78">
        <v>46110</v>
      </c>
      <c r="Q34" s="88" t="s">
        <v>173</v>
      </c>
      <c r="R34" s="92"/>
      <c r="S34" s="89"/>
      <c r="T34" s="89"/>
      <c r="U34" s="89"/>
      <c r="V34" s="95"/>
      <c r="W34" s="93"/>
      <c r="X34" s="89"/>
      <c r="Y34" s="94"/>
      <c r="Z34" s="92"/>
      <c r="AA34" s="95"/>
      <c r="AB34" s="89"/>
      <c r="AC34" s="93"/>
      <c r="AD34" s="92"/>
      <c r="AE34" s="88"/>
      <c r="AF34" s="84">
        <f t="shared" si="0"/>
        <v>0</v>
      </c>
      <c r="AH34" s="95"/>
      <c r="AI34" s="89"/>
      <c r="AJ34" s="88"/>
      <c r="AK34" s="83">
        <f t="shared" si="1"/>
        <v>0</v>
      </c>
      <c r="AN34" s="83">
        <f t="shared" si="2"/>
        <v>0</v>
      </c>
      <c r="AO34" s="83">
        <f t="shared" si="3"/>
        <v>0</v>
      </c>
      <c r="AQ34" s="95"/>
      <c r="AR34" s="96"/>
      <c r="AS34" s="84">
        <f t="shared" si="4"/>
        <v>0</v>
      </c>
      <c r="AT34" s="84">
        <f t="shared" si="5"/>
        <v>0</v>
      </c>
      <c r="AV34" s="95"/>
      <c r="AW34" s="96"/>
      <c r="AX34" s="97">
        <f t="shared" si="6"/>
        <v>0</v>
      </c>
      <c r="AY34" s="97">
        <f t="shared" si="7"/>
        <v>0</v>
      </c>
      <c r="AZ34" s="97">
        <f t="shared" si="8"/>
        <v>0</v>
      </c>
      <c r="BB34" s="9" t="s">
        <v>202</v>
      </c>
      <c r="BC34" s="98" t="s">
        <v>176</v>
      </c>
    </row>
    <row r="35" spans="1:55" s="24" customFormat="1" ht="15" customHeight="1" x14ac:dyDescent="0.2">
      <c r="A35" s="88">
        <f t="shared" si="9"/>
        <v>33</v>
      </c>
      <c r="B35" s="77" t="s">
        <v>168</v>
      </c>
      <c r="C35" s="9"/>
      <c r="D35" s="78" t="s">
        <v>220</v>
      </c>
      <c r="E35" s="90" t="str">
        <f>_xlfn.IFNA(VLOOKUP($D35,'Route-Details'!$B$2:$X$1048576,'Node Details'!E$1,0),"")</f>
        <v>Airtel</v>
      </c>
      <c r="F35" s="90" t="str">
        <f>_xlfn.IFNA(VLOOKUP($D35,'Route-Details'!$B$2:$X$1048576,'Node Details'!F$1,0),"")</f>
        <v>PLAN OF AXZ DARIA</v>
      </c>
      <c r="G35" s="90" t="str">
        <f>_xlfn.IFNA(VLOOKUP($D35,'Route-Details'!$B$2:$X$1048576,'Node Details'!G$1,0),"")</f>
        <v>Chandigarh</v>
      </c>
      <c r="H35" s="90" t="str">
        <f>_xlfn.IFNA(VLOOKUP($D36,'Route-Details'!$B$2:$X$1048576,'Node Details'!H$1,0),"")</f>
        <v>Punjab</v>
      </c>
      <c r="I35" s="90" t="str">
        <f>_xlfn.IFNA(VLOOKUP($D35,'Route-Details'!$B$2:$X$1048576,'Node Details'!I$1,0),"")</f>
        <v>AXZ</v>
      </c>
      <c r="J35" s="90" t="str">
        <f>_xlfn.IFNA(VLOOKUP($D35,'Route-Details'!$B$2:$X$1048576,'Node Details'!J$1,0),"")</f>
        <v>AXZ</v>
      </c>
      <c r="K35" s="78">
        <v>46110</v>
      </c>
      <c r="L35" s="78">
        <v>46110</v>
      </c>
      <c r="M35" s="91">
        <v>46119</v>
      </c>
      <c r="N35" s="78">
        <v>46110</v>
      </c>
      <c r="Q35" s="88" t="s">
        <v>173</v>
      </c>
      <c r="R35" s="92"/>
      <c r="S35" s="89"/>
      <c r="T35" s="89"/>
      <c r="U35" s="89"/>
      <c r="V35" s="95"/>
      <c r="W35" s="93"/>
      <c r="X35" s="89"/>
      <c r="Y35" s="94"/>
      <c r="Z35" s="92"/>
      <c r="AA35" s="95"/>
      <c r="AB35" s="89"/>
      <c r="AC35" s="93"/>
      <c r="AD35" s="92"/>
      <c r="AE35" s="88"/>
      <c r="AF35" s="84">
        <f t="shared" si="0"/>
        <v>0</v>
      </c>
      <c r="AH35" s="95"/>
      <c r="AI35" s="89"/>
      <c r="AJ35" s="88"/>
      <c r="AK35" s="83">
        <f t="shared" si="1"/>
        <v>0</v>
      </c>
      <c r="AN35" s="83">
        <f t="shared" si="2"/>
        <v>0</v>
      </c>
      <c r="AO35" s="83">
        <f t="shared" si="3"/>
        <v>0</v>
      </c>
      <c r="AQ35" s="95"/>
      <c r="AR35" s="96"/>
      <c r="AS35" s="84">
        <f t="shared" si="4"/>
        <v>0</v>
      </c>
      <c r="AT35" s="84">
        <f t="shared" si="5"/>
        <v>0</v>
      </c>
      <c r="AV35" s="95"/>
      <c r="AW35" s="96"/>
      <c r="AX35" s="97">
        <f t="shared" si="6"/>
        <v>0</v>
      </c>
      <c r="AY35" s="97">
        <f t="shared" si="7"/>
        <v>0</v>
      </c>
      <c r="AZ35" s="97">
        <f t="shared" si="8"/>
        <v>0</v>
      </c>
      <c r="BB35" s="9" t="s">
        <v>202</v>
      </c>
      <c r="BC35" s="98" t="s">
        <v>176</v>
      </c>
    </row>
    <row r="36" spans="1:55" s="24" customFormat="1" ht="15" customHeight="1" x14ac:dyDescent="0.2">
      <c r="A36" s="88">
        <f t="shared" si="9"/>
        <v>34</v>
      </c>
      <c r="B36" s="77" t="s">
        <v>169</v>
      </c>
      <c r="C36" s="9"/>
      <c r="D36" s="78" t="s">
        <v>210</v>
      </c>
      <c r="E36" s="90" t="str">
        <f>_xlfn.IFNA(VLOOKUP($D36,'Route-Details'!$B$2:$X$1048576,'Node Details'!E$1,0),"")</f>
        <v>Airtel</v>
      </c>
      <c r="F36" s="90" t="str">
        <f>_xlfn.IFNA(VLOOKUP($D36,'Route-Details'!$B$2:$X$1048576,'Node Details'!F$1,0),"")</f>
        <v>PLAN OF AXZ DARIA</v>
      </c>
      <c r="G36" s="90" t="str">
        <f>_xlfn.IFNA(VLOOKUP($D36,'Route-Details'!$B$2:$X$1048576,'Node Details'!G$1,0),"")</f>
        <v>Chandigarh</v>
      </c>
      <c r="H36" s="90" t="str">
        <f>_xlfn.IFNA(VLOOKUP($D37,'Route-Details'!$B$2:$X$1048576,'Node Details'!H$1,0),"")</f>
        <v>Punjab</v>
      </c>
      <c r="I36" s="90" t="str">
        <f>_xlfn.IFNA(VLOOKUP($D36,'Route-Details'!$B$2:$X$1048576,'Node Details'!I$1,0),"")</f>
        <v>AXZ</v>
      </c>
      <c r="J36" s="90" t="str">
        <f>_xlfn.IFNA(VLOOKUP($D36,'Route-Details'!$B$2:$X$1048576,'Node Details'!J$1,0),"")</f>
        <v>AXZ</v>
      </c>
      <c r="K36" s="78">
        <v>46110</v>
      </c>
      <c r="L36" s="78">
        <v>46110</v>
      </c>
      <c r="M36" s="91">
        <v>46119</v>
      </c>
      <c r="N36" s="78">
        <v>46110</v>
      </c>
      <c r="Q36" s="88" t="s">
        <v>173</v>
      </c>
      <c r="R36" s="92"/>
      <c r="S36" s="89"/>
      <c r="T36" s="89"/>
      <c r="U36" s="89"/>
      <c r="V36" s="95"/>
      <c r="W36" s="93"/>
      <c r="X36" s="89"/>
      <c r="Y36" s="94"/>
      <c r="Z36" s="92"/>
      <c r="AA36" s="95"/>
      <c r="AB36" s="89"/>
      <c r="AC36" s="93"/>
      <c r="AD36" s="92"/>
      <c r="AE36" s="88"/>
      <c r="AF36" s="84">
        <f t="shared" si="0"/>
        <v>0</v>
      </c>
      <c r="AH36" s="95"/>
      <c r="AI36" s="89"/>
      <c r="AJ36" s="88"/>
      <c r="AK36" s="83">
        <f t="shared" si="1"/>
        <v>0</v>
      </c>
      <c r="AN36" s="83">
        <f t="shared" si="2"/>
        <v>0</v>
      </c>
      <c r="AO36" s="83">
        <f t="shared" si="3"/>
        <v>0</v>
      </c>
      <c r="AQ36" s="95"/>
      <c r="AR36" s="96"/>
      <c r="AS36" s="84">
        <f t="shared" si="4"/>
        <v>0</v>
      </c>
      <c r="AT36" s="84">
        <f t="shared" si="5"/>
        <v>0</v>
      </c>
      <c r="AV36" s="95"/>
      <c r="AW36" s="96"/>
      <c r="AX36" s="97">
        <f t="shared" si="6"/>
        <v>0</v>
      </c>
      <c r="AY36" s="97">
        <f t="shared" si="7"/>
        <v>0</v>
      </c>
      <c r="AZ36" s="97">
        <f t="shared" si="8"/>
        <v>0</v>
      </c>
      <c r="BB36" s="9" t="s">
        <v>203</v>
      </c>
      <c r="BC36" s="98" t="s">
        <v>176</v>
      </c>
    </row>
    <row r="37" spans="1:55" s="24" customFormat="1" ht="15" customHeight="1" x14ac:dyDescent="0.2">
      <c r="A37" s="88">
        <f t="shared" si="9"/>
        <v>35</v>
      </c>
      <c r="B37" s="77" t="s">
        <v>170</v>
      </c>
      <c r="C37" s="9"/>
      <c r="D37" s="78" t="s">
        <v>210</v>
      </c>
      <c r="E37" s="90" t="str">
        <f>_xlfn.IFNA(VLOOKUP($D37,'Route-Details'!$B$2:$X$1048576,'Node Details'!E$1,0),"")</f>
        <v>Airtel</v>
      </c>
      <c r="F37" s="90" t="str">
        <f>_xlfn.IFNA(VLOOKUP($D37,'Route-Details'!$B$2:$X$1048576,'Node Details'!F$1,0),"")</f>
        <v>PLAN OF AXZ DARIA</v>
      </c>
      <c r="G37" s="90" t="str">
        <f>_xlfn.IFNA(VLOOKUP($D37,'Route-Details'!$B$2:$X$1048576,'Node Details'!G$1,0),"")</f>
        <v>Chandigarh</v>
      </c>
      <c r="H37" s="90" t="str">
        <f>_xlfn.IFNA(VLOOKUP($D38,'Route-Details'!$B$2:$X$1048576,'Node Details'!H$1,0),"")</f>
        <v>Punjab</v>
      </c>
      <c r="I37" s="90" t="str">
        <f>_xlfn.IFNA(VLOOKUP($D37,'Route-Details'!$B$2:$X$1048576,'Node Details'!I$1,0),"")</f>
        <v>AXZ</v>
      </c>
      <c r="J37" s="90" t="str">
        <f>_xlfn.IFNA(VLOOKUP($D37,'Route-Details'!$B$2:$X$1048576,'Node Details'!J$1,0),"")</f>
        <v>AXZ</v>
      </c>
      <c r="K37" s="78">
        <v>46110</v>
      </c>
      <c r="L37" s="78">
        <v>46110</v>
      </c>
      <c r="M37" s="91">
        <v>46119</v>
      </c>
      <c r="N37" s="78">
        <v>46110</v>
      </c>
      <c r="Q37" s="88" t="s">
        <v>173</v>
      </c>
      <c r="R37" s="92"/>
      <c r="S37" s="89"/>
      <c r="T37" s="89"/>
      <c r="U37" s="89"/>
      <c r="V37" s="95"/>
      <c r="W37" s="93"/>
      <c r="X37" s="89"/>
      <c r="Y37" s="94"/>
      <c r="Z37" s="92"/>
      <c r="AA37" s="95"/>
      <c r="AB37" s="89"/>
      <c r="AC37" s="93"/>
      <c r="AD37" s="92"/>
      <c r="AE37" s="88"/>
      <c r="AF37" s="84">
        <f t="shared" si="0"/>
        <v>0</v>
      </c>
      <c r="AH37" s="95"/>
      <c r="AI37" s="89"/>
      <c r="AJ37" s="88"/>
      <c r="AK37" s="83">
        <f t="shared" si="1"/>
        <v>0</v>
      </c>
      <c r="AN37" s="83">
        <f t="shared" si="2"/>
        <v>0</v>
      </c>
      <c r="AO37" s="83">
        <f t="shared" si="3"/>
        <v>0</v>
      </c>
      <c r="AQ37" s="95"/>
      <c r="AR37" s="96"/>
      <c r="AS37" s="84">
        <f t="shared" si="4"/>
        <v>0</v>
      </c>
      <c r="AT37" s="84">
        <f t="shared" si="5"/>
        <v>0</v>
      </c>
      <c r="AV37" s="95"/>
      <c r="AW37" s="96"/>
      <c r="AX37" s="97">
        <f t="shared" si="6"/>
        <v>0</v>
      </c>
      <c r="AY37" s="97">
        <f t="shared" si="7"/>
        <v>0</v>
      </c>
      <c r="AZ37" s="97">
        <f t="shared" si="8"/>
        <v>0</v>
      </c>
      <c r="BB37" s="9" t="s">
        <v>203</v>
      </c>
      <c r="BC37" s="98" t="s">
        <v>176</v>
      </c>
    </row>
    <row r="38" spans="1:55" s="24" customFormat="1" ht="15" customHeight="1" x14ac:dyDescent="0.2">
      <c r="A38" s="88">
        <f t="shared" si="9"/>
        <v>36</v>
      </c>
      <c r="B38" s="77" t="s">
        <v>171</v>
      </c>
      <c r="C38" s="9"/>
      <c r="D38" s="78" t="s">
        <v>210</v>
      </c>
      <c r="E38" s="90" t="str">
        <f>_xlfn.IFNA(VLOOKUP($D38,'Route-Details'!$B$2:$X$1048576,'Node Details'!E$1,0),"")</f>
        <v>Airtel</v>
      </c>
      <c r="F38" s="90" t="str">
        <f>_xlfn.IFNA(VLOOKUP($D38,'Route-Details'!$B$2:$X$1048576,'Node Details'!F$1,0),"")</f>
        <v>PLAN OF AXZ DARIA</v>
      </c>
      <c r="G38" s="90" t="str">
        <f>_xlfn.IFNA(VLOOKUP($D38,'Route-Details'!$B$2:$X$1048576,'Node Details'!G$1,0),"")</f>
        <v>Chandigarh</v>
      </c>
      <c r="H38" s="90" t="str">
        <f>_xlfn.IFNA(VLOOKUP($D39,'Route-Details'!$B$2:$X$1048576,'Node Details'!H$1,0),"")</f>
        <v>Punjab</v>
      </c>
      <c r="I38" s="90" t="str">
        <f>_xlfn.IFNA(VLOOKUP($D38,'Route-Details'!$B$2:$X$1048576,'Node Details'!I$1,0),"")</f>
        <v>AXZ</v>
      </c>
      <c r="J38" s="90" t="str">
        <f>_xlfn.IFNA(VLOOKUP($D38,'Route-Details'!$B$2:$X$1048576,'Node Details'!J$1,0),"")</f>
        <v>AXZ</v>
      </c>
      <c r="K38" s="78">
        <v>46110</v>
      </c>
      <c r="L38" s="78">
        <v>46110</v>
      </c>
      <c r="M38" s="91">
        <v>46119</v>
      </c>
      <c r="N38" s="78">
        <v>46110</v>
      </c>
      <c r="Q38" s="88" t="s">
        <v>173</v>
      </c>
      <c r="R38" s="92"/>
      <c r="S38" s="89"/>
      <c r="T38" s="89"/>
      <c r="U38" s="89"/>
      <c r="V38" s="95"/>
      <c r="W38" s="93"/>
      <c r="X38" s="89"/>
      <c r="Y38" s="94"/>
      <c r="Z38" s="92"/>
      <c r="AA38" s="95"/>
      <c r="AB38" s="89"/>
      <c r="AC38" s="93"/>
      <c r="AD38" s="92"/>
      <c r="AE38" s="88"/>
      <c r="AF38" s="84">
        <f t="shared" si="0"/>
        <v>0</v>
      </c>
      <c r="AH38" s="95"/>
      <c r="AI38" s="89"/>
      <c r="AJ38" s="88"/>
      <c r="AK38" s="83">
        <f t="shared" si="1"/>
        <v>0</v>
      </c>
      <c r="AN38" s="83">
        <f t="shared" si="2"/>
        <v>0</v>
      </c>
      <c r="AO38" s="83">
        <f t="shared" si="3"/>
        <v>0</v>
      </c>
      <c r="AQ38" s="95"/>
      <c r="AR38" s="96"/>
      <c r="AS38" s="84">
        <f t="shared" si="4"/>
        <v>0</v>
      </c>
      <c r="AT38" s="84">
        <f t="shared" si="5"/>
        <v>0</v>
      </c>
      <c r="AV38" s="95"/>
      <c r="AW38" s="96"/>
      <c r="AX38" s="97">
        <f t="shared" si="6"/>
        <v>0</v>
      </c>
      <c r="AY38" s="97">
        <f t="shared" si="7"/>
        <v>0</v>
      </c>
      <c r="AZ38" s="97">
        <f t="shared" si="8"/>
        <v>0</v>
      </c>
      <c r="BB38" s="9" t="s">
        <v>203</v>
      </c>
      <c r="BC38" s="98" t="s">
        <v>176</v>
      </c>
    </row>
    <row r="39" spans="1:55" s="24" customFormat="1" ht="15" customHeight="1" x14ac:dyDescent="0.2">
      <c r="A39" s="88">
        <f t="shared" si="9"/>
        <v>37</v>
      </c>
      <c r="B39" s="77" t="s">
        <v>172</v>
      </c>
      <c r="C39" s="9"/>
      <c r="D39" s="78" t="s">
        <v>210</v>
      </c>
      <c r="E39" s="90" t="str">
        <f>_xlfn.IFNA(VLOOKUP($D39,'Route-Details'!$B$2:$X$1048576,'Node Details'!E$1,0),"")</f>
        <v>Airtel</v>
      </c>
      <c r="F39" s="90" t="str">
        <f>_xlfn.IFNA(VLOOKUP($D39,'Route-Details'!$B$2:$X$1048576,'Node Details'!F$1,0),"")</f>
        <v>PLAN OF AXZ DARIA</v>
      </c>
      <c r="G39" s="90" t="str">
        <f>_xlfn.IFNA(VLOOKUP($D39,'Route-Details'!$B$2:$X$1048576,'Node Details'!G$1,0),"")</f>
        <v>Chandigarh</v>
      </c>
      <c r="H39" s="90" t="str">
        <f>_xlfn.IFNA(VLOOKUP($D40,'Route-Details'!$B$2:$X$1048576,'Node Details'!H$1,0),"")</f>
        <v>Punjab</v>
      </c>
      <c r="I39" s="90" t="str">
        <f>_xlfn.IFNA(VLOOKUP($D39,'Route-Details'!$B$2:$X$1048576,'Node Details'!I$1,0),"")</f>
        <v>AXZ</v>
      </c>
      <c r="J39" s="90" t="str">
        <f>_xlfn.IFNA(VLOOKUP($D39,'Route-Details'!$B$2:$X$1048576,'Node Details'!J$1,0),"")</f>
        <v>AXZ</v>
      </c>
      <c r="K39" s="78">
        <v>46110</v>
      </c>
      <c r="L39" s="78">
        <v>46110</v>
      </c>
      <c r="M39" s="91">
        <v>46119</v>
      </c>
      <c r="N39" s="78">
        <v>46110</v>
      </c>
      <c r="Q39" s="88" t="s">
        <v>173</v>
      </c>
      <c r="R39" s="92"/>
      <c r="S39" s="89"/>
      <c r="T39" s="89"/>
      <c r="U39" s="89"/>
      <c r="V39" s="95"/>
      <c r="W39" s="93"/>
      <c r="X39" s="89"/>
      <c r="Y39" s="94"/>
      <c r="Z39" s="92"/>
      <c r="AA39" s="95"/>
      <c r="AB39" s="89"/>
      <c r="AC39" s="93"/>
      <c r="AD39" s="92"/>
      <c r="AE39" s="88"/>
      <c r="AF39" s="84">
        <f t="shared" si="0"/>
        <v>0</v>
      </c>
      <c r="AH39" s="95"/>
      <c r="AI39" s="89"/>
      <c r="AJ39" s="88"/>
      <c r="AK39" s="83">
        <f t="shared" si="1"/>
        <v>0</v>
      </c>
      <c r="AN39" s="83">
        <f t="shared" si="2"/>
        <v>0</v>
      </c>
      <c r="AO39" s="83">
        <f t="shared" si="3"/>
        <v>0</v>
      </c>
      <c r="AQ39" s="95"/>
      <c r="AR39" s="96"/>
      <c r="AS39" s="84">
        <f t="shared" si="4"/>
        <v>0</v>
      </c>
      <c r="AT39" s="84">
        <f t="shared" si="5"/>
        <v>0</v>
      </c>
      <c r="AV39" s="95"/>
      <c r="AW39" s="96"/>
      <c r="AX39" s="97">
        <f t="shared" si="6"/>
        <v>0</v>
      </c>
      <c r="AY39" s="97">
        <f t="shared" si="7"/>
        <v>0</v>
      </c>
      <c r="AZ39" s="97">
        <f t="shared" si="8"/>
        <v>0</v>
      </c>
      <c r="BB39" s="9" t="s">
        <v>203</v>
      </c>
      <c r="BC39" s="98" t="s">
        <v>176</v>
      </c>
    </row>
    <row r="40" spans="1:55" ht="15" customHeight="1" x14ac:dyDescent="0.25">
      <c r="A40" s="88">
        <f t="shared" si="9"/>
        <v>38</v>
      </c>
      <c r="B40" s="77" t="s">
        <v>134</v>
      </c>
      <c r="C40" s="9"/>
      <c r="D40" s="78" t="s">
        <v>211</v>
      </c>
      <c r="E40" s="90" t="str">
        <f>_xlfn.IFNA(VLOOKUP($D40,'Route-Details'!$B$2:$X$1048576,'Node Details'!E$1,0),"")</f>
        <v>Airtel</v>
      </c>
      <c r="F40" s="90" t="str">
        <f>_xlfn.IFNA(VLOOKUP($D40,'Route-Details'!$B$2:$X$1048576,'Node Details'!F$1,0),"")</f>
        <v>PLAN OF AXZ DARIA</v>
      </c>
      <c r="G40" s="90" t="str">
        <f>_xlfn.IFNA(VLOOKUP($D40,'Route-Details'!$B$2:$X$1048576,'Node Details'!G$1,0),"")</f>
        <v>Chandigarh</v>
      </c>
      <c r="H40" s="90" t="str">
        <f>_xlfn.IFNA(VLOOKUP($D41,'Route-Details'!$B$2:$X$1048576,'Node Details'!H$1,0),"")</f>
        <v>Punjab</v>
      </c>
      <c r="I40" s="90" t="str">
        <f>_xlfn.IFNA(VLOOKUP($D40,'Route-Details'!$B$2:$X$1048576,'Node Details'!I$1,0),"")</f>
        <v>AXZ</v>
      </c>
      <c r="J40" s="90" t="str">
        <f>_xlfn.IFNA(VLOOKUP($D40,'Route-Details'!$B$2:$X$1048576,'Node Details'!J$1,0),"")</f>
        <v>AXZ</v>
      </c>
      <c r="K40" s="78">
        <v>46110</v>
      </c>
      <c r="L40" s="78">
        <v>46110</v>
      </c>
      <c r="M40" s="91">
        <v>46119</v>
      </c>
      <c r="N40" s="78">
        <v>46110</v>
      </c>
      <c r="Q40" s="88" t="s">
        <v>173</v>
      </c>
      <c r="R40" s="92"/>
      <c r="S40" s="89"/>
      <c r="T40" s="89"/>
      <c r="U40" s="89"/>
      <c r="V40" s="95"/>
      <c r="W40" s="93"/>
      <c r="X40" s="89"/>
      <c r="Y40" s="94"/>
      <c r="Z40" s="92"/>
      <c r="AA40" s="95"/>
      <c r="AB40" s="89"/>
      <c r="AC40" s="93"/>
      <c r="AD40" s="92"/>
      <c r="AE40" s="88"/>
      <c r="AF40" s="84">
        <f t="shared" ref="AF40" si="10">IF(AB40&lt;&gt;"",AE40*AB40,0)</f>
        <v>0</v>
      </c>
      <c r="AG40" s="24"/>
      <c r="AH40" s="95"/>
      <c r="AI40" s="89"/>
      <c r="AJ40" s="88"/>
      <c r="AK40" s="83">
        <f t="shared" ref="AK40" si="11">IF(AI40&lt;&gt;"",AJ40*AI40,0)</f>
        <v>0</v>
      </c>
      <c r="AL40" s="24"/>
      <c r="AM40" s="24"/>
      <c r="AN40" s="83">
        <f t="shared" ref="AN40" si="12">IF(AL40&lt;&gt;"",AM40*AL40,0)</f>
        <v>0</v>
      </c>
      <c r="AO40" s="83">
        <f t="shared" ref="AO40" si="13">AN40+AK40</f>
        <v>0</v>
      </c>
      <c r="AP40" s="24"/>
      <c r="AQ40" s="95"/>
      <c r="AR40" s="96"/>
      <c r="AS40" s="84">
        <f t="shared" ref="AS40" si="14">AJ40</f>
        <v>0</v>
      </c>
      <c r="AT40" s="84">
        <f t="shared" ref="AT40" si="15">AS40*AI40</f>
        <v>0</v>
      </c>
      <c r="AU40" s="24"/>
      <c r="AV40" s="95"/>
      <c r="AW40" s="96"/>
      <c r="AX40" s="97">
        <f t="shared" ref="AX40" si="16">AJ40</f>
        <v>0</v>
      </c>
      <c r="AY40" s="97">
        <f t="shared" ref="AY40" si="17">AI40</f>
        <v>0</v>
      </c>
      <c r="AZ40" s="97">
        <f t="shared" ref="AZ40" si="18">IF(AY40&lt;&gt;"",AY40*AX40,0)</f>
        <v>0</v>
      </c>
      <c r="BA40" s="24"/>
      <c r="BB40" s="9" t="s">
        <v>190</v>
      </c>
      <c r="BC40" s="98" t="s">
        <v>176</v>
      </c>
    </row>
    <row r="41" spans="1:55" ht="15" customHeight="1" x14ac:dyDescent="0.25">
      <c r="A41" s="88">
        <f t="shared" si="9"/>
        <v>39</v>
      </c>
      <c r="B41" s="77" t="s">
        <v>225</v>
      </c>
      <c r="C41" s="9"/>
      <c r="D41" s="78" t="s">
        <v>464</v>
      </c>
      <c r="E41" s="90" t="str">
        <f>_xlfn.IFNA(VLOOKUP($D41,'Route-Details'!$B$2:$X$1048576,'Node Details'!E$1,0),"")</f>
        <v>Airtel</v>
      </c>
      <c r="F41" s="90" t="str">
        <f>_xlfn.IFNA(VLOOKUP($D41,'Route-Details'!$B$2:$X$1048576,'Node Details'!F$1,0),"")</f>
        <v>PLAN OF AXY DARIA</v>
      </c>
      <c r="G41" s="90" t="str">
        <f>_xlfn.IFNA(VLOOKUP($D41,'Route-Details'!$B$2:$X$1048576,'Node Details'!G$1,0),"")</f>
        <v>Chandigarh</v>
      </c>
      <c r="H41" s="90" t="str">
        <f>_xlfn.IFNA(VLOOKUP($D42,'Route-Details'!$B$2:$X$1048576,'Node Details'!H$1,0),"")</f>
        <v>Punjab</v>
      </c>
      <c r="I41" s="90" t="str">
        <f>_xlfn.IFNA(VLOOKUP($D41,'Route-Details'!$B$2:$X$1048576,'Node Details'!I$1,0),"")</f>
        <v>AXY</v>
      </c>
      <c r="J41" s="90" t="str">
        <f>_xlfn.IFNA(VLOOKUP($D41,'Route-Details'!$B$2:$X$1048576,'Node Details'!J$1,0),"")</f>
        <v>AXY</v>
      </c>
      <c r="K41" s="78">
        <v>46112</v>
      </c>
      <c r="L41" s="78">
        <v>46113</v>
      </c>
      <c r="M41" s="91">
        <v>46125</v>
      </c>
      <c r="N41" s="78">
        <v>46112</v>
      </c>
      <c r="Q41" s="88" t="s">
        <v>173</v>
      </c>
      <c r="R41" s="92"/>
      <c r="S41" s="89"/>
      <c r="T41" s="89"/>
      <c r="U41" s="89"/>
      <c r="V41" s="95"/>
      <c r="W41" s="93"/>
      <c r="X41" s="89"/>
      <c r="Y41" s="94"/>
      <c r="Z41" s="92"/>
      <c r="AA41" s="95"/>
      <c r="AB41" s="89"/>
      <c r="AC41" s="93"/>
      <c r="AD41" s="92"/>
      <c r="AE41" s="88"/>
      <c r="AF41" s="84"/>
      <c r="AG41" s="24"/>
      <c r="AH41" s="95"/>
      <c r="AI41" s="89"/>
      <c r="AJ41" s="88"/>
      <c r="AK41" s="83"/>
      <c r="AL41" s="24"/>
      <c r="AM41" s="24"/>
      <c r="AN41" s="83"/>
      <c r="AO41" s="83"/>
      <c r="AP41" s="24"/>
      <c r="AQ41" s="95"/>
      <c r="AR41" s="96"/>
      <c r="AS41" s="84"/>
      <c r="AT41" s="84"/>
      <c r="AU41" s="24"/>
      <c r="AV41" s="95"/>
      <c r="AW41" s="96"/>
      <c r="AX41" s="97"/>
      <c r="AY41" s="97"/>
      <c r="AZ41" s="97"/>
      <c r="BA41" s="24"/>
      <c r="BB41" s="9" t="s">
        <v>192</v>
      </c>
      <c r="BC41" s="98" t="s">
        <v>176</v>
      </c>
    </row>
    <row r="42" spans="1:55" ht="15" customHeight="1" x14ac:dyDescent="0.25">
      <c r="A42" s="88">
        <f t="shared" si="9"/>
        <v>40</v>
      </c>
      <c r="B42" s="77" t="s">
        <v>226</v>
      </c>
      <c r="C42" s="9"/>
      <c r="D42" s="78" t="s">
        <v>485</v>
      </c>
      <c r="E42" s="90" t="str">
        <f>_xlfn.IFNA(VLOOKUP($D42,'Route-Details'!$B$2:$X$1048576,'Node Details'!E$1,0),"")</f>
        <v>Airtel</v>
      </c>
      <c r="F42" s="90" t="str">
        <f>_xlfn.IFNA(VLOOKUP($D42,'Route-Details'!$B$2:$X$1048576,'Node Details'!F$1,0),"")</f>
        <v>PLAN OF AXY DARIA</v>
      </c>
      <c r="G42" s="90" t="str">
        <f>_xlfn.IFNA(VLOOKUP($D42,'Route-Details'!$B$2:$X$1048576,'Node Details'!G$1,0),"")</f>
        <v>Chandigarh</v>
      </c>
      <c r="H42" s="90" t="str">
        <f>_xlfn.IFNA(VLOOKUP($D43,'Route-Details'!$B$2:$X$1048576,'Node Details'!H$1,0),"")</f>
        <v>Punjab</v>
      </c>
      <c r="I42" s="90" t="str">
        <f>_xlfn.IFNA(VLOOKUP($D42,'Route-Details'!$B$2:$X$1048576,'Node Details'!I$1,0),"")</f>
        <v>AXY</v>
      </c>
      <c r="J42" s="90" t="str">
        <f>_xlfn.IFNA(VLOOKUP($D42,'Route-Details'!$B$2:$X$1048576,'Node Details'!J$1,0),"")</f>
        <v>AXY</v>
      </c>
      <c r="K42" s="78">
        <v>46112</v>
      </c>
      <c r="L42" s="78">
        <v>46113</v>
      </c>
      <c r="M42" s="91">
        <v>46125</v>
      </c>
      <c r="N42" s="78">
        <v>46112</v>
      </c>
      <c r="Q42" s="88" t="s">
        <v>173</v>
      </c>
      <c r="R42" s="92"/>
      <c r="S42" s="89"/>
      <c r="T42" s="89"/>
      <c r="U42" s="89"/>
      <c r="V42" s="95"/>
      <c r="W42" s="93"/>
      <c r="X42" s="89"/>
      <c r="Y42" s="94"/>
      <c r="Z42" s="92"/>
      <c r="AA42" s="95"/>
      <c r="AB42" s="89"/>
      <c r="AC42" s="93"/>
      <c r="AD42" s="92"/>
      <c r="AE42" s="88"/>
      <c r="AF42" s="84"/>
      <c r="AG42" s="24"/>
      <c r="AH42" s="95"/>
      <c r="AI42" s="89"/>
      <c r="AJ42" s="88"/>
      <c r="AK42" s="83"/>
      <c r="AL42" s="24"/>
      <c r="AM42" s="24"/>
      <c r="AN42" s="83"/>
      <c r="AO42" s="83"/>
      <c r="AP42" s="24"/>
      <c r="AQ42" s="95"/>
      <c r="AR42" s="96"/>
      <c r="AS42" s="84"/>
      <c r="AT42" s="84"/>
      <c r="AU42" s="24"/>
      <c r="AV42" s="95"/>
      <c r="AW42" s="96"/>
      <c r="AX42" s="97"/>
      <c r="AY42" s="97"/>
      <c r="AZ42" s="97"/>
      <c r="BA42" s="24"/>
      <c r="BB42" s="9" t="s">
        <v>195</v>
      </c>
      <c r="BC42" s="98" t="s">
        <v>176</v>
      </c>
    </row>
    <row r="43" spans="1:55" ht="15" customHeight="1" x14ac:dyDescent="0.25">
      <c r="A43" s="88">
        <f t="shared" si="9"/>
        <v>41</v>
      </c>
      <c r="B43" s="77" t="s">
        <v>227</v>
      </c>
      <c r="C43" s="9"/>
      <c r="D43" s="78" t="s">
        <v>468</v>
      </c>
      <c r="E43" s="90" t="str">
        <f>_xlfn.IFNA(VLOOKUP($D43,'Route-Details'!$B$2:$X$1048576,'Node Details'!E$1,0),"")</f>
        <v>Airtel</v>
      </c>
      <c r="F43" s="90" t="str">
        <f>_xlfn.IFNA(VLOOKUP($D43,'Route-Details'!$B$2:$X$1048576,'Node Details'!F$1,0),"")</f>
        <v>PLAN OF AXY DARIA</v>
      </c>
      <c r="G43" s="90" t="str">
        <f>_xlfn.IFNA(VLOOKUP($D43,'Route-Details'!$B$2:$X$1048576,'Node Details'!G$1,0),"")</f>
        <v>Chandigarh</v>
      </c>
      <c r="H43" s="90" t="str">
        <f>_xlfn.IFNA(VLOOKUP($D44,'Route-Details'!$B$2:$X$1048576,'Node Details'!H$1,0),"")</f>
        <v>Punjab</v>
      </c>
      <c r="I43" s="90" t="str">
        <f>_xlfn.IFNA(VLOOKUP($D43,'Route-Details'!$B$2:$X$1048576,'Node Details'!I$1,0),"")</f>
        <v>AXY</v>
      </c>
      <c r="J43" s="90" t="str">
        <f>_xlfn.IFNA(VLOOKUP($D43,'Route-Details'!$B$2:$X$1048576,'Node Details'!J$1,0),"")</f>
        <v>AXY</v>
      </c>
      <c r="K43" s="78">
        <v>46112</v>
      </c>
      <c r="L43" s="78">
        <v>46113</v>
      </c>
      <c r="M43" s="91">
        <v>46125</v>
      </c>
      <c r="N43" s="78">
        <v>46112</v>
      </c>
      <c r="Q43" s="88" t="s">
        <v>173</v>
      </c>
      <c r="R43" s="92"/>
      <c r="S43" s="89"/>
      <c r="T43" s="89"/>
      <c r="U43" s="89"/>
      <c r="V43" s="95"/>
      <c r="W43" s="93"/>
      <c r="X43" s="89"/>
      <c r="Y43" s="94"/>
      <c r="Z43" s="92"/>
      <c r="AA43" s="95"/>
      <c r="AB43" s="89"/>
      <c r="AC43" s="93"/>
      <c r="AD43" s="92"/>
      <c r="AE43" s="88"/>
      <c r="AF43" s="84"/>
      <c r="AG43" s="24"/>
      <c r="AH43" s="95"/>
      <c r="AI43" s="89"/>
      <c r="AJ43" s="88"/>
      <c r="AK43" s="83"/>
      <c r="AL43" s="24"/>
      <c r="AM43" s="24"/>
      <c r="AN43" s="83"/>
      <c r="AO43" s="83"/>
      <c r="AP43" s="24"/>
      <c r="AQ43" s="95"/>
      <c r="AR43" s="96"/>
      <c r="AS43" s="84"/>
      <c r="AT43" s="84"/>
      <c r="AU43" s="24"/>
      <c r="AV43" s="95"/>
      <c r="AW43" s="96"/>
      <c r="AX43" s="97"/>
      <c r="AY43" s="97"/>
      <c r="AZ43" s="97"/>
      <c r="BA43" s="24"/>
      <c r="BB43" s="9" t="s">
        <v>196</v>
      </c>
      <c r="BC43" s="98" t="s">
        <v>176</v>
      </c>
    </row>
    <row r="44" spans="1:55" ht="15" customHeight="1" x14ac:dyDescent="0.25">
      <c r="A44" s="88">
        <f t="shared" si="9"/>
        <v>42</v>
      </c>
      <c r="B44" s="77" t="s">
        <v>228</v>
      </c>
      <c r="C44" s="9"/>
      <c r="D44" s="78" t="s">
        <v>468</v>
      </c>
      <c r="E44" s="90" t="str">
        <f>_xlfn.IFNA(VLOOKUP($D44,'Route-Details'!$B$2:$X$1048576,'Node Details'!E$1,0),"")</f>
        <v>Airtel</v>
      </c>
      <c r="F44" s="90" t="str">
        <f>_xlfn.IFNA(VLOOKUP($D44,'Route-Details'!$B$2:$X$1048576,'Node Details'!F$1,0),"")</f>
        <v>PLAN OF AXY DARIA</v>
      </c>
      <c r="G44" s="90" t="str">
        <f>_xlfn.IFNA(VLOOKUP($D44,'Route-Details'!$B$2:$X$1048576,'Node Details'!G$1,0),"")</f>
        <v>Chandigarh</v>
      </c>
      <c r="H44" s="90" t="str">
        <f>_xlfn.IFNA(VLOOKUP($D45,'Route-Details'!$B$2:$X$1048576,'Node Details'!H$1,0),"")</f>
        <v>Punjab</v>
      </c>
      <c r="I44" s="90" t="str">
        <f>_xlfn.IFNA(VLOOKUP($D44,'Route-Details'!$B$2:$X$1048576,'Node Details'!I$1,0),"")</f>
        <v>AXY</v>
      </c>
      <c r="J44" s="90" t="str">
        <f>_xlfn.IFNA(VLOOKUP($D44,'Route-Details'!$B$2:$X$1048576,'Node Details'!J$1,0),"")</f>
        <v>AXY</v>
      </c>
      <c r="K44" s="78">
        <v>46112</v>
      </c>
      <c r="L44" s="78">
        <v>46113</v>
      </c>
      <c r="M44" s="91">
        <v>46125</v>
      </c>
      <c r="N44" s="78">
        <v>46112</v>
      </c>
      <c r="Q44" s="88" t="s">
        <v>173</v>
      </c>
      <c r="R44" s="92"/>
      <c r="S44" s="89"/>
      <c r="T44" s="89"/>
      <c r="U44" s="89"/>
      <c r="V44" s="95"/>
      <c r="W44" s="93"/>
      <c r="X44" s="89"/>
      <c r="Y44" s="94"/>
      <c r="Z44" s="92"/>
      <c r="AA44" s="95"/>
      <c r="AB44" s="89"/>
      <c r="AC44" s="93"/>
      <c r="AD44" s="92"/>
      <c r="AE44" s="88"/>
      <c r="AF44" s="84"/>
      <c r="AG44" s="24"/>
      <c r="AH44" s="95"/>
      <c r="AI44" s="89"/>
      <c r="AJ44" s="88"/>
      <c r="AK44" s="83"/>
      <c r="AL44" s="24"/>
      <c r="AM44" s="24"/>
      <c r="AN44" s="83"/>
      <c r="AO44" s="83"/>
      <c r="AP44" s="24"/>
      <c r="AQ44" s="95"/>
      <c r="AR44" s="96"/>
      <c r="AS44" s="84"/>
      <c r="AT44" s="84"/>
      <c r="AU44" s="24"/>
      <c r="AV44" s="95"/>
      <c r="AW44" s="96"/>
      <c r="AX44" s="97"/>
      <c r="AY44" s="97"/>
      <c r="AZ44" s="97"/>
      <c r="BA44" s="24"/>
      <c r="BB44" s="9" t="s">
        <v>196</v>
      </c>
      <c r="BC44" s="98" t="s">
        <v>176</v>
      </c>
    </row>
    <row r="45" spans="1:55" ht="15" customHeight="1" x14ac:dyDescent="0.25">
      <c r="A45" s="88">
        <f t="shared" si="9"/>
        <v>43</v>
      </c>
      <c r="B45" s="77" t="s">
        <v>229</v>
      </c>
      <c r="C45" s="9"/>
      <c r="D45" s="78" t="s">
        <v>486</v>
      </c>
      <c r="E45" s="90" t="str">
        <f>_xlfn.IFNA(VLOOKUP($D45,'Route-Details'!$B$2:$X$1048576,'Node Details'!E$1,0),"")</f>
        <v>Airtel</v>
      </c>
      <c r="F45" s="90" t="str">
        <f>_xlfn.IFNA(VLOOKUP($D45,'Route-Details'!$B$2:$X$1048576,'Node Details'!F$1,0),"")</f>
        <v>PLAN OF AXY DARIA</v>
      </c>
      <c r="G45" s="90" t="str">
        <f>_xlfn.IFNA(VLOOKUP($D45,'Route-Details'!$B$2:$X$1048576,'Node Details'!G$1,0),"")</f>
        <v>Chandigarh</v>
      </c>
      <c r="H45" s="90" t="str">
        <f>_xlfn.IFNA(VLOOKUP($D46,'Route-Details'!$B$2:$X$1048576,'Node Details'!H$1,0),"")</f>
        <v>Punjab</v>
      </c>
      <c r="I45" s="90" t="str">
        <f>_xlfn.IFNA(VLOOKUP($D45,'Route-Details'!$B$2:$X$1048576,'Node Details'!I$1,0),"")</f>
        <v>AXY</v>
      </c>
      <c r="J45" s="90" t="str">
        <f>_xlfn.IFNA(VLOOKUP($D45,'Route-Details'!$B$2:$X$1048576,'Node Details'!J$1,0),"")</f>
        <v>AXY</v>
      </c>
      <c r="K45" s="78">
        <v>46112</v>
      </c>
      <c r="L45" s="78">
        <v>46113</v>
      </c>
      <c r="M45" s="91">
        <v>46125</v>
      </c>
      <c r="N45" s="78">
        <v>46112</v>
      </c>
      <c r="Q45" s="88" t="s">
        <v>173</v>
      </c>
      <c r="R45" s="92"/>
      <c r="S45" s="89"/>
      <c r="T45" s="89"/>
      <c r="U45" s="89"/>
      <c r="V45" s="95"/>
      <c r="W45" s="93"/>
      <c r="X45" s="89"/>
      <c r="Y45" s="94"/>
      <c r="Z45" s="92"/>
      <c r="AA45" s="95"/>
      <c r="AB45" s="89"/>
      <c r="AC45" s="93"/>
      <c r="AD45" s="92"/>
      <c r="AE45" s="88"/>
      <c r="AF45" s="84"/>
      <c r="AG45" s="24"/>
      <c r="AH45" s="95"/>
      <c r="AI45" s="89"/>
      <c r="AJ45" s="88"/>
      <c r="AK45" s="83"/>
      <c r="AL45" s="24"/>
      <c r="AM45" s="24"/>
      <c r="AN45" s="83"/>
      <c r="AO45" s="83"/>
      <c r="AP45" s="24"/>
      <c r="AQ45" s="95"/>
      <c r="AR45" s="96"/>
      <c r="AS45" s="84"/>
      <c r="AT45" s="84"/>
      <c r="AU45" s="24"/>
      <c r="AV45" s="95"/>
      <c r="AW45" s="96"/>
      <c r="AX45" s="97"/>
      <c r="AY45" s="97"/>
      <c r="AZ45" s="97"/>
      <c r="BA45" s="24"/>
      <c r="BB45" s="9" t="s">
        <v>197</v>
      </c>
      <c r="BC45" s="98" t="s">
        <v>176</v>
      </c>
    </row>
    <row r="46" spans="1:55" ht="15" customHeight="1" x14ac:dyDescent="0.25">
      <c r="A46" s="88">
        <f t="shared" si="9"/>
        <v>44</v>
      </c>
      <c r="B46" s="77" t="s">
        <v>230</v>
      </c>
      <c r="C46" s="9"/>
      <c r="D46" s="78" t="s">
        <v>466</v>
      </c>
      <c r="E46" s="90" t="str">
        <f>_xlfn.IFNA(VLOOKUP($D46,'Route-Details'!$B$2:$X$1048576,'Node Details'!E$1,0),"")</f>
        <v>Airtel</v>
      </c>
      <c r="F46" s="90" t="str">
        <f>_xlfn.IFNA(VLOOKUP($D46,'Route-Details'!$B$2:$X$1048576,'Node Details'!F$1,0),"")</f>
        <v>PLAN OF AXY DARIA</v>
      </c>
      <c r="G46" s="90" t="str">
        <f>_xlfn.IFNA(VLOOKUP($D46,'Route-Details'!$B$2:$X$1048576,'Node Details'!G$1,0),"")</f>
        <v>Chandigarh</v>
      </c>
      <c r="H46" s="90" t="str">
        <f>_xlfn.IFNA(VLOOKUP($D47,'Route-Details'!$B$2:$X$1048576,'Node Details'!H$1,0),"")</f>
        <v>Punjab</v>
      </c>
      <c r="I46" s="90" t="str">
        <f>_xlfn.IFNA(VLOOKUP($D46,'Route-Details'!$B$2:$X$1048576,'Node Details'!I$1,0),"")</f>
        <v>AXY</v>
      </c>
      <c r="J46" s="90" t="str">
        <f>_xlfn.IFNA(VLOOKUP($D46,'Route-Details'!$B$2:$X$1048576,'Node Details'!J$1,0),"")</f>
        <v>AXY</v>
      </c>
      <c r="K46" s="78">
        <v>46112</v>
      </c>
      <c r="L46" s="78">
        <v>46113</v>
      </c>
      <c r="M46" s="91">
        <v>46125</v>
      </c>
      <c r="N46" s="78">
        <v>46112</v>
      </c>
      <c r="Q46" s="88" t="s">
        <v>173</v>
      </c>
      <c r="R46" s="92"/>
      <c r="S46" s="89"/>
      <c r="T46" s="89"/>
      <c r="U46" s="89"/>
      <c r="V46" s="95"/>
      <c r="W46" s="93"/>
      <c r="X46" s="89"/>
      <c r="Y46" s="94"/>
      <c r="Z46" s="92"/>
      <c r="AA46" s="95"/>
      <c r="AB46" s="89"/>
      <c r="AC46" s="93"/>
      <c r="AD46" s="92"/>
      <c r="AE46" s="88"/>
      <c r="AF46" s="84"/>
      <c r="AG46" s="24"/>
      <c r="AH46" s="95"/>
      <c r="AI46" s="89"/>
      <c r="AJ46" s="88"/>
      <c r="AK46" s="83"/>
      <c r="AL46" s="24"/>
      <c r="AM46" s="24"/>
      <c r="AN46" s="83"/>
      <c r="AO46" s="83"/>
      <c r="AP46" s="24"/>
      <c r="AQ46" s="95"/>
      <c r="AR46" s="96"/>
      <c r="AS46" s="84"/>
      <c r="AT46" s="84"/>
      <c r="AU46" s="24"/>
      <c r="AV46" s="95"/>
      <c r="AW46" s="96"/>
      <c r="AX46" s="97"/>
      <c r="AY46" s="97"/>
      <c r="AZ46" s="97"/>
      <c r="BA46" s="24"/>
      <c r="BB46" s="9" t="s">
        <v>194</v>
      </c>
      <c r="BC46" s="98" t="s">
        <v>176</v>
      </c>
    </row>
    <row r="47" spans="1:55" ht="15" customHeight="1" x14ac:dyDescent="0.25">
      <c r="A47" s="88">
        <f t="shared" si="9"/>
        <v>45</v>
      </c>
      <c r="B47" s="77" t="s">
        <v>231</v>
      </c>
      <c r="C47" s="9"/>
      <c r="D47" s="78" t="s">
        <v>487</v>
      </c>
      <c r="E47" s="90" t="str">
        <f>_xlfn.IFNA(VLOOKUP($D47,'Route-Details'!$B$2:$X$1048576,'Node Details'!E$1,0),"")</f>
        <v>Airtel</v>
      </c>
      <c r="F47" s="90" t="str">
        <f>_xlfn.IFNA(VLOOKUP($D47,'Route-Details'!$B$2:$X$1048576,'Node Details'!F$1,0),"")</f>
        <v>PLAN OF AXY DARIA</v>
      </c>
      <c r="G47" s="90" t="str">
        <f>_xlfn.IFNA(VLOOKUP($D47,'Route-Details'!$B$2:$X$1048576,'Node Details'!G$1,0),"")</f>
        <v>Chandigarh</v>
      </c>
      <c r="H47" s="90" t="str">
        <f>_xlfn.IFNA(VLOOKUP($D48,'Route-Details'!$B$2:$X$1048576,'Node Details'!H$1,0),"")</f>
        <v>Punjab</v>
      </c>
      <c r="I47" s="90" t="str">
        <f>_xlfn.IFNA(VLOOKUP($D47,'Route-Details'!$B$2:$X$1048576,'Node Details'!I$1,0),"")</f>
        <v>AXY</v>
      </c>
      <c r="J47" s="90" t="str">
        <f>_xlfn.IFNA(VLOOKUP($D47,'Route-Details'!$B$2:$X$1048576,'Node Details'!J$1,0),"")</f>
        <v>AXY</v>
      </c>
      <c r="K47" s="78">
        <v>46112</v>
      </c>
      <c r="L47" s="78">
        <v>46113</v>
      </c>
      <c r="M47" s="91">
        <v>46125</v>
      </c>
      <c r="N47" s="78">
        <v>46112</v>
      </c>
      <c r="Q47" s="88" t="s">
        <v>173</v>
      </c>
      <c r="R47" s="92"/>
      <c r="S47" s="89"/>
      <c r="T47" s="89"/>
      <c r="U47" s="89"/>
      <c r="V47" s="95"/>
      <c r="W47" s="93"/>
      <c r="X47" s="89"/>
      <c r="Y47" s="94"/>
      <c r="Z47" s="92"/>
      <c r="AA47" s="95"/>
      <c r="AB47" s="89"/>
      <c r="AC47" s="93"/>
      <c r="AD47" s="92"/>
      <c r="AE47" s="88"/>
      <c r="AF47" s="84"/>
      <c r="AG47" s="24"/>
      <c r="AH47" s="95"/>
      <c r="AI47" s="89"/>
      <c r="AJ47" s="88"/>
      <c r="AK47" s="83"/>
      <c r="AL47" s="24"/>
      <c r="AM47" s="24"/>
      <c r="AN47" s="83"/>
      <c r="AO47" s="83"/>
      <c r="AP47" s="24"/>
      <c r="AQ47" s="95"/>
      <c r="AR47" s="96"/>
      <c r="AS47" s="84"/>
      <c r="AT47" s="84"/>
      <c r="AU47" s="24"/>
      <c r="AV47" s="95"/>
      <c r="AW47" s="96"/>
      <c r="AX47" s="97"/>
      <c r="AY47" s="97"/>
      <c r="AZ47" s="97"/>
      <c r="BA47" s="24"/>
      <c r="BB47" s="9" t="s">
        <v>198</v>
      </c>
      <c r="BC47" s="98" t="s">
        <v>176</v>
      </c>
    </row>
    <row r="48" spans="1:55" ht="15" customHeight="1" x14ac:dyDescent="0.25">
      <c r="A48" s="88">
        <f t="shared" si="9"/>
        <v>46</v>
      </c>
      <c r="B48" s="77" t="s">
        <v>232</v>
      </c>
      <c r="C48" s="9"/>
      <c r="D48" s="78" t="s">
        <v>488</v>
      </c>
      <c r="E48" s="90" t="str">
        <f>_xlfn.IFNA(VLOOKUP($D48,'Route-Details'!$B$2:$X$1048576,'Node Details'!E$1,0),"")</f>
        <v>Airtel</v>
      </c>
      <c r="F48" s="90" t="str">
        <f>_xlfn.IFNA(VLOOKUP($D48,'Route-Details'!$B$2:$X$1048576,'Node Details'!F$1,0),"")</f>
        <v>PLAN OF AXY DARIA</v>
      </c>
      <c r="G48" s="90" t="str">
        <f>_xlfn.IFNA(VLOOKUP($D48,'Route-Details'!$B$2:$X$1048576,'Node Details'!G$1,0),"")</f>
        <v>Chandigarh</v>
      </c>
      <c r="H48" s="90" t="str">
        <f>_xlfn.IFNA(VLOOKUP($D49,'Route-Details'!$B$2:$X$1048576,'Node Details'!H$1,0),"")</f>
        <v>Punjab</v>
      </c>
      <c r="I48" s="90" t="str">
        <f>_xlfn.IFNA(VLOOKUP($D48,'Route-Details'!$B$2:$X$1048576,'Node Details'!I$1,0),"")</f>
        <v>AXY</v>
      </c>
      <c r="J48" s="90" t="str">
        <f>_xlfn.IFNA(VLOOKUP($D48,'Route-Details'!$B$2:$X$1048576,'Node Details'!J$1,0),"")</f>
        <v>AXY</v>
      </c>
      <c r="K48" s="78">
        <v>46112</v>
      </c>
      <c r="L48" s="78">
        <v>46113</v>
      </c>
      <c r="M48" s="91">
        <v>46125</v>
      </c>
      <c r="N48" s="78">
        <v>46112</v>
      </c>
      <c r="Q48" s="88" t="s">
        <v>173</v>
      </c>
      <c r="R48" s="92"/>
      <c r="S48" s="89"/>
      <c r="T48" s="89"/>
      <c r="U48" s="89"/>
      <c r="V48" s="95"/>
      <c r="W48" s="93"/>
      <c r="X48" s="89"/>
      <c r="Y48" s="94"/>
      <c r="Z48" s="92"/>
      <c r="AA48" s="95"/>
      <c r="AB48" s="89"/>
      <c r="AC48" s="93"/>
      <c r="AD48" s="92"/>
      <c r="AE48" s="88"/>
      <c r="AF48" s="84"/>
      <c r="AG48" s="24"/>
      <c r="AH48" s="95"/>
      <c r="AI48" s="89"/>
      <c r="AJ48" s="88"/>
      <c r="AK48" s="83"/>
      <c r="AL48" s="24"/>
      <c r="AM48" s="24"/>
      <c r="AN48" s="83"/>
      <c r="AO48" s="83"/>
      <c r="AP48" s="24"/>
      <c r="AQ48" s="95"/>
      <c r="AR48" s="96"/>
      <c r="AS48" s="84"/>
      <c r="AT48" s="84"/>
      <c r="AU48" s="24"/>
      <c r="AV48" s="95"/>
      <c r="AW48" s="96"/>
      <c r="AX48" s="97"/>
      <c r="AY48" s="97"/>
      <c r="AZ48" s="97"/>
      <c r="BA48" s="24"/>
      <c r="BB48" s="9" t="s">
        <v>199</v>
      </c>
      <c r="BC48" s="98" t="s">
        <v>176</v>
      </c>
    </row>
    <row r="49" spans="1:55" ht="15" customHeight="1" x14ac:dyDescent="0.25">
      <c r="A49" s="88">
        <f t="shared" si="9"/>
        <v>47</v>
      </c>
      <c r="B49" s="77" t="s">
        <v>233</v>
      </c>
      <c r="C49" s="9"/>
      <c r="D49" s="78" t="s">
        <v>488</v>
      </c>
      <c r="E49" s="90" t="str">
        <f>_xlfn.IFNA(VLOOKUP($D49,'Route-Details'!$B$2:$X$1048576,'Node Details'!E$1,0),"")</f>
        <v>Airtel</v>
      </c>
      <c r="F49" s="90" t="str">
        <f>_xlfn.IFNA(VLOOKUP($D49,'Route-Details'!$B$2:$X$1048576,'Node Details'!F$1,0),"")</f>
        <v>PLAN OF AXY DARIA</v>
      </c>
      <c r="G49" s="90" t="str">
        <f>_xlfn.IFNA(VLOOKUP($D49,'Route-Details'!$B$2:$X$1048576,'Node Details'!G$1,0),"")</f>
        <v>Chandigarh</v>
      </c>
      <c r="H49" s="90" t="str">
        <f>_xlfn.IFNA(VLOOKUP($D50,'Route-Details'!$B$2:$X$1048576,'Node Details'!H$1,0),"")</f>
        <v>Punjab</v>
      </c>
      <c r="I49" s="90" t="str">
        <f>_xlfn.IFNA(VLOOKUP($D49,'Route-Details'!$B$2:$X$1048576,'Node Details'!I$1,0),"")</f>
        <v>AXY</v>
      </c>
      <c r="J49" s="90" t="str">
        <f>_xlfn.IFNA(VLOOKUP($D49,'Route-Details'!$B$2:$X$1048576,'Node Details'!J$1,0),"")</f>
        <v>AXY</v>
      </c>
      <c r="K49" s="78">
        <v>46112</v>
      </c>
      <c r="L49" s="78">
        <v>46113</v>
      </c>
      <c r="M49" s="91">
        <v>46125</v>
      </c>
      <c r="N49" s="78">
        <v>46112</v>
      </c>
      <c r="Q49" s="88" t="s">
        <v>173</v>
      </c>
      <c r="R49" s="92"/>
      <c r="S49" s="89"/>
      <c r="T49" s="89"/>
      <c r="U49" s="89"/>
      <c r="V49" s="95"/>
      <c r="W49" s="93"/>
      <c r="X49" s="89"/>
      <c r="Y49" s="94"/>
      <c r="Z49" s="92"/>
      <c r="AA49" s="95"/>
      <c r="AB49" s="89"/>
      <c r="AC49" s="93"/>
      <c r="AD49" s="92"/>
      <c r="AE49" s="88"/>
      <c r="AF49" s="84"/>
      <c r="AG49" s="24"/>
      <c r="AH49" s="95"/>
      <c r="AI49" s="89"/>
      <c r="AJ49" s="88"/>
      <c r="AK49" s="83"/>
      <c r="AL49" s="24"/>
      <c r="AM49" s="24"/>
      <c r="AN49" s="83"/>
      <c r="AO49" s="83"/>
      <c r="AP49" s="24"/>
      <c r="AQ49" s="95"/>
      <c r="AR49" s="96"/>
      <c r="AS49" s="84"/>
      <c r="AT49" s="84"/>
      <c r="AU49" s="24"/>
      <c r="AV49" s="95"/>
      <c r="AW49" s="96"/>
      <c r="AX49" s="97"/>
      <c r="AY49" s="97"/>
      <c r="AZ49" s="97"/>
      <c r="BA49" s="24"/>
      <c r="BB49" s="9" t="s">
        <v>199</v>
      </c>
      <c r="BC49" s="98" t="s">
        <v>176</v>
      </c>
    </row>
    <row r="50" spans="1:55" ht="15" customHeight="1" x14ac:dyDescent="0.25">
      <c r="A50" s="88">
        <f t="shared" si="9"/>
        <v>48</v>
      </c>
      <c r="B50" s="77" t="s">
        <v>234</v>
      </c>
      <c r="C50" s="9"/>
      <c r="D50" s="78" t="s">
        <v>457</v>
      </c>
      <c r="E50" s="90" t="str">
        <f>_xlfn.IFNA(VLOOKUP($D50,'Route-Details'!$B$2:$X$1048576,'Node Details'!E$1,0),"")</f>
        <v>Airtel</v>
      </c>
      <c r="F50" s="90" t="str">
        <f>_xlfn.IFNA(VLOOKUP($D50,'Route-Details'!$B$2:$X$1048576,'Node Details'!F$1,0),"")</f>
        <v>PLAN OF AXY DARIA</v>
      </c>
      <c r="G50" s="90" t="str">
        <f>_xlfn.IFNA(VLOOKUP($D50,'Route-Details'!$B$2:$X$1048576,'Node Details'!G$1,0),"")</f>
        <v>Chandigarh</v>
      </c>
      <c r="H50" s="90" t="str">
        <f>_xlfn.IFNA(VLOOKUP($D51,'Route-Details'!$B$2:$X$1048576,'Node Details'!H$1,0),"")</f>
        <v>Punjab</v>
      </c>
      <c r="I50" s="90" t="str">
        <f>_xlfn.IFNA(VLOOKUP($D50,'Route-Details'!$B$2:$X$1048576,'Node Details'!I$1,0),"")</f>
        <v>AXY</v>
      </c>
      <c r="J50" s="90" t="str">
        <f>_xlfn.IFNA(VLOOKUP($D50,'Route-Details'!$B$2:$X$1048576,'Node Details'!J$1,0),"")</f>
        <v>AXY</v>
      </c>
      <c r="K50" s="78">
        <v>46112</v>
      </c>
      <c r="L50" s="78">
        <v>46113</v>
      </c>
      <c r="M50" s="91">
        <v>46125</v>
      </c>
      <c r="N50" s="78">
        <v>46112</v>
      </c>
      <c r="Q50" s="88" t="s">
        <v>173</v>
      </c>
      <c r="R50" s="92"/>
      <c r="S50" s="89"/>
      <c r="T50" s="89"/>
      <c r="U50" s="89"/>
      <c r="V50" s="95"/>
      <c r="W50" s="93"/>
      <c r="X50" s="89"/>
      <c r="Y50" s="94"/>
      <c r="Z50" s="92"/>
      <c r="AA50" s="95"/>
      <c r="AB50" s="89"/>
      <c r="AC50" s="93"/>
      <c r="AD50" s="92"/>
      <c r="AE50" s="88"/>
      <c r="AF50" s="84"/>
      <c r="AG50" s="24"/>
      <c r="AH50" s="95"/>
      <c r="AI50" s="89"/>
      <c r="AJ50" s="88"/>
      <c r="AK50" s="83"/>
      <c r="AL50" s="24"/>
      <c r="AM50" s="24"/>
      <c r="AN50" s="83"/>
      <c r="AO50" s="83"/>
      <c r="AP50" s="24"/>
      <c r="AQ50" s="95"/>
      <c r="AR50" s="96"/>
      <c r="AS50" s="84"/>
      <c r="AT50" s="84"/>
      <c r="AU50" s="24"/>
      <c r="AV50" s="95"/>
      <c r="AW50" s="96"/>
      <c r="AX50" s="97"/>
      <c r="AY50" s="97"/>
      <c r="AZ50" s="97"/>
      <c r="BA50" s="24"/>
      <c r="BB50" s="9" t="s">
        <v>200</v>
      </c>
      <c r="BC50" s="98" t="s">
        <v>176</v>
      </c>
    </row>
    <row r="51" spans="1:55" ht="15" customHeight="1" x14ac:dyDescent="0.25">
      <c r="A51" s="88">
        <f t="shared" si="9"/>
        <v>49</v>
      </c>
      <c r="B51" s="77" t="s">
        <v>235</v>
      </c>
      <c r="C51" s="9"/>
      <c r="D51" s="78" t="s">
        <v>474</v>
      </c>
      <c r="E51" s="90" t="str">
        <f>_xlfn.IFNA(VLOOKUP($D51,'Route-Details'!$B$2:$X$1048576,'Node Details'!E$1,0),"")</f>
        <v>Airtel</v>
      </c>
      <c r="F51" s="90" t="str">
        <f>_xlfn.IFNA(VLOOKUP($D51,'Route-Details'!$B$2:$X$1048576,'Node Details'!F$1,0),"")</f>
        <v>PLAN OF AXY DARIA</v>
      </c>
      <c r="G51" s="90" t="str">
        <f>_xlfn.IFNA(VLOOKUP($D51,'Route-Details'!$B$2:$X$1048576,'Node Details'!G$1,0),"")</f>
        <v>Chandigarh</v>
      </c>
      <c r="H51" s="90" t="str">
        <f>_xlfn.IFNA(VLOOKUP($D52,'Route-Details'!$B$2:$X$1048576,'Node Details'!H$1,0),"")</f>
        <v>Punjab</v>
      </c>
      <c r="I51" s="90" t="str">
        <f>_xlfn.IFNA(VLOOKUP($D51,'Route-Details'!$B$2:$X$1048576,'Node Details'!I$1,0),"")</f>
        <v>AXY</v>
      </c>
      <c r="J51" s="90" t="str">
        <f>_xlfn.IFNA(VLOOKUP($D51,'Route-Details'!$B$2:$X$1048576,'Node Details'!J$1,0),"")</f>
        <v>AXY</v>
      </c>
      <c r="K51" s="78">
        <v>46112</v>
      </c>
      <c r="L51" s="78">
        <v>46113</v>
      </c>
      <c r="M51" s="91">
        <v>46125</v>
      </c>
      <c r="N51" s="78">
        <v>46112</v>
      </c>
      <c r="Q51" s="88" t="s">
        <v>173</v>
      </c>
      <c r="R51" s="92"/>
      <c r="S51" s="89"/>
      <c r="T51" s="89"/>
      <c r="U51" s="89"/>
      <c r="V51" s="95"/>
      <c r="W51" s="93"/>
      <c r="X51" s="89"/>
      <c r="Y51" s="94"/>
      <c r="Z51" s="92"/>
      <c r="AA51" s="95"/>
      <c r="AB51" s="89"/>
      <c r="AC51" s="93"/>
      <c r="AD51" s="92"/>
      <c r="AE51" s="88"/>
      <c r="AF51" s="84"/>
      <c r="AG51" s="24"/>
      <c r="AH51" s="95"/>
      <c r="AI51" s="89"/>
      <c r="AJ51" s="88"/>
      <c r="AK51" s="83"/>
      <c r="AL51" s="24"/>
      <c r="AM51" s="24"/>
      <c r="AN51" s="83"/>
      <c r="AO51" s="83"/>
      <c r="AP51" s="24"/>
      <c r="AQ51" s="95"/>
      <c r="AR51" s="96"/>
      <c r="AS51" s="84"/>
      <c r="AT51" s="84"/>
      <c r="AU51" s="24"/>
      <c r="AV51" s="95"/>
      <c r="AW51" s="96"/>
      <c r="AX51" s="97"/>
      <c r="AY51" s="97"/>
      <c r="AZ51" s="97"/>
      <c r="BA51" s="24"/>
      <c r="BB51" s="9" t="s">
        <v>201</v>
      </c>
      <c r="BC51" s="98" t="s">
        <v>176</v>
      </c>
    </row>
    <row r="52" spans="1:55" ht="15" customHeight="1" x14ac:dyDescent="0.25">
      <c r="A52" s="88">
        <f t="shared" si="9"/>
        <v>50</v>
      </c>
      <c r="B52" s="77" t="s">
        <v>236</v>
      </c>
      <c r="C52" s="9"/>
      <c r="D52" s="78" t="s">
        <v>474</v>
      </c>
      <c r="E52" s="90" t="str">
        <f>_xlfn.IFNA(VLOOKUP($D52,'Route-Details'!$B$2:$X$1048576,'Node Details'!E$1,0),"")</f>
        <v>Airtel</v>
      </c>
      <c r="F52" s="90" t="str">
        <f>_xlfn.IFNA(VLOOKUP($D52,'Route-Details'!$B$2:$X$1048576,'Node Details'!F$1,0),"")</f>
        <v>PLAN OF AXY DARIA</v>
      </c>
      <c r="G52" s="90" t="str">
        <f>_xlfn.IFNA(VLOOKUP($D52,'Route-Details'!$B$2:$X$1048576,'Node Details'!G$1,0),"")</f>
        <v>Chandigarh</v>
      </c>
      <c r="H52" s="90" t="str">
        <f>_xlfn.IFNA(VLOOKUP($D53,'Route-Details'!$B$2:$X$1048576,'Node Details'!H$1,0),"")</f>
        <v>Punjab</v>
      </c>
      <c r="I52" s="90" t="str">
        <f>_xlfn.IFNA(VLOOKUP($D52,'Route-Details'!$B$2:$X$1048576,'Node Details'!I$1,0),"")</f>
        <v>AXY</v>
      </c>
      <c r="J52" s="90" t="str">
        <f>_xlfn.IFNA(VLOOKUP($D52,'Route-Details'!$B$2:$X$1048576,'Node Details'!J$1,0),"")</f>
        <v>AXY</v>
      </c>
      <c r="K52" s="78">
        <v>46112</v>
      </c>
      <c r="L52" s="78">
        <v>46113</v>
      </c>
      <c r="M52" s="91">
        <v>46125</v>
      </c>
      <c r="N52" s="78">
        <v>46112</v>
      </c>
      <c r="Q52" s="88" t="s">
        <v>173</v>
      </c>
      <c r="R52" s="92"/>
      <c r="S52" s="89"/>
      <c r="T52" s="89"/>
      <c r="U52" s="89"/>
      <c r="V52" s="95"/>
      <c r="W52" s="93"/>
      <c r="X52" s="89"/>
      <c r="Y52" s="94"/>
      <c r="Z52" s="92"/>
      <c r="AA52" s="95"/>
      <c r="AB52" s="89"/>
      <c r="AC52" s="93"/>
      <c r="AD52" s="92"/>
      <c r="AE52" s="88"/>
      <c r="AF52" s="84"/>
      <c r="AG52" s="24"/>
      <c r="AH52" s="95"/>
      <c r="AI52" s="89"/>
      <c r="AJ52" s="88"/>
      <c r="AK52" s="83"/>
      <c r="AL52" s="24"/>
      <c r="AM52" s="24"/>
      <c r="AN52" s="83"/>
      <c r="AO52" s="83"/>
      <c r="AP52" s="24"/>
      <c r="AQ52" s="95"/>
      <c r="AR52" s="96"/>
      <c r="AS52" s="84"/>
      <c r="AT52" s="84"/>
      <c r="AU52" s="24"/>
      <c r="AV52" s="95"/>
      <c r="AW52" s="96"/>
      <c r="AX52" s="97"/>
      <c r="AY52" s="97"/>
      <c r="AZ52" s="97"/>
      <c r="BA52" s="24"/>
      <c r="BB52" s="9" t="s">
        <v>201</v>
      </c>
      <c r="BC52" s="98" t="s">
        <v>176</v>
      </c>
    </row>
    <row r="53" spans="1:55" ht="15" customHeight="1" x14ac:dyDescent="0.25">
      <c r="A53" s="88">
        <f t="shared" si="9"/>
        <v>51</v>
      </c>
      <c r="B53" s="77" t="s">
        <v>237</v>
      </c>
      <c r="C53" s="9"/>
      <c r="D53" s="78" t="s">
        <v>458</v>
      </c>
      <c r="E53" s="90" t="str">
        <f>_xlfn.IFNA(VLOOKUP($D53,'Route-Details'!$B$2:$X$1048576,'Node Details'!E$1,0),"")</f>
        <v>Airtel</v>
      </c>
      <c r="F53" s="90" t="str">
        <f>_xlfn.IFNA(VLOOKUP($D53,'Route-Details'!$B$2:$X$1048576,'Node Details'!F$1,0),"")</f>
        <v>PLAN OF AXY DARIA</v>
      </c>
      <c r="G53" s="90" t="str">
        <f>_xlfn.IFNA(VLOOKUP($D53,'Route-Details'!$B$2:$X$1048576,'Node Details'!G$1,0),"")</f>
        <v>Chandigarh</v>
      </c>
      <c r="H53" s="90" t="str">
        <f>_xlfn.IFNA(VLOOKUP($D54,'Route-Details'!$B$2:$X$1048576,'Node Details'!H$1,0),"")</f>
        <v>Punjab</v>
      </c>
      <c r="I53" s="90" t="str">
        <f>_xlfn.IFNA(VLOOKUP($D53,'Route-Details'!$B$2:$X$1048576,'Node Details'!I$1,0),"")</f>
        <v>AXY</v>
      </c>
      <c r="J53" s="90" t="str">
        <f>_xlfn.IFNA(VLOOKUP($D53,'Route-Details'!$B$2:$X$1048576,'Node Details'!J$1,0),"")</f>
        <v>AXY</v>
      </c>
      <c r="K53" s="78">
        <v>46112</v>
      </c>
      <c r="L53" s="78">
        <v>46113</v>
      </c>
      <c r="M53" s="91">
        <v>46125</v>
      </c>
      <c r="N53" s="78">
        <v>46112</v>
      </c>
      <c r="Q53" s="88" t="s">
        <v>173</v>
      </c>
      <c r="R53" s="92"/>
      <c r="S53" s="89"/>
      <c r="T53" s="89"/>
      <c r="U53" s="89"/>
      <c r="V53" s="95"/>
      <c r="W53" s="93"/>
      <c r="X53" s="89"/>
      <c r="Y53" s="94"/>
      <c r="Z53" s="92"/>
      <c r="AA53" s="95"/>
      <c r="AB53" s="89"/>
      <c r="AC53" s="93"/>
      <c r="AD53" s="92"/>
      <c r="AE53" s="88"/>
      <c r="AF53" s="84"/>
      <c r="AG53" s="24"/>
      <c r="AH53" s="95"/>
      <c r="AI53" s="89"/>
      <c r="AJ53" s="88"/>
      <c r="AK53" s="83"/>
      <c r="AL53" s="24"/>
      <c r="AM53" s="24"/>
      <c r="AN53" s="83"/>
      <c r="AO53" s="83"/>
      <c r="AP53" s="24"/>
      <c r="AQ53" s="95"/>
      <c r="AR53" s="96"/>
      <c r="AS53" s="84"/>
      <c r="AT53" s="84"/>
      <c r="AU53" s="24"/>
      <c r="AV53" s="95"/>
      <c r="AW53" s="96"/>
      <c r="AX53" s="97"/>
      <c r="AY53" s="97"/>
      <c r="AZ53" s="97"/>
      <c r="BA53" s="24"/>
      <c r="BB53" s="9" t="s">
        <v>202</v>
      </c>
      <c r="BC53" s="98" t="s">
        <v>176</v>
      </c>
    </row>
    <row r="54" spans="1:55" ht="15" customHeight="1" x14ac:dyDescent="0.25">
      <c r="A54" s="88">
        <f t="shared" si="9"/>
        <v>52</v>
      </c>
      <c r="B54" s="77" t="s">
        <v>238</v>
      </c>
      <c r="C54" s="9"/>
      <c r="D54" s="78" t="s">
        <v>459</v>
      </c>
      <c r="E54" s="90" t="str">
        <f>_xlfn.IFNA(VLOOKUP($D54,'Route-Details'!$B$2:$X$1048576,'Node Details'!E$1,0),"")</f>
        <v>Airtel</v>
      </c>
      <c r="F54" s="90" t="str">
        <f>_xlfn.IFNA(VLOOKUP($D54,'Route-Details'!$B$2:$X$1048576,'Node Details'!F$1,0),"")</f>
        <v>PLAN OF AXY DARIA</v>
      </c>
      <c r="G54" s="90" t="str">
        <f>_xlfn.IFNA(VLOOKUP($D54,'Route-Details'!$B$2:$X$1048576,'Node Details'!G$1,0),"")</f>
        <v>Chandigarh</v>
      </c>
      <c r="H54" s="90" t="str">
        <f>_xlfn.IFNA(VLOOKUP($D55,'Route-Details'!$B$2:$X$1048576,'Node Details'!H$1,0),"")</f>
        <v>Punjab</v>
      </c>
      <c r="I54" s="90" t="str">
        <f>_xlfn.IFNA(VLOOKUP($D54,'Route-Details'!$B$2:$X$1048576,'Node Details'!I$1,0),"")</f>
        <v>AXY</v>
      </c>
      <c r="J54" s="90" t="str">
        <f>_xlfn.IFNA(VLOOKUP($D54,'Route-Details'!$B$2:$X$1048576,'Node Details'!J$1,0),"")</f>
        <v>AXY</v>
      </c>
      <c r="K54" s="78">
        <v>46112</v>
      </c>
      <c r="L54" s="78">
        <v>46113</v>
      </c>
      <c r="M54" s="91">
        <v>46125</v>
      </c>
      <c r="N54" s="78">
        <v>46112</v>
      </c>
      <c r="Q54" s="88" t="s">
        <v>173</v>
      </c>
      <c r="R54" s="92"/>
      <c r="S54" s="89"/>
      <c r="T54" s="89"/>
      <c r="U54" s="89"/>
      <c r="V54" s="95"/>
      <c r="W54" s="93"/>
      <c r="X54" s="89"/>
      <c r="Y54" s="94"/>
      <c r="Z54" s="92"/>
      <c r="AA54" s="95"/>
      <c r="AB54" s="89"/>
      <c r="AC54" s="93"/>
      <c r="AD54" s="92"/>
      <c r="AE54" s="88"/>
      <c r="AF54" s="84"/>
      <c r="AG54" s="24"/>
      <c r="AH54" s="95"/>
      <c r="AI54" s="89"/>
      <c r="AJ54" s="88"/>
      <c r="AK54" s="83"/>
      <c r="AL54" s="24"/>
      <c r="AM54" s="24"/>
      <c r="AN54" s="83"/>
      <c r="AO54" s="83"/>
      <c r="AP54" s="24"/>
      <c r="AQ54" s="95"/>
      <c r="AR54" s="96"/>
      <c r="AS54" s="84"/>
      <c r="AT54" s="84"/>
      <c r="AU54" s="24"/>
      <c r="AV54" s="95"/>
      <c r="AW54" s="96"/>
      <c r="AX54" s="97"/>
      <c r="AY54" s="97"/>
      <c r="AZ54" s="97"/>
      <c r="BA54" s="24"/>
      <c r="BB54" s="9" t="s">
        <v>203</v>
      </c>
      <c r="BC54" s="98" t="s">
        <v>176</v>
      </c>
    </row>
    <row r="55" spans="1:55" ht="15" customHeight="1" x14ac:dyDescent="0.25">
      <c r="A55" s="88">
        <f t="shared" si="9"/>
        <v>53</v>
      </c>
      <c r="B55" s="77" t="s">
        <v>239</v>
      </c>
      <c r="C55" s="9"/>
      <c r="D55" s="78" t="s">
        <v>459</v>
      </c>
      <c r="E55" s="90" t="str">
        <f>_xlfn.IFNA(VLOOKUP($D55,'Route-Details'!$B$2:$X$1048576,'Node Details'!E$1,0),"")</f>
        <v>Airtel</v>
      </c>
      <c r="F55" s="90" t="str">
        <f>_xlfn.IFNA(VLOOKUP($D55,'Route-Details'!$B$2:$X$1048576,'Node Details'!F$1,0),"")</f>
        <v>PLAN OF AXY DARIA</v>
      </c>
      <c r="G55" s="90" t="str">
        <f>_xlfn.IFNA(VLOOKUP($D55,'Route-Details'!$B$2:$X$1048576,'Node Details'!G$1,0),"")</f>
        <v>Chandigarh</v>
      </c>
      <c r="H55" s="90" t="str">
        <f>_xlfn.IFNA(VLOOKUP($D56,'Route-Details'!$B$2:$X$1048576,'Node Details'!H$1,0),"")</f>
        <v>Punjab</v>
      </c>
      <c r="I55" s="90" t="str">
        <f>_xlfn.IFNA(VLOOKUP($D55,'Route-Details'!$B$2:$X$1048576,'Node Details'!I$1,0),"")</f>
        <v>AXY</v>
      </c>
      <c r="J55" s="90" t="str">
        <f>_xlfn.IFNA(VLOOKUP($D55,'Route-Details'!$B$2:$X$1048576,'Node Details'!J$1,0),"")</f>
        <v>AXY</v>
      </c>
      <c r="K55" s="78">
        <v>46112</v>
      </c>
      <c r="L55" s="78">
        <v>46113</v>
      </c>
      <c r="M55" s="91">
        <v>46125</v>
      </c>
      <c r="N55" s="78">
        <v>46112</v>
      </c>
      <c r="Q55" s="88" t="s">
        <v>173</v>
      </c>
      <c r="R55" s="92"/>
      <c r="S55" s="89"/>
      <c r="T55" s="89"/>
      <c r="U55" s="89"/>
      <c r="V55" s="95"/>
      <c r="W55" s="93"/>
      <c r="X55" s="89"/>
      <c r="Y55" s="94"/>
      <c r="Z55" s="92"/>
      <c r="AA55" s="95"/>
      <c r="AB55" s="89"/>
      <c r="AC55" s="93"/>
      <c r="AD55" s="92"/>
      <c r="AE55" s="88"/>
      <c r="AF55" s="84"/>
      <c r="AG55" s="24"/>
      <c r="AH55" s="95"/>
      <c r="AI55" s="89"/>
      <c r="AJ55" s="88"/>
      <c r="AK55" s="83"/>
      <c r="AL55" s="24"/>
      <c r="AM55" s="24"/>
      <c r="AN55" s="83"/>
      <c r="AO55" s="83"/>
      <c r="AP55" s="24"/>
      <c r="AQ55" s="95"/>
      <c r="AR55" s="96"/>
      <c r="AS55" s="84"/>
      <c r="AT55" s="84"/>
      <c r="AU55" s="24"/>
      <c r="AV55" s="95"/>
      <c r="AW55" s="96"/>
      <c r="AX55" s="97"/>
      <c r="AY55" s="97"/>
      <c r="AZ55" s="97"/>
      <c r="BA55" s="24"/>
      <c r="BB55" s="9" t="s">
        <v>203</v>
      </c>
      <c r="BC55" s="98" t="s">
        <v>176</v>
      </c>
    </row>
    <row r="56" spans="1:55" ht="15" customHeight="1" x14ac:dyDescent="0.25">
      <c r="A56" s="88">
        <f t="shared" si="9"/>
        <v>54</v>
      </c>
      <c r="B56" s="77" t="s">
        <v>240</v>
      </c>
      <c r="C56" s="9"/>
      <c r="D56" s="78" t="s">
        <v>462</v>
      </c>
      <c r="E56" s="90" t="str">
        <f>_xlfn.IFNA(VLOOKUP($D56,'Route-Details'!$B$2:$X$1048576,'Node Details'!E$1,0),"")</f>
        <v>Airtel</v>
      </c>
      <c r="F56" s="90" t="str">
        <f>_xlfn.IFNA(VLOOKUP($D56,'Route-Details'!$B$2:$X$1048576,'Node Details'!F$1,0),"")</f>
        <v>PLAN OF AXY DARIA</v>
      </c>
      <c r="G56" s="90" t="str">
        <f>_xlfn.IFNA(VLOOKUP($D56,'Route-Details'!$B$2:$X$1048576,'Node Details'!G$1,0),"")</f>
        <v>Chandigarh</v>
      </c>
      <c r="H56" s="90" t="str">
        <f>_xlfn.IFNA(VLOOKUP($D57,'Route-Details'!$B$2:$X$1048576,'Node Details'!H$1,0),"")</f>
        <v>Punjab</v>
      </c>
      <c r="I56" s="90" t="str">
        <f>_xlfn.IFNA(VLOOKUP($D56,'Route-Details'!$B$2:$X$1048576,'Node Details'!I$1,0),"")</f>
        <v>AXY</v>
      </c>
      <c r="J56" s="90" t="str">
        <f>_xlfn.IFNA(VLOOKUP($D56,'Route-Details'!$B$2:$X$1048576,'Node Details'!J$1,0),"")</f>
        <v>AXY</v>
      </c>
      <c r="K56" s="78">
        <v>46112</v>
      </c>
      <c r="L56" s="78">
        <v>46113</v>
      </c>
      <c r="M56" s="91">
        <v>46125</v>
      </c>
      <c r="N56" s="78">
        <v>46112</v>
      </c>
      <c r="Q56" s="88" t="s">
        <v>173</v>
      </c>
      <c r="R56" s="92"/>
      <c r="S56" s="89"/>
      <c r="T56" s="89"/>
      <c r="U56" s="89"/>
      <c r="V56" s="95"/>
      <c r="W56" s="93"/>
      <c r="X56" s="89"/>
      <c r="Y56" s="94"/>
      <c r="Z56" s="92"/>
      <c r="AA56" s="95"/>
      <c r="AB56" s="89"/>
      <c r="AC56" s="93"/>
      <c r="AD56" s="92"/>
      <c r="AE56" s="88"/>
      <c r="AF56" s="84"/>
      <c r="AG56" s="24"/>
      <c r="AH56" s="95"/>
      <c r="AI56" s="89"/>
      <c r="AJ56" s="88"/>
      <c r="AK56" s="83"/>
      <c r="AL56" s="24"/>
      <c r="AM56" s="24"/>
      <c r="AN56" s="83"/>
      <c r="AO56" s="83"/>
      <c r="AP56" s="24"/>
      <c r="AQ56" s="95"/>
      <c r="AR56" s="96"/>
      <c r="AS56" s="84"/>
      <c r="AT56" s="84"/>
      <c r="AU56" s="24"/>
      <c r="AV56" s="95"/>
      <c r="AW56" s="96"/>
      <c r="AX56" s="97"/>
      <c r="AY56" s="97"/>
      <c r="AZ56" s="97"/>
      <c r="BA56" s="24"/>
      <c r="BB56" s="9" t="s">
        <v>190</v>
      </c>
      <c r="BC56" s="98" t="s">
        <v>176</v>
      </c>
    </row>
    <row r="57" spans="1:55" ht="15" customHeight="1" x14ac:dyDescent="0.25">
      <c r="A57" s="88">
        <f t="shared" si="9"/>
        <v>55</v>
      </c>
      <c r="B57" s="77" t="s">
        <v>241</v>
      </c>
      <c r="C57" s="9"/>
      <c r="D57" s="78" t="s">
        <v>489</v>
      </c>
      <c r="E57" s="90" t="str">
        <f>_xlfn.IFNA(VLOOKUP($D57,'Route-Details'!$B$2:$X$1048576,'Node Details'!E$1,0),"")</f>
        <v>Airtel</v>
      </c>
      <c r="F57" s="90" t="str">
        <f>_xlfn.IFNA(VLOOKUP($D57,'Route-Details'!$B$2:$X$1048576,'Node Details'!F$1,0),"")</f>
        <v>PLAN OF AXY DARIA</v>
      </c>
      <c r="G57" s="90" t="str">
        <f>_xlfn.IFNA(VLOOKUP($D57,'Route-Details'!$B$2:$X$1048576,'Node Details'!G$1,0),"")</f>
        <v>Chandigarh</v>
      </c>
      <c r="H57" s="90" t="str">
        <f>_xlfn.IFNA(VLOOKUP($D58,'Route-Details'!$B$2:$X$1048576,'Node Details'!H$1,0),"")</f>
        <v>Punjab</v>
      </c>
      <c r="I57" s="90" t="str">
        <f>_xlfn.IFNA(VLOOKUP($D57,'Route-Details'!$B$2:$X$1048576,'Node Details'!I$1,0),"")</f>
        <v>AXY</v>
      </c>
      <c r="J57" s="90" t="str">
        <f>_xlfn.IFNA(VLOOKUP($D57,'Route-Details'!$B$2:$X$1048576,'Node Details'!J$1,0),"")</f>
        <v>AXY</v>
      </c>
      <c r="K57" s="78">
        <v>46112</v>
      </c>
      <c r="L57" s="78">
        <v>46113</v>
      </c>
      <c r="M57" s="91">
        <v>46125</v>
      </c>
      <c r="N57" s="78">
        <v>46112</v>
      </c>
      <c r="Q57" s="88" t="s">
        <v>173</v>
      </c>
      <c r="R57" s="92"/>
      <c r="S57" s="89"/>
      <c r="T57" s="89"/>
      <c r="U57" s="89"/>
      <c r="V57" s="95"/>
      <c r="W57" s="93"/>
      <c r="X57" s="89"/>
      <c r="Y57" s="94"/>
      <c r="Z57" s="92"/>
      <c r="AA57" s="95"/>
      <c r="AB57" s="89"/>
      <c r="AC57" s="93"/>
      <c r="AD57" s="92"/>
      <c r="AE57" s="88"/>
      <c r="AF57" s="84"/>
      <c r="AG57" s="24"/>
      <c r="AH57" s="95"/>
      <c r="AI57" s="89"/>
      <c r="AJ57" s="88"/>
      <c r="AK57" s="83"/>
      <c r="AL57" s="24"/>
      <c r="AM57" s="24"/>
      <c r="AN57" s="83"/>
      <c r="AO57" s="83"/>
      <c r="AP57" s="24"/>
      <c r="AQ57" s="95"/>
      <c r="AR57" s="96"/>
      <c r="AS57" s="84"/>
      <c r="AT57" s="84"/>
      <c r="AU57" s="24"/>
      <c r="AV57" s="95"/>
      <c r="AW57" s="96"/>
      <c r="AX57" s="97"/>
      <c r="AY57" s="97"/>
      <c r="AZ57" s="97"/>
      <c r="BA57" s="24"/>
      <c r="BB57" s="9" t="s">
        <v>204</v>
      </c>
      <c r="BC57" s="98" t="s">
        <v>176</v>
      </c>
    </row>
    <row r="58" spans="1:55" ht="15" customHeight="1" x14ac:dyDescent="0.25">
      <c r="A58" s="88">
        <f t="shared" si="9"/>
        <v>56</v>
      </c>
      <c r="B58" s="77" t="s">
        <v>242</v>
      </c>
      <c r="C58" s="9"/>
      <c r="D58" s="78" t="s">
        <v>467</v>
      </c>
      <c r="E58" s="90" t="str">
        <f>_xlfn.IFNA(VLOOKUP($D58,'Route-Details'!$B$2:$X$1048576,'Node Details'!E$1,0),"")</f>
        <v>Airtel</v>
      </c>
      <c r="F58" s="90" t="str">
        <f>_xlfn.IFNA(VLOOKUP($D58,'Route-Details'!$B$2:$X$1048576,'Node Details'!F$1,0),"")</f>
        <v>PLAN OF AXY DARIA</v>
      </c>
      <c r="G58" s="90" t="str">
        <f>_xlfn.IFNA(VLOOKUP($D58,'Route-Details'!$B$2:$X$1048576,'Node Details'!G$1,0),"")</f>
        <v>Chandigarh</v>
      </c>
      <c r="H58" s="90" t="str">
        <f>_xlfn.IFNA(VLOOKUP($D59,'Route-Details'!$B$2:$X$1048576,'Node Details'!H$1,0),"")</f>
        <v>Punjab</v>
      </c>
      <c r="I58" s="90" t="str">
        <f>_xlfn.IFNA(VLOOKUP($D58,'Route-Details'!$B$2:$X$1048576,'Node Details'!I$1,0),"")</f>
        <v>AXY</v>
      </c>
      <c r="J58" s="90" t="str">
        <f>_xlfn.IFNA(VLOOKUP($D58,'Route-Details'!$B$2:$X$1048576,'Node Details'!J$1,0),"")</f>
        <v>AXY</v>
      </c>
      <c r="K58" s="78">
        <v>46112</v>
      </c>
      <c r="L58" s="78">
        <v>46113</v>
      </c>
      <c r="M58" s="91">
        <v>46125</v>
      </c>
      <c r="N58" s="78">
        <v>46112</v>
      </c>
      <c r="Q58" s="88" t="s">
        <v>173</v>
      </c>
      <c r="R58" s="92"/>
      <c r="S58" s="89"/>
      <c r="T58" s="89"/>
      <c r="U58" s="89"/>
      <c r="V58" s="95"/>
      <c r="W58" s="93"/>
      <c r="X58" s="89"/>
      <c r="Y58" s="94"/>
      <c r="Z58" s="92"/>
      <c r="AA58" s="95"/>
      <c r="AB58" s="89"/>
      <c r="AC58" s="93"/>
      <c r="AD58" s="92"/>
      <c r="AE58" s="88"/>
      <c r="AF58" s="84"/>
      <c r="AG58" s="24"/>
      <c r="AH58" s="95"/>
      <c r="AI58" s="89"/>
      <c r="AJ58" s="88"/>
      <c r="AK58" s="83"/>
      <c r="AL58" s="24"/>
      <c r="AM58" s="24"/>
      <c r="AN58" s="83"/>
      <c r="AO58" s="83"/>
      <c r="AP58" s="24"/>
      <c r="AQ58" s="95"/>
      <c r="AR58" s="96"/>
      <c r="AS58" s="84"/>
      <c r="AT58" s="84"/>
      <c r="AU58" s="24"/>
      <c r="AV58" s="95"/>
      <c r="AW58" s="96"/>
      <c r="AX58" s="97"/>
      <c r="AY58" s="97"/>
      <c r="AZ58" s="97"/>
      <c r="BA58" s="24"/>
      <c r="BB58" s="9" t="s">
        <v>375</v>
      </c>
      <c r="BC58" s="98" t="s">
        <v>176</v>
      </c>
    </row>
    <row r="59" spans="1:55" ht="15" customHeight="1" x14ac:dyDescent="0.25">
      <c r="A59" s="88">
        <f t="shared" si="9"/>
        <v>57</v>
      </c>
      <c r="B59" s="77" t="s">
        <v>243</v>
      </c>
      <c r="C59" s="9"/>
      <c r="D59" s="78" t="s">
        <v>473</v>
      </c>
      <c r="E59" s="90" t="str">
        <f>_xlfn.IFNA(VLOOKUP($D59,'Route-Details'!$B$2:$X$1048576,'Node Details'!E$1,0),"")</f>
        <v>Airtel</v>
      </c>
      <c r="F59" s="90" t="str">
        <f>_xlfn.IFNA(VLOOKUP($D59,'Route-Details'!$B$2:$X$1048576,'Node Details'!F$1,0),"")</f>
        <v>PLAN OF AXY DARIA</v>
      </c>
      <c r="G59" s="90" t="str">
        <f>_xlfn.IFNA(VLOOKUP($D59,'Route-Details'!$B$2:$X$1048576,'Node Details'!G$1,0),"")</f>
        <v>Chandigarh</v>
      </c>
      <c r="H59" s="90" t="str">
        <f>_xlfn.IFNA(VLOOKUP($D60,'Route-Details'!$B$2:$X$1048576,'Node Details'!H$1,0),"")</f>
        <v>Punjab</v>
      </c>
      <c r="I59" s="90" t="str">
        <f>_xlfn.IFNA(VLOOKUP($D59,'Route-Details'!$B$2:$X$1048576,'Node Details'!I$1,0),"")</f>
        <v>AXY</v>
      </c>
      <c r="J59" s="90" t="str">
        <f>_xlfn.IFNA(VLOOKUP($D59,'Route-Details'!$B$2:$X$1048576,'Node Details'!J$1,0),"")</f>
        <v>AXY</v>
      </c>
      <c r="K59" s="78">
        <v>46112</v>
      </c>
      <c r="L59" s="78">
        <v>46113</v>
      </c>
      <c r="M59" s="91">
        <v>46125</v>
      </c>
      <c r="N59" s="78">
        <v>46112</v>
      </c>
      <c r="Q59" s="88" t="s">
        <v>173</v>
      </c>
      <c r="R59" s="92"/>
      <c r="S59" s="89"/>
      <c r="T59" s="89"/>
      <c r="U59" s="89"/>
      <c r="V59" s="95"/>
      <c r="W59" s="93"/>
      <c r="X59" s="89"/>
      <c r="Y59" s="94"/>
      <c r="Z59" s="92"/>
      <c r="AA59" s="95"/>
      <c r="AB59" s="89"/>
      <c r="AC59" s="93"/>
      <c r="AD59" s="92"/>
      <c r="AE59" s="88"/>
      <c r="AF59" s="84"/>
      <c r="AG59" s="24"/>
      <c r="AH59" s="95"/>
      <c r="AI59" s="89"/>
      <c r="AJ59" s="88"/>
      <c r="AK59" s="83"/>
      <c r="AL59" s="24"/>
      <c r="AM59" s="24"/>
      <c r="AN59" s="83"/>
      <c r="AO59" s="83"/>
      <c r="AP59" s="24"/>
      <c r="AQ59" s="95"/>
      <c r="AR59" s="96"/>
      <c r="AS59" s="84"/>
      <c r="AT59" s="84"/>
      <c r="AU59" s="24"/>
      <c r="AV59" s="95"/>
      <c r="AW59" s="96"/>
      <c r="AX59" s="97"/>
      <c r="AY59" s="97"/>
      <c r="AZ59" s="97"/>
      <c r="BA59" s="24"/>
      <c r="BB59" s="9" t="s">
        <v>376</v>
      </c>
      <c r="BC59" s="98" t="s">
        <v>176</v>
      </c>
    </row>
    <row r="60" spans="1:55" ht="15" customHeight="1" x14ac:dyDescent="0.25">
      <c r="A60" s="88">
        <f t="shared" si="9"/>
        <v>58</v>
      </c>
      <c r="B60" s="77" t="s">
        <v>244</v>
      </c>
      <c r="C60" s="9"/>
      <c r="D60" s="78" t="s">
        <v>473</v>
      </c>
      <c r="E60" s="90" t="str">
        <f>_xlfn.IFNA(VLOOKUP($D60,'Route-Details'!$B$2:$X$1048576,'Node Details'!E$1,0),"")</f>
        <v>Airtel</v>
      </c>
      <c r="F60" s="90" t="str">
        <f>_xlfn.IFNA(VLOOKUP($D60,'Route-Details'!$B$2:$X$1048576,'Node Details'!F$1,0),"")</f>
        <v>PLAN OF AXY DARIA</v>
      </c>
      <c r="G60" s="90" t="str">
        <f>_xlfn.IFNA(VLOOKUP($D60,'Route-Details'!$B$2:$X$1048576,'Node Details'!G$1,0),"")</f>
        <v>Chandigarh</v>
      </c>
      <c r="H60" s="90" t="str">
        <f>_xlfn.IFNA(VLOOKUP($D61,'Route-Details'!$B$2:$X$1048576,'Node Details'!H$1,0),"")</f>
        <v>Punjab</v>
      </c>
      <c r="I60" s="90" t="str">
        <f>_xlfn.IFNA(VLOOKUP($D60,'Route-Details'!$B$2:$X$1048576,'Node Details'!I$1,0),"")</f>
        <v>AXY</v>
      </c>
      <c r="J60" s="90" t="str">
        <f>_xlfn.IFNA(VLOOKUP($D60,'Route-Details'!$B$2:$X$1048576,'Node Details'!J$1,0),"")</f>
        <v>AXY</v>
      </c>
      <c r="K60" s="78">
        <v>46112</v>
      </c>
      <c r="L60" s="78">
        <v>46113</v>
      </c>
      <c r="M60" s="91">
        <v>46125</v>
      </c>
      <c r="N60" s="78">
        <v>46112</v>
      </c>
      <c r="Q60" s="88" t="s">
        <v>173</v>
      </c>
      <c r="R60" s="92"/>
      <c r="S60" s="89"/>
      <c r="T60" s="89"/>
      <c r="U60" s="89"/>
      <c r="V60" s="95"/>
      <c r="W60" s="93"/>
      <c r="X60" s="89"/>
      <c r="Y60" s="94"/>
      <c r="Z60" s="92"/>
      <c r="AA60" s="95"/>
      <c r="AB60" s="89"/>
      <c r="AC60" s="93"/>
      <c r="AD60" s="92"/>
      <c r="AE60" s="88"/>
      <c r="AF60" s="84"/>
      <c r="AG60" s="24"/>
      <c r="AH60" s="95"/>
      <c r="AI60" s="89"/>
      <c r="AJ60" s="88"/>
      <c r="AK60" s="83"/>
      <c r="AL60" s="24"/>
      <c r="AM60" s="24"/>
      <c r="AN60" s="83"/>
      <c r="AO60" s="83"/>
      <c r="AP60" s="24"/>
      <c r="AQ60" s="95"/>
      <c r="AR60" s="96"/>
      <c r="AS60" s="84"/>
      <c r="AT60" s="84"/>
      <c r="AU60" s="24"/>
      <c r="AV60" s="95"/>
      <c r="AW60" s="96"/>
      <c r="AX60" s="97"/>
      <c r="AY60" s="97"/>
      <c r="AZ60" s="97"/>
      <c r="BA60" s="24"/>
      <c r="BB60" s="9" t="s">
        <v>376</v>
      </c>
      <c r="BC60" s="98" t="s">
        <v>176</v>
      </c>
    </row>
    <row r="61" spans="1:55" ht="15" customHeight="1" x14ac:dyDescent="0.25">
      <c r="A61" s="88">
        <f t="shared" si="9"/>
        <v>59</v>
      </c>
      <c r="B61" s="77" t="s">
        <v>245</v>
      </c>
      <c r="C61" s="9"/>
      <c r="D61" s="78" t="s">
        <v>473</v>
      </c>
      <c r="E61" s="90" t="str">
        <f>_xlfn.IFNA(VLOOKUP($D61,'Route-Details'!$B$2:$X$1048576,'Node Details'!E$1,0),"")</f>
        <v>Airtel</v>
      </c>
      <c r="F61" s="90" t="str">
        <f>_xlfn.IFNA(VLOOKUP($D61,'Route-Details'!$B$2:$X$1048576,'Node Details'!F$1,0),"")</f>
        <v>PLAN OF AXY DARIA</v>
      </c>
      <c r="G61" s="90" t="str">
        <f>_xlfn.IFNA(VLOOKUP($D61,'Route-Details'!$B$2:$X$1048576,'Node Details'!G$1,0),"")</f>
        <v>Chandigarh</v>
      </c>
      <c r="H61" s="90" t="str">
        <f>_xlfn.IFNA(VLOOKUP($D62,'Route-Details'!$B$2:$X$1048576,'Node Details'!H$1,0),"")</f>
        <v>Punjab</v>
      </c>
      <c r="I61" s="90" t="str">
        <f>_xlfn.IFNA(VLOOKUP($D61,'Route-Details'!$B$2:$X$1048576,'Node Details'!I$1,0),"")</f>
        <v>AXY</v>
      </c>
      <c r="J61" s="90" t="str">
        <f>_xlfn.IFNA(VLOOKUP($D61,'Route-Details'!$B$2:$X$1048576,'Node Details'!J$1,0),"")</f>
        <v>AXY</v>
      </c>
      <c r="K61" s="78">
        <v>46112</v>
      </c>
      <c r="L61" s="78">
        <v>46113</v>
      </c>
      <c r="M61" s="91">
        <v>46125</v>
      </c>
      <c r="N61" s="78">
        <v>46112</v>
      </c>
      <c r="Q61" s="88" t="s">
        <v>173</v>
      </c>
      <c r="R61" s="92"/>
      <c r="S61" s="89"/>
      <c r="T61" s="89"/>
      <c r="U61" s="89"/>
      <c r="V61" s="95"/>
      <c r="W61" s="93"/>
      <c r="X61" s="89"/>
      <c r="Y61" s="94"/>
      <c r="Z61" s="92"/>
      <c r="AA61" s="95"/>
      <c r="AB61" s="89"/>
      <c r="AC61" s="93"/>
      <c r="AD61" s="92"/>
      <c r="AE61" s="88"/>
      <c r="AF61" s="84"/>
      <c r="AG61" s="24"/>
      <c r="AH61" s="95"/>
      <c r="AI61" s="89"/>
      <c r="AJ61" s="88"/>
      <c r="AK61" s="83"/>
      <c r="AL61" s="24"/>
      <c r="AM61" s="24"/>
      <c r="AN61" s="83"/>
      <c r="AO61" s="83"/>
      <c r="AP61" s="24"/>
      <c r="AQ61" s="95"/>
      <c r="AR61" s="96"/>
      <c r="AS61" s="84"/>
      <c r="AT61" s="84"/>
      <c r="AU61" s="24"/>
      <c r="AV61" s="95"/>
      <c r="AW61" s="96"/>
      <c r="AX61" s="97"/>
      <c r="AY61" s="97"/>
      <c r="AZ61" s="97"/>
      <c r="BA61" s="24"/>
      <c r="BB61" s="9" t="s">
        <v>376</v>
      </c>
      <c r="BC61" s="98" t="s">
        <v>176</v>
      </c>
    </row>
    <row r="62" spans="1:55" ht="15" customHeight="1" x14ac:dyDescent="0.25">
      <c r="A62" s="88">
        <f t="shared" si="9"/>
        <v>60</v>
      </c>
      <c r="B62" s="77" t="s">
        <v>246</v>
      </c>
      <c r="C62" s="9"/>
      <c r="D62" s="78" t="s">
        <v>473</v>
      </c>
      <c r="E62" s="90" t="str">
        <f>_xlfn.IFNA(VLOOKUP($D62,'Route-Details'!$B$2:$X$1048576,'Node Details'!E$1,0),"")</f>
        <v>Airtel</v>
      </c>
      <c r="F62" s="90" t="str">
        <f>_xlfn.IFNA(VLOOKUP($D62,'Route-Details'!$B$2:$X$1048576,'Node Details'!F$1,0),"")</f>
        <v>PLAN OF AXY DARIA</v>
      </c>
      <c r="G62" s="90" t="str">
        <f>_xlfn.IFNA(VLOOKUP($D62,'Route-Details'!$B$2:$X$1048576,'Node Details'!G$1,0),"")</f>
        <v>Chandigarh</v>
      </c>
      <c r="H62" s="90" t="str">
        <f>_xlfn.IFNA(VLOOKUP($D63,'Route-Details'!$B$2:$X$1048576,'Node Details'!H$1,0),"")</f>
        <v>Punjab</v>
      </c>
      <c r="I62" s="90" t="str">
        <f>_xlfn.IFNA(VLOOKUP($D62,'Route-Details'!$B$2:$X$1048576,'Node Details'!I$1,0),"")</f>
        <v>AXY</v>
      </c>
      <c r="J62" s="90" t="str">
        <f>_xlfn.IFNA(VLOOKUP($D62,'Route-Details'!$B$2:$X$1048576,'Node Details'!J$1,0),"")</f>
        <v>AXY</v>
      </c>
      <c r="K62" s="78">
        <v>46112</v>
      </c>
      <c r="L62" s="78">
        <v>46113</v>
      </c>
      <c r="M62" s="91">
        <v>46125</v>
      </c>
      <c r="N62" s="78">
        <v>46112</v>
      </c>
      <c r="Q62" s="88" t="s">
        <v>173</v>
      </c>
      <c r="R62" s="92"/>
      <c r="S62" s="89"/>
      <c r="T62" s="89"/>
      <c r="U62" s="89"/>
      <c r="V62" s="95"/>
      <c r="W62" s="93"/>
      <c r="X62" s="89"/>
      <c r="Y62" s="94"/>
      <c r="Z62" s="92"/>
      <c r="AA62" s="95"/>
      <c r="AB62" s="89"/>
      <c r="AC62" s="93"/>
      <c r="AD62" s="92"/>
      <c r="AE62" s="88"/>
      <c r="AF62" s="84"/>
      <c r="AG62" s="24"/>
      <c r="AH62" s="95"/>
      <c r="AI62" s="89"/>
      <c r="AJ62" s="88"/>
      <c r="AK62" s="83"/>
      <c r="AL62" s="24"/>
      <c r="AM62" s="24"/>
      <c r="AN62" s="83"/>
      <c r="AO62" s="83"/>
      <c r="AP62" s="24"/>
      <c r="AQ62" s="95"/>
      <c r="AR62" s="96"/>
      <c r="AS62" s="84"/>
      <c r="AT62" s="84"/>
      <c r="AU62" s="24"/>
      <c r="AV62" s="95"/>
      <c r="AW62" s="96"/>
      <c r="AX62" s="97"/>
      <c r="AY62" s="97"/>
      <c r="AZ62" s="97"/>
      <c r="BA62" s="24"/>
      <c r="BB62" s="9" t="s">
        <v>376</v>
      </c>
      <c r="BC62" s="98" t="s">
        <v>176</v>
      </c>
    </row>
    <row r="63" spans="1:55" ht="15" customHeight="1" x14ac:dyDescent="0.25">
      <c r="A63" s="88">
        <f t="shared" si="9"/>
        <v>61</v>
      </c>
      <c r="B63" s="77" t="s">
        <v>247</v>
      </c>
      <c r="C63" s="9"/>
      <c r="D63" s="78" t="s">
        <v>490</v>
      </c>
      <c r="E63" s="90" t="str">
        <f>_xlfn.IFNA(VLOOKUP($D63,'Route-Details'!$B$2:$X$1048576,'Node Details'!E$1,0),"")</f>
        <v>Airtel</v>
      </c>
      <c r="F63" s="90" t="str">
        <f>_xlfn.IFNA(VLOOKUP($D63,'Route-Details'!$B$2:$X$1048576,'Node Details'!F$1,0),"")</f>
        <v>PLAN OF AXY DARIA</v>
      </c>
      <c r="G63" s="90" t="str">
        <f>_xlfn.IFNA(VLOOKUP($D63,'Route-Details'!$B$2:$X$1048576,'Node Details'!G$1,0),"")</f>
        <v>Chandigarh</v>
      </c>
      <c r="H63" s="90" t="str">
        <f>_xlfn.IFNA(VLOOKUP($D64,'Route-Details'!$B$2:$X$1048576,'Node Details'!H$1,0),"")</f>
        <v>Punjab</v>
      </c>
      <c r="I63" s="90" t="str">
        <f>_xlfn.IFNA(VLOOKUP($D63,'Route-Details'!$B$2:$X$1048576,'Node Details'!I$1,0),"")</f>
        <v>AXY</v>
      </c>
      <c r="J63" s="90" t="str">
        <f>_xlfn.IFNA(VLOOKUP($D63,'Route-Details'!$B$2:$X$1048576,'Node Details'!J$1,0),"")</f>
        <v>AXY</v>
      </c>
      <c r="K63" s="78">
        <v>46112</v>
      </c>
      <c r="L63" s="78">
        <v>46113</v>
      </c>
      <c r="M63" s="91">
        <v>46125</v>
      </c>
      <c r="N63" s="78">
        <v>46112</v>
      </c>
      <c r="Q63" s="88" t="s">
        <v>173</v>
      </c>
      <c r="R63" s="92"/>
      <c r="S63" s="89"/>
      <c r="T63" s="89"/>
      <c r="U63" s="89"/>
      <c r="V63" s="95"/>
      <c r="W63" s="93"/>
      <c r="X63" s="89"/>
      <c r="Y63" s="94"/>
      <c r="Z63" s="92"/>
      <c r="AA63" s="95"/>
      <c r="AB63" s="89"/>
      <c r="AC63" s="93"/>
      <c r="AD63" s="92"/>
      <c r="AE63" s="88"/>
      <c r="AF63" s="84"/>
      <c r="AG63" s="24"/>
      <c r="AH63" s="95"/>
      <c r="AI63" s="89"/>
      <c r="AJ63" s="88"/>
      <c r="AK63" s="83"/>
      <c r="AL63" s="24"/>
      <c r="AM63" s="24"/>
      <c r="AN63" s="83"/>
      <c r="AO63" s="83"/>
      <c r="AP63" s="24"/>
      <c r="AQ63" s="95"/>
      <c r="AR63" s="96"/>
      <c r="AS63" s="84"/>
      <c r="AT63" s="84"/>
      <c r="AU63" s="24"/>
      <c r="AV63" s="95"/>
      <c r="AW63" s="96"/>
      <c r="AX63" s="97"/>
      <c r="AY63" s="97"/>
      <c r="AZ63" s="97"/>
      <c r="BA63" s="24"/>
      <c r="BB63" s="9" t="s">
        <v>377</v>
      </c>
      <c r="BC63" s="98" t="s">
        <v>176</v>
      </c>
    </row>
    <row r="64" spans="1:55" ht="15" customHeight="1" x14ac:dyDescent="0.25">
      <c r="A64" s="88">
        <f t="shared" si="9"/>
        <v>62</v>
      </c>
      <c r="B64" s="77" t="s">
        <v>248</v>
      </c>
      <c r="C64" s="9"/>
      <c r="D64" s="78" t="s">
        <v>482</v>
      </c>
      <c r="E64" s="90" t="str">
        <f>_xlfn.IFNA(VLOOKUP($D64,'Route-Details'!$B$2:$X$1048576,'Node Details'!E$1,0),"")</f>
        <v>Airtel</v>
      </c>
      <c r="F64" s="90" t="str">
        <f>_xlfn.IFNA(VLOOKUP($D64,'Route-Details'!$B$2:$X$1048576,'Node Details'!F$1,0),"")</f>
        <v>PLAN OF AXY DARIA</v>
      </c>
      <c r="G64" s="90" t="str">
        <f>_xlfn.IFNA(VLOOKUP($D64,'Route-Details'!$B$2:$X$1048576,'Node Details'!G$1,0),"")</f>
        <v>Chandigarh</v>
      </c>
      <c r="H64" s="90" t="str">
        <f>_xlfn.IFNA(VLOOKUP($D65,'Route-Details'!$B$2:$X$1048576,'Node Details'!H$1,0),"")</f>
        <v>Punjab</v>
      </c>
      <c r="I64" s="90" t="str">
        <f>_xlfn.IFNA(VLOOKUP($D64,'Route-Details'!$B$2:$X$1048576,'Node Details'!I$1,0),"")</f>
        <v>AXY</v>
      </c>
      <c r="J64" s="90" t="str">
        <f>_xlfn.IFNA(VLOOKUP($D64,'Route-Details'!$B$2:$X$1048576,'Node Details'!J$1,0),"")</f>
        <v>AXY</v>
      </c>
      <c r="K64" s="78">
        <v>46112</v>
      </c>
      <c r="L64" s="78">
        <v>46113</v>
      </c>
      <c r="M64" s="91">
        <v>46125</v>
      </c>
      <c r="N64" s="78">
        <v>46112</v>
      </c>
      <c r="Q64" s="88" t="s">
        <v>173</v>
      </c>
      <c r="R64" s="92"/>
      <c r="S64" s="89"/>
      <c r="T64" s="89"/>
      <c r="U64" s="89"/>
      <c r="V64" s="95"/>
      <c r="W64" s="93"/>
      <c r="X64" s="89"/>
      <c r="Y64" s="94"/>
      <c r="Z64" s="92"/>
      <c r="AA64" s="95"/>
      <c r="AB64" s="89"/>
      <c r="AC64" s="93"/>
      <c r="AD64" s="92"/>
      <c r="AE64" s="88"/>
      <c r="AF64" s="84"/>
      <c r="AG64" s="24"/>
      <c r="AH64" s="95"/>
      <c r="AI64" s="89"/>
      <c r="AJ64" s="88"/>
      <c r="AK64" s="83"/>
      <c r="AL64" s="24"/>
      <c r="AM64" s="24"/>
      <c r="AN64" s="83"/>
      <c r="AO64" s="83"/>
      <c r="AP64" s="24"/>
      <c r="AQ64" s="95"/>
      <c r="AR64" s="96"/>
      <c r="AS64" s="84"/>
      <c r="AT64" s="84"/>
      <c r="AU64" s="24"/>
      <c r="AV64" s="95"/>
      <c r="AW64" s="96"/>
      <c r="AX64" s="97"/>
      <c r="AY64" s="97"/>
      <c r="AZ64" s="97"/>
      <c r="BA64" s="24"/>
      <c r="BB64" s="9" t="s">
        <v>378</v>
      </c>
      <c r="BC64" s="98" t="s">
        <v>176</v>
      </c>
    </row>
    <row r="65" spans="1:55" ht="15" customHeight="1" x14ac:dyDescent="0.25">
      <c r="A65" s="88">
        <f t="shared" si="9"/>
        <v>63</v>
      </c>
      <c r="B65" s="77" t="s">
        <v>249</v>
      </c>
      <c r="C65" s="9"/>
      <c r="D65" s="78" t="s">
        <v>482</v>
      </c>
      <c r="E65" s="90" t="str">
        <f>_xlfn.IFNA(VLOOKUP($D65,'Route-Details'!$B$2:$X$1048576,'Node Details'!E$1,0),"")</f>
        <v>Airtel</v>
      </c>
      <c r="F65" s="90" t="str">
        <f>_xlfn.IFNA(VLOOKUP($D65,'Route-Details'!$B$2:$X$1048576,'Node Details'!F$1,0),"")</f>
        <v>PLAN OF AXY DARIA</v>
      </c>
      <c r="G65" s="90" t="str">
        <f>_xlfn.IFNA(VLOOKUP($D65,'Route-Details'!$B$2:$X$1048576,'Node Details'!G$1,0),"")</f>
        <v>Chandigarh</v>
      </c>
      <c r="H65" s="90" t="str">
        <f>_xlfn.IFNA(VLOOKUP($D66,'Route-Details'!$B$2:$X$1048576,'Node Details'!H$1,0),"")</f>
        <v>Punjab</v>
      </c>
      <c r="I65" s="90" t="str">
        <f>_xlfn.IFNA(VLOOKUP($D65,'Route-Details'!$B$2:$X$1048576,'Node Details'!I$1,0),"")</f>
        <v>AXY</v>
      </c>
      <c r="J65" s="90" t="str">
        <f>_xlfn.IFNA(VLOOKUP($D65,'Route-Details'!$B$2:$X$1048576,'Node Details'!J$1,0),"")</f>
        <v>AXY</v>
      </c>
      <c r="K65" s="78">
        <v>46112</v>
      </c>
      <c r="L65" s="78">
        <v>46113</v>
      </c>
      <c r="M65" s="91">
        <v>46125</v>
      </c>
      <c r="N65" s="78">
        <v>46112</v>
      </c>
      <c r="Q65" s="88" t="s">
        <v>173</v>
      </c>
      <c r="R65" s="92"/>
      <c r="S65" s="89"/>
      <c r="T65" s="89"/>
      <c r="U65" s="89"/>
      <c r="V65" s="95"/>
      <c r="W65" s="93"/>
      <c r="X65" s="89"/>
      <c r="Y65" s="94"/>
      <c r="Z65" s="92"/>
      <c r="AA65" s="95"/>
      <c r="AB65" s="89"/>
      <c r="AC65" s="93"/>
      <c r="AD65" s="92"/>
      <c r="AE65" s="88"/>
      <c r="AF65" s="84"/>
      <c r="AG65" s="24"/>
      <c r="AH65" s="95"/>
      <c r="AI65" s="89"/>
      <c r="AJ65" s="88"/>
      <c r="AK65" s="83"/>
      <c r="AL65" s="24"/>
      <c r="AM65" s="24"/>
      <c r="AN65" s="83"/>
      <c r="AO65" s="83"/>
      <c r="AP65" s="24"/>
      <c r="AQ65" s="95"/>
      <c r="AR65" s="96"/>
      <c r="AS65" s="84"/>
      <c r="AT65" s="84"/>
      <c r="AU65" s="24"/>
      <c r="AV65" s="95"/>
      <c r="AW65" s="96"/>
      <c r="AX65" s="97"/>
      <c r="AY65" s="97"/>
      <c r="AZ65" s="97"/>
      <c r="BA65" s="24"/>
      <c r="BB65" s="9" t="s">
        <v>378</v>
      </c>
      <c r="BC65" s="98" t="s">
        <v>176</v>
      </c>
    </row>
    <row r="66" spans="1:55" ht="15" customHeight="1" x14ac:dyDescent="0.25">
      <c r="A66" s="88">
        <f t="shared" si="9"/>
        <v>64</v>
      </c>
      <c r="B66" s="77" t="s">
        <v>250</v>
      </c>
      <c r="C66" s="9"/>
      <c r="D66" s="78" t="s">
        <v>482</v>
      </c>
      <c r="E66" s="90" t="str">
        <f>_xlfn.IFNA(VLOOKUP($D66,'Route-Details'!$B$2:$X$1048576,'Node Details'!E$1,0),"")</f>
        <v>Airtel</v>
      </c>
      <c r="F66" s="90" t="str">
        <f>_xlfn.IFNA(VLOOKUP($D66,'Route-Details'!$B$2:$X$1048576,'Node Details'!F$1,0),"")</f>
        <v>PLAN OF AXY DARIA</v>
      </c>
      <c r="G66" s="90" t="str">
        <f>_xlfn.IFNA(VLOOKUP($D66,'Route-Details'!$B$2:$X$1048576,'Node Details'!G$1,0),"")</f>
        <v>Chandigarh</v>
      </c>
      <c r="H66" s="90" t="str">
        <f>_xlfn.IFNA(VLOOKUP($D67,'Route-Details'!$B$2:$X$1048576,'Node Details'!H$1,0),"")</f>
        <v>Punjab</v>
      </c>
      <c r="I66" s="90" t="str">
        <f>_xlfn.IFNA(VLOOKUP($D66,'Route-Details'!$B$2:$X$1048576,'Node Details'!I$1,0),"")</f>
        <v>AXY</v>
      </c>
      <c r="J66" s="90" t="str">
        <f>_xlfn.IFNA(VLOOKUP($D66,'Route-Details'!$B$2:$X$1048576,'Node Details'!J$1,0),"")</f>
        <v>AXY</v>
      </c>
      <c r="K66" s="78">
        <v>46112</v>
      </c>
      <c r="L66" s="78">
        <v>46113</v>
      </c>
      <c r="M66" s="91">
        <v>46125</v>
      </c>
      <c r="N66" s="78">
        <v>46112</v>
      </c>
      <c r="Q66" s="88" t="s">
        <v>173</v>
      </c>
      <c r="R66" s="92"/>
      <c r="S66" s="89"/>
      <c r="T66" s="89"/>
      <c r="U66" s="89"/>
      <c r="V66" s="95"/>
      <c r="W66" s="93"/>
      <c r="X66" s="89"/>
      <c r="Y66" s="94"/>
      <c r="Z66" s="92"/>
      <c r="AA66" s="95"/>
      <c r="AB66" s="89"/>
      <c r="AC66" s="93"/>
      <c r="AD66" s="92"/>
      <c r="AE66" s="88"/>
      <c r="AF66" s="84"/>
      <c r="AG66" s="24"/>
      <c r="AH66" s="95"/>
      <c r="AI66" s="89"/>
      <c r="AJ66" s="88"/>
      <c r="AK66" s="83"/>
      <c r="AL66" s="24"/>
      <c r="AM66" s="24"/>
      <c r="AN66" s="83"/>
      <c r="AO66" s="83"/>
      <c r="AP66" s="24"/>
      <c r="AQ66" s="95"/>
      <c r="AR66" s="96"/>
      <c r="AS66" s="84"/>
      <c r="AT66" s="84"/>
      <c r="AU66" s="24"/>
      <c r="AV66" s="95"/>
      <c r="AW66" s="96"/>
      <c r="AX66" s="97"/>
      <c r="AY66" s="97"/>
      <c r="AZ66" s="97"/>
      <c r="BA66" s="24"/>
      <c r="BB66" s="9" t="s">
        <v>378</v>
      </c>
      <c r="BC66" s="98" t="s">
        <v>176</v>
      </c>
    </row>
    <row r="67" spans="1:55" ht="15" customHeight="1" x14ac:dyDescent="0.25">
      <c r="A67" s="88">
        <f t="shared" si="9"/>
        <v>65</v>
      </c>
      <c r="B67" s="77" t="s">
        <v>251</v>
      </c>
      <c r="C67" s="9"/>
      <c r="D67" s="78" t="s">
        <v>465</v>
      </c>
      <c r="E67" s="90" t="str">
        <f>_xlfn.IFNA(VLOOKUP($D67,'Route-Details'!$B$2:$X$1048576,'Node Details'!E$1,0),"")</f>
        <v>Airtel</v>
      </c>
      <c r="F67" s="90" t="str">
        <f>_xlfn.IFNA(VLOOKUP($D67,'Route-Details'!$B$2:$X$1048576,'Node Details'!F$1,0),"")</f>
        <v>PLAN OF AXY DARIA</v>
      </c>
      <c r="G67" s="90" t="str">
        <f>_xlfn.IFNA(VLOOKUP($D67,'Route-Details'!$B$2:$X$1048576,'Node Details'!G$1,0),"")</f>
        <v>Chandigarh</v>
      </c>
      <c r="H67" s="90" t="str">
        <f>_xlfn.IFNA(VLOOKUP($D68,'Route-Details'!$B$2:$X$1048576,'Node Details'!H$1,0),"")</f>
        <v>Punjab</v>
      </c>
      <c r="I67" s="90" t="str">
        <f>_xlfn.IFNA(VLOOKUP($D67,'Route-Details'!$B$2:$X$1048576,'Node Details'!I$1,0),"")</f>
        <v>AXY</v>
      </c>
      <c r="J67" s="90" t="str">
        <f>_xlfn.IFNA(VLOOKUP($D67,'Route-Details'!$B$2:$X$1048576,'Node Details'!J$1,0),"")</f>
        <v>AXY</v>
      </c>
      <c r="K67" s="78">
        <v>46112</v>
      </c>
      <c r="L67" s="78">
        <v>46113</v>
      </c>
      <c r="M67" s="91">
        <v>46125</v>
      </c>
      <c r="N67" s="78">
        <v>46112</v>
      </c>
      <c r="Q67" s="88" t="s">
        <v>173</v>
      </c>
      <c r="R67" s="92"/>
      <c r="S67" s="89"/>
      <c r="T67" s="89"/>
      <c r="U67" s="89"/>
      <c r="V67" s="95"/>
      <c r="W67" s="93"/>
      <c r="X67" s="89"/>
      <c r="Y67" s="94"/>
      <c r="Z67" s="92"/>
      <c r="AA67" s="95"/>
      <c r="AB67" s="89"/>
      <c r="AC67" s="93"/>
      <c r="AD67" s="92"/>
      <c r="AE67" s="88"/>
      <c r="AF67" s="84"/>
      <c r="AG67" s="24"/>
      <c r="AH67" s="95"/>
      <c r="AI67" s="89"/>
      <c r="AJ67" s="88"/>
      <c r="AK67" s="83"/>
      <c r="AL67" s="24"/>
      <c r="AM67" s="24"/>
      <c r="AN67" s="83"/>
      <c r="AO67" s="83"/>
      <c r="AP67" s="24"/>
      <c r="AQ67" s="95"/>
      <c r="AR67" s="96"/>
      <c r="AS67" s="84"/>
      <c r="AT67" s="84"/>
      <c r="AU67" s="24"/>
      <c r="AV67" s="95"/>
      <c r="AW67" s="96"/>
      <c r="AX67" s="97"/>
      <c r="AY67" s="97"/>
      <c r="AZ67" s="97"/>
      <c r="BA67" s="24"/>
      <c r="BB67" s="9" t="s">
        <v>193</v>
      </c>
      <c r="BC67" s="98" t="s">
        <v>176</v>
      </c>
    </row>
    <row r="68" spans="1:55" ht="15" customHeight="1" x14ac:dyDescent="0.25">
      <c r="A68" s="88">
        <f t="shared" si="9"/>
        <v>66</v>
      </c>
      <c r="B68" s="77" t="s">
        <v>252</v>
      </c>
      <c r="C68" s="9"/>
      <c r="D68" s="78" t="s">
        <v>491</v>
      </c>
      <c r="E68" s="90" t="str">
        <f>_xlfn.IFNA(VLOOKUP($D68,'Route-Details'!$B$2:$X$1048576,'Node Details'!E$1,0),"")</f>
        <v>Airtel</v>
      </c>
      <c r="F68" s="90" t="str">
        <f>_xlfn.IFNA(VLOOKUP($D68,'Route-Details'!$B$2:$X$1048576,'Node Details'!F$1,0),"")</f>
        <v>PLAN OF AXY DARIA</v>
      </c>
      <c r="G68" s="90" t="str">
        <f>_xlfn.IFNA(VLOOKUP($D68,'Route-Details'!$B$2:$X$1048576,'Node Details'!G$1,0),"")</f>
        <v>Chandigarh</v>
      </c>
      <c r="H68" s="90" t="str">
        <f>_xlfn.IFNA(VLOOKUP($D69,'Route-Details'!$B$2:$X$1048576,'Node Details'!H$1,0),"")</f>
        <v>Punjab</v>
      </c>
      <c r="I68" s="90" t="str">
        <f>_xlfn.IFNA(VLOOKUP($D68,'Route-Details'!$B$2:$X$1048576,'Node Details'!I$1,0),"")</f>
        <v>AXY</v>
      </c>
      <c r="J68" s="90" t="str">
        <f>_xlfn.IFNA(VLOOKUP($D68,'Route-Details'!$B$2:$X$1048576,'Node Details'!J$1,0),"")</f>
        <v>AXY</v>
      </c>
      <c r="K68" s="78">
        <v>46112</v>
      </c>
      <c r="L68" s="78">
        <v>46113</v>
      </c>
      <c r="M68" s="91">
        <v>46125</v>
      </c>
      <c r="N68" s="78">
        <v>46112</v>
      </c>
      <c r="Q68" s="88" t="s">
        <v>173</v>
      </c>
      <c r="R68" s="92"/>
      <c r="S68" s="89"/>
      <c r="T68" s="89"/>
      <c r="U68" s="89"/>
      <c r="V68" s="95"/>
      <c r="W68" s="93"/>
      <c r="X68" s="89"/>
      <c r="Y68" s="94"/>
      <c r="Z68" s="92"/>
      <c r="AA68" s="95"/>
      <c r="AB68" s="89"/>
      <c r="AC68" s="93"/>
      <c r="AD68" s="92"/>
      <c r="AE68" s="88"/>
      <c r="AF68" s="84"/>
      <c r="AG68" s="24"/>
      <c r="AH68" s="95"/>
      <c r="AI68" s="89"/>
      <c r="AJ68" s="88"/>
      <c r="AK68" s="83"/>
      <c r="AL68" s="24"/>
      <c r="AM68" s="24"/>
      <c r="AN68" s="83"/>
      <c r="AO68" s="83"/>
      <c r="AP68" s="24"/>
      <c r="AQ68" s="95"/>
      <c r="AR68" s="96"/>
      <c r="AS68" s="84"/>
      <c r="AT68" s="84"/>
      <c r="AU68" s="24"/>
      <c r="AV68" s="95"/>
      <c r="AW68" s="96"/>
      <c r="AX68" s="97"/>
      <c r="AY68" s="97"/>
      <c r="AZ68" s="97"/>
      <c r="BA68" s="24"/>
      <c r="BB68" s="9" t="s">
        <v>379</v>
      </c>
      <c r="BC68" s="98" t="s">
        <v>176</v>
      </c>
    </row>
    <row r="69" spans="1:55" ht="15" customHeight="1" x14ac:dyDescent="0.25">
      <c r="A69" s="88">
        <f t="shared" ref="A69:A132" si="19">A68+1</f>
        <v>67</v>
      </c>
      <c r="B69" s="77" t="s">
        <v>253</v>
      </c>
      <c r="C69" s="9"/>
      <c r="D69" s="78" t="s">
        <v>492</v>
      </c>
      <c r="E69" s="90" t="str">
        <f>_xlfn.IFNA(VLOOKUP($D69,'Route-Details'!$B$2:$X$1048576,'Node Details'!E$1,0),"")</f>
        <v>Airtel</v>
      </c>
      <c r="F69" s="90" t="str">
        <f>_xlfn.IFNA(VLOOKUP($D69,'Route-Details'!$B$2:$X$1048576,'Node Details'!F$1,0),"")</f>
        <v>PLAN OF AXY DARIA</v>
      </c>
      <c r="G69" s="90" t="str">
        <f>_xlfn.IFNA(VLOOKUP($D69,'Route-Details'!$B$2:$X$1048576,'Node Details'!G$1,0),"")</f>
        <v>Chandigarh</v>
      </c>
      <c r="H69" s="90" t="str">
        <f>_xlfn.IFNA(VLOOKUP($D70,'Route-Details'!$B$2:$X$1048576,'Node Details'!H$1,0),"")</f>
        <v>Punjab</v>
      </c>
      <c r="I69" s="90" t="str">
        <f>_xlfn.IFNA(VLOOKUP($D69,'Route-Details'!$B$2:$X$1048576,'Node Details'!I$1,0),"")</f>
        <v>AXY</v>
      </c>
      <c r="J69" s="90" t="str">
        <f>_xlfn.IFNA(VLOOKUP($D69,'Route-Details'!$B$2:$X$1048576,'Node Details'!J$1,0),"")</f>
        <v>AXY</v>
      </c>
      <c r="K69" s="78">
        <v>46112</v>
      </c>
      <c r="L69" s="78">
        <v>46113</v>
      </c>
      <c r="M69" s="91">
        <v>46125</v>
      </c>
      <c r="N69" s="78">
        <v>46112</v>
      </c>
      <c r="Q69" s="88" t="s">
        <v>173</v>
      </c>
      <c r="R69" s="92"/>
      <c r="S69" s="89"/>
      <c r="T69" s="89"/>
      <c r="U69" s="89"/>
      <c r="V69" s="95"/>
      <c r="W69" s="93"/>
      <c r="X69" s="89"/>
      <c r="Y69" s="94"/>
      <c r="Z69" s="92"/>
      <c r="AA69" s="95"/>
      <c r="AB69" s="89"/>
      <c r="AC69" s="93"/>
      <c r="AD69" s="92"/>
      <c r="AE69" s="88"/>
      <c r="AF69" s="84"/>
      <c r="AG69" s="24"/>
      <c r="AH69" s="95"/>
      <c r="AI69" s="89"/>
      <c r="AJ69" s="88"/>
      <c r="AK69" s="83"/>
      <c r="AL69" s="24"/>
      <c r="AM69" s="24"/>
      <c r="AN69" s="83"/>
      <c r="AO69" s="83"/>
      <c r="AP69" s="24"/>
      <c r="AQ69" s="95"/>
      <c r="AR69" s="96"/>
      <c r="AS69" s="84"/>
      <c r="AT69" s="84"/>
      <c r="AU69" s="24"/>
      <c r="AV69" s="95"/>
      <c r="AW69" s="96"/>
      <c r="AX69" s="97"/>
      <c r="AY69" s="97"/>
      <c r="AZ69" s="97"/>
      <c r="BA69" s="24"/>
      <c r="BB69" s="9" t="s">
        <v>380</v>
      </c>
      <c r="BC69" s="98" t="s">
        <v>176</v>
      </c>
    </row>
    <row r="70" spans="1:55" ht="15" customHeight="1" x14ac:dyDescent="0.25">
      <c r="A70" s="88">
        <f t="shared" si="19"/>
        <v>68</v>
      </c>
      <c r="B70" s="77" t="s">
        <v>254</v>
      </c>
      <c r="C70" s="9"/>
      <c r="D70" s="78" t="s">
        <v>492</v>
      </c>
      <c r="E70" s="90" t="str">
        <f>_xlfn.IFNA(VLOOKUP($D70,'Route-Details'!$B$2:$X$1048576,'Node Details'!E$1,0),"")</f>
        <v>Airtel</v>
      </c>
      <c r="F70" s="90" t="str">
        <f>_xlfn.IFNA(VLOOKUP($D70,'Route-Details'!$B$2:$X$1048576,'Node Details'!F$1,0),"")</f>
        <v>PLAN OF AXY DARIA</v>
      </c>
      <c r="G70" s="90" t="str">
        <f>_xlfn.IFNA(VLOOKUP($D70,'Route-Details'!$B$2:$X$1048576,'Node Details'!G$1,0),"")</f>
        <v>Chandigarh</v>
      </c>
      <c r="H70" s="90" t="str">
        <f>_xlfn.IFNA(VLOOKUP($D71,'Route-Details'!$B$2:$X$1048576,'Node Details'!H$1,0),"")</f>
        <v>Punjab</v>
      </c>
      <c r="I70" s="90" t="str">
        <f>_xlfn.IFNA(VLOOKUP($D70,'Route-Details'!$B$2:$X$1048576,'Node Details'!I$1,0),"")</f>
        <v>AXY</v>
      </c>
      <c r="J70" s="90" t="str">
        <f>_xlfn.IFNA(VLOOKUP($D70,'Route-Details'!$B$2:$X$1048576,'Node Details'!J$1,0),"")</f>
        <v>AXY</v>
      </c>
      <c r="K70" s="78">
        <v>46112</v>
      </c>
      <c r="L70" s="78">
        <v>46113</v>
      </c>
      <c r="M70" s="91">
        <v>46125</v>
      </c>
      <c r="N70" s="78">
        <v>46112</v>
      </c>
      <c r="Q70" s="88" t="s">
        <v>173</v>
      </c>
      <c r="R70" s="92"/>
      <c r="S70" s="89"/>
      <c r="T70" s="89"/>
      <c r="U70" s="89"/>
      <c r="V70" s="95"/>
      <c r="W70" s="93"/>
      <c r="X70" s="89"/>
      <c r="Y70" s="94"/>
      <c r="Z70" s="92"/>
      <c r="AA70" s="95"/>
      <c r="AB70" s="89"/>
      <c r="AC70" s="93"/>
      <c r="AD70" s="92"/>
      <c r="AE70" s="88"/>
      <c r="AF70" s="84"/>
      <c r="AG70" s="24"/>
      <c r="AH70" s="95"/>
      <c r="AI70" s="89"/>
      <c r="AJ70" s="88"/>
      <c r="AK70" s="83"/>
      <c r="AL70" s="24"/>
      <c r="AM70" s="24"/>
      <c r="AN70" s="83"/>
      <c r="AO70" s="83"/>
      <c r="AP70" s="24"/>
      <c r="AQ70" s="95"/>
      <c r="AR70" s="96"/>
      <c r="AS70" s="84"/>
      <c r="AT70" s="84"/>
      <c r="AU70" s="24"/>
      <c r="AV70" s="95"/>
      <c r="AW70" s="96"/>
      <c r="AX70" s="97"/>
      <c r="AY70" s="97"/>
      <c r="AZ70" s="97"/>
      <c r="BA70" s="24"/>
      <c r="BB70" s="9" t="s">
        <v>380</v>
      </c>
      <c r="BC70" s="98" t="s">
        <v>176</v>
      </c>
    </row>
    <row r="71" spans="1:55" ht="15" customHeight="1" x14ac:dyDescent="0.25">
      <c r="A71" s="88">
        <f t="shared" si="19"/>
        <v>69</v>
      </c>
      <c r="B71" s="77" t="s">
        <v>255</v>
      </c>
      <c r="C71" s="9"/>
      <c r="D71" s="78" t="s">
        <v>492</v>
      </c>
      <c r="E71" s="90" t="str">
        <f>_xlfn.IFNA(VLOOKUP($D71,'Route-Details'!$B$2:$X$1048576,'Node Details'!E$1,0),"")</f>
        <v>Airtel</v>
      </c>
      <c r="F71" s="90" t="str">
        <f>_xlfn.IFNA(VLOOKUP($D71,'Route-Details'!$B$2:$X$1048576,'Node Details'!F$1,0),"")</f>
        <v>PLAN OF AXY DARIA</v>
      </c>
      <c r="G71" s="90" t="str">
        <f>_xlfn.IFNA(VLOOKUP($D71,'Route-Details'!$B$2:$X$1048576,'Node Details'!G$1,0),"")</f>
        <v>Chandigarh</v>
      </c>
      <c r="H71" s="90" t="str">
        <f>_xlfn.IFNA(VLOOKUP($D72,'Route-Details'!$B$2:$X$1048576,'Node Details'!H$1,0),"")</f>
        <v>Punjab</v>
      </c>
      <c r="I71" s="90" t="str">
        <f>_xlfn.IFNA(VLOOKUP($D71,'Route-Details'!$B$2:$X$1048576,'Node Details'!I$1,0),"")</f>
        <v>AXY</v>
      </c>
      <c r="J71" s="90" t="str">
        <f>_xlfn.IFNA(VLOOKUP($D71,'Route-Details'!$B$2:$X$1048576,'Node Details'!J$1,0),"")</f>
        <v>AXY</v>
      </c>
      <c r="K71" s="78">
        <v>46112</v>
      </c>
      <c r="L71" s="78">
        <v>46113</v>
      </c>
      <c r="M71" s="91">
        <v>46125</v>
      </c>
      <c r="N71" s="78">
        <v>46112</v>
      </c>
      <c r="Q71" s="88" t="s">
        <v>173</v>
      </c>
      <c r="R71" s="92"/>
      <c r="S71" s="89"/>
      <c r="T71" s="89"/>
      <c r="U71" s="89"/>
      <c r="V71" s="95"/>
      <c r="W71" s="93"/>
      <c r="X71" s="89"/>
      <c r="Y71" s="94"/>
      <c r="Z71" s="92"/>
      <c r="AA71" s="95"/>
      <c r="AB71" s="89"/>
      <c r="AC71" s="93"/>
      <c r="AD71" s="92"/>
      <c r="AE71" s="88"/>
      <c r="AF71" s="84"/>
      <c r="AG71" s="24"/>
      <c r="AH71" s="95"/>
      <c r="AI71" s="89"/>
      <c r="AJ71" s="88"/>
      <c r="AK71" s="83"/>
      <c r="AL71" s="24"/>
      <c r="AM71" s="24"/>
      <c r="AN71" s="83"/>
      <c r="AO71" s="83"/>
      <c r="AP71" s="24"/>
      <c r="AQ71" s="95"/>
      <c r="AR71" s="96"/>
      <c r="AS71" s="84"/>
      <c r="AT71" s="84"/>
      <c r="AU71" s="24"/>
      <c r="AV71" s="95"/>
      <c r="AW71" s="96"/>
      <c r="AX71" s="97"/>
      <c r="AY71" s="97"/>
      <c r="AZ71" s="97"/>
      <c r="BA71" s="24"/>
      <c r="BB71" s="9" t="s">
        <v>380</v>
      </c>
      <c r="BC71" s="98" t="s">
        <v>176</v>
      </c>
    </row>
    <row r="72" spans="1:55" ht="15" customHeight="1" x14ac:dyDescent="0.25">
      <c r="A72" s="88">
        <f t="shared" si="19"/>
        <v>70</v>
      </c>
      <c r="B72" s="77" t="s">
        <v>256</v>
      </c>
      <c r="C72" s="9"/>
      <c r="D72" s="78" t="s">
        <v>493</v>
      </c>
      <c r="E72" s="90" t="str">
        <f>_xlfn.IFNA(VLOOKUP($D72,'Route-Details'!$B$2:$X$1048576,'Node Details'!E$1,0),"")</f>
        <v>Airtel</v>
      </c>
      <c r="F72" s="90" t="str">
        <f>_xlfn.IFNA(VLOOKUP($D72,'Route-Details'!$B$2:$X$1048576,'Node Details'!F$1,0),"")</f>
        <v>PLAN OF AXY DARIA</v>
      </c>
      <c r="G72" s="90" t="str">
        <f>_xlfn.IFNA(VLOOKUP($D72,'Route-Details'!$B$2:$X$1048576,'Node Details'!G$1,0),"")</f>
        <v>Chandigarh</v>
      </c>
      <c r="H72" s="90" t="str">
        <f>_xlfn.IFNA(VLOOKUP($D73,'Route-Details'!$B$2:$X$1048576,'Node Details'!H$1,0),"")</f>
        <v>Punjab</v>
      </c>
      <c r="I72" s="90" t="str">
        <f>_xlfn.IFNA(VLOOKUP($D72,'Route-Details'!$B$2:$X$1048576,'Node Details'!I$1,0),"")</f>
        <v>AXY</v>
      </c>
      <c r="J72" s="90" t="str">
        <f>_xlfn.IFNA(VLOOKUP($D72,'Route-Details'!$B$2:$X$1048576,'Node Details'!J$1,0),"")</f>
        <v>AXY</v>
      </c>
      <c r="K72" s="78">
        <v>46112</v>
      </c>
      <c r="L72" s="78">
        <v>46113</v>
      </c>
      <c r="M72" s="91">
        <v>46125</v>
      </c>
      <c r="N72" s="78">
        <v>46112</v>
      </c>
      <c r="Q72" s="88" t="s">
        <v>173</v>
      </c>
      <c r="R72" s="92"/>
      <c r="S72" s="89"/>
      <c r="T72" s="89"/>
      <c r="U72" s="89"/>
      <c r="V72" s="95"/>
      <c r="W72" s="93"/>
      <c r="X72" s="89"/>
      <c r="Y72" s="94"/>
      <c r="Z72" s="92"/>
      <c r="AA72" s="95"/>
      <c r="AB72" s="89"/>
      <c r="AC72" s="93"/>
      <c r="AD72" s="92"/>
      <c r="AE72" s="88"/>
      <c r="AF72" s="84"/>
      <c r="AG72" s="24"/>
      <c r="AH72" s="95"/>
      <c r="AI72" s="89"/>
      <c r="AJ72" s="88"/>
      <c r="AK72" s="83"/>
      <c r="AL72" s="24"/>
      <c r="AM72" s="24"/>
      <c r="AN72" s="83"/>
      <c r="AO72" s="83"/>
      <c r="AP72" s="24"/>
      <c r="AQ72" s="95"/>
      <c r="AR72" s="96"/>
      <c r="AS72" s="84"/>
      <c r="AT72" s="84"/>
      <c r="AU72" s="24"/>
      <c r="AV72" s="95"/>
      <c r="AW72" s="96"/>
      <c r="AX72" s="97"/>
      <c r="AY72" s="97"/>
      <c r="AZ72" s="97"/>
      <c r="BA72" s="24"/>
      <c r="BB72" s="9" t="s">
        <v>381</v>
      </c>
      <c r="BC72" s="98" t="s">
        <v>176</v>
      </c>
    </row>
    <row r="73" spans="1:55" ht="15" customHeight="1" x14ac:dyDescent="0.25">
      <c r="A73" s="88">
        <f t="shared" si="19"/>
        <v>71</v>
      </c>
      <c r="B73" s="77" t="s">
        <v>257</v>
      </c>
      <c r="C73" s="9"/>
      <c r="D73" s="78" t="s">
        <v>493</v>
      </c>
      <c r="E73" s="90" t="str">
        <f>_xlfn.IFNA(VLOOKUP($D73,'Route-Details'!$B$2:$X$1048576,'Node Details'!E$1,0),"")</f>
        <v>Airtel</v>
      </c>
      <c r="F73" s="90" t="str">
        <f>_xlfn.IFNA(VLOOKUP($D73,'Route-Details'!$B$2:$X$1048576,'Node Details'!F$1,0),"")</f>
        <v>PLAN OF AXY DARIA</v>
      </c>
      <c r="G73" s="90" t="str">
        <f>_xlfn.IFNA(VLOOKUP($D73,'Route-Details'!$B$2:$X$1048576,'Node Details'!G$1,0),"")</f>
        <v>Chandigarh</v>
      </c>
      <c r="H73" s="90" t="str">
        <f>_xlfn.IFNA(VLOOKUP($D74,'Route-Details'!$B$2:$X$1048576,'Node Details'!H$1,0),"")</f>
        <v>Punjab</v>
      </c>
      <c r="I73" s="90" t="str">
        <f>_xlfn.IFNA(VLOOKUP($D73,'Route-Details'!$B$2:$X$1048576,'Node Details'!I$1,0),"")</f>
        <v>AXY</v>
      </c>
      <c r="J73" s="90" t="str">
        <f>_xlfn.IFNA(VLOOKUP($D73,'Route-Details'!$B$2:$X$1048576,'Node Details'!J$1,0),"")</f>
        <v>AXY</v>
      </c>
      <c r="K73" s="78">
        <v>46112</v>
      </c>
      <c r="L73" s="78">
        <v>46113</v>
      </c>
      <c r="M73" s="91">
        <v>46125</v>
      </c>
      <c r="N73" s="78">
        <v>46112</v>
      </c>
      <c r="Q73" s="88" t="s">
        <v>173</v>
      </c>
      <c r="R73" s="92"/>
      <c r="S73" s="89"/>
      <c r="T73" s="89"/>
      <c r="U73" s="89"/>
      <c r="V73" s="95"/>
      <c r="W73" s="93"/>
      <c r="X73" s="89"/>
      <c r="Y73" s="94"/>
      <c r="Z73" s="92"/>
      <c r="AA73" s="95"/>
      <c r="AB73" s="89"/>
      <c r="AC73" s="93"/>
      <c r="AD73" s="92"/>
      <c r="AE73" s="88"/>
      <c r="AF73" s="84"/>
      <c r="AG73" s="24"/>
      <c r="AH73" s="95"/>
      <c r="AI73" s="89"/>
      <c r="AJ73" s="88"/>
      <c r="AK73" s="83"/>
      <c r="AL73" s="24"/>
      <c r="AM73" s="24"/>
      <c r="AN73" s="83"/>
      <c r="AO73" s="83"/>
      <c r="AP73" s="24"/>
      <c r="AQ73" s="95"/>
      <c r="AR73" s="96"/>
      <c r="AS73" s="84"/>
      <c r="AT73" s="84"/>
      <c r="AU73" s="24"/>
      <c r="AV73" s="95"/>
      <c r="AW73" s="96"/>
      <c r="AX73" s="97"/>
      <c r="AY73" s="97"/>
      <c r="AZ73" s="97"/>
      <c r="BA73" s="24"/>
      <c r="BB73" s="9" t="s">
        <v>381</v>
      </c>
      <c r="BC73" s="98" t="s">
        <v>176</v>
      </c>
    </row>
    <row r="74" spans="1:55" ht="15" customHeight="1" x14ac:dyDescent="0.25">
      <c r="A74" s="88">
        <f t="shared" si="19"/>
        <v>72</v>
      </c>
      <c r="B74" s="77" t="s">
        <v>258</v>
      </c>
      <c r="C74" s="9"/>
      <c r="D74" s="78" t="s">
        <v>493</v>
      </c>
      <c r="E74" s="90" t="str">
        <f>_xlfn.IFNA(VLOOKUP($D74,'Route-Details'!$B$2:$X$1048576,'Node Details'!E$1,0),"")</f>
        <v>Airtel</v>
      </c>
      <c r="F74" s="90" t="str">
        <f>_xlfn.IFNA(VLOOKUP($D74,'Route-Details'!$B$2:$X$1048576,'Node Details'!F$1,0),"")</f>
        <v>PLAN OF AXY DARIA</v>
      </c>
      <c r="G74" s="90" t="str">
        <f>_xlfn.IFNA(VLOOKUP($D74,'Route-Details'!$B$2:$X$1048576,'Node Details'!G$1,0),"")</f>
        <v>Chandigarh</v>
      </c>
      <c r="H74" s="90" t="str">
        <f>_xlfn.IFNA(VLOOKUP($D75,'Route-Details'!$B$2:$X$1048576,'Node Details'!H$1,0),"")</f>
        <v>Punjab</v>
      </c>
      <c r="I74" s="90" t="str">
        <f>_xlfn.IFNA(VLOOKUP($D74,'Route-Details'!$B$2:$X$1048576,'Node Details'!I$1,0),"")</f>
        <v>AXY</v>
      </c>
      <c r="J74" s="90" t="str">
        <f>_xlfn.IFNA(VLOOKUP($D74,'Route-Details'!$B$2:$X$1048576,'Node Details'!J$1,0),"")</f>
        <v>AXY</v>
      </c>
      <c r="K74" s="78">
        <v>46112</v>
      </c>
      <c r="L74" s="78">
        <v>46113</v>
      </c>
      <c r="M74" s="91">
        <v>46125</v>
      </c>
      <c r="N74" s="78">
        <v>46112</v>
      </c>
      <c r="Q74" s="88" t="s">
        <v>173</v>
      </c>
      <c r="R74" s="92"/>
      <c r="S74" s="89"/>
      <c r="T74" s="89"/>
      <c r="U74" s="89"/>
      <c r="V74" s="95"/>
      <c r="W74" s="93"/>
      <c r="X74" s="89"/>
      <c r="Y74" s="94"/>
      <c r="Z74" s="92"/>
      <c r="AA74" s="95"/>
      <c r="AB74" s="89"/>
      <c r="AC74" s="93"/>
      <c r="AD74" s="92"/>
      <c r="AE74" s="88"/>
      <c r="AF74" s="84"/>
      <c r="AG74" s="24"/>
      <c r="AH74" s="95"/>
      <c r="AI74" s="89"/>
      <c r="AJ74" s="88"/>
      <c r="AK74" s="83"/>
      <c r="AL74" s="24"/>
      <c r="AM74" s="24"/>
      <c r="AN74" s="83"/>
      <c r="AO74" s="83"/>
      <c r="AP74" s="24"/>
      <c r="AQ74" s="95"/>
      <c r="AR74" s="96"/>
      <c r="AS74" s="84"/>
      <c r="AT74" s="84"/>
      <c r="AU74" s="24"/>
      <c r="AV74" s="95"/>
      <c r="AW74" s="96"/>
      <c r="AX74" s="97"/>
      <c r="AY74" s="97"/>
      <c r="AZ74" s="97"/>
      <c r="BA74" s="24"/>
      <c r="BB74" s="9" t="s">
        <v>381</v>
      </c>
      <c r="BC74" s="98" t="s">
        <v>176</v>
      </c>
    </row>
    <row r="75" spans="1:55" ht="15" customHeight="1" x14ac:dyDescent="0.25">
      <c r="A75" s="88">
        <f t="shared" si="19"/>
        <v>73</v>
      </c>
      <c r="B75" s="77" t="s">
        <v>259</v>
      </c>
      <c r="C75" s="9"/>
      <c r="D75" s="78" t="s">
        <v>460</v>
      </c>
      <c r="E75" s="90" t="str">
        <f>_xlfn.IFNA(VLOOKUP($D75,'Route-Details'!$B$2:$X$1048576,'Node Details'!E$1,0),"")</f>
        <v>Airtel</v>
      </c>
      <c r="F75" s="90" t="str">
        <f>_xlfn.IFNA(VLOOKUP($D75,'Route-Details'!$B$2:$X$1048576,'Node Details'!F$1,0),"")</f>
        <v>PLAN OF AXY DARIA</v>
      </c>
      <c r="G75" s="90" t="str">
        <f>_xlfn.IFNA(VLOOKUP($D75,'Route-Details'!$B$2:$X$1048576,'Node Details'!G$1,0),"")</f>
        <v>Chandigarh</v>
      </c>
      <c r="H75" s="90" t="str">
        <f>_xlfn.IFNA(VLOOKUP($D76,'Route-Details'!$B$2:$X$1048576,'Node Details'!H$1,0),"")</f>
        <v>Punjab</v>
      </c>
      <c r="I75" s="90" t="str">
        <f>_xlfn.IFNA(VLOOKUP($D75,'Route-Details'!$B$2:$X$1048576,'Node Details'!I$1,0),"")</f>
        <v>AXY</v>
      </c>
      <c r="J75" s="90" t="str">
        <f>_xlfn.IFNA(VLOOKUP($D75,'Route-Details'!$B$2:$X$1048576,'Node Details'!J$1,0),"")</f>
        <v>AXY</v>
      </c>
      <c r="K75" s="78">
        <v>46112</v>
      </c>
      <c r="L75" s="78">
        <v>46113</v>
      </c>
      <c r="M75" s="91">
        <v>46125</v>
      </c>
      <c r="N75" s="78">
        <v>46112</v>
      </c>
      <c r="Q75" s="88" t="s">
        <v>173</v>
      </c>
      <c r="R75" s="92"/>
      <c r="S75" s="89"/>
      <c r="T75" s="89"/>
      <c r="U75" s="89"/>
      <c r="V75" s="95"/>
      <c r="W75" s="93"/>
      <c r="X75" s="89"/>
      <c r="Y75" s="94"/>
      <c r="Z75" s="92"/>
      <c r="AA75" s="95"/>
      <c r="AB75" s="89"/>
      <c r="AC75" s="93"/>
      <c r="AD75" s="92"/>
      <c r="AE75" s="88"/>
      <c r="AF75" s="84"/>
      <c r="AG75" s="24"/>
      <c r="AH75" s="95"/>
      <c r="AI75" s="89"/>
      <c r="AJ75" s="88"/>
      <c r="AK75" s="83"/>
      <c r="AL75" s="24"/>
      <c r="AM75" s="24"/>
      <c r="AN75" s="83"/>
      <c r="AO75" s="83"/>
      <c r="AP75" s="24"/>
      <c r="AQ75" s="95"/>
      <c r="AR75" s="96"/>
      <c r="AS75" s="84"/>
      <c r="AT75" s="84"/>
      <c r="AU75" s="24"/>
      <c r="AV75" s="95"/>
      <c r="AW75" s="96"/>
      <c r="AX75" s="97"/>
      <c r="AY75" s="97"/>
      <c r="AZ75" s="97"/>
      <c r="BA75" s="24"/>
      <c r="BB75" s="9" t="s">
        <v>382</v>
      </c>
      <c r="BC75" s="98" t="s">
        <v>176</v>
      </c>
    </row>
    <row r="76" spans="1:55" ht="15" customHeight="1" x14ac:dyDescent="0.25">
      <c r="A76" s="88">
        <f t="shared" si="19"/>
        <v>74</v>
      </c>
      <c r="B76" s="77" t="s">
        <v>260</v>
      </c>
      <c r="C76" s="9"/>
      <c r="D76" s="78" t="s">
        <v>460</v>
      </c>
      <c r="E76" s="90" t="str">
        <f>_xlfn.IFNA(VLOOKUP($D76,'Route-Details'!$B$2:$X$1048576,'Node Details'!E$1,0),"")</f>
        <v>Airtel</v>
      </c>
      <c r="F76" s="90" t="str">
        <f>_xlfn.IFNA(VLOOKUP($D76,'Route-Details'!$B$2:$X$1048576,'Node Details'!F$1,0),"")</f>
        <v>PLAN OF AXY DARIA</v>
      </c>
      <c r="G76" s="90" t="str">
        <f>_xlfn.IFNA(VLOOKUP($D76,'Route-Details'!$B$2:$X$1048576,'Node Details'!G$1,0),"")</f>
        <v>Chandigarh</v>
      </c>
      <c r="H76" s="90" t="str">
        <f>_xlfn.IFNA(VLOOKUP($D77,'Route-Details'!$B$2:$X$1048576,'Node Details'!H$1,0),"")</f>
        <v>Punjab</v>
      </c>
      <c r="I76" s="90" t="str">
        <f>_xlfn.IFNA(VLOOKUP($D76,'Route-Details'!$B$2:$X$1048576,'Node Details'!I$1,0),"")</f>
        <v>AXY</v>
      </c>
      <c r="J76" s="90" t="str">
        <f>_xlfn.IFNA(VLOOKUP($D76,'Route-Details'!$B$2:$X$1048576,'Node Details'!J$1,0),"")</f>
        <v>AXY</v>
      </c>
      <c r="K76" s="78">
        <v>46112</v>
      </c>
      <c r="L76" s="78">
        <v>46113</v>
      </c>
      <c r="M76" s="91">
        <v>46125</v>
      </c>
      <c r="N76" s="78">
        <v>46112</v>
      </c>
      <c r="Q76" s="88" t="s">
        <v>173</v>
      </c>
      <c r="R76" s="92"/>
      <c r="S76" s="89"/>
      <c r="T76" s="89"/>
      <c r="U76" s="89"/>
      <c r="V76" s="95"/>
      <c r="W76" s="93"/>
      <c r="X76" s="89"/>
      <c r="Y76" s="94"/>
      <c r="Z76" s="92"/>
      <c r="AA76" s="95"/>
      <c r="AB76" s="89"/>
      <c r="AC76" s="93"/>
      <c r="AD76" s="92"/>
      <c r="AE76" s="88"/>
      <c r="AF76" s="84"/>
      <c r="AG76" s="24"/>
      <c r="AH76" s="95"/>
      <c r="AI76" s="89"/>
      <c r="AJ76" s="88"/>
      <c r="AK76" s="83"/>
      <c r="AL76" s="24"/>
      <c r="AM76" s="24"/>
      <c r="AN76" s="83"/>
      <c r="AO76" s="83"/>
      <c r="AP76" s="24"/>
      <c r="AQ76" s="95"/>
      <c r="AR76" s="96"/>
      <c r="AS76" s="84"/>
      <c r="AT76" s="84"/>
      <c r="AU76" s="24"/>
      <c r="AV76" s="95"/>
      <c r="AW76" s="96"/>
      <c r="AX76" s="97"/>
      <c r="AY76" s="97"/>
      <c r="AZ76" s="97"/>
      <c r="BA76" s="24"/>
      <c r="BB76" s="9" t="s">
        <v>382</v>
      </c>
      <c r="BC76" s="98" t="s">
        <v>176</v>
      </c>
    </row>
    <row r="77" spans="1:55" ht="15" customHeight="1" x14ac:dyDescent="0.25">
      <c r="A77" s="88">
        <f t="shared" si="19"/>
        <v>75</v>
      </c>
      <c r="B77" s="77" t="s">
        <v>261</v>
      </c>
      <c r="C77" s="9"/>
      <c r="D77" s="78" t="s">
        <v>460</v>
      </c>
      <c r="E77" s="90" t="str">
        <f>_xlfn.IFNA(VLOOKUP($D77,'Route-Details'!$B$2:$X$1048576,'Node Details'!E$1,0),"")</f>
        <v>Airtel</v>
      </c>
      <c r="F77" s="90" t="str">
        <f>_xlfn.IFNA(VLOOKUP($D77,'Route-Details'!$B$2:$X$1048576,'Node Details'!F$1,0),"")</f>
        <v>PLAN OF AXY DARIA</v>
      </c>
      <c r="G77" s="90" t="str">
        <f>_xlfn.IFNA(VLOOKUP($D77,'Route-Details'!$B$2:$X$1048576,'Node Details'!G$1,0),"")</f>
        <v>Chandigarh</v>
      </c>
      <c r="H77" s="90" t="str">
        <f>_xlfn.IFNA(VLOOKUP($D78,'Route-Details'!$B$2:$X$1048576,'Node Details'!H$1,0),"")</f>
        <v>Punjab</v>
      </c>
      <c r="I77" s="90" t="str">
        <f>_xlfn.IFNA(VLOOKUP($D77,'Route-Details'!$B$2:$X$1048576,'Node Details'!I$1,0),"")</f>
        <v>AXY</v>
      </c>
      <c r="J77" s="90" t="str">
        <f>_xlfn.IFNA(VLOOKUP($D77,'Route-Details'!$B$2:$X$1048576,'Node Details'!J$1,0),"")</f>
        <v>AXY</v>
      </c>
      <c r="K77" s="78">
        <v>46112</v>
      </c>
      <c r="L77" s="78">
        <v>46113</v>
      </c>
      <c r="M77" s="91">
        <v>46125</v>
      </c>
      <c r="N77" s="78">
        <v>46112</v>
      </c>
      <c r="Q77" s="88" t="s">
        <v>173</v>
      </c>
      <c r="R77" s="92"/>
      <c r="S77" s="89"/>
      <c r="T77" s="89"/>
      <c r="U77" s="89"/>
      <c r="V77" s="95"/>
      <c r="W77" s="93"/>
      <c r="X77" s="89"/>
      <c r="Y77" s="94"/>
      <c r="Z77" s="92"/>
      <c r="AA77" s="95"/>
      <c r="AB77" s="89"/>
      <c r="AC77" s="93"/>
      <c r="AD77" s="92"/>
      <c r="AE77" s="88"/>
      <c r="AF77" s="84"/>
      <c r="AG77" s="24"/>
      <c r="AH77" s="95"/>
      <c r="AI77" s="89"/>
      <c r="AJ77" s="88"/>
      <c r="AK77" s="83"/>
      <c r="AL77" s="24"/>
      <c r="AM77" s="24"/>
      <c r="AN77" s="83"/>
      <c r="AO77" s="83"/>
      <c r="AP77" s="24"/>
      <c r="AQ77" s="95"/>
      <c r="AR77" s="96"/>
      <c r="AS77" s="84"/>
      <c r="AT77" s="84"/>
      <c r="AU77" s="24"/>
      <c r="AV77" s="95"/>
      <c r="AW77" s="96"/>
      <c r="AX77" s="97"/>
      <c r="AY77" s="97"/>
      <c r="AZ77" s="97"/>
      <c r="BA77" s="24"/>
      <c r="BB77" s="9" t="s">
        <v>382</v>
      </c>
      <c r="BC77" s="98" t="s">
        <v>176</v>
      </c>
    </row>
    <row r="78" spans="1:55" ht="15" customHeight="1" x14ac:dyDescent="0.25">
      <c r="A78" s="88">
        <f t="shared" si="19"/>
        <v>76</v>
      </c>
      <c r="B78" s="77" t="s">
        <v>262</v>
      </c>
      <c r="C78" s="9"/>
      <c r="D78" s="78" t="s">
        <v>462</v>
      </c>
      <c r="E78" s="90" t="str">
        <f>_xlfn.IFNA(VLOOKUP($D78,'Route-Details'!$B$2:$X$1048576,'Node Details'!E$1,0),"")</f>
        <v>Airtel</v>
      </c>
      <c r="F78" s="90" t="str">
        <f>_xlfn.IFNA(VLOOKUP($D78,'Route-Details'!$B$2:$X$1048576,'Node Details'!F$1,0),"")</f>
        <v>PLAN OF AXY DARIA</v>
      </c>
      <c r="G78" s="90" t="str">
        <f>_xlfn.IFNA(VLOOKUP($D78,'Route-Details'!$B$2:$X$1048576,'Node Details'!G$1,0),"")</f>
        <v>Chandigarh</v>
      </c>
      <c r="H78" s="90" t="str">
        <f>_xlfn.IFNA(VLOOKUP($D79,'Route-Details'!$B$2:$X$1048576,'Node Details'!H$1,0),"")</f>
        <v>Punjab</v>
      </c>
      <c r="I78" s="90" t="str">
        <f>_xlfn.IFNA(VLOOKUP($D78,'Route-Details'!$B$2:$X$1048576,'Node Details'!I$1,0),"")</f>
        <v>AXY</v>
      </c>
      <c r="J78" s="90" t="str">
        <f>_xlfn.IFNA(VLOOKUP($D78,'Route-Details'!$B$2:$X$1048576,'Node Details'!J$1,0),"")</f>
        <v>AXY</v>
      </c>
      <c r="K78" s="78">
        <v>46112</v>
      </c>
      <c r="L78" s="78">
        <v>46113</v>
      </c>
      <c r="M78" s="91">
        <v>46125</v>
      </c>
      <c r="N78" s="78">
        <v>46112</v>
      </c>
      <c r="Q78" s="88" t="s">
        <v>173</v>
      </c>
      <c r="R78" s="92"/>
      <c r="S78" s="89"/>
      <c r="T78" s="89"/>
      <c r="U78" s="89"/>
      <c r="V78" s="95"/>
      <c r="W78" s="93"/>
      <c r="X78" s="89"/>
      <c r="Y78" s="94"/>
      <c r="Z78" s="92"/>
      <c r="AA78" s="95"/>
      <c r="AB78" s="89"/>
      <c r="AC78" s="93"/>
      <c r="AD78" s="92"/>
      <c r="AE78" s="88"/>
      <c r="AF78" s="84"/>
      <c r="AG78" s="24"/>
      <c r="AH78" s="95"/>
      <c r="AI78" s="89"/>
      <c r="AJ78" s="88"/>
      <c r="AK78" s="83"/>
      <c r="AL78" s="24"/>
      <c r="AM78" s="24"/>
      <c r="AN78" s="83"/>
      <c r="AO78" s="83"/>
      <c r="AP78" s="24"/>
      <c r="AQ78" s="95"/>
      <c r="AR78" s="96"/>
      <c r="AS78" s="84"/>
      <c r="AT78" s="84"/>
      <c r="AU78" s="24"/>
      <c r="AV78" s="95"/>
      <c r="AW78" s="96"/>
      <c r="AX78" s="97"/>
      <c r="AY78" s="97"/>
      <c r="AZ78" s="97"/>
      <c r="BA78" s="24"/>
      <c r="BB78" s="9" t="s">
        <v>190</v>
      </c>
      <c r="BC78" s="98" t="s">
        <v>176</v>
      </c>
    </row>
    <row r="79" spans="1:55" ht="15" customHeight="1" x14ac:dyDescent="0.25">
      <c r="A79" s="88">
        <f t="shared" si="19"/>
        <v>77</v>
      </c>
      <c r="B79" s="77" t="s">
        <v>263</v>
      </c>
      <c r="C79" s="9"/>
      <c r="D79" s="78" t="s">
        <v>494</v>
      </c>
      <c r="E79" s="90" t="str">
        <f>_xlfn.IFNA(VLOOKUP($D79,'Route-Details'!$B$2:$X$1048576,'Node Details'!E$1,0),"")</f>
        <v>Airtel</v>
      </c>
      <c r="F79" s="90" t="str">
        <f>_xlfn.IFNA(VLOOKUP($D79,'Route-Details'!$B$2:$X$1048576,'Node Details'!F$1,0),"")</f>
        <v>PLAN OF AXY DARIA</v>
      </c>
      <c r="G79" s="90" t="str">
        <f>_xlfn.IFNA(VLOOKUP($D79,'Route-Details'!$B$2:$X$1048576,'Node Details'!G$1,0),"")</f>
        <v>Chandigarh</v>
      </c>
      <c r="H79" s="90" t="str">
        <f>_xlfn.IFNA(VLOOKUP($D80,'Route-Details'!$B$2:$X$1048576,'Node Details'!H$1,0),"")</f>
        <v>Punjab</v>
      </c>
      <c r="I79" s="90" t="str">
        <f>_xlfn.IFNA(VLOOKUP($D79,'Route-Details'!$B$2:$X$1048576,'Node Details'!I$1,0),"")</f>
        <v>AXY</v>
      </c>
      <c r="J79" s="90" t="str">
        <f>_xlfn.IFNA(VLOOKUP($D79,'Route-Details'!$B$2:$X$1048576,'Node Details'!J$1,0),"")</f>
        <v>AXY</v>
      </c>
      <c r="K79" s="78">
        <v>46112</v>
      </c>
      <c r="L79" s="78">
        <v>46113</v>
      </c>
      <c r="M79" s="91">
        <v>46125</v>
      </c>
      <c r="N79" s="78">
        <v>46112</v>
      </c>
      <c r="Q79" s="88" t="s">
        <v>173</v>
      </c>
      <c r="R79" s="92"/>
      <c r="S79" s="89"/>
      <c r="T79" s="89"/>
      <c r="U79" s="89"/>
      <c r="V79" s="95"/>
      <c r="W79" s="93"/>
      <c r="X79" s="89"/>
      <c r="Y79" s="94"/>
      <c r="Z79" s="92"/>
      <c r="AA79" s="95"/>
      <c r="AB79" s="89"/>
      <c r="AC79" s="93"/>
      <c r="AD79" s="92"/>
      <c r="AE79" s="88"/>
      <c r="AF79" s="84"/>
      <c r="AG79" s="24"/>
      <c r="AH79" s="95"/>
      <c r="AI79" s="89"/>
      <c r="AJ79" s="88"/>
      <c r="AK79" s="83"/>
      <c r="AL79" s="24"/>
      <c r="AM79" s="24"/>
      <c r="AN79" s="83"/>
      <c r="AO79" s="83"/>
      <c r="AP79" s="24"/>
      <c r="AQ79" s="95"/>
      <c r="AR79" s="96"/>
      <c r="AS79" s="84"/>
      <c r="AT79" s="84"/>
      <c r="AU79" s="24"/>
      <c r="AV79" s="95"/>
      <c r="AW79" s="96"/>
      <c r="AX79" s="97"/>
      <c r="AY79" s="97"/>
      <c r="AZ79" s="97"/>
      <c r="BA79" s="24"/>
      <c r="BB79" s="9" t="s">
        <v>383</v>
      </c>
      <c r="BC79" s="98" t="s">
        <v>176</v>
      </c>
    </row>
    <row r="80" spans="1:55" ht="15" customHeight="1" x14ac:dyDescent="0.25">
      <c r="A80" s="88">
        <f t="shared" si="19"/>
        <v>78</v>
      </c>
      <c r="B80" s="77" t="s">
        <v>264</v>
      </c>
      <c r="C80" s="9"/>
      <c r="D80" s="78" t="s">
        <v>494</v>
      </c>
      <c r="E80" s="90" t="str">
        <f>_xlfn.IFNA(VLOOKUP($D80,'Route-Details'!$B$2:$X$1048576,'Node Details'!E$1,0),"")</f>
        <v>Airtel</v>
      </c>
      <c r="F80" s="90" t="str">
        <f>_xlfn.IFNA(VLOOKUP($D80,'Route-Details'!$B$2:$X$1048576,'Node Details'!F$1,0),"")</f>
        <v>PLAN OF AXY DARIA</v>
      </c>
      <c r="G80" s="90" t="str">
        <f>_xlfn.IFNA(VLOOKUP($D80,'Route-Details'!$B$2:$X$1048576,'Node Details'!G$1,0),"")</f>
        <v>Chandigarh</v>
      </c>
      <c r="H80" s="90" t="str">
        <f>_xlfn.IFNA(VLOOKUP($D81,'Route-Details'!$B$2:$X$1048576,'Node Details'!H$1,0),"")</f>
        <v>Punjab</v>
      </c>
      <c r="I80" s="90" t="str">
        <f>_xlfn.IFNA(VLOOKUP($D80,'Route-Details'!$B$2:$X$1048576,'Node Details'!I$1,0),"")</f>
        <v>AXY</v>
      </c>
      <c r="J80" s="90" t="str">
        <f>_xlfn.IFNA(VLOOKUP($D80,'Route-Details'!$B$2:$X$1048576,'Node Details'!J$1,0),"")</f>
        <v>AXY</v>
      </c>
      <c r="K80" s="78">
        <v>46112</v>
      </c>
      <c r="L80" s="78">
        <v>46113</v>
      </c>
      <c r="M80" s="91">
        <v>46125</v>
      </c>
      <c r="N80" s="78">
        <v>46112</v>
      </c>
      <c r="Q80" s="88" t="s">
        <v>173</v>
      </c>
      <c r="R80" s="92"/>
      <c r="S80" s="89"/>
      <c r="T80" s="89"/>
      <c r="U80" s="89"/>
      <c r="V80" s="95"/>
      <c r="W80" s="93"/>
      <c r="X80" s="89"/>
      <c r="Y80" s="94"/>
      <c r="Z80" s="92"/>
      <c r="AA80" s="95"/>
      <c r="AB80" s="89"/>
      <c r="AC80" s="93"/>
      <c r="AD80" s="92"/>
      <c r="AE80" s="88"/>
      <c r="AF80" s="84"/>
      <c r="AG80" s="24"/>
      <c r="AH80" s="95"/>
      <c r="AI80" s="89"/>
      <c r="AJ80" s="88"/>
      <c r="AK80" s="83"/>
      <c r="AL80" s="24"/>
      <c r="AM80" s="24"/>
      <c r="AN80" s="83"/>
      <c r="AO80" s="83"/>
      <c r="AP80" s="24"/>
      <c r="AQ80" s="95"/>
      <c r="AR80" s="96"/>
      <c r="AS80" s="84"/>
      <c r="AT80" s="84"/>
      <c r="AU80" s="24"/>
      <c r="AV80" s="95"/>
      <c r="AW80" s="96"/>
      <c r="AX80" s="97"/>
      <c r="AY80" s="97"/>
      <c r="AZ80" s="97"/>
      <c r="BA80" s="24"/>
      <c r="BB80" s="9" t="s">
        <v>383</v>
      </c>
      <c r="BC80" s="98" t="s">
        <v>176</v>
      </c>
    </row>
    <row r="81" spans="1:55" ht="15" customHeight="1" x14ac:dyDescent="0.25">
      <c r="A81" s="88">
        <f t="shared" si="19"/>
        <v>79</v>
      </c>
      <c r="B81" s="77" t="s">
        <v>265</v>
      </c>
      <c r="C81" s="9"/>
      <c r="D81" s="78" t="s">
        <v>495</v>
      </c>
      <c r="E81" s="90" t="str">
        <f>_xlfn.IFNA(VLOOKUP($D81,'Route-Details'!$B$2:$X$1048576,'Node Details'!E$1,0),"")</f>
        <v>Airtel</v>
      </c>
      <c r="F81" s="90" t="str">
        <f>_xlfn.IFNA(VLOOKUP($D81,'Route-Details'!$B$2:$X$1048576,'Node Details'!F$1,0),"")</f>
        <v>PLAN OF AXY DARIA</v>
      </c>
      <c r="G81" s="90" t="str">
        <f>_xlfn.IFNA(VLOOKUP($D81,'Route-Details'!$B$2:$X$1048576,'Node Details'!G$1,0),"")</f>
        <v>Chandigarh</v>
      </c>
      <c r="H81" s="90" t="str">
        <f>_xlfn.IFNA(VLOOKUP($D82,'Route-Details'!$B$2:$X$1048576,'Node Details'!H$1,0),"")</f>
        <v>Punjab</v>
      </c>
      <c r="I81" s="90" t="str">
        <f>_xlfn.IFNA(VLOOKUP($D81,'Route-Details'!$B$2:$X$1048576,'Node Details'!I$1,0),"")</f>
        <v>AXY</v>
      </c>
      <c r="J81" s="90" t="str">
        <f>_xlfn.IFNA(VLOOKUP($D81,'Route-Details'!$B$2:$X$1048576,'Node Details'!J$1,0),"")</f>
        <v>AXY</v>
      </c>
      <c r="K81" s="78">
        <v>46112</v>
      </c>
      <c r="L81" s="78">
        <v>46113</v>
      </c>
      <c r="M81" s="91">
        <v>46125</v>
      </c>
      <c r="N81" s="78">
        <v>46112</v>
      </c>
      <c r="Q81" s="88" t="s">
        <v>173</v>
      </c>
      <c r="R81" s="92"/>
      <c r="S81" s="89"/>
      <c r="T81" s="89"/>
      <c r="U81" s="89"/>
      <c r="V81" s="95"/>
      <c r="W81" s="93"/>
      <c r="X81" s="89"/>
      <c r="Y81" s="94"/>
      <c r="Z81" s="92"/>
      <c r="AA81" s="95"/>
      <c r="AB81" s="89"/>
      <c r="AC81" s="93"/>
      <c r="AD81" s="92"/>
      <c r="AE81" s="88"/>
      <c r="AF81" s="84"/>
      <c r="AG81" s="24"/>
      <c r="AH81" s="95"/>
      <c r="AI81" s="89"/>
      <c r="AJ81" s="88"/>
      <c r="AK81" s="83"/>
      <c r="AL81" s="24"/>
      <c r="AM81" s="24"/>
      <c r="AN81" s="83"/>
      <c r="AO81" s="83"/>
      <c r="AP81" s="24"/>
      <c r="AQ81" s="95"/>
      <c r="AR81" s="96"/>
      <c r="AS81" s="84"/>
      <c r="AT81" s="84"/>
      <c r="AU81" s="24"/>
      <c r="AV81" s="95"/>
      <c r="AW81" s="96"/>
      <c r="AX81" s="97"/>
      <c r="AY81" s="97"/>
      <c r="AZ81" s="97"/>
      <c r="BA81" s="24"/>
      <c r="BB81" s="9" t="s">
        <v>384</v>
      </c>
      <c r="BC81" s="98" t="s">
        <v>176</v>
      </c>
    </row>
    <row r="82" spans="1:55" ht="15" customHeight="1" x14ac:dyDescent="0.25">
      <c r="A82" s="88">
        <f t="shared" si="19"/>
        <v>80</v>
      </c>
      <c r="B82" s="77" t="s">
        <v>266</v>
      </c>
      <c r="C82" s="9"/>
      <c r="D82" s="78" t="s">
        <v>495</v>
      </c>
      <c r="E82" s="90" t="str">
        <f>_xlfn.IFNA(VLOOKUP($D82,'Route-Details'!$B$2:$X$1048576,'Node Details'!E$1,0),"")</f>
        <v>Airtel</v>
      </c>
      <c r="F82" s="90" t="str">
        <f>_xlfn.IFNA(VLOOKUP($D82,'Route-Details'!$B$2:$X$1048576,'Node Details'!F$1,0),"")</f>
        <v>PLAN OF AXY DARIA</v>
      </c>
      <c r="G82" s="90" t="str">
        <f>_xlfn.IFNA(VLOOKUP($D82,'Route-Details'!$B$2:$X$1048576,'Node Details'!G$1,0),"")</f>
        <v>Chandigarh</v>
      </c>
      <c r="H82" s="90" t="str">
        <f>_xlfn.IFNA(VLOOKUP($D83,'Route-Details'!$B$2:$X$1048576,'Node Details'!H$1,0),"")</f>
        <v>Punjab</v>
      </c>
      <c r="I82" s="90" t="str">
        <f>_xlfn.IFNA(VLOOKUP($D82,'Route-Details'!$B$2:$X$1048576,'Node Details'!I$1,0),"")</f>
        <v>AXY</v>
      </c>
      <c r="J82" s="90" t="str">
        <f>_xlfn.IFNA(VLOOKUP($D82,'Route-Details'!$B$2:$X$1048576,'Node Details'!J$1,0),"")</f>
        <v>AXY</v>
      </c>
      <c r="K82" s="78">
        <v>46112</v>
      </c>
      <c r="L82" s="78">
        <v>46113</v>
      </c>
      <c r="M82" s="91">
        <v>46125</v>
      </c>
      <c r="N82" s="78">
        <v>46112</v>
      </c>
      <c r="Q82" s="88" t="s">
        <v>173</v>
      </c>
      <c r="R82" s="92"/>
      <c r="S82" s="89"/>
      <c r="T82" s="89"/>
      <c r="U82" s="89"/>
      <c r="V82" s="95"/>
      <c r="W82" s="93"/>
      <c r="X82" s="89"/>
      <c r="Y82" s="94"/>
      <c r="Z82" s="92"/>
      <c r="AA82" s="95"/>
      <c r="AB82" s="89"/>
      <c r="AC82" s="93"/>
      <c r="AD82" s="92"/>
      <c r="AE82" s="88"/>
      <c r="AF82" s="84"/>
      <c r="AG82" s="24"/>
      <c r="AH82" s="95"/>
      <c r="AI82" s="89"/>
      <c r="AJ82" s="88"/>
      <c r="AK82" s="83"/>
      <c r="AL82" s="24"/>
      <c r="AM82" s="24"/>
      <c r="AN82" s="83"/>
      <c r="AO82" s="83"/>
      <c r="AP82" s="24"/>
      <c r="AQ82" s="95"/>
      <c r="AR82" s="96"/>
      <c r="AS82" s="84"/>
      <c r="AT82" s="84"/>
      <c r="AU82" s="24"/>
      <c r="AV82" s="95"/>
      <c r="AW82" s="96"/>
      <c r="AX82" s="97"/>
      <c r="AY82" s="97"/>
      <c r="AZ82" s="97"/>
      <c r="BA82" s="24"/>
      <c r="BB82" s="9" t="s">
        <v>384</v>
      </c>
      <c r="BC82" s="98" t="s">
        <v>176</v>
      </c>
    </row>
    <row r="83" spans="1:55" ht="15" customHeight="1" x14ac:dyDescent="0.25">
      <c r="A83" s="88">
        <f t="shared" si="19"/>
        <v>81</v>
      </c>
      <c r="B83" s="77" t="s">
        <v>267</v>
      </c>
      <c r="C83" s="9"/>
      <c r="D83" s="78" t="s">
        <v>495</v>
      </c>
      <c r="E83" s="90" t="str">
        <f>_xlfn.IFNA(VLOOKUP($D83,'Route-Details'!$B$2:$X$1048576,'Node Details'!E$1,0),"")</f>
        <v>Airtel</v>
      </c>
      <c r="F83" s="90" t="str">
        <f>_xlfn.IFNA(VLOOKUP($D83,'Route-Details'!$B$2:$X$1048576,'Node Details'!F$1,0),"")</f>
        <v>PLAN OF AXY DARIA</v>
      </c>
      <c r="G83" s="90" t="str">
        <f>_xlfn.IFNA(VLOOKUP($D83,'Route-Details'!$B$2:$X$1048576,'Node Details'!G$1,0),"")</f>
        <v>Chandigarh</v>
      </c>
      <c r="H83" s="90" t="str">
        <f>_xlfn.IFNA(VLOOKUP($D84,'Route-Details'!$B$2:$X$1048576,'Node Details'!H$1,0),"")</f>
        <v>Punjab</v>
      </c>
      <c r="I83" s="90" t="str">
        <f>_xlfn.IFNA(VLOOKUP($D83,'Route-Details'!$B$2:$X$1048576,'Node Details'!I$1,0),"")</f>
        <v>AXY</v>
      </c>
      <c r="J83" s="90" t="str">
        <f>_xlfn.IFNA(VLOOKUP($D83,'Route-Details'!$B$2:$X$1048576,'Node Details'!J$1,0),"")</f>
        <v>AXY</v>
      </c>
      <c r="K83" s="78">
        <v>46112</v>
      </c>
      <c r="L83" s="78">
        <v>46113</v>
      </c>
      <c r="M83" s="91">
        <v>46125</v>
      </c>
      <c r="N83" s="78">
        <v>46112</v>
      </c>
      <c r="Q83" s="88" t="s">
        <v>173</v>
      </c>
      <c r="R83" s="92"/>
      <c r="S83" s="89"/>
      <c r="T83" s="89"/>
      <c r="U83" s="89"/>
      <c r="V83" s="95"/>
      <c r="W83" s="93"/>
      <c r="X83" s="89"/>
      <c r="Y83" s="94"/>
      <c r="Z83" s="92"/>
      <c r="AA83" s="95"/>
      <c r="AB83" s="89"/>
      <c r="AC83" s="93"/>
      <c r="AD83" s="92"/>
      <c r="AE83" s="88"/>
      <c r="AF83" s="84"/>
      <c r="AG83" s="24"/>
      <c r="AH83" s="95"/>
      <c r="AI83" s="89"/>
      <c r="AJ83" s="88"/>
      <c r="AK83" s="83"/>
      <c r="AL83" s="24"/>
      <c r="AM83" s="24"/>
      <c r="AN83" s="83"/>
      <c r="AO83" s="83"/>
      <c r="AP83" s="24"/>
      <c r="AQ83" s="95"/>
      <c r="AR83" s="96"/>
      <c r="AS83" s="84"/>
      <c r="AT83" s="84"/>
      <c r="AU83" s="24"/>
      <c r="AV83" s="95"/>
      <c r="AW83" s="96"/>
      <c r="AX83" s="97"/>
      <c r="AY83" s="97"/>
      <c r="AZ83" s="97"/>
      <c r="BA83" s="24"/>
      <c r="BB83" s="9" t="s">
        <v>384</v>
      </c>
      <c r="BC83" s="98" t="s">
        <v>176</v>
      </c>
    </row>
    <row r="84" spans="1:55" ht="15" customHeight="1" x14ac:dyDescent="0.25">
      <c r="A84" s="88">
        <f t="shared" si="19"/>
        <v>82</v>
      </c>
      <c r="B84" s="77" t="s">
        <v>268</v>
      </c>
      <c r="C84" s="9"/>
      <c r="D84" s="78" t="s">
        <v>496</v>
      </c>
      <c r="E84" s="90" t="str">
        <f>_xlfn.IFNA(VLOOKUP($D84,'Route-Details'!$B$2:$X$1048576,'Node Details'!E$1,0),"")</f>
        <v>Airtel</v>
      </c>
      <c r="F84" s="90" t="str">
        <f>_xlfn.IFNA(VLOOKUP($D84,'Route-Details'!$B$2:$X$1048576,'Node Details'!F$1,0),"")</f>
        <v>PLAN OF AXY DARIA</v>
      </c>
      <c r="G84" s="90" t="str">
        <f>_xlfn.IFNA(VLOOKUP($D84,'Route-Details'!$B$2:$X$1048576,'Node Details'!G$1,0),"")</f>
        <v>Chandigarh</v>
      </c>
      <c r="H84" s="90" t="str">
        <f>_xlfn.IFNA(VLOOKUP($D85,'Route-Details'!$B$2:$X$1048576,'Node Details'!H$1,0),"")</f>
        <v>Punjab</v>
      </c>
      <c r="I84" s="90" t="str">
        <f>_xlfn.IFNA(VLOOKUP($D84,'Route-Details'!$B$2:$X$1048576,'Node Details'!I$1,0),"")</f>
        <v>AXY</v>
      </c>
      <c r="J84" s="90" t="str">
        <f>_xlfn.IFNA(VLOOKUP($D84,'Route-Details'!$B$2:$X$1048576,'Node Details'!J$1,0),"")</f>
        <v>AXY</v>
      </c>
      <c r="K84" s="78">
        <v>46112</v>
      </c>
      <c r="L84" s="78">
        <v>46113</v>
      </c>
      <c r="M84" s="91">
        <v>46125</v>
      </c>
      <c r="N84" s="78">
        <v>46112</v>
      </c>
      <c r="Q84" s="88" t="s">
        <v>173</v>
      </c>
      <c r="R84" s="92"/>
      <c r="S84" s="89"/>
      <c r="T84" s="89"/>
      <c r="U84" s="89"/>
      <c r="V84" s="95"/>
      <c r="W84" s="93"/>
      <c r="X84" s="89"/>
      <c r="Y84" s="94"/>
      <c r="Z84" s="92"/>
      <c r="AA84" s="95"/>
      <c r="AB84" s="89"/>
      <c r="AC84" s="93"/>
      <c r="AD84" s="92"/>
      <c r="AE84" s="88"/>
      <c r="AF84" s="84"/>
      <c r="AG84" s="24"/>
      <c r="AH84" s="95"/>
      <c r="AI84" s="89"/>
      <c r="AJ84" s="88"/>
      <c r="AK84" s="83"/>
      <c r="AL84" s="24"/>
      <c r="AM84" s="24"/>
      <c r="AN84" s="83"/>
      <c r="AO84" s="83"/>
      <c r="AP84" s="24"/>
      <c r="AQ84" s="95"/>
      <c r="AR84" s="96"/>
      <c r="AS84" s="84"/>
      <c r="AT84" s="84"/>
      <c r="AU84" s="24"/>
      <c r="AV84" s="95"/>
      <c r="AW84" s="96"/>
      <c r="AX84" s="97"/>
      <c r="AY84" s="97"/>
      <c r="AZ84" s="97"/>
      <c r="BA84" s="24"/>
      <c r="BB84" s="9" t="s">
        <v>385</v>
      </c>
      <c r="BC84" s="98" t="s">
        <v>176</v>
      </c>
    </row>
    <row r="85" spans="1:55" ht="15" customHeight="1" x14ac:dyDescent="0.25">
      <c r="A85" s="88">
        <f t="shared" si="19"/>
        <v>83</v>
      </c>
      <c r="B85" s="77" t="s">
        <v>269</v>
      </c>
      <c r="C85" s="9"/>
      <c r="D85" s="78" t="s">
        <v>496</v>
      </c>
      <c r="E85" s="90" t="str">
        <f>_xlfn.IFNA(VLOOKUP($D85,'Route-Details'!$B$2:$X$1048576,'Node Details'!E$1,0),"")</f>
        <v>Airtel</v>
      </c>
      <c r="F85" s="90" t="str">
        <f>_xlfn.IFNA(VLOOKUP($D85,'Route-Details'!$B$2:$X$1048576,'Node Details'!F$1,0),"")</f>
        <v>PLAN OF AXY DARIA</v>
      </c>
      <c r="G85" s="90" t="str">
        <f>_xlfn.IFNA(VLOOKUP($D85,'Route-Details'!$B$2:$X$1048576,'Node Details'!G$1,0),"")</f>
        <v>Chandigarh</v>
      </c>
      <c r="H85" s="90" t="str">
        <f>_xlfn.IFNA(VLOOKUP($D86,'Route-Details'!$B$2:$X$1048576,'Node Details'!H$1,0),"")</f>
        <v>Punjab</v>
      </c>
      <c r="I85" s="90" t="str">
        <f>_xlfn.IFNA(VLOOKUP($D85,'Route-Details'!$B$2:$X$1048576,'Node Details'!I$1,0),"")</f>
        <v>AXY</v>
      </c>
      <c r="J85" s="90" t="str">
        <f>_xlfn.IFNA(VLOOKUP($D85,'Route-Details'!$B$2:$X$1048576,'Node Details'!J$1,0),"")</f>
        <v>AXY</v>
      </c>
      <c r="K85" s="78">
        <v>46112</v>
      </c>
      <c r="L85" s="78">
        <v>46113</v>
      </c>
      <c r="M85" s="91">
        <v>46125</v>
      </c>
      <c r="N85" s="78">
        <v>46112</v>
      </c>
      <c r="Q85" s="88" t="s">
        <v>173</v>
      </c>
      <c r="R85" s="92"/>
      <c r="S85" s="89"/>
      <c r="T85" s="89"/>
      <c r="U85" s="89"/>
      <c r="V85" s="95"/>
      <c r="W85" s="93"/>
      <c r="X85" s="89"/>
      <c r="Y85" s="94"/>
      <c r="Z85" s="92"/>
      <c r="AA85" s="95"/>
      <c r="AB85" s="89"/>
      <c r="AC85" s="93"/>
      <c r="AD85" s="92"/>
      <c r="AE85" s="88"/>
      <c r="AF85" s="84"/>
      <c r="AG85" s="24"/>
      <c r="AH85" s="95"/>
      <c r="AI85" s="89"/>
      <c r="AJ85" s="88"/>
      <c r="AK85" s="83"/>
      <c r="AL85" s="24"/>
      <c r="AM85" s="24"/>
      <c r="AN85" s="83"/>
      <c r="AO85" s="83"/>
      <c r="AP85" s="24"/>
      <c r="AQ85" s="95"/>
      <c r="AR85" s="96"/>
      <c r="AS85" s="84"/>
      <c r="AT85" s="84"/>
      <c r="AU85" s="24"/>
      <c r="AV85" s="95"/>
      <c r="AW85" s="96"/>
      <c r="AX85" s="97"/>
      <c r="AY85" s="97"/>
      <c r="AZ85" s="97"/>
      <c r="BA85" s="24"/>
      <c r="BB85" s="9" t="s">
        <v>385</v>
      </c>
      <c r="BC85" s="98" t="s">
        <v>176</v>
      </c>
    </row>
    <row r="86" spans="1:55" ht="15" customHeight="1" x14ac:dyDescent="0.25">
      <c r="A86" s="88">
        <f t="shared" si="19"/>
        <v>84</v>
      </c>
      <c r="B86" s="77" t="s">
        <v>270</v>
      </c>
      <c r="C86" s="9"/>
      <c r="D86" s="78" t="s">
        <v>496</v>
      </c>
      <c r="E86" s="90" t="str">
        <f>_xlfn.IFNA(VLOOKUP($D86,'Route-Details'!$B$2:$X$1048576,'Node Details'!E$1,0),"")</f>
        <v>Airtel</v>
      </c>
      <c r="F86" s="90" t="str">
        <f>_xlfn.IFNA(VLOOKUP($D86,'Route-Details'!$B$2:$X$1048576,'Node Details'!F$1,0),"")</f>
        <v>PLAN OF AXY DARIA</v>
      </c>
      <c r="G86" s="90" t="str">
        <f>_xlfn.IFNA(VLOOKUP($D86,'Route-Details'!$B$2:$X$1048576,'Node Details'!G$1,0),"")</f>
        <v>Chandigarh</v>
      </c>
      <c r="H86" s="90" t="str">
        <f>_xlfn.IFNA(VLOOKUP($D87,'Route-Details'!$B$2:$X$1048576,'Node Details'!H$1,0),"")</f>
        <v>Punjab</v>
      </c>
      <c r="I86" s="90" t="str">
        <f>_xlfn.IFNA(VLOOKUP($D86,'Route-Details'!$B$2:$X$1048576,'Node Details'!I$1,0),"")</f>
        <v>AXY</v>
      </c>
      <c r="J86" s="90" t="str">
        <f>_xlfn.IFNA(VLOOKUP($D86,'Route-Details'!$B$2:$X$1048576,'Node Details'!J$1,0),"")</f>
        <v>AXY</v>
      </c>
      <c r="K86" s="78">
        <v>46112</v>
      </c>
      <c r="L86" s="78">
        <v>46113</v>
      </c>
      <c r="M86" s="91">
        <v>46125</v>
      </c>
      <c r="N86" s="78">
        <v>46112</v>
      </c>
      <c r="Q86" s="88" t="s">
        <v>173</v>
      </c>
      <c r="R86" s="92"/>
      <c r="S86" s="89"/>
      <c r="T86" s="89"/>
      <c r="U86" s="89"/>
      <c r="V86" s="95"/>
      <c r="W86" s="93"/>
      <c r="X86" s="89"/>
      <c r="Y86" s="94"/>
      <c r="Z86" s="92"/>
      <c r="AA86" s="95"/>
      <c r="AB86" s="89"/>
      <c r="AC86" s="93"/>
      <c r="AD86" s="92"/>
      <c r="AE86" s="88"/>
      <c r="AF86" s="84"/>
      <c r="AG86" s="24"/>
      <c r="AH86" s="95"/>
      <c r="AI86" s="89"/>
      <c r="AJ86" s="88"/>
      <c r="AK86" s="83"/>
      <c r="AL86" s="24"/>
      <c r="AM86" s="24"/>
      <c r="AN86" s="83"/>
      <c r="AO86" s="83"/>
      <c r="AP86" s="24"/>
      <c r="AQ86" s="95"/>
      <c r="AR86" s="96"/>
      <c r="AS86" s="84"/>
      <c r="AT86" s="84"/>
      <c r="AU86" s="24"/>
      <c r="AV86" s="95"/>
      <c r="AW86" s="96"/>
      <c r="AX86" s="97"/>
      <c r="AY86" s="97"/>
      <c r="AZ86" s="97"/>
      <c r="BA86" s="24"/>
      <c r="BB86" s="9" t="s">
        <v>385</v>
      </c>
      <c r="BC86" s="98" t="s">
        <v>176</v>
      </c>
    </row>
    <row r="87" spans="1:55" ht="15" customHeight="1" x14ac:dyDescent="0.25">
      <c r="A87" s="88">
        <f t="shared" si="19"/>
        <v>85</v>
      </c>
      <c r="B87" s="77" t="s">
        <v>271</v>
      </c>
      <c r="C87" s="9"/>
      <c r="D87" s="78" t="s">
        <v>496</v>
      </c>
      <c r="E87" s="90" t="str">
        <f>_xlfn.IFNA(VLOOKUP($D87,'Route-Details'!$B$2:$X$1048576,'Node Details'!E$1,0),"")</f>
        <v>Airtel</v>
      </c>
      <c r="F87" s="90" t="str">
        <f>_xlfn.IFNA(VLOOKUP($D87,'Route-Details'!$B$2:$X$1048576,'Node Details'!F$1,0),"")</f>
        <v>PLAN OF AXY DARIA</v>
      </c>
      <c r="G87" s="90" t="str">
        <f>_xlfn.IFNA(VLOOKUP($D87,'Route-Details'!$B$2:$X$1048576,'Node Details'!G$1,0),"")</f>
        <v>Chandigarh</v>
      </c>
      <c r="H87" s="90" t="str">
        <f>_xlfn.IFNA(VLOOKUP($D88,'Route-Details'!$B$2:$X$1048576,'Node Details'!H$1,0),"")</f>
        <v>Punjab</v>
      </c>
      <c r="I87" s="90" t="str">
        <f>_xlfn.IFNA(VLOOKUP($D87,'Route-Details'!$B$2:$X$1048576,'Node Details'!I$1,0),"")</f>
        <v>AXY</v>
      </c>
      <c r="J87" s="90" t="str">
        <f>_xlfn.IFNA(VLOOKUP($D87,'Route-Details'!$B$2:$X$1048576,'Node Details'!J$1,0),"")</f>
        <v>AXY</v>
      </c>
      <c r="K87" s="78">
        <v>46112</v>
      </c>
      <c r="L87" s="78">
        <v>46113</v>
      </c>
      <c r="M87" s="91">
        <v>46125</v>
      </c>
      <c r="N87" s="78">
        <v>46112</v>
      </c>
      <c r="Q87" s="88" t="s">
        <v>173</v>
      </c>
      <c r="R87" s="92"/>
      <c r="S87" s="89"/>
      <c r="T87" s="89"/>
      <c r="U87" s="89"/>
      <c r="V87" s="95"/>
      <c r="W87" s="93"/>
      <c r="X87" s="89"/>
      <c r="Y87" s="94"/>
      <c r="Z87" s="92"/>
      <c r="AA87" s="95"/>
      <c r="AB87" s="89"/>
      <c r="AC87" s="93"/>
      <c r="AD87" s="92"/>
      <c r="AE87" s="88"/>
      <c r="AF87" s="84"/>
      <c r="AG87" s="24"/>
      <c r="AH87" s="95"/>
      <c r="AI87" s="89"/>
      <c r="AJ87" s="88"/>
      <c r="AK87" s="83"/>
      <c r="AL87" s="24"/>
      <c r="AM87" s="24"/>
      <c r="AN87" s="83"/>
      <c r="AO87" s="83"/>
      <c r="AP87" s="24"/>
      <c r="AQ87" s="95"/>
      <c r="AR87" s="96"/>
      <c r="AS87" s="84"/>
      <c r="AT87" s="84"/>
      <c r="AU87" s="24"/>
      <c r="AV87" s="95"/>
      <c r="AW87" s="96"/>
      <c r="AX87" s="97"/>
      <c r="AY87" s="97"/>
      <c r="AZ87" s="97"/>
      <c r="BA87" s="24"/>
      <c r="BB87" s="9" t="s">
        <v>385</v>
      </c>
      <c r="BC87" s="98" t="s">
        <v>176</v>
      </c>
    </row>
    <row r="88" spans="1:55" ht="15" customHeight="1" x14ac:dyDescent="0.25">
      <c r="A88" s="88">
        <f t="shared" si="19"/>
        <v>86</v>
      </c>
      <c r="B88" s="77" t="s">
        <v>272</v>
      </c>
      <c r="C88" s="9"/>
      <c r="D88" s="78" t="s">
        <v>462</v>
      </c>
      <c r="E88" s="90" t="str">
        <f>_xlfn.IFNA(VLOOKUP($D88,'Route-Details'!$B$2:$X$1048576,'Node Details'!E$1,0),"")</f>
        <v>Airtel</v>
      </c>
      <c r="F88" s="90" t="str">
        <f>_xlfn.IFNA(VLOOKUP($D88,'Route-Details'!$B$2:$X$1048576,'Node Details'!F$1,0),"")</f>
        <v>PLAN OF AXY DARIA</v>
      </c>
      <c r="G88" s="90" t="str">
        <f>_xlfn.IFNA(VLOOKUP($D88,'Route-Details'!$B$2:$X$1048576,'Node Details'!G$1,0),"")</f>
        <v>Chandigarh</v>
      </c>
      <c r="H88" s="90" t="str">
        <f>_xlfn.IFNA(VLOOKUP($D89,'Route-Details'!$B$2:$X$1048576,'Node Details'!H$1,0),"")</f>
        <v>Punjab</v>
      </c>
      <c r="I88" s="90" t="str">
        <f>_xlfn.IFNA(VLOOKUP($D88,'Route-Details'!$B$2:$X$1048576,'Node Details'!I$1,0),"")</f>
        <v>AXY</v>
      </c>
      <c r="J88" s="90" t="str">
        <f>_xlfn.IFNA(VLOOKUP($D88,'Route-Details'!$B$2:$X$1048576,'Node Details'!J$1,0),"")</f>
        <v>AXY</v>
      </c>
      <c r="K88" s="78">
        <v>46112</v>
      </c>
      <c r="L88" s="78">
        <v>46113</v>
      </c>
      <c r="M88" s="91">
        <v>46125</v>
      </c>
      <c r="N88" s="78">
        <v>46112</v>
      </c>
      <c r="Q88" s="88" t="s">
        <v>173</v>
      </c>
      <c r="R88" s="92"/>
      <c r="S88" s="89"/>
      <c r="T88" s="89"/>
      <c r="U88" s="89"/>
      <c r="V88" s="95"/>
      <c r="W88" s="93"/>
      <c r="X88" s="89"/>
      <c r="Y88" s="94"/>
      <c r="Z88" s="92"/>
      <c r="AA88" s="95"/>
      <c r="AB88" s="89"/>
      <c r="AC88" s="93"/>
      <c r="AD88" s="92"/>
      <c r="AE88" s="88"/>
      <c r="AF88" s="84"/>
      <c r="AG88" s="24"/>
      <c r="AH88" s="95"/>
      <c r="AI88" s="89"/>
      <c r="AJ88" s="88"/>
      <c r="AK88" s="83"/>
      <c r="AL88" s="24"/>
      <c r="AM88" s="24"/>
      <c r="AN88" s="83"/>
      <c r="AO88" s="83"/>
      <c r="AP88" s="24"/>
      <c r="AQ88" s="95"/>
      <c r="AR88" s="96"/>
      <c r="AS88" s="84"/>
      <c r="AT88" s="84"/>
      <c r="AU88" s="24"/>
      <c r="AV88" s="95"/>
      <c r="AW88" s="96"/>
      <c r="AX88" s="97"/>
      <c r="AY88" s="97"/>
      <c r="AZ88" s="97"/>
      <c r="BA88" s="24"/>
      <c r="BB88" s="9" t="s">
        <v>190</v>
      </c>
      <c r="BC88" s="98" t="s">
        <v>176</v>
      </c>
    </row>
    <row r="89" spans="1:55" ht="15" customHeight="1" x14ac:dyDescent="0.25">
      <c r="A89" s="88">
        <f t="shared" si="19"/>
        <v>87</v>
      </c>
      <c r="B89" s="77" t="s">
        <v>273</v>
      </c>
      <c r="C89" s="9"/>
      <c r="D89" s="78" t="s">
        <v>497</v>
      </c>
      <c r="E89" s="90" t="str">
        <f>_xlfn.IFNA(VLOOKUP($D89,'Route-Details'!$B$2:$X$1048576,'Node Details'!E$1,0),"")</f>
        <v>Airtel</v>
      </c>
      <c r="F89" s="90" t="str">
        <f>_xlfn.IFNA(VLOOKUP($D89,'Route-Details'!$B$2:$X$1048576,'Node Details'!F$1,0),"")</f>
        <v>PLAN OF AXY DARIA</v>
      </c>
      <c r="G89" s="90" t="str">
        <f>_xlfn.IFNA(VLOOKUP($D89,'Route-Details'!$B$2:$X$1048576,'Node Details'!G$1,0),"")</f>
        <v>Chandigarh</v>
      </c>
      <c r="H89" s="90" t="str">
        <f>_xlfn.IFNA(VLOOKUP($D90,'Route-Details'!$B$2:$X$1048576,'Node Details'!H$1,0),"")</f>
        <v>Punjab</v>
      </c>
      <c r="I89" s="90" t="str">
        <f>_xlfn.IFNA(VLOOKUP($D89,'Route-Details'!$B$2:$X$1048576,'Node Details'!I$1,0),"")</f>
        <v>AXY</v>
      </c>
      <c r="J89" s="90" t="str">
        <f>_xlfn.IFNA(VLOOKUP($D89,'Route-Details'!$B$2:$X$1048576,'Node Details'!J$1,0),"")</f>
        <v>AXY</v>
      </c>
      <c r="K89" s="78">
        <v>46112</v>
      </c>
      <c r="L89" s="78">
        <v>46113</v>
      </c>
      <c r="M89" s="91">
        <v>46125</v>
      </c>
      <c r="N89" s="78">
        <v>46112</v>
      </c>
      <c r="Q89" s="88" t="s">
        <v>173</v>
      </c>
      <c r="R89" s="92"/>
      <c r="S89" s="89"/>
      <c r="T89" s="89"/>
      <c r="U89" s="89"/>
      <c r="V89" s="95"/>
      <c r="W89" s="93"/>
      <c r="X89" s="89"/>
      <c r="Y89" s="94"/>
      <c r="Z89" s="92"/>
      <c r="AA89" s="95"/>
      <c r="AB89" s="89"/>
      <c r="AC89" s="93"/>
      <c r="AD89" s="92"/>
      <c r="AE89" s="88"/>
      <c r="AF89" s="84"/>
      <c r="AG89" s="24"/>
      <c r="AH89" s="95"/>
      <c r="AI89" s="89"/>
      <c r="AJ89" s="88"/>
      <c r="AK89" s="83"/>
      <c r="AL89" s="24"/>
      <c r="AM89" s="24"/>
      <c r="AN89" s="83"/>
      <c r="AO89" s="83"/>
      <c r="AP89" s="24"/>
      <c r="AQ89" s="95"/>
      <c r="AR89" s="96"/>
      <c r="AS89" s="84"/>
      <c r="AT89" s="84"/>
      <c r="AU89" s="24"/>
      <c r="AV89" s="95"/>
      <c r="AW89" s="96"/>
      <c r="AX89" s="97"/>
      <c r="AY89" s="97"/>
      <c r="AZ89" s="97"/>
      <c r="BA89" s="24"/>
      <c r="BB89" s="9" t="s">
        <v>386</v>
      </c>
      <c r="BC89" s="98" t="s">
        <v>176</v>
      </c>
    </row>
    <row r="90" spans="1:55" ht="15" customHeight="1" x14ac:dyDescent="0.25">
      <c r="A90" s="88">
        <f t="shared" si="19"/>
        <v>88</v>
      </c>
      <c r="B90" s="77" t="s">
        <v>274</v>
      </c>
      <c r="C90" s="9"/>
      <c r="D90" s="78" t="s">
        <v>498</v>
      </c>
      <c r="E90" s="90" t="str">
        <f>_xlfn.IFNA(VLOOKUP($D90,'Route-Details'!$B$2:$X$1048576,'Node Details'!E$1,0),"")</f>
        <v>Airtel</v>
      </c>
      <c r="F90" s="90" t="str">
        <f>_xlfn.IFNA(VLOOKUP($D90,'Route-Details'!$B$2:$X$1048576,'Node Details'!F$1,0),"")</f>
        <v>PLAN OF AXY DARIA</v>
      </c>
      <c r="G90" s="90" t="str">
        <f>_xlfn.IFNA(VLOOKUP($D90,'Route-Details'!$B$2:$X$1048576,'Node Details'!G$1,0),"")</f>
        <v>Chandigarh</v>
      </c>
      <c r="H90" s="90" t="str">
        <f>_xlfn.IFNA(VLOOKUP($D91,'Route-Details'!$B$2:$X$1048576,'Node Details'!H$1,0),"")</f>
        <v>Punjab</v>
      </c>
      <c r="I90" s="90" t="str">
        <f>_xlfn.IFNA(VLOOKUP($D90,'Route-Details'!$B$2:$X$1048576,'Node Details'!I$1,0),"")</f>
        <v>AXY</v>
      </c>
      <c r="J90" s="90" t="str">
        <f>_xlfn.IFNA(VLOOKUP($D90,'Route-Details'!$B$2:$X$1048576,'Node Details'!J$1,0),"")</f>
        <v>AXY</v>
      </c>
      <c r="K90" s="78">
        <v>46112</v>
      </c>
      <c r="L90" s="78">
        <v>46113</v>
      </c>
      <c r="M90" s="91">
        <v>46125</v>
      </c>
      <c r="N90" s="78">
        <v>46112</v>
      </c>
      <c r="Q90" s="88" t="s">
        <v>173</v>
      </c>
      <c r="R90" s="92"/>
      <c r="S90" s="89"/>
      <c r="T90" s="89"/>
      <c r="U90" s="89"/>
      <c r="V90" s="95"/>
      <c r="W90" s="93"/>
      <c r="X90" s="89"/>
      <c r="Y90" s="94"/>
      <c r="Z90" s="92"/>
      <c r="AA90" s="95"/>
      <c r="AB90" s="89"/>
      <c r="AC90" s="93"/>
      <c r="AD90" s="92"/>
      <c r="AE90" s="88"/>
      <c r="AF90" s="84"/>
      <c r="AG90" s="24"/>
      <c r="AH90" s="95"/>
      <c r="AI90" s="89"/>
      <c r="AJ90" s="88"/>
      <c r="AK90" s="83"/>
      <c r="AL90" s="24"/>
      <c r="AM90" s="24"/>
      <c r="AN90" s="83"/>
      <c r="AO90" s="83"/>
      <c r="AP90" s="24"/>
      <c r="AQ90" s="95"/>
      <c r="AR90" s="96"/>
      <c r="AS90" s="84"/>
      <c r="AT90" s="84"/>
      <c r="AU90" s="24"/>
      <c r="AV90" s="95"/>
      <c r="AW90" s="96"/>
      <c r="AX90" s="97"/>
      <c r="AY90" s="97"/>
      <c r="AZ90" s="97"/>
      <c r="BA90" s="24"/>
      <c r="BB90" s="9" t="s">
        <v>387</v>
      </c>
      <c r="BC90" s="98" t="s">
        <v>176</v>
      </c>
    </row>
    <row r="91" spans="1:55" ht="15" customHeight="1" x14ac:dyDescent="0.25">
      <c r="A91" s="88">
        <f t="shared" si="19"/>
        <v>89</v>
      </c>
      <c r="B91" s="77" t="s">
        <v>275</v>
      </c>
      <c r="C91" s="9"/>
      <c r="D91" s="78" t="s">
        <v>499</v>
      </c>
      <c r="E91" s="90" t="str">
        <f>_xlfn.IFNA(VLOOKUP($D91,'Route-Details'!$B$2:$X$1048576,'Node Details'!E$1,0),"")</f>
        <v>Airtel</v>
      </c>
      <c r="F91" s="90" t="str">
        <f>_xlfn.IFNA(VLOOKUP($D91,'Route-Details'!$B$2:$X$1048576,'Node Details'!F$1,0),"")</f>
        <v>PLAN OF AXY DARIA</v>
      </c>
      <c r="G91" s="90" t="str">
        <f>_xlfn.IFNA(VLOOKUP($D91,'Route-Details'!$B$2:$X$1048576,'Node Details'!G$1,0),"")</f>
        <v>Chandigarh</v>
      </c>
      <c r="H91" s="90" t="str">
        <f>_xlfn.IFNA(VLOOKUP($D92,'Route-Details'!$B$2:$X$1048576,'Node Details'!H$1,0),"")</f>
        <v>Punjab</v>
      </c>
      <c r="I91" s="90" t="str">
        <f>_xlfn.IFNA(VLOOKUP($D91,'Route-Details'!$B$2:$X$1048576,'Node Details'!I$1,0),"")</f>
        <v>AXY</v>
      </c>
      <c r="J91" s="90" t="str">
        <f>_xlfn.IFNA(VLOOKUP($D91,'Route-Details'!$B$2:$X$1048576,'Node Details'!J$1,0),"")</f>
        <v>AXY</v>
      </c>
      <c r="K91" s="78">
        <v>46112</v>
      </c>
      <c r="L91" s="78">
        <v>46113</v>
      </c>
      <c r="M91" s="91">
        <v>46125</v>
      </c>
      <c r="N91" s="78">
        <v>46112</v>
      </c>
      <c r="Q91" s="88" t="s">
        <v>173</v>
      </c>
      <c r="R91" s="92"/>
      <c r="S91" s="89"/>
      <c r="T91" s="89"/>
      <c r="U91" s="89"/>
      <c r="V91" s="95"/>
      <c r="W91" s="93"/>
      <c r="X91" s="89"/>
      <c r="Y91" s="94"/>
      <c r="Z91" s="92"/>
      <c r="AA91" s="95"/>
      <c r="AB91" s="89"/>
      <c r="AC91" s="93"/>
      <c r="AD91" s="92"/>
      <c r="AE91" s="88"/>
      <c r="AF91" s="84"/>
      <c r="AG91" s="24"/>
      <c r="AH91" s="95"/>
      <c r="AI91" s="89"/>
      <c r="AJ91" s="88"/>
      <c r="AK91" s="83"/>
      <c r="AL91" s="24"/>
      <c r="AM91" s="24"/>
      <c r="AN91" s="83"/>
      <c r="AO91" s="83"/>
      <c r="AP91" s="24"/>
      <c r="AQ91" s="95"/>
      <c r="AR91" s="96"/>
      <c r="AS91" s="84"/>
      <c r="AT91" s="84"/>
      <c r="AU91" s="24"/>
      <c r="AV91" s="95"/>
      <c r="AW91" s="96"/>
      <c r="AX91" s="97"/>
      <c r="AY91" s="97"/>
      <c r="AZ91" s="97"/>
      <c r="BA91" s="24"/>
      <c r="BB91" s="9" t="s">
        <v>388</v>
      </c>
      <c r="BC91" s="98" t="s">
        <v>176</v>
      </c>
    </row>
    <row r="92" spans="1:55" ht="15" customHeight="1" x14ac:dyDescent="0.25">
      <c r="A92" s="88">
        <f t="shared" si="19"/>
        <v>90</v>
      </c>
      <c r="B92" s="77" t="s">
        <v>276</v>
      </c>
      <c r="C92" s="9"/>
      <c r="D92" s="78" t="s">
        <v>499</v>
      </c>
      <c r="E92" s="90" t="str">
        <f>_xlfn.IFNA(VLOOKUP($D92,'Route-Details'!$B$2:$X$1048576,'Node Details'!E$1,0),"")</f>
        <v>Airtel</v>
      </c>
      <c r="F92" s="90" t="str">
        <f>_xlfn.IFNA(VLOOKUP($D92,'Route-Details'!$B$2:$X$1048576,'Node Details'!F$1,0),"")</f>
        <v>PLAN OF AXY DARIA</v>
      </c>
      <c r="G92" s="90" t="str">
        <f>_xlfn.IFNA(VLOOKUP($D92,'Route-Details'!$B$2:$X$1048576,'Node Details'!G$1,0),"")</f>
        <v>Chandigarh</v>
      </c>
      <c r="H92" s="90" t="str">
        <f>_xlfn.IFNA(VLOOKUP($D93,'Route-Details'!$B$2:$X$1048576,'Node Details'!H$1,0),"")</f>
        <v>Punjab</v>
      </c>
      <c r="I92" s="90" t="str">
        <f>_xlfn.IFNA(VLOOKUP($D92,'Route-Details'!$B$2:$X$1048576,'Node Details'!I$1,0),"")</f>
        <v>AXY</v>
      </c>
      <c r="J92" s="90" t="str">
        <f>_xlfn.IFNA(VLOOKUP($D92,'Route-Details'!$B$2:$X$1048576,'Node Details'!J$1,0),"")</f>
        <v>AXY</v>
      </c>
      <c r="K92" s="78">
        <v>46112</v>
      </c>
      <c r="L92" s="78">
        <v>46113</v>
      </c>
      <c r="M92" s="91">
        <v>46125</v>
      </c>
      <c r="N92" s="78">
        <v>46112</v>
      </c>
      <c r="Q92" s="88" t="s">
        <v>173</v>
      </c>
      <c r="R92" s="92"/>
      <c r="S92" s="89"/>
      <c r="T92" s="89"/>
      <c r="U92" s="89"/>
      <c r="V92" s="95"/>
      <c r="W92" s="93"/>
      <c r="X92" s="89"/>
      <c r="Y92" s="94"/>
      <c r="Z92" s="92"/>
      <c r="AA92" s="95"/>
      <c r="AB92" s="89"/>
      <c r="AC92" s="93"/>
      <c r="AD92" s="92"/>
      <c r="AE92" s="88"/>
      <c r="AF92" s="84"/>
      <c r="AG92" s="24"/>
      <c r="AH92" s="95"/>
      <c r="AI92" s="89"/>
      <c r="AJ92" s="88"/>
      <c r="AK92" s="83"/>
      <c r="AL92" s="24"/>
      <c r="AM92" s="24"/>
      <c r="AN92" s="83"/>
      <c r="AO92" s="83"/>
      <c r="AP92" s="24"/>
      <c r="AQ92" s="95"/>
      <c r="AR92" s="96"/>
      <c r="AS92" s="84"/>
      <c r="AT92" s="84"/>
      <c r="AU92" s="24"/>
      <c r="AV92" s="95"/>
      <c r="AW92" s="96"/>
      <c r="AX92" s="97"/>
      <c r="AY92" s="97"/>
      <c r="AZ92" s="97"/>
      <c r="BA92" s="24"/>
      <c r="BB92" s="9" t="s">
        <v>388</v>
      </c>
      <c r="BC92" s="98" t="s">
        <v>176</v>
      </c>
    </row>
    <row r="93" spans="1:55" ht="15" customHeight="1" x14ac:dyDescent="0.25">
      <c r="A93" s="88">
        <f t="shared" si="19"/>
        <v>91</v>
      </c>
      <c r="B93" s="77" t="s">
        <v>277</v>
      </c>
      <c r="C93" s="9"/>
      <c r="D93" s="78" t="s">
        <v>499</v>
      </c>
      <c r="E93" s="90" t="str">
        <f>_xlfn.IFNA(VLOOKUP($D93,'Route-Details'!$B$2:$X$1048576,'Node Details'!E$1,0),"")</f>
        <v>Airtel</v>
      </c>
      <c r="F93" s="90" t="str">
        <f>_xlfn.IFNA(VLOOKUP($D93,'Route-Details'!$B$2:$X$1048576,'Node Details'!F$1,0),"")</f>
        <v>PLAN OF AXY DARIA</v>
      </c>
      <c r="G93" s="90" t="str">
        <f>_xlfn.IFNA(VLOOKUP($D93,'Route-Details'!$B$2:$X$1048576,'Node Details'!G$1,0),"")</f>
        <v>Chandigarh</v>
      </c>
      <c r="H93" s="90" t="str">
        <f>_xlfn.IFNA(VLOOKUP($D94,'Route-Details'!$B$2:$X$1048576,'Node Details'!H$1,0),"")</f>
        <v>Punjab</v>
      </c>
      <c r="I93" s="90" t="str">
        <f>_xlfn.IFNA(VLOOKUP($D93,'Route-Details'!$B$2:$X$1048576,'Node Details'!I$1,0),"")</f>
        <v>AXY</v>
      </c>
      <c r="J93" s="90" t="str">
        <f>_xlfn.IFNA(VLOOKUP($D93,'Route-Details'!$B$2:$X$1048576,'Node Details'!J$1,0),"")</f>
        <v>AXY</v>
      </c>
      <c r="K93" s="78">
        <v>46112</v>
      </c>
      <c r="L93" s="78">
        <v>46113</v>
      </c>
      <c r="M93" s="91">
        <v>46125</v>
      </c>
      <c r="N93" s="78">
        <v>46112</v>
      </c>
      <c r="Q93" s="88" t="s">
        <v>173</v>
      </c>
      <c r="R93" s="92"/>
      <c r="S93" s="89"/>
      <c r="T93" s="89"/>
      <c r="U93" s="89"/>
      <c r="V93" s="95"/>
      <c r="W93" s="93"/>
      <c r="X93" s="89"/>
      <c r="Y93" s="94"/>
      <c r="Z93" s="92"/>
      <c r="AA93" s="95"/>
      <c r="AB93" s="89"/>
      <c r="AC93" s="93"/>
      <c r="AD93" s="92"/>
      <c r="AE93" s="88"/>
      <c r="AF93" s="84"/>
      <c r="AG93" s="24"/>
      <c r="AH93" s="95"/>
      <c r="AI93" s="89"/>
      <c r="AJ93" s="88"/>
      <c r="AK93" s="83"/>
      <c r="AL93" s="24"/>
      <c r="AM93" s="24"/>
      <c r="AN93" s="83"/>
      <c r="AO93" s="83"/>
      <c r="AP93" s="24"/>
      <c r="AQ93" s="95"/>
      <c r="AR93" s="96"/>
      <c r="AS93" s="84"/>
      <c r="AT93" s="84"/>
      <c r="AU93" s="24"/>
      <c r="AV93" s="95"/>
      <c r="AW93" s="96"/>
      <c r="AX93" s="97"/>
      <c r="AY93" s="97"/>
      <c r="AZ93" s="97"/>
      <c r="BA93" s="24"/>
      <c r="BB93" s="9" t="s">
        <v>388</v>
      </c>
      <c r="BC93" s="98" t="s">
        <v>176</v>
      </c>
    </row>
    <row r="94" spans="1:55" ht="15" customHeight="1" x14ac:dyDescent="0.25">
      <c r="A94" s="88">
        <f t="shared" si="19"/>
        <v>92</v>
      </c>
      <c r="B94" s="77" t="s">
        <v>278</v>
      </c>
      <c r="C94" s="9"/>
      <c r="D94" s="78" t="s">
        <v>462</v>
      </c>
      <c r="E94" s="90" t="str">
        <f>_xlfn.IFNA(VLOOKUP($D94,'Route-Details'!$B$2:$X$1048576,'Node Details'!E$1,0),"")</f>
        <v>Airtel</v>
      </c>
      <c r="F94" s="90" t="str">
        <f>_xlfn.IFNA(VLOOKUP($D94,'Route-Details'!$B$2:$X$1048576,'Node Details'!F$1,0),"")</f>
        <v>PLAN OF AXY DARIA</v>
      </c>
      <c r="G94" s="90" t="str">
        <f>_xlfn.IFNA(VLOOKUP($D94,'Route-Details'!$B$2:$X$1048576,'Node Details'!G$1,0),"")</f>
        <v>Chandigarh</v>
      </c>
      <c r="H94" s="90" t="str">
        <f>_xlfn.IFNA(VLOOKUP($D95,'Route-Details'!$B$2:$X$1048576,'Node Details'!H$1,0),"")</f>
        <v>Punjab</v>
      </c>
      <c r="I94" s="90" t="str">
        <f>_xlfn.IFNA(VLOOKUP($D94,'Route-Details'!$B$2:$X$1048576,'Node Details'!I$1,0),"")</f>
        <v>AXY</v>
      </c>
      <c r="J94" s="90" t="str">
        <f>_xlfn.IFNA(VLOOKUP($D94,'Route-Details'!$B$2:$X$1048576,'Node Details'!J$1,0),"")</f>
        <v>AXY</v>
      </c>
      <c r="K94" s="78">
        <v>46112</v>
      </c>
      <c r="L94" s="78">
        <v>46113</v>
      </c>
      <c r="M94" s="91">
        <v>46125</v>
      </c>
      <c r="N94" s="78">
        <v>46112</v>
      </c>
      <c r="Q94" s="88" t="s">
        <v>173</v>
      </c>
      <c r="R94" s="92"/>
      <c r="S94" s="89"/>
      <c r="T94" s="89"/>
      <c r="U94" s="89"/>
      <c r="V94" s="95"/>
      <c r="W94" s="93"/>
      <c r="X94" s="89"/>
      <c r="Y94" s="94"/>
      <c r="Z94" s="92"/>
      <c r="AA94" s="95"/>
      <c r="AB94" s="89"/>
      <c r="AC94" s="93"/>
      <c r="AD94" s="92"/>
      <c r="AE94" s="88"/>
      <c r="AF94" s="84"/>
      <c r="AG94" s="24"/>
      <c r="AH94" s="95"/>
      <c r="AI94" s="89"/>
      <c r="AJ94" s="88"/>
      <c r="AK94" s="83"/>
      <c r="AL94" s="24"/>
      <c r="AM94" s="24"/>
      <c r="AN94" s="83"/>
      <c r="AO94" s="83"/>
      <c r="AP94" s="24"/>
      <c r="AQ94" s="95"/>
      <c r="AR94" s="96"/>
      <c r="AS94" s="84"/>
      <c r="AT94" s="84"/>
      <c r="AU94" s="24"/>
      <c r="AV94" s="95"/>
      <c r="AW94" s="96"/>
      <c r="AX94" s="97"/>
      <c r="AY94" s="97"/>
      <c r="AZ94" s="97"/>
      <c r="BA94" s="24"/>
      <c r="BB94" s="9" t="s">
        <v>190</v>
      </c>
      <c r="BC94" s="98" t="s">
        <v>176</v>
      </c>
    </row>
    <row r="95" spans="1:55" ht="15" customHeight="1" x14ac:dyDescent="0.25">
      <c r="A95" s="88">
        <f t="shared" si="19"/>
        <v>93</v>
      </c>
      <c r="B95" s="77" t="s">
        <v>279</v>
      </c>
      <c r="C95" s="9"/>
      <c r="D95" s="78" t="s">
        <v>502</v>
      </c>
      <c r="E95" s="90" t="str">
        <f>_xlfn.IFNA(VLOOKUP($D95,'Route-Details'!$B$2:$X$1048576,'Node Details'!E$1,0),"")</f>
        <v>Airtel</v>
      </c>
      <c r="F95" s="90" t="str">
        <f>_xlfn.IFNA(VLOOKUP($D95,'Route-Details'!$B$2:$X$1048576,'Node Details'!F$1,0),"")</f>
        <v>PLAN OF AXY DARIA</v>
      </c>
      <c r="G95" s="90" t="str">
        <f>_xlfn.IFNA(VLOOKUP($D95,'Route-Details'!$B$2:$X$1048576,'Node Details'!G$1,0),"")</f>
        <v>Chandigarh</v>
      </c>
      <c r="H95" s="90" t="str">
        <f>_xlfn.IFNA(VLOOKUP($D96,'Route-Details'!$B$2:$X$1048576,'Node Details'!H$1,0),"")</f>
        <v>Punjab</v>
      </c>
      <c r="I95" s="90" t="str">
        <f>_xlfn.IFNA(VLOOKUP($D95,'Route-Details'!$B$2:$X$1048576,'Node Details'!I$1,0),"")</f>
        <v>AXY</v>
      </c>
      <c r="J95" s="90" t="str">
        <f>_xlfn.IFNA(VLOOKUP($D95,'Route-Details'!$B$2:$X$1048576,'Node Details'!J$1,0),"")</f>
        <v>AXY</v>
      </c>
      <c r="K95" s="78">
        <v>46112</v>
      </c>
      <c r="L95" s="78">
        <v>46113</v>
      </c>
      <c r="M95" s="91">
        <v>46125</v>
      </c>
      <c r="N95" s="78">
        <v>46112</v>
      </c>
      <c r="Q95" s="88" t="s">
        <v>173</v>
      </c>
      <c r="R95" s="92"/>
      <c r="S95" s="89"/>
      <c r="T95" s="89"/>
      <c r="U95" s="89"/>
      <c r="V95" s="95"/>
      <c r="W95" s="93"/>
      <c r="X95" s="89"/>
      <c r="Y95" s="94"/>
      <c r="Z95" s="92"/>
      <c r="AA95" s="95"/>
      <c r="AB95" s="89"/>
      <c r="AC95" s="93"/>
      <c r="AD95" s="92"/>
      <c r="AE95" s="88"/>
      <c r="AF95" s="84"/>
      <c r="AG95" s="24"/>
      <c r="AH95" s="95"/>
      <c r="AI95" s="89"/>
      <c r="AJ95" s="88"/>
      <c r="AK95" s="83"/>
      <c r="AL95" s="24"/>
      <c r="AM95" s="24"/>
      <c r="AN95" s="83"/>
      <c r="AO95" s="83"/>
      <c r="AP95" s="24"/>
      <c r="AQ95" s="95"/>
      <c r="AR95" s="96"/>
      <c r="AS95" s="84"/>
      <c r="AT95" s="84"/>
      <c r="AU95" s="24"/>
      <c r="AV95" s="95"/>
      <c r="AW95" s="96"/>
      <c r="AX95" s="97"/>
      <c r="AY95" s="97"/>
      <c r="AZ95" s="97"/>
      <c r="BA95" s="24"/>
      <c r="BB95" s="9" t="s">
        <v>391</v>
      </c>
      <c r="BC95" s="98" t="s">
        <v>176</v>
      </c>
    </row>
    <row r="96" spans="1:55" ht="15" customHeight="1" x14ac:dyDescent="0.25">
      <c r="A96" s="88">
        <f t="shared" si="19"/>
        <v>94</v>
      </c>
      <c r="B96" s="77" t="s">
        <v>280</v>
      </c>
      <c r="C96" s="9"/>
      <c r="D96" s="78" t="s">
        <v>503</v>
      </c>
      <c r="E96" s="90" t="str">
        <f>_xlfn.IFNA(VLOOKUP($D96,'Route-Details'!$B$2:$X$1048576,'Node Details'!E$1,0),"")</f>
        <v>Airtel</v>
      </c>
      <c r="F96" s="90" t="str">
        <f>_xlfn.IFNA(VLOOKUP($D96,'Route-Details'!$B$2:$X$1048576,'Node Details'!F$1,0),"")</f>
        <v>PLAN OF AXY DARIA</v>
      </c>
      <c r="G96" s="90" t="str">
        <f>_xlfn.IFNA(VLOOKUP($D96,'Route-Details'!$B$2:$X$1048576,'Node Details'!G$1,0),"")</f>
        <v>Chandigarh</v>
      </c>
      <c r="H96" s="90" t="str">
        <f>_xlfn.IFNA(VLOOKUP($D97,'Route-Details'!$B$2:$X$1048576,'Node Details'!H$1,0),"")</f>
        <v>Punjab</v>
      </c>
      <c r="I96" s="90" t="str">
        <f>_xlfn.IFNA(VLOOKUP($D96,'Route-Details'!$B$2:$X$1048576,'Node Details'!I$1,0),"")</f>
        <v>AXY</v>
      </c>
      <c r="J96" s="90" t="str">
        <f>_xlfn.IFNA(VLOOKUP($D96,'Route-Details'!$B$2:$X$1048576,'Node Details'!J$1,0),"")</f>
        <v>AXY</v>
      </c>
      <c r="K96" s="78">
        <v>46112</v>
      </c>
      <c r="L96" s="78">
        <v>46113</v>
      </c>
      <c r="M96" s="91">
        <v>46125</v>
      </c>
      <c r="N96" s="78">
        <v>46112</v>
      </c>
      <c r="Q96" s="88" t="s">
        <v>173</v>
      </c>
      <c r="R96" s="92"/>
      <c r="S96" s="89"/>
      <c r="T96" s="89"/>
      <c r="U96" s="89"/>
      <c r="V96" s="95"/>
      <c r="W96" s="93"/>
      <c r="X96" s="89"/>
      <c r="Y96" s="94"/>
      <c r="Z96" s="92"/>
      <c r="AA96" s="95"/>
      <c r="AB96" s="89"/>
      <c r="AC96" s="93"/>
      <c r="AD96" s="92"/>
      <c r="AE96" s="88"/>
      <c r="AF96" s="84"/>
      <c r="AG96" s="24"/>
      <c r="AH96" s="95"/>
      <c r="AI96" s="89"/>
      <c r="AJ96" s="88"/>
      <c r="AK96" s="83"/>
      <c r="AL96" s="24"/>
      <c r="AM96" s="24"/>
      <c r="AN96" s="83"/>
      <c r="AO96" s="83"/>
      <c r="AP96" s="24"/>
      <c r="AQ96" s="95"/>
      <c r="AR96" s="96"/>
      <c r="AS96" s="84"/>
      <c r="AT96" s="84"/>
      <c r="AU96" s="24"/>
      <c r="AV96" s="95"/>
      <c r="AW96" s="96"/>
      <c r="AX96" s="97"/>
      <c r="AY96" s="97"/>
      <c r="AZ96" s="97"/>
      <c r="BA96" s="24"/>
      <c r="BB96" s="9" t="s">
        <v>392</v>
      </c>
      <c r="BC96" s="98" t="s">
        <v>176</v>
      </c>
    </row>
    <row r="97" spans="1:55" ht="15" customHeight="1" x14ac:dyDescent="0.25">
      <c r="A97" s="88">
        <f t="shared" si="19"/>
        <v>95</v>
      </c>
      <c r="B97" s="77" t="s">
        <v>281</v>
      </c>
      <c r="C97" s="9"/>
      <c r="D97" s="78" t="s">
        <v>503</v>
      </c>
      <c r="E97" s="90" t="str">
        <f>_xlfn.IFNA(VLOOKUP($D97,'Route-Details'!$B$2:$X$1048576,'Node Details'!E$1,0),"")</f>
        <v>Airtel</v>
      </c>
      <c r="F97" s="90" t="str">
        <f>_xlfn.IFNA(VLOOKUP($D97,'Route-Details'!$B$2:$X$1048576,'Node Details'!F$1,0),"")</f>
        <v>PLAN OF AXY DARIA</v>
      </c>
      <c r="G97" s="90" t="str">
        <f>_xlfn.IFNA(VLOOKUP($D97,'Route-Details'!$B$2:$X$1048576,'Node Details'!G$1,0),"")</f>
        <v>Chandigarh</v>
      </c>
      <c r="H97" s="90" t="str">
        <f>_xlfn.IFNA(VLOOKUP($D98,'Route-Details'!$B$2:$X$1048576,'Node Details'!H$1,0),"")</f>
        <v>Punjab</v>
      </c>
      <c r="I97" s="90" t="str">
        <f>_xlfn.IFNA(VLOOKUP($D97,'Route-Details'!$B$2:$X$1048576,'Node Details'!I$1,0),"")</f>
        <v>AXY</v>
      </c>
      <c r="J97" s="90" t="str">
        <f>_xlfn.IFNA(VLOOKUP($D97,'Route-Details'!$B$2:$X$1048576,'Node Details'!J$1,0),"")</f>
        <v>AXY</v>
      </c>
      <c r="K97" s="78">
        <v>46112</v>
      </c>
      <c r="L97" s="78">
        <v>46113</v>
      </c>
      <c r="M97" s="91">
        <v>46125</v>
      </c>
      <c r="N97" s="78">
        <v>46112</v>
      </c>
      <c r="Q97" s="88" t="s">
        <v>173</v>
      </c>
      <c r="R97" s="92"/>
      <c r="S97" s="89"/>
      <c r="T97" s="89"/>
      <c r="U97" s="89"/>
      <c r="V97" s="95"/>
      <c r="W97" s="93"/>
      <c r="X97" s="89"/>
      <c r="Y97" s="94"/>
      <c r="Z97" s="92"/>
      <c r="AA97" s="95"/>
      <c r="AB97" s="89"/>
      <c r="AC97" s="93"/>
      <c r="AD97" s="92"/>
      <c r="AE97" s="88"/>
      <c r="AF97" s="84"/>
      <c r="AG97" s="24"/>
      <c r="AH97" s="95"/>
      <c r="AI97" s="89"/>
      <c r="AJ97" s="88"/>
      <c r="AK97" s="83"/>
      <c r="AL97" s="24"/>
      <c r="AM97" s="24"/>
      <c r="AN97" s="83"/>
      <c r="AO97" s="83"/>
      <c r="AP97" s="24"/>
      <c r="AQ97" s="95"/>
      <c r="AR97" s="96"/>
      <c r="AS97" s="84"/>
      <c r="AT97" s="84"/>
      <c r="AU97" s="24"/>
      <c r="AV97" s="95"/>
      <c r="AW97" s="96"/>
      <c r="AX97" s="97"/>
      <c r="AY97" s="97"/>
      <c r="AZ97" s="97"/>
      <c r="BA97" s="24"/>
      <c r="BB97" s="9" t="s">
        <v>392</v>
      </c>
      <c r="BC97" s="98" t="s">
        <v>176</v>
      </c>
    </row>
    <row r="98" spans="1:55" ht="15" customHeight="1" x14ac:dyDescent="0.25">
      <c r="A98" s="88">
        <f t="shared" si="19"/>
        <v>96</v>
      </c>
      <c r="B98" s="77" t="s">
        <v>282</v>
      </c>
      <c r="C98" s="9"/>
      <c r="D98" s="78" t="s">
        <v>503</v>
      </c>
      <c r="E98" s="90" t="str">
        <f>_xlfn.IFNA(VLOOKUP($D98,'Route-Details'!$B$2:$X$1048576,'Node Details'!E$1,0),"")</f>
        <v>Airtel</v>
      </c>
      <c r="F98" s="90" t="str">
        <f>_xlfn.IFNA(VLOOKUP($D98,'Route-Details'!$B$2:$X$1048576,'Node Details'!F$1,0),"")</f>
        <v>PLAN OF AXY DARIA</v>
      </c>
      <c r="G98" s="90" t="str">
        <f>_xlfn.IFNA(VLOOKUP($D98,'Route-Details'!$B$2:$X$1048576,'Node Details'!G$1,0),"")</f>
        <v>Chandigarh</v>
      </c>
      <c r="H98" s="90" t="str">
        <f>_xlfn.IFNA(VLOOKUP($D99,'Route-Details'!$B$2:$X$1048576,'Node Details'!H$1,0),"")</f>
        <v>Punjab</v>
      </c>
      <c r="I98" s="90" t="str">
        <f>_xlfn.IFNA(VLOOKUP($D98,'Route-Details'!$B$2:$X$1048576,'Node Details'!I$1,0),"")</f>
        <v>AXY</v>
      </c>
      <c r="J98" s="90" t="str">
        <f>_xlfn.IFNA(VLOOKUP($D98,'Route-Details'!$B$2:$X$1048576,'Node Details'!J$1,0),"")</f>
        <v>AXY</v>
      </c>
      <c r="K98" s="78">
        <v>46112</v>
      </c>
      <c r="L98" s="78">
        <v>46113</v>
      </c>
      <c r="M98" s="91">
        <v>46125</v>
      </c>
      <c r="N98" s="78">
        <v>46112</v>
      </c>
      <c r="Q98" s="88" t="s">
        <v>173</v>
      </c>
      <c r="R98" s="92"/>
      <c r="S98" s="89"/>
      <c r="T98" s="89"/>
      <c r="U98" s="89"/>
      <c r="V98" s="95"/>
      <c r="W98" s="93"/>
      <c r="X98" s="89"/>
      <c r="Y98" s="94"/>
      <c r="Z98" s="92"/>
      <c r="AA98" s="95"/>
      <c r="AB98" s="89"/>
      <c r="AC98" s="93"/>
      <c r="AD98" s="92"/>
      <c r="AE98" s="88"/>
      <c r="AF98" s="84"/>
      <c r="AG98" s="24"/>
      <c r="AH98" s="95"/>
      <c r="AI98" s="89"/>
      <c r="AJ98" s="88"/>
      <c r="AK98" s="83"/>
      <c r="AL98" s="24"/>
      <c r="AM98" s="24"/>
      <c r="AN98" s="83"/>
      <c r="AO98" s="83"/>
      <c r="AP98" s="24"/>
      <c r="AQ98" s="95"/>
      <c r="AR98" s="96"/>
      <c r="AS98" s="84"/>
      <c r="AT98" s="84"/>
      <c r="AU98" s="24"/>
      <c r="AV98" s="95"/>
      <c r="AW98" s="96"/>
      <c r="AX98" s="97"/>
      <c r="AY98" s="97"/>
      <c r="AZ98" s="97"/>
      <c r="BA98" s="24"/>
      <c r="BB98" s="9" t="s">
        <v>392</v>
      </c>
      <c r="BC98" s="98" t="s">
        <v>176</v>
      </c>
    </row>
    <row r="99" spans="1:55" ht="15" customHeight="1" x14ac:dyDescent="0.25">
      <c r="A99" s="88">
        <f t="shared" si="19"/>
        <v>97</v>
      </c>
      <c r="B99" s="77" t="s">
        <v>283</v>
      </c>
      <c r="C99" s="9"/>
      <c r="D99" s="78" t="s">
        <v>500</v>
      </c>
      <c r="E99" s="90" t="str">
        <f>_xlfn.IFNA(VLOOKUP($D99,'Route-Details'!$B$2:$X$1048576,'Node Details'!E$1,0),"")</f>
        <v>Airtel</v>
      </c>
      <c r="F99" s="90" t="str">
        <f>_xlfn.IFNA(VLOOKUP($D99,'Route-Details'!$B$2:$X$1048576,'Node Details'!F$1,0),"")</f>
        <v>PLAN OF AXY DARIA</v>
      </c>
      <c r="G99" s="90" t="str">
        <f>_xlfn.IFNA(VLOOKUP($D99,'Route-Details'!$B$2:$X$1048576,'Node Details'!G$1,0),"")</f>
        <v>Chandigarh</v>
      </c>
      <c r="H99" s="90" t="str">
        <f>_xlfn.IFNA(VLOOKUP($D100,'Route-Details'!$B$2:$X$1048576,'Node Details'!H$1,0),"")</f>
        <v>Punjab</v>
      </c>
      <c r="I99" s="90" t="str">
        <f>_xlfn.IFNA(VLOOKUP($D99,'Route-Details'!$B$2:$X$1048576,'Node Details'!I$1,0),"")</f>
        <v>AXY</v>
      </c>
      <c r="J99" s="90" t="str">
        <f>_xlfn.IFNA(VLOOKUP($D99,'Route-Details'!$B$2:$X$1048576,'Node Details'!J$1,0),"")</f>
        <v>AXY</v>
      </c>
      <c r="K99" s="78">
        <v>46112</v>
      </c>
      <c r="L99" s="78">
        <v>46113</v>
      </c>
      <c r="M99" s="91">
        <v>46125</v>
      </c>
      <c r="N99" s="78">
        <v>46112</v>
      </c>
      <c r="Q99" s="88" t="s">
        <v>173</v>
      </c>
      <c r="R99" s="92"/>
      <c r="S99" s="89"/>
      <c r="T99" s="89"/>
      <c r="U99" s="89"/>
      <c r="V99" s="95"/>
      <c r="W99" s="93"/>
      <c r="X99" s="89"/>
      <c r="Y99" s="94"/>
      <c r="Z99" s="92"/>
      <c r="AA99" s="95"/>
      <c r="AB99" s="89"/>
      <c r="AC99" s="93"/>
      <c r="AD99" s="92"/>
      <c r="AE99" s="88"/>
      <c r="AF99" s="84"/>
      <c r="AG99" s="24"/>
      <c r="AH99" s="95"/>
      <c r="AI99" s="89"/>
      <c r="AJ99" s="88"/>
      <c r="AK99" s="83"/>
      <c r="AL99" s="24"/>
      <c r="AM99" s="24"/>
      <c r="AN99" s="83"/>
      <c r="AO99" s="83"/>
      <c r="AP99" s="24"/>
      <c r="AQ99" s="95"/>
      <c r="AR99" s="96"/>
      <c r="AS99" s="84"/>
      <c r="AT99" s="84"/>
      <c r="AU99" s="24"/>
      <c r="AV99" s="95"/>
      <c r="AW99" s="96"/>
      <c r="AX99" s="97"/>
      <c r="AY99" s="97"/>
      <c r="AZ99" s="97"/>
      <c r="BA99" s="24"/>
      <c r="BB99" s="9" t="s">
        <v>389</v>
      </c>
      <c r="BC99" s="98" t="s">
        <v>176</v>
      </c>
    </row>
    <row r="100" spans="1:55" ht="15" customHeight="1" x14ac:dyDescent="0.25">
      <c r="A100" s="88">
        <f t="shared" si="19"/>
        <v>98</v>
      </c>
      <c r="B100" s="77" t="s">
        <v>284</v>
      </c>
      <c r="C100" s="9"/>
      <c r="D100" s="78" t="s">
        <v>501</v>
      </c>
      <c r="E100" s="90" t="str">
        <f>_xlfn.IFNA(VLOOKUP($D100,'Route-Details'!$B$2:$X$1048576,'Node Details'!E$1,0),"")</f>
        <v>Airtel</v>
      </c>
      <c r="F100" s="90" t="str">
        <f>_xlfn.IFNA(VLOOKUP($D100,'Route-Details'!$B$2:$X$1048576,'Node Details'!F$1,0),"")</f>
        <v>PLAN OF AXY DARIA</v>
      </c>
      <c r="G100" s="90" t="str">
        <f>_xlfn.IFNA(VLOOKUP($D100,'Route-Details'!$B$2:$X$1048576,'Node Details'!G$1,0),"")</f>
        <v>Chandigarh</v>
      </c>
      <c r="H100" s="90" t="str">
        <f>_xlfn.IFNA(VLOOKUP($D101,'Route-Details'!$B$2:$X$1048576,'Node Details'!H$1,0),"")</f>
        <v>Punjab</v>
      </c>
      <c r="I100" s="90" t="str">
        <f>_xlfn.IFNA(VLOOKUP($D100,'Route-Details'!$B$2:$X$1048576,'Node Details'!I$1,0),"")</f>
        <v>AXY</v>
      </c>
      <c r="J100" s="90" t="str">
        <f>_xlfn.IFNA(VLOOKUP($D100,'Route-Details'!$B$2:$X$1048576,'Node Details'!J$1,0),"")</f>
        <v>AXY</v>
      </c>
      <c r="K100" s="78">
        <v>46112</v>
      </c>
      <c r="L100" s="78">
        <v>46113</v>
      </c>
      <c r="M100" s="91">
        <v>46125</v>
      </c>
      <c r="N100" s="78">
        <v>46112</v>
      </c>
      <c r="Q100" s="88" t="s">
        <v>173</v>
      </c>
      <c r="R100" s="92"/>
      <c r="S100" s="89"/>
      <c r="T100" s="89"/>
      <c r="U100" s="89"/>
      <c r="V100" s="95"/>
      <c r="W100" s="93"/>
      <c r="X100" s="89"/>
      <c r="Y100" s="94"/>
      <c r="Z100" s="92"/>
      <c r="AA100" s="95"/>
      <c r="AB100" s="89"/>
      <c r="AC100" s="93"/>
      <c r="AD100" s="92"/>
      <c r="AE100" s="88"/>
      <c r="AF100" s="84"/>
      <c r="AG100" s="24"/>
      <c r="AH100" s="95"/>
      <c r="AI100" s="89"/>
      <c r="AJ100" s="88"/>
      <c r="AK100" s="83"/>
      <c r="AL100" s="24"/>
      <c r="AM100" s="24"/>
      <c r="AN100" s="83"/>
      <c r="AO100" s="83"/>
      <c r="AP100" s="24"/>
      <c r="AQ100" s="95"/>
      <c r="AR100" s="96"/>
      <c r="AS100" s="84"/>
      <c r="AT100" s="84"/>
      <c r="AU100" s="24"/>
      <c r="AV100" s="95"/>
      <c r="AW100" s="96"/>
      <c r="AX100" s="97"/>
      <c r="AY100" s="97"/>
      <c r="AZ100" s="97"/>
      <c r="BA100" s="24"/>
      <c r="BB100" s="9" t="s">
        <v>390</v>
      </c>
      <c r="BC100" s="98" t="s">
        <v>176</v>
      </c>
    </row>
    <row r="101" spans="1:55" ht="15" customHeight="1" x14ac:dyDescent="0.25">
      <c r="A101" s="88">
        <f t="shared" si="19"/>
        <v>99</v>
      </c>
      <c r="B101" s="77" t="s">
        <v>285</v>
      </c>
      <c r="C101" s="9"/>
      <c r="D101" s="78" t="s">
        <v>483</v>
      </c>
      <c r="E101" s="90" t="str">
        <f>_xlfn.IFNA(VLOOKUP($D101,'Route-Details'!$B$2:$X$1048576,'Node Details'!E$1,0),"")</f>
        <v>Airtel</v>
      </c>
      <c r="F101" s="90" t="str">
        <f>_xlfn.IFNA(VLOOKUP($D101,'Route-Details'!$B$2:$X$1048576,'Node Details'!F$1,0),"")</f>
        <v>PLAN OF AXY DARIA</v>
      </c>
      <c r="G101" s="90" t="str">
        <f>_xlfn.IFNA(VLOOKUP($D101,'Route-Details'!$B$2:$X$1048576,'Node Details'!G$1,0),"")</f>
        <v>Chandigarh</v>
      </c>
      <c r="H101" s="90" t="str">
        <f>_xlfn.IFNA(VLOOKUP($D102,'Route-Details'!$B$2:$X$1048576,'Node Details'!H$1,0),"")</f>
        <v>Punjab</v>
      </c>
      <c r="I101" s="90" t="str">
        <f>_xlfn.IFNA(VLOOKUP($D101,'Route-Details'!$B$2:$X$1048576,'Node Details'!I$1,0),"")</f>
        <v>AXY</v>
      </c>
      <c r="J101" s="90" t="str">
        <f>_xlfn.IFNA(VLOOKUP($D101,'Route-Details'!$B$2:$X$1048576,'Node Details'!J$1,0),"")</f>
        <v>AXY</v>
      </c>
      <c r="K101" s="78">
        <v>46112</v>
      </c>
      <c r="L101" s="78">
        <v>46113</v>
      </c>
      <c r="M101" s="91">
        <v>46125</v>
      </c>
      <c r="N101" s="78">
        <v>46112</v>
      </c>
      <c r="Q101" s="88" t="s">
        <v>173</v>
      </c>
      <c r="R101" s="92"/>
      <c r="S101" s="89"/>
      <c r="T101" s="89"/>
      <c r="U101" s="89"/>
      <c r="V101" s="95"/>
      <c r="W101" s="93"/>
      <c r="X101" s="89"/>
      <c r="Y101" s="94"/>
      <c r="Z101" s="92"/>
      <c r="AA101" s="95"/>
      <c r="AB101" s="89"/>
      <c r="AC101" s="93"/>
      <c r="AD101" s="92"/>
      <c r="AE101" s="88"/>
      <c r="AF101" s="84"/>
      <c r="AG101" s="24"/>
      <c r="AH101" s="95"/>
      <c r="AI101" s="89"/>
      <c r="AJ101" s="88"/>
      <c r="AK101" s="83"/>
      <c r="AL101" s="24"/>
      <c r="AM101" s="24"/>
      <c r="AN101" s="83"/>
      <c r="AO101" s="83"/>
      <c r="AP101" s="24"/>
      <c r="AQ101" s="95"/>
      <c r="AR101" s="96"/>
      <c r="AS101" s="84"/>
      <c r="AT101" s="84"/>
      <c r="AU101" s="24"/>
      <c r="AV101" s="95"/>
      <c r="AW101" s="96"/>
      <c r="AX101" s="97"/>
      <c r="AY101" s="97"/>
      <c r="AZ101" s="97"/>
      <c r="BA101" s="24"/>
      <c r="BB101" s="9" t="s">
        <v>393</v>
      </c>
      <c r="BC101" s="98" t="s">
        <v>176</v>
      </c>
    </row>
    <row r="102" spans="1:55" ht="15" customHeight="1" x14ac:dyDescent="0.25">
      <c r="A102" s="88">
        <f t="shared" si="19"/>
        <v>100</v>
      </c>
      <c r="B102" s="77" t="s">
        <v>286</v>
      </c>
      <c r="C102" s="9"/>
      <c r="D102" s="78" t="s">
        <v>483</v>
      </c>
      <c r="E102" s="90" t="str">
        <f>_xlfn.IFNA(VLOOKUP($D102,'Route-Details'!$B$2:$X$1048576,'Node Details'!E$1,0),"")</f>
        <v>Airtel</v>
      </c>
      <c r="F102" s="90" t="str">
        <f>_xlfn.IFNA(VLOOKUP($D102,'Route-Details'!$B$2:$X$1048576,'Node Details'!F$1,0),"")</f>
        <v>PLAN OF AXY DARIA</v>
      </c>
      <c r="G102" s="90" t="str">
        <f>_xlfn.IFNA(VLOOKUP($D102,'Route-Details'!$B$2:$X$1048576,'Node Details'!G$1,0),"")</f>
        <v>Chandigarh</v>
      </c>
      <c r="H102" s="90" t="str">
        <f>_xlfn.IFNA(VLOOKUP($D103,'Route-Details'!$B$2:$X$1048576,'Node Details'!H$1,0),"")</f>
        <v>Punjab</v>
      </c>
      <c r="I102" s="90" t="str">
        <f>_xlfn.IFNA(VLOOKUP($D102,'Route-Details'!$B$2:$X$1048576,'Node Details'!I$1,0),"")</f>
        <v>AXY</v>
      </c>
      <c r="J102" s="90" t="str">
        <f>_xlfn.IFNA(VLOOKUP($D102,'Route-Details'!$B$2:$X$1048576,'Node Details'!J$1,0),"")</f>
        <v>AXY</v>
      </c>
      <c r="K102" s="78">
        <v>46112</v>
      </c>
      <c r="L102" s="78">
        <v>46113</v>
      </c>
      <c r="M102" s="91">
        <v>46125</v>
      </c>
      <c r="N102" s="78">
        <v>46112</v>
      </c>
      <c r="Q102" s="88" t="s">
        <v>173</v>
      </c>
      <c r="R102" s="92"/>
      <c r="S102" s="89"/>
      <c r="T102" s="89"/>
      <c r="U102" s="89"/>
      <c r="V102" s="95"/>
      <c r="W102" s="93"/>
      <c r="X102" s="89"/>
      <c r="Y102" s="94"/>
      <c r="Z102" s="92"/>
      <c r="AA102" s="95"/>
      <c r="AB102" s="89"/>
      <c r="AC102" s="93"/>
      <c r="AD102" s="92"/>
      <c r="AE102" s="88"/>
      <c r="AF102" s="84"/>
      <c r="AG102" s="24"/>
      <c r="AH102" s="95"/>
      <c r="AI102" s="89"/>
      <c r="AJ102" s="88"/>
      <c r="AK102" s="83"/>
      <c r="AL102" s="24"/>
      <c r="AM102" s="24"/>
      <c r="AN102" s="83"/>
      <c r="AO102" s="83"/>
      <c r="AP102" s="24"/>
      <c r="AQ102" s="95"/>
      <c r="AR102" s="96"/>
      <c r="AS102" s="84"/>
      <c r="AT102" s="84"/>
      <c r="AU102" s="24"/>
      <c r="AV102" s="95"/>
      <c r="AW102" s="96"/>
      <c r="AX102" s="97"/>
      <c r="AY102" s="97"/>
      <c r="AZ102" s="97"/>
      <c r="BA102" s="24"/>
      <c r="BB102" s="9" t="s">
        <v>393</v>
      </c>
      <c r="BC102" s="98" t="s">
        <v>176</v>
      </c>
    </row>
    <row r="103" spans="1:55" ht="15" customHeight="1" x14ac:dyDescent="0.25">
      <c r="A103" s="88">
        <f t="shared" si="19"/>
        <v>101</v>
      </c>
      <c r="B103" s="77" t="s">
        <v>287</v>
      </c>
      <c r="C103" s="9"/>
      <c r="D103" s="78" t="s">
        <v>484</v>
      </c>
      <c r="E103" s="90" t="str">
        <f>_xlfn.IFNA(VLOOKUP($D103,'Route-Details'!$B$2:$X$1048576,'Node Details'!E$1,0),"")</f>
        <v>Airtel</v>
      </c>
      <c r="F103" s="90" t="str">
        <f>_xlfn.IFNA(VLOOKUP($D103,'Route-Details'!$B$2:$X$1048576,'Node Details'!F$1,0),"")</f>
        <v>PLAN OF AXY DARIA</v>
      </c>
      <c r="G103" s="90" t="str">
        <f>_xlfn.IFNA(VLOOKUP($D103,'Route-Details'!$B$2:$X$1048576,'Node Details'!G$1,0),"")</f>
        <v>Chandigarh</v>
      </c>
      <c r="H103" s="90" t="str">
        <f>_xlfn.IFNA(VLOOKUP($D104,'Route-Details'!$B$2:$X$1048576,'Node Details'!H$1,0),"")</f>
        <v>Punjab</v>
      </c>
      <c r="I103" s="90" t="str">
        <f>_xlfn.IFNA(VLOOKUP($D103,'Route-Details'!$B$2:$X$1048576,'Node Details'!I$1,0),"")</f>
        <v>AXY</v>
      </c>
      <c r="J103" s="90" t="str">
        <f>_xlfn.IFNA(VLOOKUP($D103,'Route-Details'!$B$2:$X$1048576,'Node Details'!J$1,0),"")</f>
        <v>AXY</v>
      </c>
      <c r="K103" s="78">
        <v>46112</v>
      </c>
      <c r="L103" s="78">
        <v>46113</v>
      </c>
      <c r="M103" s="91">
        <v>46125</v>
      </c>
      <c r="N103" s="78">
        <v>46112</v>
      </c>
      <c r="Q103" s="88" t="s">
        <v>173</v>
      </c>
      <c r="R103" s="92"/>
      <c r="S103" s="89"/>
      <c r="T103" s="89"/>
      <c r="U103" s="89"/>
      <c r="V103" s="95"/>
      <c r="W103" s="93"/>
      <c r="X103" s="89"/>
      <c r="Y103" s="94"/>
      <c r="Z103" s="92"/>
      <c r="AA103" s="95"/>
      <c r="AB103" s="89"/>
      <c r="AC103" s="93"/>
      <c r="AD103" s="92"/>
      <c r="AE103" s="88"/>
      <c r="AF103" s="84"/>
      <c r="AG103" s="24"/>
      <c r="AH103" s="95"/>
      <c r="AI103" s="89"/>
      <c r="AJ103" s="88"/>
      <c r="AK103" s="83"/>
      <c r="AL103" s="24"/>
      <c r="AM103" s="24"/>
      <c r="AN103" s="83"/>
      <c r="AO103" s="83"/>
      <c r="AP103" s="24"/>
      <c r="AQ103" s="95"/>
      <c r="AR103" s="96"/>
      <c r="AS103" s="84"/>
      <c r="AT103" s="84"/>
      <c r="AU103" s="24"/>
      <c r="AV103" s="95"/>
      <c r="AW103" s="96"/>
      <c r="AX103" s="97"/>
      <c r="AY103" s="97"/>
      <c r="AZ103" s="97"/>
      <c r="BA103" s="24"/>
      <c r="BB103" s="9" t="s">
        <v>394</v>
      </c>
      <c r="BC103" s="98" t="s">
        <v>176</v>
      </c>
    </row>
    <row r="104" spans="1:55" ht="15" customHeight="1" x14ac:dyDescent="0.25">
      <c r="A104" s="88">
        <f t="shared" si="19"/>
        <v>102</v>
      </c>
      <c r="B104" s="77" t="s">
        <v>288</v>
      </c>
      <c r="C104" s="9"/>
      <c r="D104" s="78" t="s">
        <v>484</v>
      </c>
      <c r="E104" s="90" t="str">
        <f>_xlfn.IFNA(VLOOKUP($D104,'Route-Details'!$B$2:$X$1048576,'Node Details'!E$1,0),"")</f>
        <v>Airtel</v>
      </c>
      <c r="F104" s="90" t="str">
        <f>_xlfn.IFNA(VLOOKUP($D104,'Route-Details'!$B$2:$X$1048576,'Node Details'!F$1,0),"")</f>
        <v>PLAN OF AXY DARIA</v>
      </c>
      <c r="G104" s="90" t="str">
        <f>_xlfn.IFNA(VLOOKUP($D104,'Route-Details'!$B$2:$X$1048576,'Node Details'!G$1,0),"")</f>
        <v>Chandigarh</v>
      </c>
      <c r="H104" s="90" t="str">
        <f>_xlfn.IFNA(VLOOKUP($D105,'Route-Details'!$B$2:$X$1048576,'Node Details'!H$1,0),"")</f>
        <v>Punjab</v>
      </c>
      <c r="I104" s="90" t="str">
        <f>_xlfn.IFNA(VLOOKUP($D104,'Route-Details'!$B$2:$X$1048576,'Node Details'!I$1,0),"")</f>
        <v>AXY</v>
      </c>
      <c r="J104" s="90" t="str">
        <f>_xlfn.IFNA(VLOOKUP($D104,'Route-Details'!$B$2:$X$1048576,'Node Details'!J$1,0),"")</f>
        <v>AXY</v>
      </c>
      <c r="K104" s="78">
        <v>46112</v>
      </c>
      <c r="L104" s="78">
        <v>46113</v>
      </c>
      <c r="M104" s="91">
        <v>46125</v>
      </c>
      <c r="N104" s="78">
        <v>46112</v>
      </c>
      <c r="Q104" s="88" t="s">
        <v>173</v>
      </c>
      <c r="R104" s="92"/>
      <c r="S104" s="89"/>
      <c r="T104" s="89"/>
      <c r="U104" s="89"/>
      <c r="V104" s="95"/>
      <c r="W104" s="93"/>
      <c r="X104" s="89"/>
      <c r="Y104" s="94"/>
      <c r="Z104" s="92"/>
      <c r="AA104" s="95"/>
      <c r="AB104" s="89"/>
      <c r="AC104" s="93"/>
      <c r="AD104" s="92"/>
      <c r="AE104" s="88"/>
      <c r="AF104" s="84"/>
      <c r="AG104" s="24"/>
      <c r="AH104" s="95"/>
      <c r="AI104" s="89"/>
      <c r="AJ104" s="88"/>
      <c r="AK104" s="83"/>
      <c r="AL104" s="24"/>
      <c r="AM104" s="24"/>
      <c r="AN104" s="83"/>
      <c r="AO104" s="83"/>
      <c r="AP104" s="24"/>
      <c r="AQ104" s="95"/>
      <c r="AR104" s="96"/>
      <c r="AS104" s="84"/>
      <c r="AT104" s="84"/>
      <c r="AU104" s="24"/>
      <c r="AV104" s="95"/>
      <c r="AW104" s="96"/>
      <c r="AX104" s="97"/>
      <c r="AY104" s="97"/>
      <c r="AZ104" s="97"/>
      <c r="BA104" s="24"/>
      <c r="BB104" s="9" t="s">
        <v>394</v>
      </c>
      <c r="BC104" s="98" t="s">
        <v>176</v>
      </c>
    </row>
    <row r="105" spans="1:55" ht="15" customHeight="1" x14ac:dyDescent="0.25">
      <c r="A105" s="88">
        <f t="shared" si="19"/>
        <v>103</v>
      </c>
      <c r="B105" s="77" t="s">
        <v>289</v>
      </c>
      <c r="C105" s="9"/>
      <c r="D105" s="78" t="s">
        <v>462</v>
      </c>
      <c r="E105" s="90" t="str">
        <f>_xlfn.IFNA(VLOOKUP($D105,'Route-Details'!$B$2:$X$1048576,'Node Details'!E$1,0),"")</f>
        <v>Airtel</v>
      </c>
      <c r="F105" s="90" t="str">
        <f>_xlfn.IFNA(VLOOKUP($D105,'Route-Details'!$B$2:$X$1048576,'Node Details'!F$1,0),"")</f>
        <v>PLAN OF AXY DARIA</v>
      </c>
      <c r="G105" s="90" t="str">
        <f>_xlfn.IFNA(VLOOKUP($D105,'Route-Details'!$B$2:$X$1048576,'Node Details'!G$1,0),"")</f>
        <v>Chandigarh</v>
      </c>
      <c r="H105" s="90" t="str">
        <f>_xlfn.IFNA(VLOOKUP($D106,'Route-Details'!$B$2:$X$1048576,'Node Details'!H$1,0),"")</f>
        <v>Punjab</v>
      </c>
      <c r="I105" s="90" t="str">
        <f>_xlfn.IFNA(VLOOKUP($D105,'Route-Details'!$B$2:$X$1048576,'Node Details'!I$1,0),"")</f>
        <v>AXY</v>
      </c>
      <c r="J105" s="90" t="str">
        <f>_xlfn.IFNA(VLOOKUP($D105,'Route-Details'!$B$2:$X$1048576,'Node Details'!J$1,0),"")</f>
        <v>AXY</v>
      </c>
      <c r="K105" s="78">
        <v>46112</v>
      </c>
      <c r="L105" s="78">
        <v>46113</v>
      </c>
      <c r="M105" s="91">
        <v>46125</v>
      </c>
      <c r="N105" s="78">
        <v>46112</v>
      </c>
      <c r="Q105" s="88" t="s">
        <v>173</v>
      </c>
      <c r="R105" s="92"/>
      <c r="S105" s="89"/>
      <c r="T105" s="89"/>
      <c r="U105" s="89"/>
      <c r="V105" s="95"/>
      <c r="W105" s="93"/>
      <c r="X105" s="89"/>
      <c r="Y105" s="94"/>
      <c r="Z105" s="92"/>
      <c r="AA105" s="95"/>
      <c r="AB105" s="89"/>
      <c r="AC105" s="93"/>
      <c r="AD105" s="92"/>
      <c r="AE105" s="88"/>
      <c r="AF105" s="84"/>
      <c r="AG105" s="24"/>
      <c r="AH105" s="95"/>
      <c r="AI105" s="89"/>
      <c r="AJ105" s="88"/>
      <c r="AK105" s="83"/>
      <c r="AL105" s="24"/>
      <c r="AM105" s="24"/>
      <c r="AN105" s="83"/>
      <c r="AO105" s="83"/>
      <c r="AP105" s="24"/>
      <c r="AQ105" s="95"/>
      <c r="AR105" s="96"/>
      <c r="AS105" s="84"/>
      <c r="AT105" s="84"/>
      <c r="AU105" s="24"/>
      <c r="AV105" s="95"/>
      <c r="AW105" s="96"/>
      <c r="AX105" s="97"/>
      <c r="AY105" s="97"/>
      <c r="AZ105" s="97"/>
      <c r="BA105" s="24"/>
      <c r="BB105" s="9" t="s">
        <v>190</v>
      </c>
      <c r="BC105" s="98" t="s">
        <v>176</v>
      </c>
    </row>
    <row r="106" spans="1:55" ht="15" customHeight="1" x14ac:dyDescent="0.25">
      <c r="A106" s="88">
        <f t="shared" si="19"/>
        <v>104</v>
      </c>
      <c r="B106" s="77" t="s">
        <v>290</v>
      </c>
      <c r="C106" s="9"/>
      <c r="D106" s="78" t="s">
        <v>504</v>
      </c>
      <c r="E106" s="90" t="str">
        <f>_xlfn.IFNA(VLOOKUP($D106,'Route-Details'!$B$2:$X$1048576,'Node Details'!E$1,0),"")</f>
        <v>Airtel</v>
      </c>
      <c r="F106" s="90" t="str">
        <f>_xlfn.IFNA(VLOOKUP($D106,'Route-Details'!$B$2:$X$1048576,'Node Details'!F$1,0),"")</f>
        <v>PLAN OF AXY DARIA</v>
      </c>
      <c r="G106" s="90" t="str">
        <f>_xlfn.IFNA(VLOOKUP($D106,'Route-Details'!$B$2:$X$1048576,'Node Details'!G$1,0),"")</f>
        <v>Chandigarh</v>
      </c>
      <c r="H106" s="90" t="str">
        <f>_xlfn.IFNA(VLOOKUP($D107,'Route-Details'!$B$2:$X$1048576,'Node Details'!H$1,0),"")</f>
        <v>Punjab</v>
      </c>
      <c r="I106" s="90" t="str">
        <f>_xlfn.IFNA(VLOOKUP($D106,'Route-Details'!$B$2:$X$1048576,'Node Details'!I$1,0),"")</f>
        <v>AXY</v>
      </c>
      <c r="J106" s="90" t="str">
        <f>_xlfn.IFNA(VLOOKUP($D106,'Route-Details'!$B$2:$X$1048576,'Node Details'!J$1,0),"")</f>
        <v>AXY</v>
      </c>
      <c r="K106" s="78">
        <v>46112</v>
      </c>
      <c r="L106" s="78">
        <v>46113</v>
      </c>
      <c r="M106" s="91">
        <v>46125</v>
      </c>
      <c r="N106" s="78">
        <v>46112</v>
      </c>
      <c r="Q106" s="88" t="s">
        <v>173</v>
      </c>
      <c r="R106" s="92"/>
      <c r="S106" s="89"/>
      <c r="T106" s="89"/>
      <c r="U106" s="89"/>
      <c r="V106" s="95"/>
      <c r="W106" s="93"/>
      <c r="X106" s="89"/>
      <c r="Y106" s="94"/>
      <c r="Z106" s="92"/>
      <c r="AA106" s="95"/>
      <c r="AB106" s="89"/>
      <c r="AC106" s="93"/>
      <c r="AD106" s="92"/>
      <c r="AE106" s="88"/>
      <c r="AF106" s="84"/>
      <c r="AG106" s="24"/>
      <c r="AH106" s="95"/>
      <c r="AI106" s="89"/>
      <c r="AJ106" s="88"/>
      <c r="AK106" s="83"/>
      <c r="AL106" s="24"/>
      <c r="AM106" s="24"/>
      <c r="AN106" s="83"/>
      <c r="AO106" s="83"/>
      <c r="AP106" s="24"/>
      <c r="AQ106" s="95"/>
      <c r="AR106" s="96"/>
      <c r="AS106" s="84"/>
      <c r="AT106" s="84"/>
      <c r="AU106" s="24"/>
      <c r="AV106" s="95"/>
      <c r="AW106" s="96"/>
      <c r="AX106" s="97"/>
      <c r="AY106" s="97"/>
      <c r="AZ106" s="97"/>
      <c r="BA106" s="24"/>
      <c r="BB106" s="9" t="s">
        <v>396</v>
      </c>
      <c r="BC106" s="98" t="s">
        <v>176</v>
      </c>
    </row>
    <row r="107" spans="1:55" ht="15" customHeight="1" x14ac:dyDescent="0.25">
      <c r="A107" s="88">
        <f t="shared" si="19"/>
        <v>105</v>
      </c>
      <c r="B107" s="77" t="s">
        <v>291</v>
      </c>
      <c r="C107" s="9"/>
      <c r="D107" s="78" t="s">
        <v>505</v>
      </c>
      <c r="E107" s="90" t="str">
        <f>_xlfn.IFNA(VLOOKUP($D107,'Route-Details'!$B$2:$X$1048576,'Node Details'!E$1,0),"")</f>
        <v>Airtel</v>
      </c>
      <c r="F107" s="90" t="str">
        <f>_xlfn.IFNA(VLOOKUP($D107,'Route-Details'!$B$2:$X$1048576,'Node Details'!F$1,0),"")</f>
        <v>PLAN OF AXY DARIA</v>
      </c>
      <c r="G107" s="90" t="str">
        <f>_xlfn.IFNA(VLOOKUP($D107,'Route-Details'!$B$2:$X$1048576,'Node Details'!G$1,0),"")</f>
        <v>Chandigarh</v>
      </c>
      <c r="H107" s="90" t="str">
        <f>_xlfn.IFNA(VLOOKUP($D108,'Route-Details'!$B$2:$X$1048576,'Node Details'!H$1,0),"")</f>
        <v>Punjab</v>
      </c>
      <c r="I107" s="90" t="str">
        <f>_xlfn.IFNA(VLOOKUP($D107,'Route-Details'!$B$2:$X$1048576,'Node Details'!I$1,0),"")</f>
        <v>AXY</v>
      </c>
      <c r="J107" s="90" t="str">
        <f>_xlfn.IFNA(VLOOKUP($D107,'Route-Details'!$B$2:$X$1048576,'Node Details'!J$1,0),"")</f>
        <v>AXY</v>
      </c>
      <c r="K107" s="78">
        <v>46112</v>
      </c>
      <c r="L107" s="78">
        <v>46113</v>
      </c>
      <c r="M107" s="91">
        <v>46125</v>
      </c>
      <c r="N107" s="78">
        <v>46112</v>
      </c>
      <c r="Q107" s="88" t="s">
        <v>173</v>
      </c>
      <c r="R107" s="92"/>
      <c r="S107" s="89"/>
      <c r="T107" s="89"/>
      <c r="U107" s="89"/>
      <c r="V107" s="95"/>
      <c r="W107" s="93"/>
      <c r="X107" s="89"/>
      <c r="Y107" s="94"/>
      <c r="Z107" s="92"/>
      <c r="AA107" s="95"/>
      <c r="AB107" s="89"/>
      <c r="AC107" s="93"/>
      <c r="AD107" s="92"/>
      <c r="AE107" s="88"/>
      <c r="AF107" s="84"/>
      <c r="AG107" s="24"/>
      <c r="AH107" s="95"/>
      <c r="AI107" s="89"/>
      <c r="AJ107" s="88"/>
      <c r="AK107" s="83"/>
      <c r="AL107" s="24"/>
      <c r="AM107" s="24"/>
      <c r="AN107" s="83"/>
      <c r="AO107" s="83"/>
      <c r="AP107" s="24"/>
      <c r="AQ107" s="95"/>
      <c r="AR107" s="96"/>
      <c r="AS107" s="84"/>
      <c r="AT107" s="84"/>
      <c r="AU107" s="24"/>
      <c r="AV107" s="95"/>
      <c r="AW107" s="96"/>
      <c r="AX107" s="97"/>
      <c r="AY107" s="97"/>
      <c r="AZ107" s="97"/>
      <c r="BA107" s="24"/>
      <c r="BB107" s="9" t="s">
        <v>397</v>
      </c>
      <c r="BC107" s="98" t="s">
        <v>176</v>
      </c>
    </row>
    <row r="108" spans="1:55" ht="15" customHeight="1" x14ac:dyDescent="0.25">
      <c r="A108" s="88">
        <f t="shared" si="19"/>
        <v>106</v>
      </c>
      <c r="B108" s="77" t="s">
        <v>292</v>
      </c>
      <c r="C108" s="9"/>
      <c r="D108" s="78" t="s">
        <v>505</v>
      </c>
      <c r="E108" s="90" t="str">
        <f>_xlfn.IFNA(VLOOKUP($D108,'Route-Details'!$B$2:$X$1048576,'Node Details'!E$1,0),"")</f>
        <v>Airtel</v>
      </c>
      <c r="F108" s="90" t="str">
        <f>_xlfn.IFNA(VLOOKUP($D108,'Route-Details'!$B$2:$X$1048576,'Node Details'!F$1,0),"")</f>
        <v>PLAN OF AXY DARIA</v>
      </c>
      <c r="G108" s="90" t="str">
        <f>_xlfn.IFNA(VLOOKUP($D108,'Route-Details'!$B$2:$X$1048576,'Node Details'!G$1,0),"")</f>
        <v>Chandigarh</v>
      </c>
      <c r="H108" s="90" t="str">
        <f>_xlfn.IFNA(VLOOKUP($D109,'Route-Details'!$B$2:$X$1048576,'Node Details'!H$1,0),"")</f>
        <v>Punjab</v>
      </c>
      <c r="I108" s="90" t="str">
        <f>_xlfn.IFNA(VLOOKUP($D108,'Route-Details'!$B$2:$X$1048576,'Node Details'!I$1,0),"")</f>
        <v>AXY</v>
      </c>
      <c r="J108" s="90" t="str">
        <f>_xlfn.IFNA(VLOOKUP($D108,'Route-Details'!$B$2:$X$1048576,'Node Details'!J$1,0),"")</f>
        <v>AXY</v>
      </c>
      <c r="K108" s="78">
        <v>46112</v>
      </c>
      <c r="L108" s="78">
        <v>46113</v>
      </c>
      <c r="M108" s="91">
        <v>46125</v>
      </c>
      <c r="N108" s="78">
        <v>46112</v>
      </c>
      <c r="Q108" s="88" t="s">
        <v>173</v>
      </c>
      <c r="R108" s="92"/>
      <c r="S108" s="89"/>
      <c r="T108" s="89"/>
      <c r="U108" s="89"/>
      <c r="V108" s="95"/>
      <c r="W108" s="93"/>
      <c r="X108" s="89"/>
      <c r="Y108" s="94"/>
      <c r="Z108" s="92"/>
      <c r="AA108" s="95"/>
      <c r="AB108" s="89"/>
      <c r="AC108" s="93"/>
      <c r="AD108" s="92"/>
      <c r="AE108" s="88"/>
      <c r="AF108" s="84"/>
      <c r="AG108" s="24"/>
      <c r="AH108" s="95"/>
      <c r="AI108" s="89"/>
      <c r="AJ108" s="88"/>
      <c r="AK108" s="83"/>
      <c r="AL108" s="24"/>
      <c r="AM108" s="24"/>
      <c r="AN108" s="83"/>
      <c r="AO108" s="83"/>
      <c r="AP108" s="24"/>
      <c r="AQ108" s="95"/>
      <c r="AR108" s="96"/>
      <c r="AS108" s="84"/>
      <c r="AT108" s="84"/>
      <c r="AU108" s="24"/>
      <c r="AV108" s="95"/>
      <c r="AW108" s="96"/>
      <c r="AX108" s="97"/>
      <c r="AY108" s="97"/>
      <c r="AZ108" s="97"/>
      <c r="BA108" s="24"/>
      <c r="BB108" s="9" t="s">
        <v>397</v>
      </c>
      <c r="BC108" s="98" t="s">
        <v>176</v>
      </c>
    </row>
    <row r="109" spans="1:55" ht="15" customHeight="1" x14ac:dyDescent="0.25">
      <c r="A109" s="88">
        <f t="shared" si="19"/>
        <v>107</v>
      </c>
      <c r="B109" s="77" t="s">
        <v>293</v>
      </c>
      <c r="C109" s="9"/>
      <c r="D109" s="78" t="s">
        <v>505</v>
      </c>
      <c r="E109" s="90" t="str">
        <f>_xlfn.IFNA(VLOOKUP($D109,'Route-Details'!$B$2:$X$1048576,'Node Details'!E$1,0),"")</f>
        <v>Airtel</v>
      </c>
      <c r="F109" s="90" t="str">
        <f>_xlfn.IFNA(VLOOKUP($D109,'Route-Details'!$B$2:$X$1048576,'Node Details'!F$1,0),"")</f>
        <v>PLAN OF AXY DARIA</v>
      </c>
      <c r="G109" s="90" t="str">
        <f>_xlfn.IFNA(VLOOKUP($D109,'Route-Details'!$B$2:$X$1048576,'Node Details'!G$1,0),"")</f>
        <v>Chandigarh</v>
      </c>
      <c r="H109" s="90" t="str">
        <f>_xlfn.IFNA(VLOOKUP($D110,'Route-Details'!$B$2:$X$1048576,'Node Details'!H$1,0),"")</f>
        <v>Punjab</v>
      </c>
      <c r="I109" s="90" t="str">
        <f>_xlfn.IFNA(VLOOKUP($D109,'Route-Details'!$B$2:$X$1048576,'Node Details'!I$1,0),"")</f>
        <v>AXY</v>
      </c>
      <c r="J109" s="90" t="str">
        <f>_xlfn.IFNA(VLOOKUP($D109,'Route-Details'!$B$2:$X$1048576,'Node Details'!J$1,0),"")</f>
        <v>AXY</v>
      </c>
      <c r="K109" s="78">
        <v>46112</v>
      </c>
      <c r="L109" s="78">
        <v>46113</v>
      </c>
      <c r="M109" s="91">
        <v>46125</v>
      </c>
      <c r="N109" s="78">
        <v>46112</v>
      </c>
      <c r="Q109" s="88" t="s">
        <v>173</v>
      </c>
      <c r="R109" s="92"/>
      <c r="S109" s="89"/>
      <c r="T109" s="89"/>
      <c r="U109" s="89"/>
      <c r="V109" s="95"/>
      <c r="W109" s="93"/>
      <c r="X109" s="89"/>
      <c r="Y109" s="94"/>
      <c r="Z109" s="92"/>
      <c r="AA109" s="95"/>
      <c r="AB109" s="89"/>
      <c r="AC109" s="93"/>
      <c r="AD109" s="92"/>
      <c r="AE109" s="88"/>
      <c r="AF109" s="84"/>
      <c r="AG109" s="24"/>
      <c r="AH109" s="95"/>
      <c r="AI109" s="89"/>
      <c r="AJ109" s="88"/>
      <c r="AK109" s="83"/>
      <c r="AL109" s="24"/>
      <c r="AM109" s="24"/>
      <c r="AN109" s="83"/>
      <c r="AO109" s="83"/>
      <c r="AP109" s="24"/>
      <c r="AQ109" s="95"/>
      <c r="AR109" s="96"/>
      <c r="AS109" s="84"/>
      <c r="AT109" s="84"/>
      <c r="AU109" s="24"/>
      <c r="AV109" s="95"/>
      <c r="AW109" s="96"/>
      <c r="AX109" s="97"/>
      <c r="AY109" s="97"/>
      <c r="AZ109" s="97"/>
      <c r="BA109" s="24"/>
      <c r="BB109" s="9" t="s">
        <v>397</v>
      </c>
      <c r="BC109" s="98" t="s">
        <v>176</v>
      </c>
    </row>
    <row r="110" spans="1:55" ht="15" customHeight="1" x14ac:dyDescent="0.25">
      <c r="A110" s="88">
        <f t="shared" si="19"/>
        <v>108</v>
      </c>
      <c r="B110" s="77" t="s">
        <v>294</v>
      </c>
      <c r="C110" s="9"/>
      <c r="D110" s="78" t="s">
        <v>469</v>
      </c>
      <c r="E110" s="90" t="str">
        <f>_xlfn.IFNA(VLOOKUP($D110,'Route-Details'!$B$2:$X$1048576,'Node Details'!E$1,0),"")</f>
        <v>Airtel</v>
      </c>
      <c r="F110" s="90" t="str">
        <f>_xlfn.IFNA(VLOOKUP($D110,'Route-Details'!$B$2:$X$1048576,'Node Details'!F$1,0),"")</f>
        <v>PLAN OF AXY DARIA</v>
      </c>
      <c r="G110" s="90" t="str">
        <f>_xlfn.IFNA(VLOOKUP($D110,'Route-Details'!$B$2:$X$1048576,'Node Details'!G$1,0),"")</f>
        <v>Chandigarh</v>
      </c>
      <c r="H110" s="90" t="str">
        <f>_xlfn.IFNA(VLOOKUP($D111,'Route-Details'!$B$2:$X$1048576,'Node Details'!H$1,0),"")</f>
        <v>Punjab</v>
      </c>
      <c r="I110" s="90" t="str">
        <f>_xlfn.IFNA(VLOOKUP($D110,'Route-Details'!$B$2:$X$1048576,'Node Details'!I$1,0),"")</f>
        <v>AXY</v>
      </c>
      <c r="J110" s="90" t="str">
        <f>_xlfn.IFNA(VLOOKUP($D110,'Route-Details'!$B$2:$X$1048576,'Node Details'!J$1,0),"")</f>
        <v>AXY</v>
      </c>
      <c r="K110" s="78">
        <v>46112</v>
      </c>
      <c r="L110" s="78">
        <v>46113</v>
      </c>
      <c r="M110" s="91">
        <v>46125</v>
      </c>
      <c r="N110" s="78">
        <v>46112</v>
      </c>
      <c r="Q110" s="88" t="s">
        <v>173</v>
      </c>
      <c r="R110" s="92"/>
      <c r="S110" s="89"/>
      <c r="T110" s="89"/>
      <c r="U110" s="89"/>
      <c r="V110" s="95"/>
      <c r="W110" s="93"/>
      <c r="X110" s="89"/>
      <c r="Y110" s="94"/>
      <c r="Z110" s="92"/>
      <c r="AA110" s="95"/>
      <c r="AB110" s="89"/>
      <c r="AC110" s="93"/>
      <c r="AD110" s="92"/>
      <c r="AE110" s="88"/>
      <c r="AF110" s="84"/>
      <c r="AG110" s="24"/>
      <c r="AH110" s="95"/>
      <c r="AI110" s="89"/>
      <c r="AJ110" s="88"/>
      <c r="AK110" s="83"/>
      <c r="AL110" s="24"/>
      <c r="AM110" s="24"/>
      <c r="AN110" s="83"/>
      <c r="AO110" s="83"/>
      <c r="AP110" s="24"/>
      <c r="AQ110" s="95"/>
      <c r="AR110" s="96"/>
      <c r="AS110" s="84"/>
      <c r="AT110" s="84"/>
      <c r="AU110" s="24"/>
      <c r="AV110" s="95"/>
      <c r="AW110" s="96"/>
      <c r="AX110" s="97"/>
      <c r="AY110" s="97"/>
      <c r="AZ110" s="97"/>
      <c r="BA110" s="24"/>
      <c r="BB110" s="9" t="s">
        <v>395</v>
      </c>
      <c r="BC110" s="98" t="s">
        <v>176</v>
      </c>
    </row>
    <row r="111" spans="1:55" ht="15" customHeight="1" x14ac:dyDescent="0.25">
      <c r="A111" s="88">
        <f t="shared" si="19"/>
        <v>109</v>
      </c>
      <c r="B111" s="77" t="s">
        <v>295</v>
      </c>
      <c r="C111" s="9"/>
      <c r="D111" s="78" t="s">
        <v>469</v>
      </c>
      <c r="E111" s="90" t="str">
        <f>_xlfn.IFNA(VLOOKUP($D111,'Route-Details'!$B$2:$X$1048576,'Node Details'!E$1,0),"")</f>
        <v>Airtel</v>
      </c>
      <c r="F111" s="90" t="str">
        <f>_xlfn.IFNA(VLOOKUP($D111,'Route-Details'!$B$2:$X$1048576,'Node Details'!F$1,0),"")</f>
        <v>PLAN OF AXY DARIA</v>
      </c>
      <c r="G111" s="90" t="str">
        <f>_xlfn.IFNA(VLOOKUP($D111,'Route-Details'!$B$2:$X$1048576,'Node Details'!G$1,0),"")</f>
        <v>Chandigarh</v>
      </c>
      <c r="H111" s="90" t="str">
        <f>_xlfn.IFNA(VLOOKUP($D112,'Route-Details'!$B$2:$X$1048576,'Node Details'!H$1,0),"")</f>
        <v>Punjab</v>
      </c>
      <c r="I111" s="90" t="str">
        <f>_xlfn.IFNA(VLOOKUP($D111,'Route-Details'!$B$2:$X$1048576,'Node Details'!I$1,0),"")</f>
        <v>AXY</v>
      </c>
      <c r="J111" s="90" t="str">
        <f>_xlfn.IFNA(VLOOKUP($D111,'Route-Details'!$B$2:$X$1048576,'Node Details'!J$1,0),"")</f>
        <v>AXY</v>
      </c>
      <c r="K111" s="78">
        <v>46112</v>
      </c>
      <c r="L111" s="78">
        <v>46113</v>
      </c>
      <c r="M111" s="91">
        <v>46125</v>
      </c>
      <c r="N111" s="78">
        <v>46112</v>
      </c>
      <c r="Q111" s="88" t="s">
        <v>173</v>
      </c>
      <c r="R111" s="92"/>
      <c r="S111" s="89"/>
      <c r="T111" s="89"/>
      <c r="U111" s="89"/>
      <c r="V111" s="95"/>
      <c r="W111" s="93"/>
      <c r="X111" s="89"/>
      <c r="Y111" s="94"/>
      <c r="Z111" s="92"/>
      <c r="AA111" s="95"/>
      <c r="AB111" s="89"/>
      <c r="AC111" s="93"/>
      <c r="AD111" s="92"/>
      <c r="AE111" s="88"/>
      <c r="AF111" s="84"/>
      <c r="AG111" s="24"/>
      <c r="AH111" s="95"/>
      <c r="AI111" s="89"/>
      <c r="AJ111" s="88"/>
      <c r="AK111" s="83"/>
      <c r="AL111" s="24"/>
      <c r="AM111" s="24"/>
      <c r="AN111" s="83"/>
      <c r="AO111" s="83"/>
      <c r="AP111" s="24"/>
      <c r="AQ111" s="95"/>
      <c r="AR111" s="96"/>
      <c r="AS111" s="84"/>
      <c r="AT111" s="84"/>
      <c r="AU111" s="24"/>
      <c r="AV111" s="95"/>
      <c r="AW111" s="96"/>
      <c r="AX111" s="97"/>
      <c r="AY111" s="97"/>
      <c r="AZ111" s="97"/>
      <c r="BA111" s="24"/>
      <c r="BB111" s="9" t="s">
        <v>395</v>
      </c>
      <c r="BC111" s="98" t="s">
        <v>176</v>
      </c>
    </row>
    <row r="112" spans="1:55" ht="15" customHeight="1" x14ac:dyDescent="0.25">
      <c r="A112" s="88">
        <f t="shared" si="19"/>
        <v>110</v>
      </c>
      <c r="B112" s="77" t="s">
        <v>296</v>
      </c>
      <c r="C112" s="9"/>
      <c r="D112" s="78" t="s">
        <v>469</v>
      </c>
      <c r="E112" s="90" t="str">
        <f>_xlfn.IFNA(VLOOKUP($D112,'Route-Details'!$B$2:$X$1048576,'Node Details'!E$1,0),"")</f>
        <v>Airtel</v>
      </c>
      <c r="F112" s="90" t="str">
        <f>_xlfn.IFNA(VLOOKUP($D112,'Route-Details'!$B$2:$X$1048576,'Node Details'!F$1,0),"")</f>
        <v>PLAN OF AXY DARIA</v>
      </c>
      <c r="G112" s="90" t="str">
        <f>_xlfn.IFNA(VLOOKUP($D112,'Route-Details'!$B$2:$X$1048576,'Node Details'!G$1,0),"")</f>
        <v>Chandigarh</v>
      </c>
      <c r="H112" s="90" t="str">
        <f>_xlfn.IFNA(VLOOKUP($D113,'Route-Details'!$B$2:$X$1048576,'Node Details'!H$1,0),"")</f>
        <v>Punjab</v>
      </c>
      <c r="I112" s="90" t="str">
        <f>_xlfn.IFNA(VLOOKUP($D112,'Route-Details'!$B$2:$X$1048576,'Node Details'!I$1,0),"")</f>
        <v>AXY</v>
      </c>
      <c r="J112" s="90" t="str">
        <f>_xlfn.IFNA(VLOOKUP($D112,'Route-Details'!$B$2:$X$1048576,'Node Details'!J$1,0),"")</f>
        <v>AXY</v>
      </c>
      <c r="K112" s="78">
        <v>46112</v>
      </c>
      <c r="L112" s="78">
        <v>46113</v>
      </c>
      <c r="M112" s="91">
        <v>46125</v>
      </c>
      <c r="N112" s="78">
        <v>46112</v>
      </c>
      <c r="Q112" s="88" t="s">
        <v>173</v>
      </c>
      <c r="R112" s="92"/>
      <c r="S112" s="89"/>
      <c r="T112" s="89"/>
      <c r="U112" s="89"/>
      <c r="V112" s="95"/>
      <c r="W112" s="93"/>
      <c r="X112" s="89"/>
      <c r="Y112" s="94"/>
      <c r="Z112" s="92"/>
      <c r="AA112" s="95"/>
      <c r="AB112" s="89"/>
      <c r="AC112" s="93"/>
      <c r="AD112" s="92"/>
      <c r="AE112" s="88"/>
      <c r="AF112" s="84"/>
      <c r="AG112" s="24"/>
      <c r="AH112" s="95"/>
      <c r="AI112" s="89"/>
      <c r="AJ112" s="88"/>
      <c r="AK112" s="83"/>
      <c r="AL112" s="24"/>
      <c r="AM112" s="24"/>
      <c r="AN112" s="83"/>
      <c r="AO112" s="83"/>
      <c r="AP112" s="24"/>
      <c r="AQ112" s="95"/>
      <c r="AR112" s="96"/>
      <c r="AS112" s="84"/>
      <c r="AT112" s="84"/>
      <c r="AU112" s="24"/>
      <c r="AV112" s="95"/>
      <c r="AW112" s="96"/>
      <c r="AX112" s="97"/>
      <c r="AY112" s="97"/>
      <c r="AZ112" s="97"/>
      <c r="BA112" s="24"/>
      <c r="BB112" s="9" t="s">
        <v>395</v>
      </c>
      <c r="BC112" s="98" t="s">
        <v>176</v>
      </c>
    </row>
    <row r="113" spans="1:55" ht="15" customHeight="1" x14ac:dyDescent="0.25">
      <c r="A113" s="88">
        <f t="shared" si="19"/>
        <v>111</v>
      </c>
      <c r="B113" s="77" t="s">
        <v>297</v>
      </c>
      <c r="C113" s="9"/>
      <c r="D113" s="78" t="s">
        <v>469</v>
      </c>
      <c r="E113" s="90" t="str">
        <f>_xlfn.IFNA(VLOOKUP($D113,'Route-Details'!$B$2:$X$1048576,'Node Details'!E$1,0),"")</f>
        <v>Airtel</v>
      </c>
      <c r="F113" s="90" t="str">
        <f>_xlfn.IFNA(VLOOKUP($D113,'Route-Details'!$B$2:$X$1048576,'Node Details'!F$1,0),"")</f>
        <v>PLAN OF AXY DARIA</v>
      </c>
      <c r="G113" s="90" t="str">
        <f>_xlfn.IFNA(VLOOKUP($D113,'Route-Details'!$B$2:$X$1048576,'Node Details'!G$1,0),"")</f>
        <v>Chandigarh</v>
      </c>
      <c r="H113" s="90" t="str">
        <f>_xlfn.IFNA(VLOOKUP($D114,'Route-Details'!$B$2:$X$1048576,'Node Details'!H$1,0),"")</f>
        <v>Punjab</v>
      </c>
      <c r="I113" s="90" t="str">
        <f>_xlfn.IFNA(VLOOKUP($D113,'Route-Details'!$B$2:$X$1048576,'Node Details'!I$1,0),"")</f>
        <v>AXY</v>
      </c>
      <c r="J113" s="90" t="str">
        <f>_xlfn.IFNA(VLOOKUP($D113,'Route-Details'!$B$2:$X$1048576,'Node Details'!J$1,0),"")</f>
        <v>AXY</v>
      </c>
      <c r="K113" s="78">
        <v>46112</v>
      </c>
      <c r="L113" s="78">
        <v>46113</v>
      </c>
      <c r="M113" s="91">
        <v>46125</v>
      </c>
      <c r="N113" s="78">
        <v>46112</v>
      </c>
      <c r="Q113" s="88" t="s">
        <v>173</v>
      </c>
      <c r="R113" s="92"/>
      <c r="S113" s="89"/>
      <c r="T113" s="89"/>
      <c r="U113" s="89"/>
      <c r="V113" s="95"/>
      <c r="W113" s="93"/>
      <c r="X113" s="89"/>
      <c r="Y113" s="94"/>
      <c r="Z113" s="92"/>
      <c r="AA113" s="95"/>
      <c r="AB113" s="89"/>
      <c r="AC113" s="93"/>
      <c r="AD113" s="92"/>
      <c r="AE113" s="88"/>
      <c r="AF113" s="84"/>
      <c r="AG113" s="24"/>
      <c r="AH113" s="95"/>
      <c r="AI113" s="89"/>
      <c r="AJ113" s="88"/>
      <c r="AK113" s="83"/>
      <c r="AL113" s="24"/>
      <c r="AM113" s="24"/>
      <c r="AN113" s="83"/>
      <c r="AO113" s="83"/>
      <c r="AP113" s="24"/>
      <c r="AQ113" s="95"/>
      <c r="AR113" s="96"/>
      <c r="AS113" s="84"/>
      <c r="AT113" s="84"/>
      <c r="AU113" s="24"/>
      <c r="AV113" s="95"/>
      <c r="AW113" s="96"/>
      <c r="AX113" s="97"/>
      <c r="AY113" s="97"/>
      <c r="AZ113" s="97"/>
      <c r="BA113" s="24"/>
      <c r="BB113" s="9" t="s">
        <v>395</v>
      </c>
      <c r="BC113" s="98" t="s">
        <v>176</v>
      </c>
    </row>
    <row r="114" spans="1:55" ht="15" customHeight="1" x14ac:dyDescent="0.25">
      <c r="A114" s="88">
        <f t="shared" si="19"/>
        <v>112</v>
      </c>
      <c r="B114" s="77" t="s">
        <v>298</v>
      </c>
      <c r="C114" s="9"/>
      <c r="D114" s="78" t="s">
        <v>477</v>
      </c>
      <c r="E114" s="90" t="str">
        <f>_xlfn.IFNA(VLOOKUP($D114,'Route-Details'!$B$2:$X$1048576,'Node Details'!E$1,0),"")</f>
        <v>Airtel</v>
      </c>
      <c r="F114" s="90" t="str">
        <f>_xlfn.IFNA(VLOOKUP($D114,'Route-Details'!$B$2:$X$1048576,'Node Details'!F$1,0),"")</f>
        <v>PLAN OF AXY DARIA</v>
      </c>
      <c r="G114" s="90" t="str">
        <f>_xlfn.IFNA(VLOOKUP($D114,'Route-Details'!$B$2:$X$1048576,'Node Details'!G$1,0),"")</f>
        <v>Chandigarh</v>
      </c>
      <c r="H114" s="90" t="str">
        <f>_xlfn.IFNA(VLOOKUP($D115,'Route-Details'!$B$2:$X$1048576,'Node Details'!H$1,0),"")</f>
        <v>Punjab</v>
      </c>
      <c r="I114" s="90" t="str">
        <f>_xlfn.IFNA(VLOOKUP($D114,'Route-Details'!$B$2:$X$1048576,'Node Details'!I$1,0),"")</f>
        <v>AXY</v>
      </c>
      <c r="J114" s="90" t="str">
        <f>_xlfn.IFNA(VLOOKUP($D114,'Route-Details'!$B$2:$X$1048576,'Node Details'!J$1,0),"")</f>
        <v>AXY</v>
      </c>
      <c r="K114" s="78">
        <v>46112</v>
      </c>
      <c r="L114" s="78">
        <v>46113</v>
      </c>
      <c r="M114" s="91">
        <v>46125</v>
      </c>
      <c r="N114" s="78">
        <v>46112</v>
      </c>
      <c r="Q114" s="88" t="s">
        <v>173</v>
      </c>
      <c r="R114" s="92"/>
      <c r="S114" s="89"/>
      <c r="T114" s="89"/>
      <c r="U114" s="89"/>
      <c r="V114" s="95"/>
      <c r="W114" s="93"/>
      <c r="X114" s="89"/>
      <c r="Y114" s="94"/>
      <c r="Z114" s="92"/>
      <c r="AA114" s="95"/>
      <c r="AB114" s="89"/>
      <c r="AC114" s="93"/>
      <c r="AD114" s="92"/>
      <c r="AE114" s="88"/>
      <c r="AF114" s="84"/>
      <c r="AG114" s="24"/>
      <c r="AH114" s="95"/>
      <c r="AI114" s="89"/>
      <c r="AJ114" s="88"/>
      <c r="AK114" s="83"/>
      <c r="AL114" s="24"/>
      <c r="AM114" s="24"/>
      <c r="AN114" s="83"/>
      <c r="AO114" s="83"/>
      <c r="AP114" s="24"/>
      <c r="AQ114" s="95"/>
      <c r="AR114" s="96"/>
      <c r="AS114" s="84"/>
      <c r="AT114" s="84"/>
      <c r="AU114" s="24"/>
      <c r="AV114" s="95"/>
      <c r="AW114" s="96"/>
      <c r="AX114" s="97"/>
      <c r="AY114" s="97"/>
      <c r="AZ114" s="97"/>
      <c r="BA114" s="24"/>
      <c r="BB114" s="9" t="s">
        <v>398</v>
      </c>
      <c r="BC114" s="98" t="s">
        <v>176</v>
      </c>
    </row>
    <row r="115" spans="1:55" ht="15" customHeight="1" x14ac:dyDescent="0.25">
      <c r="A115" s="88">
        <f t="shared" si="19"/>
        <v>113</v>
      </c>
      <c r="B115" s="77" t="s">
        <v>299</v>
      </c>
      <c r="C115" s="9"/>
      <c r="D115" s="78" t="s">
        <v>477</v>
      </c>
      <c r="E115" s="90" t="str">
        <f>_xlfn.IFNA(VLOOKUP($D115,'Route-Details'!$B$2:$X$1048576,'Node Details'!E$1,0),"")</f>
        <v>Airtel</v>
      </c>
      <c r="F115" s="90" t="str">
        <f>_xlfn.IFNA(VLOOKUP($D115,'Route-Details'!$B$2:$X$1048576,'Node Details'!F$1,0),"")</f>
        <v>PLAN OF AXY DARIA</v>
      </c>
      <c r="G115" s="90" t="str">
        <f>_xlfn.IFNA(VLOOKUP($D115,'Route-Details'!$B$2:$X$1048576,'Node Details'!G$1,0),"")</f>
        <v>Chandigarh</v>
      </c>
      <c r="H115" s="90" t="str">
        <f>_xlfn.IFNA(VLOOKUP($D116,'Route-Details'!$B$2:$X$1048576,'Node Details'!H$1,0),"")</f>
        <v>Punjab</v>
      </c>
      <c r="I115" s="90" t="str">
        <f>_xlfn.IFNA(VLOOKUP($D115,'Route-Details'!$B$2:$X$1048576,'Node Details'!I$1,0),"")</f>
        <v>AXY</v>
      </c>
      <c r="J115" s="90" t="str">
        <f>_xlfn.IFNA(VLOOKUP($D115,'Route-Details'!$B$2:$X$1048576,'Node Details'!J$1,0),"")</f>
        <v>AXY</v>
      </c>
      <c r="K115" s="78">
        <v>46112</v>
      </c>
      <c r="L115" s="78">
        <v>46113</v>
      </c>
      <c r="M115" s="91">
        <v>46125</v>
      </c>
      <c r="N115" s="78">
        <v>46112</v>
      </c>
      <c r="Q115" s="88" t="s">
        <v>173</v>
      </c>
      <c r="R115" s="92"/>
      <c r="S115" s="89"/>
      <c r="T115" s="89"/>
      <c r="U115" s="89"/>
      <c r="V115" s="95"/>
      <c r="W115" s="93"/>
      <c r="X115" s="89"/>
      <c r="Y115" s="94"/>
      <c r="Z115" s="92"/>
      <c r="AA115" s="95"/>
      <c r="AB115" s="89"/>
      <c r="AC115" s="93"/>
      <c r="AD115" s="92"/>
      <c r="AE115" s="88"/>
      <c r="AF115" s="84"/>
      <c r="AG115" s="24"/>
      <c r="AH115" s="95"/>
      <c r="AI115" s="89"/>
      <c r="AJ115" s="88"/>
      <c r="AK115" s="83"/>
      <c r="AL115" s="24"/>
      <c r="AM115" s="24"/>
      <c r="AN115" s="83"/>
      <c r="AO115" s="83"/>
      <c r="AP115" s="24"/>
      <c r="AQ115" s="95"/>
      <c r="AR115" s="96"/>
      <c r="AS115" s="84"/>
      <c r="AT115" s="84"/>
      <c r="AU115" s="24"/>
      <c r="AV115" s="95"/>
      <c r="AW115" s="96"/>
      <c r="AX115" s="97"/>
      <c r="AY115" s="97"/>
      <c r="AZ115" s="97"/>
      <c r="BA115" s="24"/>
      <c r="BB115" s="9" t="s">
        <v>398</v>
      </c>
      <c r="BC115" s="98" t="s">
        <v>176</v>
      </c>
    </row>
    <row r="116" spans="1:55" ht="15" customHeight="1" x14ac:dyDescent="0.25">
      <c r="A116" s="88">
        <f t="shared" si="19"/>
        <v>114</v>
      </c>
      <c r="B116" s="77" t="s">
        <v>300</v>
      </c>
      <c r="C116" s="9"/>
      <c r="D116" s="78" t="s">
        <v>477</v>
      </c>
      <c r="E116" s="90" t="str">
        <f>_xlfn.IFNA(VLOOKUP($D116,'Route-Details'!$B$2:$X$1048576,'Node Details'!E$1,0),"")</f>
        <v>Airtel</v>
      </c>
      <c r="F116" s="90" t="str">
        <f>_xlfn.IFNA(VLOOKUP($D116,'Route-Details'!$B$2:$X$1048576,'Node Details'!F$1,0),"")</f>
        <v>PLAN OF AXY DARIA</v>
      </c>
      <c r="G116" s="90" t="str">
        <f>_xlfn.IFNA(VLOOKUP($D116,'Route-Details'!$B$2:$X$1048576,'Node Details'!G$1,0),"")</f>
        <v>Chandigarh</v>
      </c>
      <c r="H116" s="90" t="str">
        <f>_xlfn.IFNA(VLOOKUP($D117,'Route-Details'!$B$2:$X$1048576,'Node Details'!H$1,0),"")</f>
        <v>Punjab</v>
      </c>
      <c r="I116" s="90" t="str">
        <f>_xlfn.IFNA(VLOOKUP($D116,'Route-Details'!$B$2:$X$1048576,'Node Details'!I$1,0),"")</f>
        <v>AXY</v>
      </c>
      <c r="J116" s="90" t="str">
        <f>_xlfn.IFNA(VLOOKUP($D116,'Route-Details'!$B$2:$X$1048576,'Node Details'!J$1,0),"")</f>
        <v>AXY</v>
      </c>
      <c r="K116" s="78">
        <v>46112</v>
      </c>
      <c r="L116" s="78">
        <v>46113</v>
      </c>
      <c r="M116" s="91">
        <v>46125</v>
      </c>
      <c r="N116" s="78">
        <v>46112</v>
      </c>
      <c r="Q116" s="88" t="s">
        <v>173</v>
      </c>
      <c r="R116" s="92"/>
      <c r="S116" s="89"/>
      <c r="T116" s="89"/>
      <c r="U116" s="89"/>
      <c r="V116" s="95"/>
      <c r="W116" s="93"/>
      <c r="X116" s="89"/>
      <c r="Y116" s="94"/>
      <c r="Z116" s="92"/>
      <c r="AA116" s="95"/>
      <c r="AB116" s="89"/>
      <c r="AC116" s="93"/>
      <c r="AD116" s="92"/>
      <c r="AE116" s="88"/>
      <c r="AF116" s="84"/>
      <c r="AG116" s="24"/>
      <c r="AH116" s="95"/>
      <c r="AI116" s="89"/>
      <c r="AJ116" s="88"/>
      <c r="AK116" s="83"/>
      <c r="AL116" s="24"/>
      <c r="AM116" s="24"/>
      <c r="AN116" s="83"/>
      <c r="AO116" s="83"/>
      <c r="AP116" s="24"/>
      <c r="AQ116" s="95"/>
      <c r="AR116" s="96"/>
      <c r="AS116" s="84"/>
      <c r="AT116" s="84"/>
      <c r="AU116" s="24"/>
      <c r="AV116" s="95"/>
      <c r="AW116" s="96"/>
      <c r="AX116" s="97"/>
      <c r="AY116" s="97"/>
      <c r="AZ116" s="97"/>
      <c r="BA116" s="24"/>
      <c r="BB116" s="9" t="s">
        <v>398</v>
      </c>
      <c r="BC116" s="98" t="s">
        <v>176</v>
      </c>
    </row>
    <row r="117" spans="1:55" ht="15" customHeight="1" x14ac:dyDescent="0.25">
      <c r="A117" s="88">
        <f t="shared" si="19"/>
        <v>115</v>
      </c>
      <c r="B117" s="77" t="s">
        <v>301</v>
      </c>
      <c r="C117" s="9"/>
      <c r="D117" s="78" t="s">
        <v>462</v>
      </c>
      <c r="E117" s="90" t="str">
        <f>_xlfn.IFNA(VLOOKUP($D117,'Route-Details'!$B$2:$X$1048576,'Node Details'!E$1,0),"")</f>
        <v>Airtel</v>
      </c>
      <c r="F117" s="90" t="str">
        <f>_xlfn.IFNA(VLOOKUP($D117,'Route-Details'!$B$2:$X$1048576,'Node Details'!F$1,0),"")</f>
        <v>PLAN OF AXY DARIA</v>
      </c>
      <c r="G117" s="90" t="str">
        <f>_xlfn.IFNA(VLOOKUP($D117,'Route-Details'!$B$2:$X$1048576,'Node Details'!G$1,0),"")</f>
        <v>Chandigarh</v>
      </c>
      <c r="H117" s="90" t="str">
        <f>_xlfn.IFNA(VLOOKUP($D118,'Route-Details'!$B$2:$X$1048576,'Node Details'!H$1,0),"")</f>
        <v>Punjab</v>
      </c>
      <c r="I117" s="90" t="str">
        <f>_xlfn.IFNA(VLOOKUP($D117,'Route-Details'!$B$2:$X$1048576,'Node Details'!I$1,0),"")</f>
        <v>AXY</v>
      </c>
      <c r="J117" s="90" t="str">
        <f>_xlfn.IFNA(VLOOKUP($D117,'Route-Details'!$B$2:$X$1048576,'Node Details'!J$1,0),"")</f>
        <v>AXY</v>
      </c>
      <c r="K117" s="78">
        <v>46112</v>
      </c>
      <c r="L117" s="78">
        <v>46113</v>
      </c>
      <c r="M117" s="91">
        <v>46125</v>
      </c>
      <c r="N117" s="78">
        <v>46112</v>
      </c>
      <c r="Q117" s="88" t="s">
        <v>173</v>
      </c>
      <c r="R117" s="92"/>
      <c r="S117" s="89"/>
      <c r="T117" s="89"/>
      <c r="U117" s="89"/>
      <c r="V117" s="95"/>
      <c r="W117" s="93"/>
      <c r="X117" s="89"/>
      <c r="Y117" s="94"/>
      <c r="Z117" s="92"/>
      <c r="AA117" s="95"/>
      <c r="AB117" s="89"/>
      <c r="AC117" s="93"/>
      <c r="AD117" s="92"/>
      <c r="AE117" s="88"/>
      <c r="AF117" s="84"/>
      <c r="AG117" s="24"/>
      <c r="AH117" s="95"/>
      <c r="AI117" s="89"/>
      <c r="AJ117" s="88"/>
      <c r="AK117" s="83"/>
      <c r="AL117" s="24"/>
      <c r="AM117" s="24"/>
      <c r="AN117" s="83"/>
      <c r="AO117" s="83"/>
      <c r="AP117" s="24"/>
      <c r="AQ117" s="95"/>
      <c r="AR117" s="96"/>
      <c r="AS117" s="84"/>
      <c r="AT117" s="84"/>
      <c r="AU117" s="24"/>
      <c r="AV117" s="95"/>
      <c r="AW117" s="96"/>
      <c r="AX117" s="97"/>
      <c r="AY117" s="97"/>
      <c r="AZ117" s="97"/>
      <c r="BA117" s="24"/>
      <c r="BB117" s="9" t="s">
        <v>190</v>
      </c>
      <c r="BC117" s="98" t="s">
        <v>176</v>
      </c>
    </row>
    <row r="118" spans="1:55" ht="15" customHeight="1" x14ac:dyDescent="0.25">
      <c r="A118" s="88">
        <f t="shared" si="19"/>
        <v>116</v>
      </c>
      <c r="B118" s="77" t="s">
        <v>302</v>
      </c>
      <c r="C118" s="9"/>
      <c r="D118" s="78" t="s">
        <v>506</v>
      </c>
      <c r="E118" s="90" t="str">
        <f>_xlfn.IFNA(VLOOKUP($D118,'Route-Details'!$B$2:$X$1048576,'Node Details'!E$1,0),"")</f>
        <v>Airtel</v>
      </c>
      <c r="F118" s="90" t="str">
        <f>_xlfn.IFNA(VLOOKUP($D118,'Route-Details'!$B$2:$X$1048576,'Node Details'!F$1,0),"")</f>
        <v>PLAN OF AXY DARIA</v>
      </c>
      <c r="G118" s="90" t="str">
        <f>_xlfn.IFNA(VLOOKUP($D118,'Route-Details'!$B$2:$X$1048576,'Node Details'!G$1,0),"")</f>
        <v>Chandigarh</v>
      </c>
      <c r="H118" s="90" t="str">
        <f>_xlfn.IFNA(VLOOKUP($D119,'Route-Details'!$B$2:$X$1048576,'Node Details'!H$1,0),"")</f>
        <v>Punjab</v>
      </c>
      <c r="I118" s="90" t="str">
        <f>_xlfn.IFNA(VLOOKUP($D118,'Route-Details'!$B$2:$X$1048576,'Node Details'!I$1,0),"")</f>
        <v>AXY</v>
      </c>
      <c r="J118" s="90" t="str">
        <f>_xlfn.IFNA(VLOOKUP($D118,'Route-Details'!$B$2:$X$1048576,'Node Details'!J$1,0),"")</f>
        <v>AXY</v>
      </c>
      <c r="K118" s="78">
        <v>46112</v>
      </c>
      <c r="L118" s="78">
        <v>46113</v>
      </c>
      <c r="M118" s="91">
        <v>46125</v>
      </c>
      <c r="N118" s="78">
        <v>46112</v>
      </c>
      <c r="Q118" s="88" t="s">
        <v>173</v>
      </c>
      <c r="R118" s="92"/>
      <c r="S118" s="89"/>
      <c r="T118" s="89"/>
      <c r="U118" s="89"/>
      <c r="V118" s="95"/>
      <c r="W118" s="93"/>
      <c r="X118" s="89"/>
      <c r="Y118" s="94"/>
      <c r="Z118" s="92"/>
      <c r="AA118" s="95"/>
      <c r="AB118" s="89"/>
      <c r="AC118" s="93"/>
      <c r="AD118" s="92"/>
      <c r="AE118" s="88"/>
      <c r="AF118" s="84"/>
      <c r="AG118" s="24"/>
      <c r="AH118" s="95"/>
      <c r="AI118" s="89"/>
      <c r="AJ118" s="88"/>
      <c r="AK118" s="83"/>
      <c r="AL118" s="24"/>
      <c r="AM118" s="24"/>
      <c r="AN118" s="83"/>
      <c r="AO118" s="83"/>
      <c r="AP118" s="24"/>
      <c r="AQ118" s="95"/>
      <c r="AR118" s="96"/>
      <c r="AS118" s="84"/>
      <c r="AT118" s="84"/>
      <c r="AU118" s="24"/>
      <c r="AV118" s="95"/>
      <c r="AW118" s="96"/>
      <c r="AX118" s="97"/>
      <c r="AY118" s="97"/>
      <c r="AZ118" s="97"/>
      <c r="BA118" s="24"/>
      <c r="BB118" s="9" t="s">
        <v>399</v>
      </c>
      <c r="BC118" s="98" t="s">
        <v>176</v>
      </c>
    </row>
    <row r="119" spans="1:55" ht="15" customHeight="1" x14ac:dyDescent="0.25">
      <c r="A119" s="88">
        <f t="shared" si="19"/>
        <v>117</v>
      </c>
      <c r="B119" s="77" t="s">
        <v>303</v>
      </c>
      <c r="C119" s="9"/>
      <c r="D119" s="78" t="s">
        <v>506</v>
      </c>
      <c r="E119" s="90" t="str">
        <f>_xlfn.IFNA(VLOOKUP($D119,'Route-Details'!$B$2:$X$1048576,'Node Details'!E$1,0),"")</f>
        <v>Airtel</v>
      </c>
      <c r="F119" s="90" t="str">
        <f>_xlfn.IFNA(VLOOKUP($D119,'Route-Details'!$B$2:$X$1048576,'Node Details'!F$1,0),"")</f>
        <v>PLAN OF AXY DARIA</v>
      </c>
      <c r="G119" s="90" t="str">
        <f>_xlfn.IFNA(VLOOKUP($D119,'Route-Details'!$B$2:$X$1048576,'Node Details'!G$1,0),"")</f>
        <v>Chandigarh</v>
      </c>
      <c r="H119" s="90" t="str">
        <f>_xlfn.IFNA(VLOOKUP($D120,'Route-Details'!$B$2:$X$1048576,'Node Details'!H$1,0),"")</f>
        <v>Punjab</v>
      </c>
      <c r="I119" s="90" t="str">
        <f>_xlfn.IFNA(VLOOKUP($D119,'Route-Details'!$B$2:$X$1048576,'Node Details'!I$1,0),"")</f>
        <v>AXY</v>
      </c>
      <c r="J119" s="90" t="str">
        <f>_xlfn.IFNA(VLOOKUP($D119,'Route-Details'!$B$2:$X$1048576,'Node Details'!J$1,0),"")</f>
        <v>AXY</v>
      </c>
      <c r="K119" s="78">
        <v>46112</v>
      </c>
      <c r="L119" s="78">
        <v>46113</v>
      </c>
      <c r="M119" s="91">
        <v>46125</v>
      </c>
      <c r="N119" s="78">
        <v>46112</v>
      </c>
      <c r="Q119" s="88" t="s">
        <v>173</v>
      </c>
      <c r="R119" s="92"/>
      <c r="S119" s="89"/>
      <c r="T119" s="89"/>
      <c r="U119" s="89"/>
      <c r="V119" s="95"/>
      <c r="W119" s="93"/>
      <c r="X119" s="89"/>
      <c r="Y119" s="94"/>
      <c r="Z119" s="92"/>
      <c r="AA119" s="95"/>
      <c r="AB119" s="89"/>
      <c r="AC119" s="93"/>
      <c r="AD119" s="92"/>
      <c r="AE119" s="88"/>
      <c r="AF119" s="84"/>
      <c r="AG119" s="24"/>
      <c r="AH119" s="95"/>
      <c r="AI119" s="89"/>
      <c r="AJ119" s="88"/>
      <c r="AK119" s="83"/>
      <c r="AL119" s="24"/>
      <c r="AM119" s="24"/>
      <c r="AN119" s="83"/>
      <c r="AO119" s="83"/>
      <c r="AP119" s="24"/>
      <c r="AQ119" s="95"/>
      <c r="AR119" s="96"/>
      <c r="AS119" s="84"/>
      <c r="AT119" s="84"/>
      <c r="AU119" s="24"/>
      <c r="AV119" s="95"/>
      <c r="AW119" s="96"/>
      <c r="AX119" s="97"/>
      <c r="AY119" s="97"/>
      <c r="AZ119" s="97"/>
      <c r="BA119" s="24"/>
      <c r="BB119" s="9" t="s">
        <v>399</v>
      </c>
      <c r="BC119" s="98" t="s">
        <v>176</v>
      </c>
    </row>
    <row r="120" spans="1:55" ht="15" customHeight="1" x14ac:dyDescent="0.25">
      <c r="A120" s="88">
        <f t="shared" si="19"/>
        <v>118</v>
      </c>
      <c r="B120" s="77" t="s">
        <v>304</v>
      </c>
      <c r="C120" s="9"/>
      <c r="D120" s="78" t="s">
        <v>506</v>
      </c>
      <c r="E120" s="90" t="str">
        <f>_xlfn.IFNA(VLOOKUP($D120,'Route-Details'!$B$2:$X$1048576,'Node Details'!E$1,0),"")</f>
        <v>Airtel</v>
      </c>
      <c r="F120" s="90" t="str">
        <f>_xlfn.IFNA(VLOOKUP($D120,'Route-Details'!$B$2:$X$1048576,'Node Details'!F$1,0),"")</f>
        <v>PLAN OF AXY DARIA</v>
      </c>
      <c r="G120" s="90" t="str">
        <f>_xlfn.IFNA(VLOOKUP($D120,'Route-Details'!$B$2:$X$1048576,'Node Details'!G$1,0),"")</f>
        <v>Chandigarh</v>
      </c>
      <c r="H120" s="90" t="str">
        <f>_xlfn.IFNA(VLOOKUP($D121,'Route-Details'!$B$2:$X$1048576,'Node Details'!H$1,0),"")</f>
        <v>Punjab</v>
      </c>
      <c r="I120" s="90" t="str">
        <f>_xlfn.IFNA(VLOOKUP($D120,'Route-Details'!$B$2:$X$1048576,'Node Details'!I$1,0),"")</f>
        <v>AXY</v>
      </c>
      <c r="J120" s="90" t="str">
        <f>_xlfn.IFNA(VLOOKUP($D120,'Route-Details'!$B$2:$X$1048576,'Node Details'!J$1,0),"")</f>
        <v>AXY</v>
      </c>
      <c r="K120" s="78">
        <v>46112</v>
      </c>
      <c r="L120" s="78">
        <v>46113</v>
      </c>
      <c r="M120" s="91">
        <v>46125</v>
      </c>
      <c r="N120" s="78">
        <v>46112</v>
      </c>
      <c r="Q120" s="88" t="s">
        <v>173</v>
      </c>
      <c r="R120" s="92"/>
      <c r="S120" s="89"/>
      <c r="T120" s="89"/>
      <c r="U120" s="89"/>
      <c r="V120" s="95"/>
      <c r="W120" s="93"/>
      <c r="X120" s="89"/>
      <c r="Y120" s="94"/>
      <c r="Z120" s="92"/>
      <c r="AA120" s="95"/>
      <c r="AB120" s="89"/>
      <c r="AC120" s="93"/>
      <c r="AD120" s="92"/>
      <c r="AE120" s="88"/>
      <c r="AF120" s="84"/>
      <c r="AG120" s="24"/>
      <c r="AH120" s="95"/>
      <c r="AI120" s="89"/>
      <c r="AJ120" s="88"/>
      <c r="AK120" s="83"/>
      <c r="AL120" s="24"/>
      <c r="AM120" s="24"/>
      <c r="AN120" s="83"/>
      <c r="AO120" s="83"/>
      <c r="AP120" s="24"/>
      <c r="AQ120" s="95"/>
      <c r="AR120" s="96"/>
      <c r="AS120" s="84"/>
      <c r="AT120" s="84"/>
      <c r="AU120" s="24"/>
      <c r="AV120" s="95"/>
      <c r="AW120" s="96"/>
      <c r="AX120" s="97"/>
      <c r="AY120" s="97"/>
      <c r="AZ120" s="97"/>
      <c r="BA120" s="24"/>
      <c r="BB120" s="9" t="s">
        <v>399</v>
      </c>
      <c r="BC120" s="98" t="s">
        <v>176</v>
      </c>
    </row>
    <row r="121" spans="1:55" ht="15" customHeight="1" x14ac:dyDescent="0.25">
      <c r="A121" s="88">
        <f t="shared" si="19"/>
        <v>119</v>
      </c>
      <c r="B121" s="77" t="s">
        <v>305</v>
      </c>
      <c r="C121" s="9"/>
      <c r="D121" s="78" t="s">
        <v>470</v>
      </c>
      <c r="E121" s="90" t="str">
        <f>_xlfn.IFNA(VLOOKUP($D121,'Route-Details'!$B$2:$X$1048576,'Node Details'!E$1,0),"")</f>
        <v>Airtel</v>
      </c>
      <c r="F121" s="90" t="str">
        <f>_xlfn.IFNA(VLOOKUP($D121,'Route-Details'!$B$2:$X$1048576,'Node Details'!F$1,0),"")</f>
        <v>PLAN OF AXY DARIA</v>
      </c>
      <c r="G121" s="90" t="str">
        <f>_xlfn.IFNA(VLOOKUP($D121,'Route-Details'!$B$2:$X$1048576,'Node Details'!G$1,0),"")</f>
        <v>Chandigarh</v>
      </c>
      <c r="H121" s="90" t="str">
        <f>_xlfn.IFNA(VLOOKUP($D122,'Route-Details'!$B$2:$X$1048576,'Node Details'!H$1,0),"")</f>
        <v>Punjab</v>
      </c>
      <c r="I121" s="90" t="str">
        <f>_xlfn.IFNA(VLOOKUP($D121,'Route-Details'!$B$2:$X$1048576,'Node Details'!I$1,0),"")</f>
        <v>AXY</v>
      </c>
      <c r="J121" s="90" t="str">
        <f>_xlfn.IFNA(VLOOKUP($D121,'Route-Details'!$B$2:$X$1048576,'Node Details'!J$1,0),"")</f>
        <v>AXY</v>
      </c>
      <c r="K121" s="78">
        <v>46112</v>
      </c>
      <c r="L121" s="78">
        <v>46113</v>
      </c>
      <c r="M121" s="91">
        <v>46125</v>
      </c>
      <c r="N121" s="78">
        <v>46112</v>
      </c>
      <c r="Q121" s="88" t="s">
        <v>173</v>
      </c>
      <c r="R121" s="92"/>
      <c r="S121" s="89"/>
      <c r="T121" s="89"/>
      <c r="U121" s="89"/>
      <c r="V121" s="95"/>
      <c r="W121" s="93"/>
      <c r="X121" s="89"/>
      <c r="Y121" s="94"/>
      <c r="Z121" s="92"/>
      <c r="AA121" s="95"/>
      <c r="AB121" s="89"/>
      <c r="AC121" s="93"/>
      <c r="AD121" s="92"/>
      <c r="AE121" s="88"/>
      <c r="AF121" s="84"/>
      <c r="AG121" s="24"/>
      <c r="AH121" s="95"/>
      <c r="AI121" s="89"/>
      <c r="AJ121" s="88"/>
      <c r="AK121" s="83"/>
      <c r="AL121" s="24"/>
      <c r="AM121" s="24"/>
      <c r="AN121" s="83"/>
      <c r="AO121" s="83"/>
      <c r="AP121" s="24"/>
      <c r="AQ121" s="95"/>
      <c r="AR121" s="96"/>
      <c r="AS121" s="84"/>
      <c r="AT121" s="84"/>
      <c r="AU121" s="24"/>
      <c r="AV121" s="95"/>
      <c r="AW121" s="96"/>
      <c r="AX121" s="97"/>
      <c r="AY121" s="97"/>
      <c r="AZ121" s="97"/>
      <c r="BA121" s="24"/>
      <c r="BB121" s="9" t="s">
        <v>400</v>
      </c>
      <c r="BC121" s="98" t="s">
        <v>176</v>
      </c>
    </row>
    <row r="122" spans="1:55" ht="15" customHeight="1" x14ac:dyDescent="0.25">
      <c r="A122" s="88">
        <f t="shared" si="19"/>
        <v>120</v>
      </c>
      <c r="B122" s="77" t="s">
        <v>306</v>
      </c>
      <c r="C122" s="9"/>
      <c r="D122" s="78" t="s">
        <v>470</v>
      </c>
      <c r="E122" s="90" t="str">
        <f>_xlfn.IFNA(VLOOKUP($D122,'Route-Details'!$B$2:$X$1048576,'Node Details'!E$1,0),"")</f>
        <v>Airtel</v>
      </c>
      <c r="F122" s="90" t="str">
        <f>_xlfn.IFNA(VLOOKUP($D122,'Route-Details'!$B$2:$X$1048576,'Node Details'!F$1,0),"")</f>
        <v>PLAN OF AXY DARIA</v>
      </c>
      <c r="G122" s="90" t="str">
        <f>_xlfn.IFNA(VLOOKUP($D122,'Route-Details'!$B$2:$X$1048576,'Node Details'!G$1,0),"")</f>
        <v>Chandigarh</v>
      </c>
      <c r="H122" s="90" t="str">
        <f>_xlfn.IFNA(VLOOKUP($D123,'Route-Details'!$B$2:$X$1048576,'Node Details'!H$1,0),"")</f>
        <v>Punjab</v>
      </c>
      <c r="I122" s="90" t="str">
        <f>_xlfn.IFNA(VLOOKUP($D122,'Route-Details'!$B$2:$X$1048576,'Node Details'!I$1,0),"")</f>
        <v>AXY</v>
      </c>
      <c r="J122" s="90" t="str">
        <f>_xlfn.IFNA(VLOOKUP($D122,'Route-Details'!$B$2:$X$1048576,'Node Details'!J$1,0),"")</f>
        <v>AXY</v>
      </c>
      <c r="K122" s="78">
        <v>46112</v>
      </c>
      <c r="L122" s="78">
        <v>46113</v>
      </c>
      <c r="M122" s="91">
        <v>46125</v>
      </c>
      <c r="N122" s="78">
        <v>46112</v>
      </c>
      <c r="Q122" s="88" t="s">
        <v>173</v>
      </c>
      <c r="R122" s="92"/>
      <c r="S122" s="89"/>
      <c r="T122" s="89"/>
      <c r="U122" s="89"/>
      <c r="V122" s="95"/>
      <c r="W122" s="93"/>
      <c r="X122" s="89"/>
      <c r="Y122" s="94"/>
      <c r="Z122" s="92"/>
      <c r="AA122" s="95"/>
      <c r="AB122" s="89"/>
      <c r="AC122" s="93"/>
      <c r="AD122" s="92"/>
      <c r="AE122" s="88"/>
      <c r="AF122" s="84"/>
      <c r="AG122" s="24"/>
      <c r="AH122" s="95"/>
      <c r="AI122" s="89"/>
      <c r="AJ122" s="88"/>
      <c r="AK122" s="83"/>
      <c r="AL122" s="24"/>
      <c r="AM122" s="24"/>
      <c r="AN122" s="83"/>
      <c r="AO122" s="83"/>
      <c r="AP122" s="24"/>
      <c r="AQ122" s="95"/>
      <c r="AR122" s="96"/>
      <c r="AS122" s="84"/>
      <c r="AT122" s="84"/>
      <c r="AU122" s="24"/>
      <c r="AV122" s="95"/>
      <c r="AW122" s="96"/>
      <c r="AX122" s="97"/>
      <c r="AY122" s="97"/>
      <c r="AZ122" s="97"/>
      <c r="BA122" s="24"/>
      <c r="BB122" s="9" t="s">
        <v>400</v>
      </c>
      <c r="BC122" s="98" t="s">
        <v>176</v>
      </c>
    </row>
    <row r="123" spans="1:55" ht="15" customHeight="1" x14ac:dyDescent="0.25">
      <c r="A123" s="88">
        <f t="shared" si="19"/>
        <v>121</v>
      </c>
      <c r="B123" s="77" t="s">
        <v>307</v>
      </c>
      <c r="C123" s="9"/>
      <c r="D123" s="78" t="s">
        <v>478</v>
      </c>
      <c r="E123" s="90" t="str">
        <f>_xlfn.IFNA(VLOOKUP($D123,'Route-Details'!$B$2:$X$1048576,'Node Details'!E$1,0),"")</f>
        <v>Airtel</v>
      </c>
      <c r="F123" s="90" t="str">
        <f>_xlfn.IFNA(VLOOKUP($D123,'Route-Details'!$B$2:$X$1048576,'Node Details'!F$1,0),"")</f>
        <v>PLAN OF AXY DARIA</v>
      </c>
      <c r="G123" s="90" t="str">
        <f>_xlfn.IFNA(VLOOKUP($D123,'Route-Details'!$B$2:$X$1048576,'Node Details'!G$1,0),"")</f>
        <v>Chandigarh</v>
      </c>
      <c r="H123" s="90" t="str">
        <f>_xlfn.IFNA(VLOOKUP($D124,'Route-Details'!$B$2:$X$1048576,'Node Details'!H$1,0),"")</f>
        <v>Punjab</v>
      </c>
      <c r="I123" s="90" t="str">
        <f>_xlfn.IFNA(VLOOKUP($D123,'Route-Details'!$B$2:$X$1048576,'Node Details'!I$1,0),"")</f>
        <v>AXY</v>
      </c>
      <c r="J123" s="90" t="str">
        <f>_xlfn.IFNA(VLOOKUP($D123,'Route-Details'!$B$2:$X$1048576,'Node Details'!J$1,0),"")</f>
        <v>AXY</v>
      </c>
      <c r="K123" s="78">
        <v>46112</v>
      </c>
      <c r="L123" s="78">
        <v>46113</v>
      </c>
      <c r="M123" s="91">
        <v>46125</v>
      </c>
      <c r="N123" s="78">
        <v>46112</v>
      </c>
      <c r="Q123" s="88" t="s">
        <v>173</v>
      </c>
      <c r="R123" s="92"/>
      <c r="S123" s="89"/>
      <c r="T123" s="89"/>
      <c r="U123" s="89"/>
      <c r="V123" s="95"/>
      <c r="W123" s="93"/>
      <c r="X123" s="89"/>
      <c r="Y123" s="94"/>
      <c r="Z123" s="92"/>
      <c r="AA123" s="95"/>
      <c r="AB123" s="89"/>
      <c r="AC123" s="93"/>
      <c r="AD123" s="92"/>
      <c r="AE123" s="88"/>
      <c r="AF123" s="84"/>
      <c r="AG123" s="24"/>
      <c r="AH123" s="95"/>
      <c r="AI123" s="89"/>
      <c r="AJ123" s="88"/>
      <c r="AK123" s="83"/>
      <c r="AL123" s="24"/>
      <c r="AM123" s="24"/>
      <c r="AN123" s="83"/>
      <c r="AO123" s="83"/>
      <c r="AP123" s="24"/>
      <c r="AQ123" s="95"/>
      <c r="AR123" s="96"/>
      <c r="AS123" s="84"/>
      <c r="AT123" s="84"/>
      <c r="AU123" s="24"/>
      <c r="AV123" s="95"/>
      <c r="AW123" s="96"/>
      <c r="AX123" s="97"/>
      <c r="AY123" s="97"/>
      <c r="AZ123" s="97"/>
      <c r="BA123" s="24"/>
      <c r="BB123" s="9" t="s">
        <v>401</v>
      </c>
      <c r="BC123" s="98" t="s">
        <v>176</v>
      </c>
    </row>
    <row r="124" spans="1:55" ht="15" customHeight="1" x14ac:dyDescent="0.25">
      <c r="A124" s="88">
        <f t="shared" si="19"/>
        <v>122</v>
      </c>
      <c r="B124" s="77" t="s">
        <v>308</v>
      </c>
      <c r="C124" s="9"/>
      <c r="D124" s="78" t="s">
        <v>478</v>
      </c>
      <c r="E124" s="90" t="str">
        <f>_xlfn.IFNA(VLOOKUP($D124,'Route-Details'!$B$2:$X$1048576,'Node Details'!E$1,0),"")</f>
        <v>Airtel</v>
      </c>
      <c r="F124" s="90" t="str">
        <f>_xlfn.IFNA(VLOOKUP($D124,'Route-Details'!$B$2:$X$1048576,'Node Details'!F$1,0),"")</f>
        <v>PLAN OF AXY DARIA</v>
      </c>
      <c r="G124" s="90" t="str">
        <f>_xlfn.IFNA(VLOOKUP($D124,'Route-Details'!$B$2:$X$1048576,'Node Details'!G$1,0),"")</f>
        <v>Chandigarh</v>
      </c>
      <c r="H124" s="90" t="str">
        <f>_xlfn.IFNA(VLOOKUP($D125,'Route-Details'!$B$2:$X$1048576,'Node Details'!H$1,0),"")</f>
        <v>Punjab</v>
      </c>
      <c r="I124" s="90" t="str">
        <f>_xlfn.IFNA(VLOOKUP($D124,'Route-Details'!$B$2:$X$1048576,'Node Details'!I$1,0),"")</f>
        <v>AXY</v>
      </c>
      <c r="J124" s="90" t="str">
        <f>_xlfn.IFNA(VLOOKUP($D124,'Route-Details'!$B$2:$X$1048576,'Node Details'!J$1,0),"")</f>
        <v>AXY</v>
      </c>
      <c r="K124" s="78">
        <v>46112</v>
      </c>
      <c r="L124" s="78">
        <v>46113</v>
      </c>
      <c r="M124" s="91">
        <v>46125</v>
      </c>
      <c r="N124" s="78">
        <v>46112</v>
      </c>
      <c r="Q124" s="88" t="s">
        <v>173</v>
      </c>
      <c r="R124" s="92"/>
      <c r="S124" s="89"/>
      <c r="T124" s="89"/>
      <c r="U124" s="89"/>
      <c r="V124" s="95"/>
      <c r="W124" s="93"/>
      <c r="X124" s="89"/>
      <c r="Y124" s="94"/>
      <c r="Z124" s="92"/>
      <c r="AA124" s="95"/>
      <c r="AB124" s="89"/>
      <c r="AC124" s="93"/>
      <c r="AD124" s="92"/>
      <c r="AE124" s="88"/>
      <c r="AF124" s="84"/>
      <c r="AG124" s="24"/>
      <c r="AH124" s="95"/>
      <c r="AI124" s="89"/>
      <c r="AJ124" s="88"/>
      <c r="AK124" s="83"/>
      <c r="AL124" s="24"/>
      <c r="AM124" s="24"/>
      <c r="AN124" s="83"/>
      <c r="AO124" s="83"/>
      <c r="AP124" s="24"/>
      <c r="AQ124" s="95"/>
      <c r="AR124" s="96"/>
      <c r="AS124" s="84"/>
      <c r="AT124" s="84"/>
      <c r="AU124" s="24"/>
      <c r="AV124" s="95"/>
      <c r="AW124" s="96"/>
      <c r="AX124" s="97"/>
      <c r="AY124" s="97"/>
      <c r="AZ124" s="97"/>
      <c r="BA124" s="24"/>
      <c r="BB124" s="9" t="s">
        <v>401</v>
      </c>
      <c r="BC124" s="98" t="s">
        <v>176</v>
      </c>
    </row>
    <row r="125" spans="1:55" ht="15" customHeight="1" x14ac:dyDescent="0.25">
      <c r="A125" s="88">
        <f t="shared" si="19"/>
        <v>123</v>
      </c>
      <c r="B125" s="77" t="s">
        <v>309</v>
      </c>
      <c r="C125" s="9"/>
      <c r="D125" s="78" t="s">
        <v>462</v>
      </c>
      <c r="E125" s="90" t="str">
        <f>_xlfn.IFNA(VLOOKUP($D125,'Route-Details'!$B$2:$X$1048576,'Node Details'!E$1,0),"")</f>
        <v>Airtel</v>
      </c>
      <c r="F125" s="90" t="str">
        <f>_xlfn.IFNA(VLOOKUP($D125,'Route-Details'!$B$2:$X$1048576,'Node Details'!F$1,0),"")</f>
        <v>PLAN OF AXY DARIA</v>
      </c>
      <c r="G125" s="90" t="str">
        <f>_xlfn.IFNA(VLOOKUP($D125,'Route-Details'!$B$2:$X$1048576,'Node Details'!G$1,0),"")</f>
        <v>Chandigarh</v>
      </c>
      <c r="H125" s="90" t="str">
        <f>_xlfn.IFNA(VLOOKUP($D126,'Route-Details'!$B$2:$X$1048576,'Node Details'!H$1,0),"")</f>
        <v>Punjab</v>
      </c>
      <c r="I125" s="90" t="str">
        <f>_xlfn.IFNA(VLOOKUP($D125,'Route-Details'!$B$2:$X$1048576,'Node Details'!I$1,0),"")</f>
        <v>AXY</v>
      </c>
      <c r="J125" s="90" t="str">
        <f>_xlfn.IFNA(VLOOKUP($D125,'Route-Details'!$B$2:$X$1048576,'Node Details'!J$1,0),"")</f>
        <v>AXY</v>
      </c>
      <c r="K125" s="78">
        <v>46112</v>
      </c>
      <c r="L125" s="78">
        <v>46113</v>
      </c>
      <c r="M125" s="91">
        <v>46125</v>
      </c>
      <c r="N125" s="78">
        <v>46112</v>
      </c>
      <c r="Q125" s="88" t="s">
        <v>173</v>
      </c>
      <c r="R125" s="92"/>
      <c r="S125" s="89"/>
      <c r="T125" s="89"/>
      <c r="U125" s="89"/>
      <c r="V125" s="95"/>
      <c r="W125" s="93"/>
      <c r="X125" s="89"/>
      <c r="Y125" s="94"/>
      <c r="Z125" s="92"/>
      <c r="AA125" s="95"/>
      <c r="AB125" s="89"/>
      <c r="AC125" s="93"/>
      <c r="AD125" s="92"/>
      <c r="AE125" s="88"/>
      <c r="AF125" s="84"/>
      <c r="AG125" s="24"/>
      <c r="AH125" s="95"/>
      <c r="AI125" s="89"/>
      <c r="AJ125" s="88"/>
      <c r="AK125" s="83"/>
      <c r="AL125" s="24"/>
      <c r="AM125" s="24"/>
      <c r="AN125" s="83"/>
      <c r="AO125" s="83"/>
      <c r="AP125" s="24"/>
      <c r="AQ125" s="95"/>
      <c r="AR125" s="96"/>
      <c r="AS125" s="84"/>
      <c r="AT125" s="84"/>
      <c r="AU125" s="24"/>
      <c r="AV125" s="95"/>
      <c r="AW125" s="96"/>
      <c r="AX125" s="97"/>
      <c r="AY125" s="97"/>
      <c r="AZ125" s="97"/>
      <c r="BA125" s="24"/>
      <c r="BB125" s="9" t="s">
        <v>190</v>
      </c>
      <c r="BC125" s="98" t="s">
        <v>176</v>
      </c>
    </row>
    <row r="126" spans="1:55" ht="15" customHeight="1" x14ac:dyDescent="0.25">
      <c r="A126" s="88">
        <f t="shared" si="19"/>
        <v>124</v>
      </c>
      <c r="B126" s="77" t="s">
        <v>310</v>
      </c>
      <c r="C126" s="9"/>
      <c r="D126" s="78" t="s">
        <v>507</v>
      </c>
      <c r="E126" s="90" t="str">
        <f>_xlfn.IFNA(VLOOKUP($D126,'Route-Details'!$B$2:$X$1048576,'Node Details'!E$1,0),"")</f>
        <v>Airtel</v>
      </c>
      <c r="F126" s="90" t="str">
        <f>_xlfn.IFNA(VLOOKUP($D126,'Route-Details'!$B$2:$X$1048576,'Node Details'!F$1,0),"")</f>
        <v>PLAN OF AXY DARIA</v>
      </c>
      <c r="G126" s="90" t="str">
        <f>_xlfn.IFNA(VLOOKUP($D126,'Route-Details'!$B$2:$X$1048576,'Node Details'!G$1,0),"")</f>
        <v>Chandigarh</v>
      </c>
      <c r="H126" s="90" t="str">
        <f>_xlfn.IFNA(VLOOKUP($D127,'Route-Details'!$B$2:$X$1048576,'Node Details'!H$1,0),"")</f>
        <v>Punjab</v>
      </c>
      <c r="I126" s="90" t="str">
        <f>_xlfn.IFNA(VLOOKUP($D126,'Route-Details'!$B$2:$X$1048576,'Node Details'!I$1,0),"")</f>
        <v>AXY</v>
      </c>
      <c r="J126" s="90" t="str">
        <f>_xlfn.IFNA(VLOOKUP($D126,'Route-Details'!$B$2:$X$1048576,'Node Details'!J$1,0),"")</f>
        <v>AXY</v>
      </c>
      <c r="K126" s="78">
        <v>46112</v>
      </c>
      <c r="L126" s="78">
        <v>46113</v>
      </c>
      <c r="M126" s="91">
        <v>46125</v>
      </c>
      <c r="N126" s="78">
        <v>46112</v>
      </c>
      <c r="Q126" s="88" t="s">
        <v>173</v>
      </c>
      <c r="R126" s="92"/>
      <c r="S126" s="89"/>
      <c r="T126" s="89"/>
      <c r="U126" s="89"/>
      <c r="V126" s="95"/>
      <c r="W126" s="93"/>
      <c r="X126" s="89"/>
      <c r="Y126" s="94"/>
      <c r="Z126" s="92"/>
      <c r="AA126" s="95"/>
      <c r="AB126" s="89"/>
      <c r="AC126" s="93"/>
      <c r="AD126" s="92"/>
      <c r="AE126" s="88"/>
      <c r="AF126" s="84"/>
      <c r="AG126" s="24"/>
      <c r="AH126" s="95"/>
      <c r="AI126" s="89"/>
      <c r="AJ126" s="88"/>
      <c r="AK126" s="83"/>
      <c r="AL126" s="24"/>
      <c r="AM126" s="24"/>
      <c r="AN126" s="83"/>
      <c r="AO126" s="83"/>
      <c r="AP126" s="24"/>
      <c r="AQ126" s="95"/>
      <c r="AR126" s="96"/>
      <c r="AS126" s="84"/>
      <c r="AT126" s="84"/>
      <c r="AU126" s="24"/>
      <c r="AV126" s="95"/>
      <c r="AW126" s="96"/>
      <c r="AX126" s="97"/>
      <c r="AY126" s="97"/>
      <c r="AZ126" s="97"/>
      <c r="BA126" s="24"/>
      <c r="BB126" s="9" t="s">
        <v>402</v>
      </c>
      <c r="BC126" s="98" t="s">
        <v>176</v>
      </c>
    </row>
    <row r="127" spans="1:55" ht="15" customHeight="1" x14ac:dyDescent="0.25">
      <c r="A127" s="88">
        <f t="shared" si="19"/>
        <v>125</v>
      </c>
      <c r="B127" s="77" t="s">
        <v>311</v>
      </c>
      <c r="C127" s="9"/>
      <c r="D127" s="78" t="s">
        <v>507</v>
      </c>
      <c r="E127" s="90" t="str">
        <f>_xlfn.IFNA(VLOOKUP($D127,'Route-Details'!$B$2:$X$1048576,'Node Details'!E$1,0),"")</f>
        <v>Airtel</v>
      </c>
      <c r="F127" s="90" t="str">
        <f>_xlfn.IFNA(VLOOKUP($D127,'Route-Details'!$B$2:$X$1048576,'Node Details'!F$1,0),"")</f>
        <v>PLAN OF AXY DARIA</v>
      </c>
      <c r="G127" s="90" t="str">
        <f>_xlfn.IFNA(VLOOKUP($D127,'Route-Details'!$B$2:$X$1048576,'Node Details'!G$1,0),"")</f>
        <v>Chandigarh</v>
      </c>
      <c r="H127" s="90" t="str">
        <f>_xlfn.IFNA(VLOOKUP($D128,'Route-Details'!$B$2:$X$1048576,'Node Details'!H$1,0),"")</f>
        <v>Punjab</v>
      </c>
      <c r="I127" s="90" t="str">
        <f>_xlfn.IFNA(VLOOKUP($D127,'Route-Details'!$B$2:$X$1048576,'Node Details'!I$1,0),"")</f>
        <v>AXY</v>
      </c>
      <c r="J127" s="90" t="str">
        <f>_xlfn.IFNA(VLOOKUP($D127,'Route-Details'!$B$2:$X$1048576,'Node Details'!J$1,0),"")</f>
        <v>AXY</v>
      </c>
      <c r="K127" s="78">
        <v>46112</v>
      </c>
      <c r="L127" s="78">
        <v>46113</v>
      </c>
      <c r="M127" s="91">
        <v>46125</v>
      </c>
      <c r="N127" s="78">
        <v>46112</v>
      </c>
      <c r="Q127" s="88" t="s">
        <v>173</v>
      </c>
      <c r="R127" s="92"/>
      <c r="S127" s="89"/>
      <c r="T127" s="89"/>
      <c r="U127" s="89"/>
      <c r="V127" s="95"/>
      <c r="W127" s="93"/>
      <c r="X127" s="89"/>
      <c r="Y127" s="94"/>
      <c r="Z127" s="92"/>
      <c r="AA127" s="95"/>
      <c r="AB127" s="89"/>
      <c r="AC127" s="93"/>
      <c r="AD127" s="92"/>
      <c r="AE127" s="88"/>
      <c r="AF127" s="84"/>
      <c r="AG127" s="24"/>
      <c r="AH127" s="95"/>
      <c r="AI127" s="89"/>
      <c r="AJ127" s="88"/>
      <c r="AK127" s="83"/>
      <c r="AL127" s="24"/>
      <c r="AM127" s="24"/>
      <c r="AN127" s="83"/>
      <c r="AO127" s="83"/>
      <c r="AP127" s="24"/>
      <c r="AQ127" s="95"/>
      <c r="AR127" s="96"/>
      <c r="AS127" s="84"/>
      <c r="AT127" s="84"/>
      <c r="AU127" s="24"/>
      <c r="AV127" s="95"/>
      <c r="AW127" s="96"/>
      <c r="AX127" s="97"/>
      <c r="AY127" s="97"/>
      <c r="AZ127" s="97"/>
      <c r="BA127" s="24"/>
      <c r="BB127" s="9" t="s">
        <v>402</v>
      </c>
      <c r="BC127" s="98" t="s">
        <v>176</v>
      </c>
    </row>
    <row r="128" spans="1:55" ht="15" customHeight="1" x14ac:dyDescent="0.25">
      <c r="A128" s="88">
        <f t="shared" si="19"/>
        <v>126</v>
      </c>
      <c r="B128" s="77" t="s">
        <v>312</v>
      </c>
      <c r="C128" s="9"/>
      <c r="D128" s="78" t="s">
        <v>508</v>
      </c>
      <c r="E128" s="90" t="str">
        <f>_xlfn.IFNA(VLOOKUP($D128,'Route-Details'!$B$2:$X$1048576,'Node Details'!E$1,0),"")</f>
        <v>Airtel</v>
      </c>
      <c r="F128" s="90" t="str">
        <f>_xlfn.IFNA(VLOOKUP($D128,'Route-Details'!$B$2:$X$1048576,'Node Details'!F$1,0),"")</f>
        <v>PLAN OF AXY DARIA</v>
      </c>
      <c r="G128" s="90" t="str">
        <f>_xlfn.IFNA(VLOOKUP($D128,'Route-Details'!$B$2:$X$1048576,'Node Details'!G$1,0),"")</f>
        <v>Chandigarh</v>
      </c>
      <c r="H128" s="90" t="str">
        <f>_xlfn.IFNA(VLOOKUP($D129,'Route-Details'!$B$2:$X$1048576,'Node Details'!H$1,0),"")</f>
        <v>Punjab</v>
      </c>
      <c r="I128" s="90" t="str">
        <f>_xlfn.IFNA(VLOOKUP($D128,'Route-Details'!$B$2:$X$1048576,'Node Details'!I$1,0),"")</f>
        <v>AXY</v>
      </c>
      <c r="J128" s="90" t="str">
        <f>_xlfn.IFNA(VLOOKUP($D128,'Route-Details'!$B$2:$X$1048576,'Node Details'!J$1,0),"")</f>
        <v>AXY</v>
      </c>
      <c r="K128" s="78">
        <v>46112</v>
      </c>
      <c r="L128" s="78">
        <v>46113</v>
      </c>
      <c r="M128" s="91">
        <v>46125</v>
      </c>
      <c r="N128" s="78">
        <v>46112</v>
      </c>
      <c r="Q128" s="88" t="s">
        <v>173</v>
      </c>
      <c r="R128" s="92"/>
      <c r="S128" s="89"/>
      <c r="T128" s="89"/>
      <c r="U128" s="89"/>
      <c r="V128" s="95"/>
      <c r="W128" s="93"/>
      <c r="X128" s="89"/>
      <c r="Y128" s="94"/>
      <c r="Z128" s="92"/>
      <c r="AA128" s="95"/>
      <c r="AB128" s="89"/>
      <c r="AC128" s="93"/>
      <c r="AD128" s="92"/>
      <c r="AE128" s="88"/>
      <c r="AF128" s="84"/>
      <c r="AG128" s="24"/>
      <c r="AH128" s="95"/>
      <c r="AI128" s="89"/>
      <c r="AJ128" s="88"/>
      <c r="AK128" s="83"/>
      <c r="AL128" s="24"/>
      <c r="AM128" s="24"/>
      <c r="AN128" s="83"/>
      <c r="AO128" s="83"/>
      <c r="AP128" s="24"/>
      <c r="AQ128" s="95"/>
      <c r="AR128" s="96"/>
      <c r="AS128" s="84"/>
      <c r="AT128" s="84"/>
      <c r="AU128" s="24"/>
      <c r="AV128" s="95"/>
      <c r="AW128" s="96"/>
      <c r="AX128" s="97"/>
      <c r="AY128" s="97"/>
      <c r="AZ128" s="97"/>
      <c r="BA128" s="24"/>
      <c r="BB128" s="9" t="s">
        <v>403</v>
      </c>
      <c r="BC128" s="98" t="s">
        <v>176</v>
      </c>
    </row>
    <row r="129" spans="1:55" ht="15" customHeight="1" x14ac:dyDescent="0.25">
      <c r="A129" s="88">
        <f t="shared" si="19"/>
        <v>127</v>
      </c>
      <c r="B129" s="77" t="s">
        <v>313</v>
      </c>
      <c r="C129" s="9"/>
      <c r="D129" s="78" t="s">
        <v>508</v>
      </c>
      <c r="E129" s="90" t="str">
        <f>_xlfn.IFNA(VLOOKUP($D129,'Route-Details'!$B$2:$X$1048576,'Node Details'!E$1,0),"")</f>
        <v>Airtel</v>
      </c>
      <c r="F129" s="90" t="str">
        <f>_xlfn.IFNA(VLOOKUP($D129,'Route-Details'!$B$2:$X$1048576,'Node Details'!F$1,0),"")</f>
        <v>PLAN OF AXY DARIA</v>
      </c>
      <c r="G129" s="90" t="str">
        <f>_xlfn.IFNA(VLOOKUP($D129,'Route-Details'!$B$2:$X$1048576,'Node Details'!G$1,0),"")</f>
        <v>Chandigarh</v>
      </c>
      <c r="H129" s="90" t="str">
        <f>_xlfn.IFNA(VLOOKUP($D130,'Route-Details'!$B$2:$X$1048576,'Node Details'!H$1,0),"")</f>
        <v>Punjab</v>
      </c>
      <c r="I129" s="90" t="str">
        <f>_xlfn.IFNA(VLOOKUP($D129,'Route-Details'!$B$2:$X$1048576,'Node Details'!I$1,0),"")</f>
        <v>AXY</v>
      </c>
      <c r="J129" s="90" t="str">
        <f>_xlfn.IFNA(VLOOKUP($D129,'Route-Details'!$B$2:$X$1048576,'Node Details'!J$1,0),"")</f>
        <v>AXY</v>
      </c>
      <c r="K129" s="78">
        <v>46112</v>
      </c>
      <c r="L129" s="78">
        <v>46113</v>
      </c>
      <c r="M129" s="91">
        <v>46125</v>
      </c>
      <c r="N129" s="78">
        <v>46112</v>
      </c>
      <c r="Q129" s="88" t="s">
        <v>173</v>
      </c>
      <c r="R129" s="92"/>
      <c r="S129" s="89"/>
      <c r="T129" s="89"/>
      <c r="U129" s="89"/>
      <c r="V129" s="95"/>
      <c r="W129" s="93"/>
      <c r="X129" s="89"/>
      <c r="Y129" s="94"/>
      <c r="Z129" s="92"/>
      <c r="AA129" s="95"/>
      <c r="AB129" s="89"/>
      <c r="AC129" s="93"/>
      <c r="AD129" s="92"/>
      <c r="AE129" s="88"/>
      <c r="AF129" s="84"/>
      <c r="AG129" s="24"/>
      <c r="AH129" s="95"/>
      <c r="AI129" s="89"/>
      <c r="AJ129" s="88"/>
      <c r="AK129" s="83"/>
      <c r="AL129" s="24"/>
      <c r="AM129" s="24"/>
      <c r="AN129" s="83"/>
      <c r="AO129" s="83"/>
      <c r="AP129" s="24"/>
      <c r="AQ129" s="95"/>
      <c r="AR129" s="96"/>
      <c r="AS129" s="84"/>
      <c r="AT129" s="84"/>
      <c r="AU129" s="24"/>
      <c r="AV129" s="95"/>
      <c r="AW129" s="96"/>
      <c r="AX129" s="97"/>
      <c r="AY129" s="97"/>
      <c r="AZ129" s="97"/>
      <c r="BA129" s="24"/>
      <c r="BB129" s="9" t="s">
        <v>403</v>
      </c>
      <c r="BC129" s="98" t="s">
        <v>176</v>
      </c>
    </row>
    <row r="130" spans="1:55" ht="15" customHeight="1" x14ac:dyDescent="0.25">
      <c r="A130" s="88">
        <f t="shared" si="19"/>
        <v>128</v>
      </c>
      <c r="B130" s="77" t="s">
        <v>314</v>
      </c>
      <c r="C130" s="9"/>
      <c r="D130" s="78" t="s">
        <v>475</v>
      </c>
      <c r="E130" s="90" t="str">
        <f>_xlfn.IFNA(VLOOKUP($D130,'Route-Details'!$B$2:$X$1048576,'Node Details'!E$1,0),"")</f>
        <v>Airtel</v>
      </c>
      <c r="F130" s="90" t="str">
        <f>_xlfn.IFNA(VLOOKUP($D130,'Route-Details'!$B$2:$X$1048576,'Node Details'!F$1,0),"")</f>
        <v>PLAN OF AXY DARIA</v>
      </c>
      <c r="G130" s="90" t="str">
        <f>_xlfn.IFNA(VLOOKUP($D130,'Route-Details'!$B$2:$X$1048576,'Node Details'!G$1,0),"")</f>
        <v>Chandigarh</v>
      </c>
      <c r="H130" s="90" t="str">
        <f>_xlfn.IFNA(VLOOKUP($D131,'Route-Details'!$B$2:$X$1048576,'Node Details'!H$1,0),"")</f>
        <v>Punjab</v>
      </c>
      <c r="I130" s="90" t="str">
        <f>_xlfn.IFNA(VLOOKUP($D130,'Route-Details'!$B$2:$X$1048576,'Node Details'!I$1,0),"")</f>
        <v>AXY</v>
      </c>
      <c r="J130" s="90" t="str">
        <f>_xlfn.IFNA(VLOOKUP($D130,'Route-Details'!$B$2:$X$1048576,'Node Details'!J$1,0),"")</f>
        <v>AXY</v>
      </c>
      <c r="K130" s="78">
        <v>46112</v>
      </c>
      <c r="L130" s="78">
        <v>46113</v>
      </c>
      <c r="M130" s="91">
        <v>46125</v>
      </c>
      <c r="N130" s="78">
        <v>46112</v>
      </c>
      <c r="Q130" s="88" t="s">
        <v>173</v>
      </c>
      <c r="R130" s="92"/>
      <c r="S130" s="89"/>
      <c r="T130" s="89"/>
      <c r="U130" s="89"/>
      <c r="V130" s="95"/>
      <c r="W130" s="93"/>
      <c r="X130" s="89"/>
      <c r="Y130" s="94"/>
      <c r="Z130" s="92"/>
      <c r="AA130" s="95"/>
      <c r="AB130" s="89"/>
      <c r="AC130" s="93"/>
      <c r="AD130" s="92"/>
      <c r="AE130" s="88"/>
      <c r="AF130" s="84"/>
      <c r="AG130" s="24"/>
      <c r="AH130" s="95"/>
      <c r="AI130" s="89"/>
      <c r="AJ130" s="88"/>
      <c r="AK130" s="83"/>
      <c r="AL130" s="24"/>
      <c r="AM130" s="24"/>
      <c r="AN130" s="83"/>
      <c r="AO130" s="83"/>
      <c r="AP130" s="24"/>
      <c r="AQ130" s="95"/>
      <c r="AR130" s="96"/>
      <c r="AS130" s="84"/>
      <c r="AT130" s="84"/>
      <c r="AU130" s="24"/>
      <c r="AV130" s="95"/>
      <c r="AW130" s="96"/>
      <c r="AX130" s="97"/>
      <c r="AY130" s="97"/>
      <c r="AZ130" s="97"/>
      <c r="BA130" s="24"/>
      <c r="BB130" s="9" t="s">
        <v>404</v>
      </c>
      <c r="BC130" s="98" t="s">
        <v>176</v>
      </c>
    </row>
    <row r="131" spans="1:55" ht="15" customHeight="1" x14ac:dyDescent="0.25">
      <c r="A131" s="88">
        <f t="shared" si="19"/>
        <v>129</v>
      </c>
      <c r="B131" s="77" t="s">
        <v>315</v>
      </c>
      <c r="C131" s="9"/>
      <c r="D131" s="78" t="s">
        <v>475</v>
      </c>
      <c r="E131" s="90" t="str">
        <f>_xlfn.IFNA(VLOOKUP($D131,'Route-Details'!$B$2:$X$1048576,'Node Details'!E$1,0),"")</f>
        <v>Airtel</v>
      </c>
      <c r="F131" s="90" t="str">
        <f>_xlfn.IFNA(VLOOKUP($D131,'Route-Details'!$B$2:$X$1048576,'Node Details'!F$1,0),"")</f>
        <v>PLAN OF AXY DARIA</v>
      </c>
      <c r="G131" s="90" t="str">
        <f>_xlfn.IFNA(VLOOKUP($D131,'Route-Details'!$B$2:$X$1048576,'Node Details'!G$1,0),"")</f>
        <v>Chandigarh</v>
      </c>
      <c r="H131" s="90" t="str">
        <f>_xlfn.IFNA(VLOOKUP($D132,'Route-Details'!$B$2:$X$1048576,'Node Details'!H$1,0),"")</f>
        <v>Punjab</v>
      </c>
      <c r="I131" s="90" t="str">
        <f>_xlfn.IFNA(VLOOKUP($D131,'Route-Details'!$B$2:$X$1048576,'Node Details'!I$1,0),"")</f>
        <v>AXY</v>
      </c>
      <c r="J131" s="90" t="str">
        <f>_xlfn.IFNA(VLOOKUP($D131,'Route-Details'!$B$2:$X$1048576,'Node Details'!J$1,0),"")</f>
        <v>AXY</v>
      </c>
      <c r="K131" s="78">
        <v>46112</v>
      </c>
      <c r="L131" s="78">
        <v>46113</v>
      </c>
      <c r="M131" s="91">
        <v>46125</v>
      </c>
      <c r="N131" s="78">
        <v>46112</v>
      </c>
      <c r="Q131" s="88" t="s">
        <v>173</v>
      </c>
      <c r="R131" s="92"/>
      <c r="S131" s="89"/>
      <c r="T131" s="89"/>
      <c r="U131" s="89"/>
      <c r="V131" s="95"/>
      <c r="W131" s="93"/>
      <c r="X131" s="89"/>
      <c r="Y131" s="94"/>
      <c r="Z131" s="92"/>
      <c r="AA131" s="95"/>
      <c r="AB131" s="89"/>
      <c r="AC131" s="93"/>
      <c r="AD131" s="92"/>
      <c r="AE131" s="88"/>
      <c r="AF131" s="84"/>
      <c r="AG131" s="24"/>
      <c r="AH131" s="95"/>
      <c r="AI131" s="89"/>
      <c r="AJ131" s="88"/>
      <c r="AK131" s="83"/>
      <c r="AL131" s="24"/>
      <c r="AM131" s="24"/>
      <c r="AN131" s="83"/>
      <c r="AO131" s="83"/>
      <c r="AP131" s="24"/>
      <c r="AQ131" s="95"/>
      <c r="AR131" s="96"/>
      <c r="AS131" s="84"/>
      <c r="AT131" s="84"/>
      <c r="AU131" s="24"/>
      <c r="AV131" s="95"/>
      <c r="AW131" s="96"/>
      <c r="AX131" s="97"/>
      <c r="AY131" s="97"/>
      <c r="AZ131" s="97"/>
      <c r="BA131" s="24"/>
      <c r="BB131" s="9" t="s">
        <v>404</v>
      </c>
      <c r="BC131" s="98" t="s">
        <v>176</v>
      </c>
    </row>
    <row r="132" spans="1:55" ht="15" customHeight="1" x14ac:dyDescent="0.25">
      <c r="A132" s="88">
        <f t="shared" si="19"/>
        <v>130</v>
      </c>
      <c r="B132" s="77" t="s">
        <v>316</v>
      </c>
      <c r="C132" s="9"/>
      <c r="D132" s="78" t="s">
        <v>461</v>
      </c>
      <c r="E132" s="90" t="str">
        <f>_xlfn.IFNA(VLOOKUP($D132,'Route-Details'!$B$2:$X$1048576,'Node Details'!E$1,0),"")</f>
        <v>Airtel</v>
      </c>
      <c r="F132" s="90" t="str">
        <f>_xlfn.IFNA(VLOOKUP($D132,'Route-Details'!$B$2:$X$1048576,'Node Details'!F$1,0),"")</f>
        <v>PLAN OF AXY DARIA</v>
      </c>
      <c r="G132" s="90" t="str">
        <f>_xlfn.IFNA(VLOOKUP($D132,'Route-Details'!$B$2:$X$1048576,'Node Details'!G$1,0),"")</f>
        <v>Chandigarh</v>
      </c>
      <c r="H132" s="90" t="str">
        <f>_xlfn.IFNA(VLOOKUP($D133,'Route-Details'!$B$2:$X$1048576,'Node Details'!H$1,0),"")</f>
        <v>Punjab</v>
      </c>
      <c r="I132" s="90" t="str">
        <f>_xlfn.IFNA(VLOOKUP($D132,'Route-Details'!$B$2:$X$1048576,'Node Details'!I$1,0),"")</f>
        <v>AXY</v>
      </c>
      <c r="J132" s="90" t="str">
        <f>_xlfn.IFNA(VLOOKUP($D132,'Route-Details'!$B$2:$X$1048576,'Node Details'!J$1,0),"")</f>
        <v>AXY</v>
      </c>
      <c r="K132" s="78">
        <v>46112</v>
      </c>
      <c r="L132" s="78">
        <v>46113</v>
      </c>
      <c r="M132" s="91">
        <v>46125</v>
      </c>
      <c r="N132" s="78">
        <v>46112</v>
      </c>
      <c r="Q132" s="88" t="s">
        <v>173</v>
      </c>
      <c r="R132" s="92"/>
      <c r="S132" s="89"/>
      <c r="T132" s="89"/>
      <c r="U132" s="89"/>
      <c r="V132" s="95"/>
      <c r="W132" s="93"/>
      <c r="X132" s="89"/>
      <c r="Y132" s="94"/>
      <c r="Z132" s="92"/>
      <c r="AA132" s="95"/>
      <c r="AB132" s="89"/>
      <c r="AC132" s="93"/>
      <c r="AD132" s="92"/>
      <c r="AE132" s="88"/>
      <c r="AF132" s="84"/>
      <c r="AG132" s="24"/>
      <c r="AH132" s="95"/>
      <c r="AI132" s="89"/>
      <c r="AJ132" s="88"/>
      <c r="AK132" s="83"/>
      <c r="AL132" s="24"/>
      <c r="AM132" s="24"/>
      <c r="AN132" s="83"/>
      <c r="AO132" s="83"/>
      <c r="AP132" s="24"/>
      <c r="AQ132" s="95"/>
      <c r="AR132" s="96"/>
      <c r="AS132" s="84"/>
      <c r="AT132" s="84"/>
      <c r="AU132" s="24"/>
      <c r="AV132" s="95"/>
      <c r="AW132" s="96"/>
      <c r="AX132" s="97"/>
      <c r="AY132" s="97"/>
      <c r="AZ132" s="97"/>
      <c r="BA132" s="24"/>
      <c r="BB132" s="9" t="s">
        <v>405</v>
      </c>
      <c r="BC132" s="98" t="s">
        <v>176</v>
      </c>
    </row>
    <row r="133" spans="1:55" ht="15" customHeight="1" x14ac:dyDescent="0.25">
      <c r="A133" s="88">
        <f t="shared" ref="A133:A185" si="20">A132+1</f>
        <v>131</v>
      </c>
      <c r="B133" s="77" t="s">
        <v>317</v>
      </c>
      <c r="C133" s="9"/>
      <c r="D133" s="78" t="s">
        <v>461</v>
      </c>
      <c r="E133" s="90" t="str">
        <f>_xlfn.IFNA(VLOOKUP($D133,'Route-Details'!$B$2:$X$1048576,'Node Details'!E$1,0),"")</f>
        <v>Airtel</v>
      </c>
      <c r="F133" s="90" t="str">
        <f>_xlfn.IFNA(VLOOKUP($D133,'Route-Details'!$B$2:$X$1048576,'Node Details'!F$1,0),"")</f>
        <v>PLAN OF AXY DARIA</v>
      </c>
      <c r="G133" s="90" t="str">
        <f>_xlfn.IFNA(VLOOKUP($D133,'Route-Details'!$B$2:$X$1048576,'Node Details'!G$1,0),"")</f>
        <v>Chandigarh</v>
      </c>
      <c r="H133" s="90" t="str">
        <f>_xlfn.IFNA(VLOOKUP($D134,'Route-Details'!$B$2:$X$1048576,'Node Details'!H$1,0),"")</f>
        <v>Punjab</v>
      </c>
      <c r="I133" s="90" t="str">
        <f>_xlfn.IFNA(VLOOKUP($D133,'Route-Details'!$B$2:$X$1048576,'Node Details'!I$1,0),"")</f>
        <v>AXY</v>
      </c>
      <c r="J133" s="90" t="str">
        <f>_xlfn.IFNA(VLOOKUP($D133,'Route-Details'!$B$2:$X$1048576,'Node Details'!J$1,0),"")</f>
        <v>AXY</v>
      </c>
      <c r="K133" s="78">
        <v>46112</v>
      </c>
      <c r="L133" s="78">
        <v>46113</v>
      </c>
      <c r="M133" s="91">
        <v>46125</v>
      </c>
      <c r="N133" s="78">
        <v>46112</v>
      </c>
      <c r="Q133" s="88" t="s">
        <v>173</v>
      </c>
      <c r="R133" s="92"/>
      <c r="S133" s="89"/>
      <c r="T133" s="89"/>
      <c r="U133" s="89"/>
      <c r="V133" s="95"/>
      <c r="W133" s="93"/>
      <c r="X133" s="89"/>
      <c r="Y133" s="94"/>
      <c r="Z133" s="92"/>
      <c r="AA133" s="95"/>
      <c r="AB133" s="89"/>
      <c r="AC133" s="93"/>
      <c r="AD133" s="92"/>
      <c r="AE133" s="88"/>
      <c r="AF133" s="84"/>
      <c r="AG133" s="24"/>
      <c r="AH133" s="95"/>
      <c r="AI133" s="89"/>
      <c r="AJ133" s="88"/>
      <c r="AK133" s="83"/>
      <c r="AL133" s="24"/>
      <c r="AM133" s="24"/>
      <c r="AN133" s="83"/>
      <c r="AO133" s="83"/>
      <c r="AP133" s="24"/>
      <c r="AQ133" s="95"/>
      <c r="AR133" s="96"/>
      <c r="AS133" s="84"/>
      <c r="AT133" s="84"/>
      <c r="AU133" s="24"/>
      <c r="AV133" s="95"/>
      <c r="AW133" s="96"/>
      <c r="AX133" s="97"/>
      <c r="AY133" s="97"/>
      <c r="AZ133" s="97"/>
      <c r="BA133" s="24"/>
      <c r="BB133" s="9" t="s">
        <v>405</v>
      </c>
      <c r="BC133" s="98" t="s">
        <v>176</v>
      </c>
    </row>
    <row r="134" spans="1:55" ht="15" customHeight="1" x14ac:dyDescent="0.25">
      <c r="A134" s="88">
        <f t="shared" si="20"/>
        <v>132</v>
      </c>
      <c r="B134" s="77" t="s">
        <v>318</v>
      </c>
      <c r="C134" s="9"/>
      <c r="D134" s="78" t="s">
        <v>479</v>
      </c>
      <c r="E134" s="90" t="str">
        <f>_xlfn.IFNA(VLOOKUP($D134,'Route-Details'!$B$2:$X$1048576,'Node Details'!E$1,0),"")</f>
        <v>Airtel</v>
      </c>
      <c r="F134" s="90" t="str">
        <f>_xlfn.IFNA(VLOOKUP($D134,'Route-Details'!$B$2:$X$1048576,'Node Details'!F$1,0),"")</f>
        <v>PLAN OF AXY DARIA</v>
      </c>
      <c r="G134" s="90" t="str">
        <f>_xlfn.IFNA(VLOOKUP($D134,'Route-Details'!$B$2:$X$1048576,'Node Details'!G$1,0),"")</f>
        <v>Chandigarh</v>
      </c>
      <c r="H134" s="90" t="str">
        <f>_xlfn.IFNA(VLOOKUP($D135,'Route-Details'!$B$2:$X$1048576,'Node Details'!H$1,0),"")</f>
        <v>Punjab</v>
      </c>
      <c r="I134" s="90" t="str">
        <f>_xlfn.IFNA(VLOOKUP($D134,'Route-Details'!$B$2:$X$1048576,'Node Details'!I$1,0),"")</f>
        <v>AXY</v>
      </c>
      <c r="J134" s="90" t="str">
        <f>_xlfn.IFNA(VLOOKUP($D134,'Route-Details'!$B$2:$X$1048576,'Node Details'!J$1,0),"")</f>
        <v>AXY</v>
      </c>
      <c r="K134" s="78">
        <v>46112</v>
      </c>
      <c r="L134" s="78">
        <v>46113</v>
      </c>
      <c r="M134" s="91">
        <v>46125</v>
      </c>
      <c r="N134" s="78">
        <v>46112</v>
      </c>
      <c r="Q134" s="88" t="s">
        <v>173</v>
      </c>
      <c r="R134" s="92"/>
      <c r="S134" s="89"/>
      <c r="T134" s="89"/>
      <c r="U134" s="89"/>
      <c r="V134" s="95"/>
      <c r="W134" s="93"/>
      <c r="X134" s="89"/>
      <c r="Y134" s="94"/>
      <c r="Z134" s="92"/>
      <c r="AA134" s="95"/>
      <c r="AB134" s="89"/>
      <c r="AC134" s="93"/>
      <c r="AD134" s="92"/>
      <c r="AE134" s="88"/>
      <c r="AF134" s="84"/>
      <c r="AG134" s="24"/>
      <c r="AH134" s="95"/>
      <c r="AI134" s="89"/>
      <c r="AJ134" s="88"/>
      <c r="AK134" s="83"/>
      <c r="AL134" s="24"/>
      <c r="AM134" s="24"/>
      <c r="AN134" s="83"/>
      <c r="AO134" s="83"/>
      <c r="AP134" s="24"/>
      <c r="AQ134" s="95"/>
      <c r="AR134" s="96"/>
      <c r="AS134" s="84"/>
      <c r="AT134" s="84"/>
      <c r="AU134" s="24"/>
      <c r="AV134" s="95"/>
      <c r="AW134" s="96"/>
      <c r="AX134" s="97"/>
      <c r="AY134" s="97"/>
      <c r="AZ134" s="97"/>
      <c r="BA134" s="24"/>
      <c r="BB134" s="9" t="s">
        <v>406</v>
      </c>
      <c r="BC134" s="98" t="s">
        <v>176</v>
      </c>
    </row>
    <row r="135" spans="1:55" ht="15" customHeight="1" x14ac:dyDescent="0.25">
      <c r="A135" s="88">
        <f t="shared" si="20"/>
        <v>133</v>
      </c>
      <c r="B135" s="77" t="s">
        <v>319</v>
      </c>
      <c r="C135" s="9"/>
      <c r="D135" s="78" t="s">
        <v>462</v>
      </c>
      <c r="E135" s="90" t="str">
        <f>_xlfn.IFNA(VLOOKUP($D135,'Route-Details'!$B$2:$X$1048576,'Node Details'!E$1,0),"")</f>
        <v>Airtel</v>
      </c>
      <c r="F135" s="90" t="str">
        <f>_xlfn.IFNA(VLOOKUP($D135,'Route-Details'!$B$2:$X$1048576,'Node Details'!F$1,0),"")</f>
        <v>PLAN OF AXY DARIA</v>
      </c>
      <c r="G135" s="90" t="str">
        <f>_xlfn.IFNA(VLOOKUP($D135,'Route-Details'!$B$2:$X$1048576,'Node Details'!G$1,0),"")</f>
        <v>Chandigarh</v>
      </c>
      <c r="H135" s="90" t="str">
        <f>_xlfn.IFNA(VLOOKUP($D136,'Route-Details'!$B$2:$X$1048576,'Node Details'!H$1,0),"")</f>
        <v>Punjab</v>
      </c>
      <c r="I135" s="90" t="str">
        <f>_xlfn.IFNA(VLOOKUP($D135,'Route-Details'!$B$2:$X$1048576,'Node Details'!I$1,0),"")</f>
        <v>AXY</v>
      </c>
      <c r="J135" s="90" t="str">
        <f>_xlfn.IFNA(VLOOKUP($D135,'Route-Details'!$B$2:$X$1048576,'Node Details'!J$1,0),"")</f>
        <v>AXY</v>
      </c>
      <c r="K135" s="78">
        <v>46112</v>
      </c>
      <c r="L135" s="78">
        <v>46113</v>
      </c>
      <c r="M135" s="91">
        <v>46125</v>
      </c>
      <c r="N135" s="78">
        <v>46112</v>
      </c>
      <c r="Q135" s="88" t="s">
        <v>173</v>
      </c>
      <c r="R135" s="92"/>
      <c r="S135" s="89"/>
      <c r="T135" s="89"/>
      <c r="U135" s="89"/>
      <c r="V135" s="95"/>
      <c r="W135" s="93"/>
      <c r="X135" s="89"/>
      <c r="Y135" s="94"/>
      <c r="Z135" s="92"/>
      <c r="AA135" s="95"/>
      <c r="AB135" s="89"/>
      <c r="AC135" s="93"/>
      <c r="AD135" s="92"/>
      <c r="AE135" s="88"/>
      <c r="AF135" s="84"/>
      <c r="AG135" s="24"/>
      <c r="AH135" s="95"/>
      <c r="AI135" s="89"/>
      <c r="AJ135" s="88"/>
      <c r="AK135" s="83"/>
      <c r="AL135" s="24"/>
      <c r="AM135" s="24"/>
      <c r="AN135" s="83"/>
      <c r="AO135" s="83"/>
      <c r="AP135" s="24"/>
      <c r="AQ135" s="95"/>
      <c r="AR135" s="96"/>
      <c r="AS135" s="84"/>
      <c r="AT135" s="84"/>
      <c r="AU135" s="24"/>
      <c r="AV135" s="95"/>
      <c r="AW135" s="96"/>
      <c r="AX135" s="97"/>
      <c r="AY135" s="97"/>
      <c r="AZ135" s="97"/>
      <c r="BA135" s="24"/>
      <c r="BB135" s="9" t="s">
        <v>190</v>
      </c>
      <c r="BC135" s="98" t="s">
        <v>176</v>
      </c>
    </row>
    <row r="136" spans="1:55" ht="15" customHeight="1" x14ac:dyDescent="0.25">
      <c r="A136" s="88">
        <f t="shared" si="20"/>
        <v>134</v>
      </c>
      <c r="B136" s="77" t="s">
        <v>320</v>
      </c>
      <c r="C136" s="9"/>
      <c r="D136" s="78" t="s">
        <v>471</v>
      </c>
      <c r="E136" s="90" t="str">
        <f>_xlfn.IFNA(VLOOKUP($D136,'Route-Details'!$B$2:$X$1048576,'Node Details'!E$1,0),"")</f>
        <v>Airtel</v>
      </c>
      <c r="F136" s="90" t="str">
        <f>_xlfn.IFNA(VLOOKUP($D136,'Route-Details'!$B$2:$X$1048576,'Node Details'!F$1,0),"")</f>
        <v>PLAN OF AXY DARIA</v>
      </c>
      <c r="G136" s="90" t="str">
        <f>_xlfn.IFNA(VLOOKUP($D136,'Route-Details'!$B$2:$X$1048576,'Node Details'!G$1,0),"")</f>
        <v>Chandigarh</v>
      </c>
      <c r="H136" s="90" t="str">
        <f>_xlfn.IFNA(VLOOKUP($D137,'Route-Details'!$B$2:$X$1048576,'Node Details'!H$1,0),"")</f>
        <v>Punjab</v>
      </c>
      <c r="I136" s="90" t="str">
        <f>_xlfn.IFNA(VLOOKUP($D136,'Route-Details'!$B$2:$X$1048576,'Node Details'!I$1,0),"")</f>
        <v>AXY</v>
      </c>
      <c r="J136" s="90" t="str">
        <f>_xlfn.IFNA(VLOOKUP($D136,'Route-Details'!$B$2:$X$1048576,'Node Details'!J$1,0),"")</f>
        <v>AXY</v>
      </c>
      <c r="K136" s="78">
        <v>46112</v>
      </c>
      <c r="L136" s="78">
        <v>46113</v>
      </c>
      <c r="M136" s="91">
        <v>46125</v>
      </c>
      <c r="N136" s="78">
        <v>46112</v>
      </c>
      <c r="Q136" s="88" t="s">
        <v>173</v>
      </c>
      <c r="R136" s="92"/>
      <c r="S136" s="89"/>
      <c r="T136" s="89"/>
      <c r="U136" s="89"/>
      <c r="V136" s="95"/>
      <c r="W136" s="93"/>
      <c r="X136" s="89"/>
      <c r="Y136" s="94"/>
      <c r="Z136" s="92"/>
      <c r="AA136" s="95"/>
      <c r="AB136" s="89"/>
      <c r="AC136" s="93"/>
      <c r="AD136" s="92"/>
      <c r="AE136" s="88"/>
      <c r="AF136" s="84"/>
      <c r="AG136" s="24"/>
      <c r="AH136" s="95"/>
      <c r="AI136" s="89"/>
      <c r="AJ136" s="88"/>
      <c r="AK136" s="83"/>
      <c r="AL136" s="24"/>
      <c r="AM136" s="24"/>
      <c r="AN136" s="83"/>
      <c r="AO136" s="83"/>
      <c r="AP136" s="24"/>
      <c r="AQ136" s="95"/>
      <c r="AR136" s="96"/>
      <c r="AS136" s="84"/>
      <c r="AT136" s="84"/>
      <c r="AU136" s="24"/>
      <c r="AV136" s="95"/>
      <c r="AW136" s="96"/>
      <c r="AX136" s="97"/>
      <c r="AY136" s="97"/>
      <c r="AZ136" s="97"/>
      <c r="BA136" s="24"/>
      <c r="BB136" s="9" t="s">
        <v>407</v>
      </c>
      <c r="BC136" s="98" t="s">
        <v>176</v>
      </c>
    </row>
    <row r="137" spans="1:55" ht="15" customHeight="1" x14ac:dyDescent="0.25">
      <c r="A137" s="88">
        <f t="shared" si="20"/>
        <v>135</v>
      </c>
      <c r="B137" s="77" t="s">
        <v>321</v>
      </c>
      <c r="C137" s="9"/>
      <c r="D137" s="78" t="s">
        <v>509</v>
      </c>
      <c r="E137" s="90" t="str">
        <f>_xlfn.IFNA(VLOOKUP($D137,'Route-Details'!$B$2:$X$1048576,'Node Details'!E$1,0),"")</f>
        <v>Airtel</v>
      </c>
      <c r="F137" s="90" t="str">
        <f>_xlfn.IFNA(VLOOKUP($D137,'Route-Details'!$B$2:$X$1048576,'Node Details'!F$1,0),"")</f>
        <v>PLAN OF AXY DARIA</v>
      </c>
      <c r="G137" s="90" t="str">
        <f>_xlfn.IFNA(VLOOKUP($D137,'Route-Details'!$B$2:$X$1048576,'Node Details'!G$1,0),"")</f>
        <v>Chandigarh</v>
      </c>
      <c r="H137" s="90" t="str">
        <f>_xlfn.IFNA(VLOOKUP($D138,'Route-Details'!$B$2:$X$1048576,'Node Details'!H$1,0),"")</f>
        <v>Punjab</v>
      </c>
      <c r="I137" s="90" t="str">
        <f>_xlfn.IFNA(VLOOKUP($D137,'Route-Details'!$B$2:$X$1048576,'Node Details'!I$1,0),"")</f>
        <v>AXY</v>
      </c>
      <c r="J137" s="90" t="str">
        <f>_xlfn.IFNA(VLOOKUP($D137,'Route-Details'!$B$2:$X$1048576,'Node Details'!J$1,0),"")</f>
        <v>AXY</v>
      </c>
      <c r="K137" s="78">
        <v>46112</v>
      </c>
      <c r="L137" s="78">
        <v>46113</v>
      </c>
      <c r="M137" s="91">
        <v>46125</v>
      </c>
      <c r="N137" s="78">
        <v>46112</v>
      </c>
      <c r="Q137" s="88" t="s">
        <v>173</v>
      </c>
      <c r="R137" s="92"/>
      <c r="S137" s="89"/>
      <c r="T137" s="89"/>
      <c r="U137" s="89"/>
      <c r="V137" s="95"/>
      <c r="W137" s="93"/>
      <c r="X137" s="89"/>
      <c r="Y137" s="94"/>
      <c r="Z137" s="92"/>
      <c r="AA137" s="95"/>
      <c r="AB137" s="89"/>
      <c r="AC137" s="93"/>
      <c r="AD137" s="92"/>
      <c r="AE137" s="88"/>
      <c r="AF137" s="84"/>
      <c r="AG137" s="24"/>
      <c r="AH137" s="95"/>
      <c r="AI137" s="89"/>
      <c r="AJ137" s="88"/>
      <c r="AK137" s="83"/>
      <c r="AL137" s="24"/>
      <c r="AM137" s="24"/>
      <c r="AN137" s="83"/>
      <c r="AO137" s="83"/>
      <c r="AP137" s="24"/>
      <c r="AQ137" s="95"/>
      <c r="AR137" s="96"/>
      <c r="AS137" s="84"/>
      <c r="AT137" s="84"/>
      <c r="AU137" s="24"/>
      <c r="AV137" s="95"/>
      <c r="AW137" s="96"/>
      <c r="AX137" s="97"/>
      <c r="AY137" s="97"/>
      <c r="AZ137" s="97"/>
      <c r="BA137" s="24"/>
      <c r="BB137" s="9" t="s">
        <v>408</v>
      </c>
      <c r="BC137" s="98" t="s">
        <v>176</v>
      </c>
    </row>
    <row r="138" spans="1:55" ht="15" customHeight="1" x14ac:dyDescent="0.25">
      <c r="A138" s="88">
        <f t="shared" si="20"/>
        <v>136</v>
      </c>
      <c r="B138" s="77" t="s">
        <v>322</v>
      </c>
      <c r="C138" s="9"/>
      <c r="D138" s="78" t="s">
        <v>510</v>
      </c>
      <c r="E138" s="90" t="str">
        <f>_xlfn.IFNA(VLOOKUP($D138,'Route-Details'!$B$2:$X$1048576,'Node Details'!E$1,0),"")</f>
        <v>Airtel</v>
      </c>
      <c r="F138" s="90" t="str">
        <f>_xlfn.IFNA(VLOOKUP($D138,'Route-Details'!$B$2:$X$1048576,'Node Details'!F$1,0),"")</f>
        <v>PLAN OF AXY DARIA</v>
      </c>
      <c r="G138" s="90" t="str">
        <f>_xlfn.IFNA(VLOOKUP($D138,'Route-Details'!$B$2:$X$1048576,'Node Details'!G$1,0),"")</f>
        <v>Chandigarh</v>
      </c>
      <c r="H138" s="90" t="str">
        <f>_xlfn.IFNA(VLOOKUP($D139,'Route-Details'!$B$2:$X$1048576,'Node Details'!H$1,0),"")</f>
        <v>Punjab</v>
      </c>
      <c r="I138" s="90" t="str">
        <f>_xlfn.IFNA(VLOOKUP($D138,'Route-Details'!$B$2:$X$1048576,'Node Details'!I$1,0),"")</f>
        <v>AXY</v>
      </c>
      <c r="J138" s="90" t="str">
        <f>_xlfn.IFNA(VLOOKUP($D138,'Route-Details'!$B$2:$X$1048576,'Node Details'!J$1,0),"")</f>
        <v>AXY</v>
      </c>
      <c r="K138" s="78">
        <v>46112</v>
      </c>
      <c r="L138" s="78">
        <v>46113</v>
      </c>
      <c r="M138" s="91">
        <v>46125</v>
      </c>
      <c r="N138" s="78">
        <v>46112</v>
      </c>
      <c r="Q138" s="88" t="s">
        <v>173</v>
      </c>
      <c r="R138" s="92"/>
      <c r="S138" s="89"/>
      <c r="T138" s="89"/>
      <c r="U138" s="89"/>
      <c r="V138" s="95"/>
      <c r="W138" s="93"/>
      <c r="X138" s="89"/>
      <c r="Y138" s="94"/>
      <c r="Z138" s="92"/>
      <c r="AA138" s="95"/>
      <c r="AB138" s="89"/>
      <c r="AC138" s="93"/>
      <c r="AD138" s="92"/>
      <c r="AE138" s="88"/>
      <c r="AF138" s="84"/>
      <c r="AG138" s="24"/>
      <c r="AH138" s="95"/>
      <c r="AI138" s="89"/>
      <c r="AJ138" s="88"/>
      <c r="AK138" s="83"/>
      <c r="AL138" s="24"/>
      <c r="AM138" s="24"/>
      <c r="AN138" s="83"/>
      <c r="AO138" s="83"/>
      <c r="AP138" s="24"/>
      <c r="AQ138" s="95"/>
      <c r="AR138" s="96"/>
      <c r="AS138" s="84"/>
      <c r="AT138" s="84"/>
      <c r="AU138" s="24"/>
      <c r="AV138" s="95"/>
      <c r="AW138" s="96"/>
      <c r="AX138" s="97"/>
      <c r="AY138" s="97"/>
      <c r="AZ138" s="97"/>
      <c r="BA138" s="24"/>
      <c r="BB138" s="9" t="s">
        <v>409</v>
      </c>
      <c r="BC138" s="98" t="s">
        <v>176</v>
      </c>
    </row>
    <row r="139" spans="1:55" ht="15" customHeight="1" x14ac:dyDescent="0.25">
      <c r="A139" s="88">
        <f t="shared" si="20"/>
        <v>137</v>
      </c>
      <c r="B139" s="77" t="s">
        <v>323</v>
      </c>
      <c r="C139" s="9"/>
      <c r="D139" s="78" t="s">
        <v>510</v>
      </c>
      <c r="E139" s="90" t="str">
        <f>_xlfn.IFNA(VLOOKUP($D139,'Route-Details'!$B$2:$X$1048576,'Node Details'!E$1,0),"")</f>
        <v>Airtel</v>
      </c>
      <c r="F139" s="90" t="str">
        <f>_xlfn.IFNA(VLOOKUP($D139,'Route-Details'!$B$2:$X$1048576,'Node Details'!F$1,0),"")</f>
        <v>PLAN OF AXY DARIA</v>
      </c>
      <c r="G139" s="90" t="str">
        <f>_xlfn.IFNA(VLOOKUP($D139,'Route-Details'!$B$2:$X$1048576,'Node Details'!G$1,0),"")</f>
        <v>Chandigarh</v>
      </c>
      <c r="H139" s="90" t="str">
        <f>_xlfn.IFNA(VLOOKUP($D140,'Route-Details'!$B$2:$X$1048576,'Node Details'!H$1,0),"")</f>
        <v>Punjab</v>
      </c>
      <c r="I139" s="90" t="str">
        <f>_xlfn.IFNA(VLOOKUP($D139,'Route-Details'!$B$2:$X$1048576,'Node Details'!I$1,0),"")</f>
        <v>AXY</v>
      </c>
      <c r="J139" s="90" t="str">
        <f>_xlfn.IFNA(VLOOKUP($D139,'Route-Details'!$B$2:$X$1048576,'Node Details'!J$1,0),"")</f>
        <v>AXY</v>
      </c>
      <c r="K139" s="78">
        <v>46112</v>
      </c>
      <c r="L139" s="78">
        <v>46113</v>
      </c>
      <c r="M139" s="91">
        <v>46125</v>
      </c>
      <c r="N139" s="78">
        <v>46112</v>
      </c>
      <c r="Q139" s="88" t="s">
        <v>173</v>
      </c>
      <c r="R139" s="92"/>
      <c r="S139" s="89"/>
      <c r="T139" s="89"/>
      <c r="U139" s="89"/>
      <c r="V139" s="95"/>
      <c r="W139" s="93"/>
      <c r="X139" s="89"/>
      <c r="Y139" s="94"/>
      <c r="Z139" s="92"/>
      <c r="AA139" s="95"/>
      <c r="AB139" s="89"/>
      <c r="AC139" s="93"/>
      <c r="AD139" s="92"/>
      <c r="AE139" s="88"/>
      <c r="AF139" s="84"/>
      <c r="AG139" s="24"/>
      <c r="AH139" s="95"/>
      <c r="AI139" s="89"/>
      <c r="AJ139" s="88"/>
      <c r="AK139" s="83"/>
      <c r="AL139" s="24"/>
      <c r="AM139" s="24"/>
      <c r="AN139" s="83"/>
      <c r="AO139" s="83"/>
      <c r="AP139" s="24"/>
      <c r="AQ139" s="95"/>
      <c r="AR139" s="96"/>
      <c r="AS139" s="84"/>
      <c r="AT139" s="84"/>
      <c r="AU139" s="24"/>
      <c r="AV139" s="95"/>
      <c r="AW139" s="96"/>
      <c r="AX139" s="97"/>
      <c r="AY139" s="97"/>
      <c r="AZ139" s="97"/>
      <c r="BA139" s="24"/>
      <c r="BB139" s="9" t="s">
        <v>409</v>
      </c>
      <c r="BC139" s="98" t="s">
        <v>176</v>
      </c>
    </row>
    <row r="140" spans="1:55" ht="15" customHeight="1" x14ac:dyDescent="0.25">
      <c r="A140" s="88">
        <f t="shared" si="20"/>
        <v>138</v>
      </c>
      <c r="B140" s="77" t="s">
        <v>324</v>
      </c>
      <c r="C140" s="9"/>
      <c r="D140" s="78" t="s">
        <v>463</v>
      </c>
      <c r="E140" s="90" t="str">
        <f>_xlfn.IFNA(VLOOKUP($D140,'Route-Details'!$B$2:$X$1048576,'Node Details'!E$1,0),"")</f>
        <v>Airtel</v>
      </c>
      <c r="F140" s="90" t="str">
        <f>_xlfn.IFNA(VLOOKUP($D140,'Route-Details'!$B$2:$X$1048576,'Node Details'!F$1,0),"")</f>
        <v>PLAN OF AXY DARIA</v>
      </c>
      <c r="G140" s="90" t="str">
        <f>_xlfn.IFNA(VLOOKUP($D140,'Route-Details'!$B$2:$X$1048576,'Node Details'!G$1,0),"")</f>
        <v>Chandigarh</v>
      </c>
      <c r="H140" s="90" t="str">
        <f>_xlfn.IFNA(VLOOKUP($D141,'Route-Details'!$B$2:$X$1048576,'Node Details'!H$1,0),"")</f>
        <v>Punjab</v>
      </c>
      <c r="I140" s="90" t="str">
        <f>_xlfn.IFNA(VLOOKUP($D140,'Route-Details'!$B$2:$X$1048576,'Node Details'!I$1,0),"")</f>
        <v>AXY</v>
      </c>
      <c r="J140" s="90" t="str">
        <f>_xlfn.IFNA(VLOOKUP($D140,'Route-Details'!$B$2:$X$1048576,'Node Details'!J$1,0),"")</f>
        <v>AXY</v>
      </c>
      <c r="K140" s="78">
        <v>46112</v>
      </c>
      <c r="L140" s="78">
        <v>46113</v>
      </c>
      <c r="M140" s="91">
        <v>46125</v>
      </c>
      <c r="N140" s="78">
        <v>46112</v>
      </c>
      <c r="Q140" s="88" t="s">
        <v>173</v>
      </c>
      <c r="R140" s="92"/>
      <c r="S140" s="89"/>
      <c r="T140" s="89"/>
      <c r="U140" s="89"/>
      <c r="V140" s="95"/>
      <c r="W140" s="93"/>
      <c r="X140" s="89"/>
      <c r="Y140" s="94"/>
      <c r="Z140" s="92"/>
      <c r="AA140" s="95"/>
      <c r="AB140" s="89"/>
      <c r="AC140" s="93"/>
      <c r="AD140" s="92"/>
      <c r="AE140" s="88"/>
      <c r="AF140" s="84"/>
      <c r="AG140" s="24"/>
      <c r="AH140" s="95"/>
      <c r="AI140" s="89"/>
      <c r="AJ140" s="88"/>
      <c r="AK140" s="83"/>
      <c r="AL140" s="24"/>
      <c r="AM140" s="24"/>
      <c r="AN140" s="83"/>
      <c r="AO140" s="83"/>
      <c r="AP140" s="24"/>
      <c r="AQ140" s="95"/>
      <c r="AR140" s="96"/>
      <c r="AS140" s="84"/>
      <c r="AT140" s="84"/>
      <c r="AU140" s="24"/>
      <c r="AV140" s="95"/>
      <c r="AW140" s="96"/>
      <c r="AX140" s="97"/>
      <c r="AY140" s="97"/>
      <c r="AZ140" s="97"/>
      <c r="BA140" s="24"/>
      <c r="BB140" s="9" t="s">
        <v>191</v>
      </c>
      <c r="BC140" s="98" t="s">
        <v>176</v>
      </c>
    </row>
    <row r="141" spans="1:55" ht="15" customHeight="1" x14ac:dyDescent="0.25">
      <c r="A141" s="88">
        <f t="shared" si="20"/>
        <v>139</v>
      </c>
      <c r="B141" s="77" t="s">
        <v>325</v>
      </c>
      <c r="C141" s="9"/>
      <c r="D141" s="78" t="s">
        <v>511</v>
      </c>
      <c r="E141" s="90" t="str">
        <f>_xlfn.IFNA(VLOOKUP($D141,'Route-Details'!$B$2:$X$1048576,'Node Details'!E$1,0),"")</f>
        <v>Airtel</v>
      </c>
      <c r="F141" s="90" t="str">
        <f>_xlfn.IFNA(VLOOKUP($D141,'Route-Details'!$B$2:$X$1048576,'Node Details'!F$1,0),"")</f>
        <v>PLAN OF AXY DARIA</v>
      </c>
      <c r="G141" s="90" t="str">
        <f>_xlfn.IFNA(VLOOKUP($D141,'Route-Details'!$B$2:$X$1048576,'Node Details'!G$1,0),"")</f>
        <v>Chandigarh</v>
      </c>
      <c r="H141" s="90" t="str">
        <f>_xlfn.IFNA(VLOOKUP($D142,'Route-Details'!$B$2:$X$1048576,'Node Details'!H$1,0),"")</f>
        <v>Punjab</v>
      </c>
      <c r="I141" s="90" t="str">
        <f>_xlfn.IFNA(VLOOKUP($D141,'Route-Details'!$B$2:$X$1048576,'Node Details'!I$1,0),"")</f>
        <v>AXY</v>
      </c>
      <c r="J141" s="90" t="str">
        <f>_xlfn.IFNA(VLOOKUP($D141,'Route-Details'!$B$2:$X$1048576,'Node Details'!J$1,0),"")</f>
        <v>AXY</v>
      </c>
      <c r="K141" s="78">
        <v>46112</v>
      </c>
      <c r="L141" s="78">
        <v>46113</v>
      </c>
      <c r="M141" s="91">
        <v>46125</v>
      </c>
      <c r="N141" s="78">
        <v>46112</v>
      </c>
      <c r="Q141" s="88" t="s">
        <v>173</v>
      </c>
      <c r="R141" s="92"/>
      <c r="S141" s="89"/>
      <c r="T141" s="89"/>
      <c r="U141" s="89"/>
      <c r="V141" s="95"/>
      <c r="W141" s="93"/>
      <c r="X141" s="89"/>
      <c r="Y141" s="94"/>
      <c r="Z141" s="92"/>
      <c r="AA141" s="95"/>
      <c r="AB141" s="89"/>
      <c r="AC141" s="93"/>
      <c r="AD141" s="92"/>
      <c r="AE141" s="88"/>
      <c r="AF141" s="84"/>
      <c r="AG141" s="24"/>
      <c r="AH141" s="95"/>
      <c r="AI141" s="89"/>
      <c r="AJ141" s="88"/>
      <c r="AK141" s="83"/>
      <c r="AL141" s="24"/>
      <c r="AM141" s="24"/>
      <c r="AN141" s="83"/>
      <c r="AO141" s="83"/>
      <c r="AP141" s="24"/>
      <c r="AQ141" s="95"/>
      <c r="AR141" s="96"/>
      <c r="AS141" s="84"/>
      <c r="AT141" s="84"/>
      <c r="AU141" s="24"/>
      <c r="AV141" s="95"/>
      <c r="AW141" s="96"/>
      <c r="AX141" s="97"/>
      <c r="AY141" s="97"/>
      <c r="AZ141" s="97"/>
      <c r="BA141" s="24"/>
      <c r="BB141" s="9" t="s">
        <v>410</v>
      </c>
      <c r="BC141" s="98" t="s">
        <v>176</v>
      </c>
    </row>
    <row r="142" spans="1:55" ht="15" customHeight="1" x14ac:dyDescent="0.25">
      <c r="A142" s="88">
        <f t="shared" si="20"/>
        <v>140</v>
      </c>
      <c r="B142" s="77" t="s">
        <v>326</v>
      </c>
      <c r="C142" s="9"/>
      <c r="D142" s="78" t="s">
        <v>512</v>
      </c>
      <c r="E142" s="90" t="str">
        <f>_xlfn.IFNA(VLOOKUP($D142,'Route-Details'!$B$2:$X$1048576,'Node Details'!E$1,0),"")</f>
        <v>Airtel</v>
      </c>
      <c r="F142" s="90" t="str">
        <f>_xlfn.IFNA(VLOOKUP($D142,'Route-Details'!$B$2:$X$1048576,'Node Details'!F$1,0),"")</f>
        <v>PLAN OF AXY DARIA</v>
      </c>
      <c r="G142" s="90" t="str">
        <f>_xlfn.IFNA(VLOOKUP($D142,'Route-Details'!$B$2:$X$1048576,'Node Details'!G$1,0),"")</f>
        <v>Chandigarh</v>
      </c>
      <c r="H142" s="90" t="str">
        <f>_xlfn.IFNA(VLOOKUP($D143,'Route-Details'!$B$2:$X$1048576,'Node Details'!H$1,0),"")</f>
        <v>Punjab</v>
      </c>
      <c r="I142" s="90" t="str">
        <f>_xlfn.IFNA(VLOOKUP($D142,'Route-Details'!$B$2:$X$1048576,'Node Details'!I$1,0),"")</f>
        <v>AXY</v>
      </c>
      <c r="J142" s="90" t="str">
        <f>_xlfn.IFNA(VLOOKUP($D142,'Route-Details'!$B$2:$X$1048576,'Node Details'!J$1,0),"")</f>
        <v>AXY</v>
      </c>
      <c r="K142" s="78">
        <v>46112</v>
      </c>
      <c r="L142" s="78">
        <v>46113</v>
      </c>
      <c r="M142" s="91">
        <v>46125</v>
      </c>
      <c r="N142" s="78">
        <v>46112</v>
      </c>
      <c r="Q142" s="88" t="s">
        <v>173</v>
      </c>
      <c r="R142" s="92"/>
      <c r="S142" s="89"/>
      <c r="T142" s="89"/>
      <c r="U142" s="89"/>
      <c r="V142" s="95"/>
      <c r="W142" s="93"/>
      <c r="X142" s="89"/>
      <c r="Y142" s="94"/>
      <c r="Z142" s="92"/>
      <c r="AA142" s="95"/>
      <c r="AB142" s="89"/>
      <c r="AC142" s="93"/>
      <c r="AD142" s="92"/>
      <c r="AE142" s="88"/>
      <c r="AF142" s="84"/>
      <c r="AG142" s="24"/>
      <c r="AH142" s="95"/>
      <c r="AI142" s="89"/>
      <c r="AJ142" s="88"/>
      <c r="AK142" s="83"/>
      <c r="AL142" s="24"/>
      <c r="AM142" s="24"/>
      <c r="AN142" s="83"/>
      <c r="AO142" s="83"/>
      <c r="AP142" s="24"/>
      <c r="AQ142" s="95"/>
      <c r="AR142" s="96"/>
      <c r="AS142" s="84"/>
      <c r="AT142" s="84"/>
      <c r="AU142" s="24"/>
      <c r="AV142" s="95"/>
      <c r="AW142" s="96"/>
      <c r="AX142" s="97"/>
      <c r="AY142" s="97"/>
      <c r="AZ142" s="97"/>
      <c r="BA142" s="24"/>
      <c r="BB142" s="9" t="s">
        <v>411</v>
      </c>
      <c r="BC142" s="98" t="s">
        <v>176</v>
      </c>
    </row>
    <row r="143" spans="1:55" ht="15" customHeight="1" x14ac:dyDescent="0.25">
      <c r="A143" s="88">
        <f t="shared" si="20"/>
        <v>141</v>
      </c>
      <c r="B143" s="77" t="s">
        <v>327</v>
      </c>
      <c r="C143" s="9"/>
      <c r="D143" s="78" t="s">
        <v>512</v>
      </c>
      <c r="E143" s="90" t="str">
        <f>_xlfn.IFNA(VLOOKUP($D143,'Route-Details'!$B$2:$X$1048576,'Node Details'!E$1,0),"")</f>
        <v>Airtel</v>
      </c>
      <c r="F143" s="90" t="str">
        <f>_xlfn.IFNA(VLOOKUP($D143,'Route-Details'!$B$2:$X$1048576,'Node Details'!F$1,0),"")</f>
        <v>PLAN OF AXY DARIA</v>
      </c>
      <c r="G143" s="90" t="str">
        <f>_xlfn.IFNA(VLOOKUP($D143,'Route-Details'!$B$2:$X$1048576,'Node Details'!G$1,0),"")</f>
        <v>Chandigarh</v>
      </c>
      <c r="H143" s="90" t="str">
        <f>_xlfn.IFNA(VLOOKUP($D144,'Route-Details'!$B$2:$X$1048576,'Node Details'!H$1,0),"")</f>
        <v>Punjab</v>
      </c>
      <c r="I143" s="90" t="str">
        <f>_xlfn.IFNA(VLOOKUP($D143,'Route-Details'!$B$2:$X$1048576,'Node Details'!I$1,0),"")</f>
        <v>AXY</v>
      </c>
      <c r="J143" s="90" t="str">
        <f>_xlfn.IFNA(VLOOKUP($D143,'Route-Details'!$B$2:$X$1048576,'Node Details'!J$1,0),"")</f>
        <v>AXY</v>
      </c>
      <c r="K143" s="78">
        <v>46112</v>
      </c>
      <c r="L143" s="78">
        <v>46113</v>
      </c>
      <c r="M143" s="91">
        <v>46125</v>
      </c>
      <c r="N143" s="78">
        <v>46112</v>
      </c>
      <c r="Q143" s="88" t="s">
        <v>173</v>
      </c>
      <c r="R143" s="92"/>
      <c r="S143" s="89"/>
      <c r="T143" s="89"/>
      <c r="U143" s="89"/>
      <c r="V143" s="95"/>
      <c r="W143" s="93"/>
      <c r="X143" s="89"/>
      <c r="Y143" s="94"/>
      <c r="Z143" s="92"/>
      <c r="AA143" s="95"/>
      <c r="AB143" s="89"/>
      <c r="AC143" s="93"/>
      <c r="AD143" s="92"/>
      <c r="AE143" s="88"/>
      <c r="AF143" s="84"/>
      <c r="AG143" s="24"/>
      <c r="AH143" s="95"/>
      <c r="AI143" s="89"/>
      <c r="AJ143" s="88"/>
      <c r="AK143" s="83"/>
      <c r="AL143" s="24"/>
      <c r="AM143" s="24"/>
      <c r="AN143" s="83"/>
      <c r="AO143" s="83"/>
      <c r="AP143" s="24"/>
      <c r="AQ143" s="95"/>
      <c r="AR143" s="96"/>
      <c r="AS143" s="84"/>
      <c r="AT143" s="84"/>
      <c r="AU143" s="24"/>
      <c r="AV143" s="95"/>
      <c r="AW143" s="96"/>
      <c r="AX143" s="97"/>
      <c r="AY143" s="97"/>
      <c r="AZ143" s="97"/>
      <c r="BA143" s="24"/>
      <c r="BB143" s="9" t="s">
        <v>411</v>
      </c>
      <c r="BC143" s="98" t="s">
        <v>176</v>
      </c>
    </row>
    <row r="144" spans="1:55" ht="15" customHeight="1" x14ac:dyDescent="0.25">
      <c r="A144" s="88">
        <f t="shared" si="20"/>
        <v>142</v>
      </c>
      <c r="B144" s="77" t="s">
        <v>328</v>
      </c>
      <c r="C144" s="9"/>
      <c r="D144" s="78" t="s">
        <v>512</v>
      </c>
      <c r="E144" s="90" t="str">
        <f>_xlfn.IFNA(VLOOKUP($D144,'Route-Details'!$B$2:$X$1048576,'Node Details'!E$1,0),"")</f>
        <v>Airtel</v>
      </c>
      <c r="F144" s="90" t="str">
        <f>_xlfn.IFNA(VLOOKUP($D144,'Route-Details'!$B$2:$X$1048576,'Node Details'!F$1,0),"")</f>
        <v>PLAN OF AXY DARIA</v>
      </c>
      <c r="G144" s="90" t="str">
        <f>_xlfn.IFNA(VLOOKUP($D144,'Route-Details'!$B$2:$X$1048576,'Node Details'!G$1,0),"")</f>
        <v>Chandigarh</v>
      </c>
      <c r="H144" s="90" t="str">
        <f>_xlfn.IFNA(VLOOKUP($D145,'Route-Details'!$B$2:$X$1048576,'Node Details'!H$1,0),"")</f>
        <v>Punjab</v>
      </c>
      <c r="I144" s="90" t="str">
        <f>_xlfn.IFNA(VLOOKUP($D144,'Route-Details'!$B$2:$X$1048576,'Node Details'!I$1,0),"")</f>
        <v>AXY</v>
      </c>
      <c r="J144" s="90" t="str">
        <f>_xlfn.IFNA(VLOOKUP($D144,'Route-Details'!$B$2:$X$1048576,'Node Details'!J$1,0),"")</f>
        <v>AXY</v>
      </c>
      <c r="K144" s="78">
        <v>46112</v>
      </c>
      <c r="L144" s="78">
        <v>46113</v>
      </c>
      <c r="M144" s="91">
        <v>46125</v>
      </c>
      <c r="N144" s="78">
        <v>46112</v>
      </c>
      <c r="Q144" s="88" t="s">
        <v>173</v>
      </c>
      <c r="R144" s="92"/>
      <c r="S144" s="89"/>
      <c r="T144" s="89"/>
      <c r="U144" s="89"/>
      <c r="V144" s="95"/>
      <c r="W144" s="93"/>
      <c r="X144" s="89"/>
      <c r="Y144" s="94"/>
      <c r="Z144" s="92"/>
      <c r="AA144" s="95"/>
      <c r="AB144" s="89"/>
      <c r="AC144" s="93"/>
      <c r="AD144" s="92"/>
      <c r="AE144" s="88"/>
      <c r="AF144" s="84"/>
      <c r="AG144" s="24"/>
      <c r="AH144" s="95"/>
      <c r="AI144" s="89"/>
      <c r="AJ144" s="88"/>
      <c r="AK144" s="83"/>
      <c r="AL144" s="24"/>
      <c r="AM144" s="24"/>
      <c r="AN144" s="83"/>
      <c r="AO144" s="83"/>
      <c r="AP144" s="24"/>
      <c r="AQ144" s="95"/>
      <c r="AR144" s="96"/>
      <c r="AS144" s="84"/>
      <c r="AT144" s="84"/>
      <c r="AU144" s="24"/>
      <c r="AV144" s="95"/>
      <c r="AW144" s="96"/>
      <c r="AX144" s="97"/>
      <c r="AY144" s="97"/>
      <c r="AZ144" s="97"/>
      <c r="BA144" s="24"/>
      <c r="BB144" s="9" t="s">
        <v>411</v>
      </c>
      <c r="BC144" s="98" t="s">
        <v>176</v>
      </c>
    </row>
    <row r="145" spans="1:55" ht="15" customHeight="1" x14ac:dyDescent="0.25">
      <c r="A145" s="88">
        <f t="shared" si="20"/>
        <v>143</v>
      </c>
      <c r="B145" s="77" t="s">
        <v>329</v>
      </c>
      <c r="C145" s="9"/>
      <c r="D145" s="78" t="s">
        <v>513</v>
      </c>
      <c r="E145" s="90" t="str">
        <f>_xlfn.IFNA(VLOOKUP($D145,'Route-Details'!$B$2:$X$1048576,'Node Details'!E$1,0),"")</f>
        <v>Airtel</v>
      </c>
      <c r="F145" s="90" t="str">
        <f>_xlfn.IFNA(VLOOKUP($D145,'Route-Details'!$B$2:$X$1048576,'Node Details'!F$1,0),"")</f>
        <v>PLAN OF AXY DARIA</v>
      </c>
      <c r="G145" s="90" t="str">
        <f>_xlfn.IFNA(VLOOKUP($D145,'Route-Details'!$B$2:$X$1048576,'Node Details'!G$1,0),"")</f>
        <v>Chandigarh</v>
      </c>
      <c r="H145" s="90" t="str">
        <f>_xlfn.IFNA(VLOOKUP($D146,'Route-Details'!$B$2:$X$1048576,'Node Details'!H$1,0),"")</f>
        <v>Punjab</v>
      </c>
      <c r="I145" s="90" t="str">
        <f>_xlfn.IFNA(VLOOKUP($D145,'Route-Details'!$B$2:$X$1048576,'Node Details'!I$1,0),"")</f>
        <v>AXY</v>
      </c>
      <c r="J145" s="90" t="str">
        <f>_xlfn.IFNA(VLOOKUP($D145,'Route-Details'!$B$2:$X$1048576,'Node Details'!J$1,0),"")</f>
        <v>AXY</v>
      </c>
      <c r="K145" s="78">
        <v>46112</v>
      </c>
      <c r="L145" s="78">
        <v>46113</v>
      </c>
      <c r="M145" s="91">
        <v>46125</v>
      </c>
      <c r="N145" s="78">
        <v>46112</v>
      </c>
      <c r="Q145" s="88" t="s">
        <v>173</v>
      </c>
      <c r="R145" s="92"/>
      <c r="S145" s="89"/>
      <c r="T145" s="89"/>
      <c r="U145" s="89"/>
      <c r="V145" s="95"/>
      <c r="W145" s="93"/>
      <c r="X145" s="89"/>
      <c r="Y145" s="94"/>
      <c r="Z145" s="92"/>
      <c r="AA145" s="95"/>
      <c r="AB145" s="89"/>
      <c r="AC145" s="93"/>
      <c r="AD145" s="92"/>
      <c r="AE145" s="88"/>
      <c r="AF145" s="84"/>
      <c r="AG145" s="24"/>
      <c r="AH145" s="95"/>
      <c r="AI145" s="89"/>
      <c r="AJ145" s="88"/>
      <c r="AK145" s="83"/>
      <c r="AL145" s="24"/>
      <c r="AM145" s="24"/>
      <c r="AN145" s="83"/>
      <c r="AO145" s="83"/>
      <c r="AP145" s="24"/>
      <c r="AQ145" s="95"/>
      <c r="AR145" s="96"/>
      <c r="AS145" s="84"/>
      <c r="AT145" s="84"/>
      <c r="AU145" s="24"/>
      <c r="AV145" s="95"/>
      <c r="AW145" s="96"/>
      <c r="AX145" s="97"/>
      <c r="AY145" s="97"/>
      <c r="AZ145" s="97"/>
      <c r="BA145" s="24"/>
      <c r="BB145" s="9" t="s">
        <v>412</v>
      </c>
      <c r="BC145" s="98" t="s">
        <v>176</v>
      </c>
    </row>
    <row r="146" spans="1:55" ht="15" customHeight="1" x14ac:dyDescent="0.25">
      <c r="A146" s="88">
        <f t="shared" si="20"/>
        <v>144</v>
      </c>
      <c r="B146" s="77" t="s">
        <v>330</v>
      </c>
      <c r="C146" s="9"/>
      <c r="D146" s="78" t="s">
        <v>513</v>
      </c>
      <c r="E146" s="90" t="str">
        <f>_xlfn.IFNA(VLOOKUP($D146,'Route-Details'!$B$2:$X$1048576,'Node Details'!E$1,0),"")</f>
        <v>Airtel</v>
      </c>
      <c r="F146" s="90" t="str">
        <f>_xlfn.IFNA(VLOOKUP($D146,'Route-Details'!$B$2:$X$1048576,'Node Details'!F$1,0),"")</f>
        <v>PLAN OF AXY DARIA</v>
      </c>
      <c r="G146" s="90" t="str">
        <f>_xlfn.IFNA(VLOOKUP($D146,'Route-Details'!$B$2:$X$1048576,'Node Details'!G$1,0),"")</f>
        <v>Chandigarh</v>
      </c>
      <c r="H146" s="90" t="str">
        <f>_xlfn.IFNA(VLOOKUP($D147,'Route-Details'!$B$2:$X$1048576,'Node Details'!H$1,0),"")</f>
        <v>Punjab</v>
      </c>
      <c r="I146" s="90" t="str">
        <f>_xlfn.IFNA(VLOOKUP($D146,'Route-Details'!$B$2:$X$1048576,'Node Details'!I$1,0),"")</f>
        <v>AXY</v>
      </c>
      <c r="J146" s="90" t="str">
        <f>_xlfn.IFNA(VLOOKUP($D146,'Route-Details'!$B$2:$X$1048576,'Node Details'!J$1,0),"")</f>
        <v>AXY</v>
      </c>
      <c r="K146" s="78">
        <v>46112</v>
      </c>
      <c r="L146" s="78">
        <v>46113</v>
      </c>
      <c r="M146" s="91">
        <v>46125</v>
      </c>
      <c r="N146" s="78">
        <v>46112</v>
      </c>
      <c r="Q146" s="88" t="s">
        <v>173</v>
      </c>
      <c r="R146" s="92"/>
      <c r="S146" s="89"/>
      <c r="T146" s="89"/>
      <c r="U146" s="89"/>
      <c r="V146" s="95"/>
      <c r="W146" s="93"/>
      <c r="X146" s="89"/>
      <c r="Y146" s="94"/>
      <c r="Z146" s="92"/>
      <c r="AA146" s="95"/>
      <c r="AB146" s="89"/>
      <c r="AC146" s="93"/>
      <c r="AD146" s="92"/>
      <c r="AE146" s="88"/>
      <c r="AF146" s="84"/>
      <c r="AG146" s="24"/>
      <c r="AH146" s="95"/>
      <c r="AI146" s="89"/>
      <c r="AJ146" s="88"/>
      <c r="AK146" s="83"/>
      <c r="AL146" s="24"/>
      <c r="AM146" s="24"/>
      <c r="AN146" s="83"/>
      <c r="AO146" s="83"/>
      <c r="AP146" s="24"/>
      <c r="AQ146" s="95"/>
      <c r="AR146" s="96"/>
      <c r="AS146" s="84"/>
      <c r="AT146" s="84"/>
      <c r="AU146" s="24"/>
      <c r="AV146" s="95"/>
      <c r="AW146" s="96"/>
      <c r="AX146" s="97"/>
      <c r="AY146" s="97"/>
      <c r="AZ146" s="97"/>
      <c r="BA146" s="24"/>
      <c r="BB146" s="9" t="s">
        <v>412</v>
      </c>
      <c r="BC146" s="98" t="s">
        <v>176</v>
      </c>
    </row>
    <row r="147" spans="1:55" ht="15" customHeight="1" x14ac:dyDescent="0.25">
      <c r="A147" s="88">
        <f t="shared" si="20"/>
        <v>145</v>
      </c>
      <c r="B147" s="77" t="s">
        <v>331</v>
      </c>
      <c r="C147" s="9"/>
      <c r="D147" s="78" t="s">
        <v>513</v>
      </c>
      <c r="E147" s="90" t="str">
        <f>_xlfn.IFNA(VLOOKUP($D147,'Route-Details'!$B$2:$X$1048576,'Node Details'!E$1,0),"")</f>
        <v>Airtel</v>
      </c>
      <c r="F147" s="90" t="str">
        <f>_xlfn.IFNA(VLOOKUP($D147,'Route-Details'!$B$2:$X$1048576,'Node Details'!F$1,0),"")</f>
        <v>PLAN OF AXY DARIA</v>
      </c>
      <c r="G147" s="90" t="str">
        <f>_xlfn.IFNA(VLOOKUP($D147,'Route-Details'!$B$2:$X$1048576,'Node Details'!G$1,0),"")</f>
        <v>Chandigarh</v>
      </c>
      <c r="H147" s="90" t="str">
        <f>_xlfn.IFNA(VLOOKUP($D148,'Route-Details'!$B$2:$X$1048576,'Node Details'!H$1,0),"")</f>
        <v>Punjab</v>
      </c>
      <c r="I147" s="90" t="str">
        <f>_xlfn.IFNA(VLOOKUP($D147,'Route-Details'!$B$2:$X$1048576,'Node Details'!I$1,0),"")</f>
        <v>AXY</v>
      </c>
      <c r="J147" s="90" t="str">
        <f>_xlfn.IFNA(VLOOKUP($D147,'Route-Details'!$B$2:$X$1048576,'Node Details'!J$1,0),"")</f>
        <v>AXY</v>
      </c>
      <c r="K147" s="78">
        <v>46112</v>
      </c>
      <c r="L147" s="78">
        <v>46113</v>
      </c>
      <c r="M147" s="91">
        <v>46125</v>
      </c>
      <c r="N147" s="78">
        <v>46112</v>
      </c>
      <c r="Q147" s="88" t="s">
        <v>173</v>
      </c>
      <c r="R147" s="92"/>
      <c r="S147" s="89"/>
      <c r="T147" s="89"/>
      <c r="U147" s="89"/>
      <c r="V147" s="95"/>
      <c r="W147" s="93"/>
      <c r="X147" s="89"/>
      <c r="Y147" s="94"/>
      <c r="Z147" s="92"/>
      <c r="AA147" s="95"/>
      <c r="AB147" s="89"/>
      <c r="AC147" s="93"/>
      <c r="AD147" s="92"/>
      <c r="AE147" s="88"/>
      <c r="AF147" s="84"/>
      <c r="AG147" s="24"/>
      <c r="AH147" s="95"/>
      <c r="AI147" s="89"/>
      <c r="AJ147" s="88"/>
      <c r="AK147" s="83"/>
      <c r="AL147" s="24"/>
      <c r="AM147" s="24"/>
      <c r="AN147" s="83"/>
      <c r="AO147" s="83"/>
      <c r="AP147" s="24"/>
      <c r="AQ147" s="95"/>
      <c r="AR147" s="96"/>
      <c r="AS147" s="84"/>
      <c r="AT147" s="84"/>
      <c r="AU147" s="24"/>
      <c r="AV147" s="95"/>
      <c r="AW147" s="96"/>
      <c r="AX147" s="97"/>
      <c r="AY147" s="97"/>
      <c r="AZ147" s="97"/>
      <c r="BA147" s="24"/>
      <c r="BB147" s="9" t="s">
        <v>412</v>
      </c>
      <c r="BC147" s="98" t="s">
        <v>176</v>
      </c>
    </row>
    <row r="148" spans="1:55" ht="15" customHeight="1" x14ac:dyDescent="0.25">
      <c r="A148" s="88">
        <f t="shared" si="20"/>
        <v>146</v>
      </c>
      <c r="B148" s="77" t="s">
        <v>332</v>
      </c>
      <c r="C148" s="9"/>
      <c r="D148" s="78" t="s">
        <v>513</v>
      </c>
      <c r="E148" s="90" t="str">
        <f>_xlfn.IFNA(VLOOKUP($D148,'Route-Details'!$B$2:$X$1048576,'Node Details'!E$1,0),"")</f>
        <v>Airtel</v>
      </c>
      <c r="F148" s="90" t="str">
        <f>_xlfn.IFNA(VLOOKUP($D148,'Route-Details'!$B$2:$X$1048576,'Node Details'!F$1,0),"")</f>
        <v>PLAN OF AXY DARIA</v>
      </c>
      <c r="G148" s="90" t="str">
        <f>_xlfn.IFNA(VLOOKUP($D148,'Route-Details'!$B$2:$X$1048576,'Node Details'!G$1,0),"")</f>
        <v>Chandigarh</v>
      </c>
      <c r="H148" s="90" t="str">
        <f>_xlfn.IFNA(VLOOKUP($D149,'Route-Details'!$B$2:$X$1048576,'Node Details'!H$1,0),"")</f>
        <v>Punjab</v>
      </c>
      <c r="I148" s="90" t="str">
        <f>_xlfn.IFNA(VLOOKUP($D148,'Route-Details'!$B$2:$X$1048576,'Node Details'!I$1,0),"")</f>
        <v>AXY</v>
      </c>
      <c r="J148" s="90" t="str">
        <f>_xlfn.IFNA(VLOOKUP($D148,'Route-Details'!$B$2:$X$1048576,'Node Details'!J$1,0),"")</f>
        <v>AXY</v>
      </c>
      <c r="K148" s="78">
        <v>46112</v>
      </c>
      <c r="L148" s="78">
        <v>46113</v>
      </c>
      <c r="M148" s="91">
        <v>46125</v>
      </c>
      <c r="N148" s="78">
        <v>46112</v>
      </c>
      <c r="Q148" s="88" t="s">
        <v>173</v>
      </c>
      <c r="R148" s="92"/>
      <c r="S148" s="89"/>
      <c r="T148" s="89"/>
      <c r="U148" s="89"/>
      <c r="V148" s="95"/>
      <c r="W148" s="93"/>
      <c r="X148" s="89"/>
      <c r="Y148" s="94"/>
      <c r="Z148" s="92"/>
      <c r="AA148" s="95"/>
      <c r="AB148" s="89"/>
      <c r="AC148" s="93"/>
      <c r="AD148" s="92"/>
      <c r="AE148" s="88"/>
      <c r="AF148" s="84"/>
      <c r="AG148" s="24"/>
      <c r="AH148" s="95"/>
      <c r="AI148" s="89"/>
      <c r="AJ148" s="88"/>
      <c r="AK148" s="83"/>
      <c r="AL148" s="24"/>
      <c r="AM148" s="24"/>
      <c r="AN148" s="83"/>
      <c r="AO148" s="83"/>
      <c r="AP148" s="24"/>
      <c r="AQ148" s="95"/>
      <c r="AR148" s="96"/>
      <c r="AS148" s="84"/>
      <c r="AT148" s="84"/>
      <c r="AU148" s="24"/>
      <c r="AV148" s="95"/>
      <c r="AW148" s="96"/>
      <c r="AX148" s="97"/>
      <c r="AY148" s="97"/>
      <c r="AZ148" s="97"/>
      <c r="BA148" s="24"/>
      <c r="BB148" s="9" t="s">
        <v>412</v>
      </c>
      <c r="BC148" s="98" t="s">
        <v>176</v>
      </c>
    </row>
    <row r="149" spans="1:55" ht="15" customHeight="1" x14ac:dyDescent="0.25">
      <c r="A149" s="88">
        <f t="shared" si="20"/>
        <v>147</v>
      </c>
      <c r="B149" s="77" t="s">
        <v>333</v>
      </c>
      <c r="C149" s="9"/>
      <c r="D149" s="78" t="s">
        <v>463</v>
      </c>
      <c r="E149" s="90" t="str">
        <f>_xlfn.IFNA(VLOOKUP($D149,'Route-Details'!$B$2:$X$1048576,'Node Details'!E$1,0),"")</f>
        <v>Airtel</v>
      </c>
      <c r="F149" s="90" t="str">
        <f>_xlfn.IFNA(VLOOKUP($D149,'Route-Details'!$B$2:$X$1048576,'Node Details'!F$1,0),"")</f>
        <v>PLAN OF AXY DARIA</v>
      </c>
      <c r="G149" s="90" t="str">
        <f>_xlfn.IFNA(VLOOKUP($D149,'Route-Details'!$B$2:$X$1048576,'Node Details'!G$1,0),"")</f>
        <v>Chandigarh</v>
      </c>
      <c r="H149" s="90" t="str">
        <f>_xlfn.IFNA(VLOOKUP($D150,'Route-Details'!$B$2:$X$1048576,'Node Details'!H$1,0),"")</f>
        <v>Punjab</v>
      </c>
      <c r="I149" s="90" t="str">
        <f>_xlfn.IFNA(VLOOKUP($D149,'Route-Details'!$B$2:$X$1048576,'Node Details'!I$1,0),"")</f>
        <v>AXY</v>
      </c>
      <c r="J149" s="90" t="str">
        <f>_xlfn.IFNA(VLOOKUP($D149,'Route-Details'!$B$2:$X$1048576,'Node Details'!J$1,0),"")</f>
        <v>AXY</v>
      </c>
      <c r="K149" s="78">
        <v>46112</v>
      </c>
      <c r="L149" s="78">
        <v>46113</v>
      </c>
      <c r="M149" s="91">
        <v>46125</v>
      </c>
      <c r="N149" s="78">
        <v>46112</v>
      </c>
      <c r="Q149" s="88" t="s">
        <v>173</v>
      </c>
      <c r="R149" s="92"/>
      <c r="S149" s="89"/>
      <c r="T149" s="89"/>
      <c r="U149" s="89"/>
      <c r="V149" s="95"/>
      <c r="W149" s="93"/>
      <c r="X149" s="89"/>
      <c r="Y149" s="94"/>
      <c r="Z149" s="92"/>
      <c r="AA149" s="95"/>
      <c r="AB149" s="89"/>
      <c r="AC149" s="93"/>
      <c r="AD149" s="92"/>
      <c r="AE149" s="88"/>
      <c r="AF149" s="84"/>
      <c r="AG149" s="24"/>
      <c r="AH149" s="95"/>
      <c r="AI149" s="89"/>
      <c r="AJ149" s="88"/>
      <c r="AK149" s="83"/>
      <c r="AL149" s="24"/>
      <c r="AM149" s="24"/>
      <c r="AN149" s="83"/>
      <c r="AO149" s="83"/>
      <c r="AP149" s="24"/>
      <c r="AQ149" s="95"/>
      <c r="AR149" s="96"/>
      <c r="AS149" s="84"/>
      <c r="AT149" s="84"/>
      <c r="AU149" s="24"/>
      <c r="AV149" s="95"/>
      <c r="AW149" s="96"/>
      <c r="AX149" s="97"/>
      <c r="AY149" s="97"/>
      <c r="AZ149" s="97"/>
      <c r="BA149" s="24"/>
      <c r="BB149" s="9" t="s">
        <v>191</v>
      </c>
      <c r="BC149" s="98" t="s">
        <v>176</v>
      </c>
    </row>
    <row r="150" spans="1:55" ht="15" customHeight="1" x14ac:dyDescent="0.25">
      <c r="A150" s="88">
        <f t="shared" si="20"/>
        <v>148</v>
      </c>
      <c r="B150" s="77" t="s">
        <v>334</v>
      </c>
      <c r="C150" s="9"/>
      <c r="D150" s="78" t="s">
        <v>514</v>
      </c>
      <c r="E150" s="90" t="str">
        <f>_xlfn.IFNA(VLOOKUP($D150,'Route-Details'!$B$2:$X$1048576,'Node Details'!E$1,0),"")</f>
        <v>Airtel</v>
      </c>
      <c r="F150" s="90" t="str">
        <f>_xlfn.IFNA(VLOOKUP($D150,'Route-Details'!$B$2:$X$1048576,'Node Details'!F$1,0),"")</f>
        <v>PLAN OF AXY DARIA</v>
      </c>
      <c r="G150" s="90" t="str">
        <f>_xlfn.IFNA(VLOOKUP($D150,'Route-Details'!$B$2:$X$1048576,'Node Details'!G$1,0),"")</f>
        <v>Chandigarh</v>
      </c>
      <c r="H150" s="90" t="str">
        <f>_xlfn.IFNA(VLOOKUP($D151,'Route-Details'!$B$2:$X$1048576,'Node Details'!H$1,0),"")</f>
        <v>Punjab</v>
      </c>
      <c r="I150" s="90" t="str">
        <f>_xlfn.IFNA(VLOOKUP($D150,'Route-Details'!$B$2:$X$1048576,'Node Details'!I$1,0),"")</f>
        <v>AXY</v>
      </c>
      <c r="J150" s="90" t="str">
        <f>_xlfn.IFNA(VLOOKUP($D150,'Route-Details'!$B$2:$X$1048576,'Node Details'!J$1,0),"")</f>
        <v>AXY</v>
      </c>
      <c r="K150" s="78">
        <v>46112</v>
      </c>
      <c r="L150" s="78">
        <v>46113</v>
      </c>
      <c r="M150" s="91">
        <v>46125</v>
      </c>
      <c r="N150" s="78">
        <v>46112</v>
      </c>
      <c r="Q150" s="88" t="s">
        <v>173</v>
      </c>
      <c r="R150" s="92"/>
      <c r="S150" s="89"/>
      <c r="T150" s="89"/>
      <c r="U150" s="89"/>
      <c r="V150" s="95"/>
      <c r="W150" s="93"/>
      <c r="X150" s="89"/>
      <c r="Y150" s="94"/>
      <c r="Z150" s="92"/>
      <c r="AA150" s="95"/>
      <c r="AB150" s="89"/>
      <c r="AC150" s="93"/>
      <c r="AD150" s="92"/>
      <c r="AE150" s="88"/>
      <c r="AF150" s="84"/>
      <c r="AG150" s="24"/>
      <c r="AH150" s="95"/>
      <c r="AI150" s="89"/>
      <c r="AJ150" s="88"/>
      <c r="AK150" s="83"/>
      <c r="AL150" s="24"/>
      <c r="AM150" s="24"/>
      <c r="AN150" s="83"/>
      <c r="AO150" s="83"/>
      <c r="AP150" s="24"/>
      <c r="AQ150" s="95"/>
      <c r="AR150" s="96"/>
      <c r="AS150" s="84"/>
      <c r="AT150" s="84"/>
      <c r="AU150" s="24"/>
      <c r="AV150" s="95"/>
      <c r="AW150" s="96"/>
      <c r="AX150" s="97"/>
      <c r="AY150" s="97"/>
      <c r="AZ150" s="97"/>
      <c r="BA150" s="24"/>
      <c r="BB150" s="9" t="s">
        <v>413</v>
      </c>
      <c r="BC150" s="98" t="s">
        <v>176</v>
      </c>
    </row>
    <row r="151" spans="1:55" ht="15" customHeight="1" x14ac:dyDescent="0.25">
      <c r="A151" s="88">
        <f t="shared" si="20"/>
        <v>149</v>
      </c>
      <c r="B151" s="77" t="s">
        <v>335</v>
      </c>
      <c r="C151" s="9"/>
      <c r="D151" s="78" t="s">
        <v>515</v>
      </c>
      <c r="E151" s="90" t="str">
        <f>_xlfn.IFNA(VLOOKUP($D151,'Route-Details'!$B$2:$X$1048576,'Node Details'!E$1,0),"")</f>
        <v>Airtel</v>
      </c>
      <c r="F151" s="90" t="str">
        <f>_xlfn.IFNA(VLOOKUP($D151,'Route-Details'!$B$2:$X$1048576,'Node Details'!F$1,0),"")</f>
        <v>PLAN OF AXY DARIA</v>
      </c>
      <c r="G151" s="90" t="str">
        <f>_xlfn.IFNA(VLOOKUP($D151,'Route-Details'!$B$2:$X$1048576,'Node Details'!G$1,0),"")</f>
        <v>Chandigarh</v>
      </c>
      <c r="H151" s="90" t="str">
        <f>_xlfn.IFNA(VLOOKUP($D152,'Route-Details'!$B$2:$X$1048576,'Node Details'!H$1,0),"")</f>
        <v>Punjab</v>
      </c>
      <c r="I151" s="90" t="str">
        <f>_xlfn.IFNA(VLOOKUP($D151,'Route-Details'!$B$2:$X$1048576,'Node Details'!I$1,0),"")</f>
        <v>AXY</v>
      </c>
      <c r="J151" s="90" t="str">
        <f>_xlfn.IFNA(VLOOKUP($D151,'Route-Details'!$B$2:$X$1048576,'Node Details'!J$1,0),"")</f>
        <v>AXY</v>
      </c>
      <c r="K151" s="78">
        <v>46112</v>
      </c>
      <c r="L151" s="78">
        <v>46113</v>
      </c>
      <c r="M151" s="91">
        <v>46125</v>
      </c>
      <c r="N151" s="78">
        <v>46112</v>
      </c>
      <c r="Q151" s="88" t="s">
        <v>173</v>
      </c>
      <c r="R151" s="92"/>
      <c r="S151" s="89"/>
      <c r="T151" s="89"/>
      <c r="U151" s="89"/>
      <c r="V151" s="95"/>
      <c r="W151" s="93"/>
      <c r="X151" s="89"/>
      <c r="Y151" s="94"/>
      <c r="Z151" s="92"/>
      <c r="AA151" s="95"/>
      <c r="AB151" s="89"/>
      <c r="AC151" s="93"/>
      <c r="AD151" s="92"/>
      <c r="AE151" s="88"/>
      <c r="AF151" s="84"/>
      <c r="AG151" s="24"/>
      <c r="AH151" s="95"/>
      <c r="AI151" s="89"/>
      <c r="AJ151" s="88"/>
      <c r="AK151" s="83"/>
      <c r="AL151" s="24"/>
      <c r="AM151" s="24"/>
      <c r="AN151" s="83"/>
      <c r="AO151" s="83"/>
      <c r="AP151" s="24"/>
      <c r="AQ151" s="95"/>
      <c r="AR151" s="96"/>
      <c r="AS151" s="84"/>
      <c r="AT151" s="84"/>
      <c r="AU151" s="24"/>
      <c r="AV151" s="95"/>
      <c r="AW151" s="96"/>
      <c r="AX151" s="97"/>
      <c r="AY151" s="97"/>
      <c r="AZ151" s="97"/>
      <c r="BA151" s="24"/>
      <c r="BB151" s="9" t="s">
        <v>414</v>
      </c>
      <c r="BC151" s="98" t="s">
        <v>176</v>
      </c>
    </row>
    <row r="152" spans="1:55" ht="15" customHeight="1" x14ac:dyDescent="0.25">
      <c r="A152" s="88">
        <f t="shared" si="20"/>
        <v>150</v>
      </c>
      <c r="B152" s="77" t="s">
        <v>336</v>
      </c>
      <c r="C152" s="9"/>
      <c r="D152" s="78" t="s">
        <v>516</v>
      </c>
      <c r="E152" s="90" t="str">
        <f>_xlfn.IFNA(VLOOKUP($D152,'Route-Details'!$B$2:$X$1048576,'Node Details'!E$1,0),"")</f>
        <v>Airtel</v>
      </c>
      <c r="F152" s="90" t="str">
        <f>_xlfn.IFNA(VLOOKUP($D152,'Route-Details'!$B$2:$X$1048576,'Node Details'!F$1,0),"")</f>
        <v>PLAN OF AXY DARIA</v>
      </c>
      <c r="G152" s="90" t="str">
        <f>_xlfn.IFNA(VLOOKUP($D152,'Route-Details'!$B$2:$X$1048576,'Node Details'!G$1,0),"")</f>
        <v>Chandigarh</v>
      </c>
      <c r="H152" s="90" t="str">
        <f>_xlfn.IFNA(VLOOKUP($D153,'Route-Details'!$B$2:$X$1048576,'Node Details'!H$1,0),"")</f>
        <v>Punjab</v>
      </c>
      <c r="I152" s="90" t="str">
        <f>_xlfn.IFNA(VLOOKUP($D152,'Route-Details'!$B$2:$X$1048576,'Node Details'!I$1,0),"")</f>
        <v>AXY</v>
      </c>
      <c r="J152" s="90" t="str">
        <f>_xlfn.IFNA(VLOOKUP($D152,'Route-Details'!$B$2:$X$1048576,'Node Details'!J$1,0),"")</f>
        <v>AXY</v>
      </c>
      <c r="K152" s="78">
        <v>46112</v>
      </c>
      <c r="L152" s="78">
        <v>46113</v>
      </c>
      <c r="M152" s="91">
        <v>46125</v>
      </c>
      <c r="N152" s="78">
        <v>46112</v>
      </c>
      <c r="Q152" s="88" t="s">
        <v>173</v>
      </c>
      <c r="R152" s="92"/>
      <c r="S152" s="89"/>
      <c r="T152" s="89"/>
      <c r="U152" s="89"/>
      <c r="V152" s="95"/>
      <c r="W152" s="93"/>
      <c r="X152" s="89"/>
      <c r="Y152" s="94"/>
      <c r="Z152" s="92"/>
      <c r="AA152" s="95"/>
      <c r="AB152" s="89"/>
      <c r="AC152" s="93"/>
      <c r="AD152" s="92"/>
      <c r="AE152" s="88"/>
      <c r="AF152" s="84"/>
      <c r="AG152" s="24"/>
      <c r="AH152" s="95"/>
      <c r="AI152" s="89"/>
      <c r="AJ152" s="88"/>
      <c r="AK152" s="83"/>
      <c r="AL152" s="24"/>
      <c r="AM152" s="24"/>
      <c r="AN152" s="83"/>
      <c r="AO152" s="83"/>
      <c r="AP152" s="24"/>
      <c r="AQ152" s="95"/>
      <c r="AR152" s="96"/>
      <c r="AS152" s="84"/>
      <c r="AT152" s="84"/>
      <c r="AU152" s="24"/>
      <c r="AV152" s="95"/>
      <c r="AW152" s="96"/>
      <c r="AX152" s="97"/>
      <c r="AY152" s="97"/>
      <c r="AZ152" s="97"/>
      <c r="BA152" s="24"/>
      <c r="BB152" s="9" t="s">
        <v>415</v>
      </c>
      <c r="BC152" s="98" t="s">
        <v>176</v>
      </c>
    </row>
    <row r="153" spans="1:55" ht="15" customHeight="1" x14ac:dyDescent="0.25">
      <c r="A153" s="88">
        <f t="shared" si="20"/>
        <v>151</v>
      </c>
      <c r="B153" s="77" t="s">
        <v>337</v>
      </c>
      <c r="C153" s="9"/>
      <c r="D153" s="78" t="s">
        <v>516</v>
      </c>
      <c r="E153" s="90" t="str">
        <f>_xlfn.IFNA(VLOOKUP($D153,'Route-Details'!$B$2:$X$1048576,'Node Details'!E$1,0),"")</f>
        <v>Airtel</v>
      </c>
      <c r="F153" s="90" t="str">
        <f>_xlfn.IFNA(VLOOKUP($D153,'Route-Details'!$B$2:$X$1048576,'Node Details'!F$1,0),"")</f>
        <v>PLAN OF AXY DARIA</v>
      </c>
      <c r="G153" s="90" t="str">
        <f>_xlfn.IFNA(VLOOKUP($D153,'Route-Details'!$B$2:$X$1048576,'Node Details'!G$1,0),"")</f>
        <v>Chandigarh</v>
      </c>
      <c r="H153" s="90" t="str">
        <f>_xlfn.IFNA(VLOOKUP($D154,'Route-Details'!$B$2:$X$1048576,'Node Details'!H$1,0),"")</f>
        <v>Punjab</v>
      </c>
      <c r="I153" s="90" t="str">
        <f>_xlfn.IFNA(VLOOKUP($D153,'Route-Details'!$B$2:$X$1048576,'Node Details'!I$1,0),"")</f>
        <v>AXY</v>
      </c>
      <c r="J153" s="90" t="str">
        <f>_xlfn.IFNA(VLOOKUP($D153,'Route-Details'!$B$2:$X$1048576,'Node Details'!J$1,0),"")</f>
        <v>AXY</v>
      </c>
      <c r="K153" s="78">
        <v>46112</v>
      </c>
      <c r="L153" s="78">
        <v>46113</v>
      </c>
      <c r="M153" s="91">
        <v>46125</v>
      </c>
      <c r="N153" s="78">
        <v>46112</v>
      </c>
      <c r="Q153" s="88" t="s">
        <v>173</v>
      </c>
      <c r="R153" s="92"/>
      <c r="S153" s="89"/>
      <c r="T153" s="89"/>
      <c r="U153" s="89"/>
      <c r="V153" s="95"/>
      <c r="W153" s="93"/>
      <c r="X153" s="89"/>
      <c r="Y153" s="94"/>
      <c r="Z153" s="92"/>
      <c r="AA153" s="95"/>
      <c r="AB153" s="89"/>
      <c r="AC153" s="93"/>
      <c r="AD153" s="92"/>
      <c r="AE153" s="88"/>
      <c r="AF153" s="84"/>
      <c r="AG153" s="24"/>
      <c r="AH153" s="95"/>
      <c r="AI153" s="89"/>
      <c r="AJ153" s="88"/>
      <c r="AK153" s="83"/>
      <c r="AL153" s="24"/>
      <c r="AM153" s="24"/>
      <c r="AN153" s="83"/>
      <c r="AO153" s="83"/>
      <c r="AP153" s="24"/>
      <c r="AQ153" s="95"/>
      <c r="AR153" s="96"/>
      <c r="AS153" s="84"/>
      <c r="AT153" s="84"/>
      <c r="AU153" s="24"/>
      <c r="AV153" s="95"/>
      <c r="AW153" s="96"/>
      <c r="AX153" s="97"/>
      <c r="AY153" s="97"/>
      <c r="AZ153" s="97"/>
      <c r="BA153" s="24"/>
      <c r="BB153" s="9" t="s">
        <v>415</v>
      </c>
      <c r="BC153" s="98" t="s">
        <v>176</v>
      </c>
    </row>
    <row r="154" spans="1:55" ht="15" customHeight="1" x14ac:dyDescent="0.25">
      <c r="A154" s="88">
        <f t="shared" si="20"/>
        <v>152</v>
      </c>
      <c r="B154" s="77" t="s">
        <v>338</v>
      </c>
      <c r="C154" s="9"/>
      <c r="D154" s="78" t="s">
        <v>516</v>
      </c>
      <c r="E154" s="90" t="str">
        <f>_xlfn.IFNA(VLOOKUP($D154,'Route-Details'!$B$2:$X$1048576,'Node Details'!E$1,0),"")</f>
        <v>Airtel</v>
      </c>
      <c r="F154" s="90" t="str">
        <f>_xlfn.IFNA(VLOOKUP($D154,'Route-Details'!$B$2:$X$1048576,'Node Details'!F$1,0),"")</f>
        <v>PLAN OF AXY DARIA</v>
      </c>
      <c r="G154" s="90" t="str">
        <f>_xlfn.IFNA(VLOOKUP($D154,'Route-Details'!$B$2:$X$1048576,'Node Details'!G$1,0),"")</f>
        <v>Chandigarh</v>
      </c>
      <c r="H154" s="90" t="str">
        <f>_xlfn.IFNA(VLOOKUP($D155,'Route-Details'!$B$2:$X$1048576,'Node Details'!H$1,0),"")</f>
        <v>Punjab</v>
      </c>
      <c r="I154" s="90" t="str">
        <f>_xlfn.IFNA(VLOOKUP($D154,'Route-Details'!$B$2:$X$1048576,'Node Details'!I$1,0),"")</f>
        <v>AXY</v>
      </c>
      <c r="J154" s="90" t="str">
        <f>_xlfn.IFNA(VLOOKUP($D154,'Route-Details'!$B$2:$X$1048576,'Node Details'!J$1,0),"")</f>
        <v>AXY</v>
      </c>
      <c r="K154" s="78">
        <v>46112</v>
      </c>
      <c r="L154" s="78">
        <v>46113</v>
      </c>
      <c r="M154" s="91">
        <v>46125</v>
      </c>
      <c r="N154" s="78">
        <v>46112</v>
      </c>
      <c r="Q154" s="88" t="s">
        <v>173</v>
      </c>
      <c r="R154" s="92"/>
      <c r="S154" s="89"/>
      <c r="T154" s="89"/>
      <c r="U154" s="89"/>
      <c r="V154" s="95"/>
      <c r="W154" s="93"/>
      <c r="X154" s="89"/>
      <c r="Y154" s="94"/>
      <c r="Z154" s="92"/>
      <c r="AA154" s="95"/>
      <c r="AB154" s="89"/>
      <c r="AC154" s="93"/>
      <c r="AD154" s="92"/>
      <c r="AE154" s="88"/>
      <c r="AF154" s="84"/>
      <c r="AG154" s="24"/>
      <c r="AH154" s="95"/>
      <c r="AI154" s="89"/>
      <c r="AJ154" s="88"/>
      <c r="AK154" s="83"/>
      <c r="AL154" s="24"/>
      <c r="AM154" s="24"/>
      <c r="AN154" s="83"/>
      <c r="AO154" s="83"/>
      <c r="AP154" s="24"/>
      <c r="AQ154" s="95"/>
      <c r="AR154" s="96"/>
      <c r="AS154" s="84"/>
      <c r="AT154" s="84"/>
      <c r="AU154" s="24"/>
      <c r="AV154" s="95"/>
      <c r="AW154" s="96"/>
      <c r="AX154" s="97"/>
      <c r="AY154" s="97"/>
      <c r="AZ154" s="97"/>
      <c r="BA154" s="24"/>
      <c r="BB154" s="9" t="s">
        <v>415</v>
      </c>
      <c r="BC154" s="98" t="s">
        <v>176</v>
      </c>
    </row>
    <row r="155" spans="1:55" ht="15" customHeight="1" x14ac:dyDescent="0.25">
      <c r="A155" s="88">
        <f t="shared" si="20"/>
        <v>153</v>
      </c>
      <c r="B155" s="77" t="s">
        <v>339</v>
      </c>
      <c r="C155" s="9"/>
      <c r="D155" s="78" t="s">
        <v>480</v>
      </c>
      <c r="E155" s="90" t="str">
        <f>_xlfn.IFNA(VLOOKUP($D155,'Route-Details'!$B$2:$X$1048576,'Node Details'!E$1,0),"")</f>
        <v>Airtel</v>
      </c>
      <c r="F155" s="90" t="str">
        <f>_xlfn.IFNA(VLOOKUP($D155,'Route-Details'!$B$2:$X$1048576,'Node Details'!F$1,0),"")</f>
        <v>PLAN OF AXY DARIA</v>
      </c>
      <c r="G155" s="90" t="str">
        <f>_xlfn.IFNA(VLOOKUP($D155,'Route-Details'!$B$2:$X$1048576,'Node Details'!G$1,0),"")</f>
        <v>Chandigarh</v>
      </c>
      <c r="H155" s="90" t="str">
        <f>_xlfn.IFNA(VLOOKUP($D156,'Route-Details'!$B$2:$X$1048576,'Node Details'!H$1,0),"")</f>
        <v>Punjab</v>
      </c>
      <c r="I155" s="90" t="str">
        <f>_xlfn.IFNA(VLOOKUP($D155,'Route-Details'!$B$2:$X$1048576,'Node Details'!I$1,0),"")</f>
        <v>AXY</v>
      </c>
      <c r="J155" s="90" t="str">
        <f>_xlfn.IFNA(VLOOKUP($D155,'Route-Details'!$B$2:$X$1048576,'Node Details'!J$1,0),"")</f>
        <v>AXY</v>
      </c>
      <c r="K155" s="78">
        <v>46112</v>
      </c>
      <c r="L155" s="78">
        <v>46113</v>
      </c>
      <c r="M155" s="91">
        <v>46125</v>
      </c>
      <c r="N155" s="78">
        <v>46112</v>
      </c>
      <c r="Q155" s="88" t="s">
        <v>173</v>
      </c>
      <c r="R155" s="92"/>
      <c r="S155" s="89"/>
      <c r="T155" s="89"/>
      <c r="U155" s="89"/>
      <c r="V155" s="95"/>
      <c r="W155" s="93"/>
      <c r="X155" s="89"/>
      <c r="Y155" s="94"/>
      <c r="Z155" s="92"/>
      <c r="AA155" s="95"/>
      <c r="AB155" s="89"/>
      <c r="AC155" s="93"/>
      <c r="AD155" s="92"/>
      <c r="AE155" s="88"/>
      <c r="AF155" s="84"/>
      <c r="AG155" s="24"/>
      <c r="AH155" s="95"/>
      <c r="AI155" s="89"/>
      <c r="AJ155" s="88"/>
      <c r="AK155" s="83"/>
      <c r="AL155" s="24"/>
      <c r="AM155" s="24"/>
      <c r="AN155" s="83"/>
      <c r="AO155" s="83"/>
      <c r="AP155" s="24"/>
      <c r="AQ155" s="95"/>
      <c r="AR155" s="96"/>
      <c r="AS155" s="84"/>
      <c r="AT155" s="84"/>
      <c r="AU155" s="24"/>
      <c r="AV155" s="95"/>
      <c r="AW155" s="96"/>
      <c r="AX155" s="97"/>
      <c r="AY155" s="97"/>
      <c r="AZ155" s="97"/>
      <c r="BA155" s="24"/>
      <c r="BB155" s="9" t="s">
        <v>416</v>
      </c>
      <c r="BC155" s="98" t="s">
        <v>176</v>
      </c>
    </row>
    <row r="156" spans="1:55" ht="15" customHeight="1" x14ac:dyDescent="0.25">
      <c r="A156" s="88">
        <f t="shared" si="20"/>
        <v>154</v>
      </c>
      <c r="B156" s="77" t="s">
        <v>340</v>
      </c>
      <c r="C156" s="9"/>
      <c r="D156" s="78" t="s">
        <v>476</v>
      </c>
      <c r="E156" s="90" t="str">
        <f>_xlfn.IFNA(VLOOKUP($D156,'Route-Details'!$B$2:$X$1048576,'Node Details'!E$1,0),"")</f>
        <v>Airtel</v>
      </c>
      <c r="F156" s="90" t="str">
        <f>_xlfn.IFNA(VLOOKUP($D156,'Route-Details'!$B$2:$X$1048576,'Node Details'!F$1,0),"")</f>
        <v>PLAN OF AXY DARIA</v>
      </c>
      <c r="G156" s="90" t="str">
        <f>_xlfn.IFNA(VLOOKUP($D156,'Route-Details'!$B$2:$X$1048576,'Node Details'!G$1,0),"")</f>
        <v>Chandigarh</v>
      </c>
      <c r="H156" s="90" t="str">
        <f>_xlfn.IFNA(VLOOKUP($D157,'Route-Details'!$B$2:$X$1048576,'Node Details'!H$1,0),"")</f>
        <v>Punjab</v>
      </c>
      <c r="I156" s="90" t="str">
        <f>_xlfn.IFNA(VLOOKUP($D156,'Route-Details'!$B$2:$X$1048576,'Node Details'!I$1,0),"")</f>
        <v>AXY</v>
      </c>
      <c r="J156" s="90" t="str">
        <f>_xlfn.IFNA(VLOOKUP($D156,'Route-Details'!$B$2:$X$1048576,'Node Details'!J$1,0),"")</f>
        <v>AXY</v>
      </c>
      <c r="K156" s="78">
        <v>46112</v>
      </c>
      <c r="L156" s="78">
        <v>46113</v>
      </c>
      <c r="M156" s="91">
        <v>46125</v>
      </c>
      <c r="N156" s="78">
        <v>46112</v>
      </c>
      <c r="Q156" s="88" t="s">
        <v>173</v>
      </c>
      <c r="R156" s="92"/>
      <c r="S156" s="89"/>
      <c r="T156" s="89"/>
      <c r="U156" s="89"/>
      <c r="V156" s="95"/>
      <c r="W156" s="93"/>
      <c r="X156" s="89"/>
      <c r="Y156" s="94"/>
      <c r="Z156" s="92"/>
      <c r="AA156" s="95"/>
      <c r="AB156" s="89"/>
      <c r="AC156" s="93"/>
      <c r="AD156" s="92"/>
      <c r="AE156" s="88"/>
      <c r="AF156" s="84"/>
      <c r="AG156" s="24"/>
      <c r="AH156" s="95"/>
      <c r="AI156" s="89"/>
      <c r="AJ156" s="88"/>
      <c r="AK156" s="83"/>
      <c r="AL156" s="24"/>
      <c r="AM156" s="24"/>
      <c r="AN156" s="83"/>
      <c r="AO156" s="83"/>
      <c r="AP156" s="24"/>
      <c r="AQ156" s="95"/>
      <c r="AR156" s="96"/>
      <c r="AS156" s="84"/>
      <c r="AT156" s="84"/>
      <c r="AU156" s="24"/>
      <c r="AV156" s="95"/>
      <c r="AW156" s="96"/>
      <c r="AX156" s="97"/>
      <c r="AY156" s="97"/>
      <c r="AZ156" s="97"/>
      <c r="BA156" s="24"/>
      <c r="BB156" s="9" t="s">
        <v>417</v>
      </c>
      <c r="BC156" s="98" t="s">
        <v>176</v>
      </c>
    </row>
    <row r="157" spans="1:55" ht="15" customHeight="1" x14ac:dyDescent="0.25">
      <c r="A157" s="88">
        <f t="shared" si="20"/>
        <v>155</v>
      </c>
      <c r="B157" s="77" t="s">
        <v>341</v>
      </c>
      <c r="C157" s="9"/>
      <c r="D157" s="78" t="s">
        <v>476</v>
      </c>
      <c r="E157" s="90" t="str">
        <f>_xlfn.IFNA(VLOOKUP($D157,'Route-Details'!$B$2:$X$1048576,'Node Details'!E$1,0),"")</f>
        <v>Airtel</v>
      </c>
      <c r="F157" s="90" t="str">
        <f>_xlfn.IFNA(VLOOKUP($D157,'Route-Details'!$B$2:$X$1048576,'Node Details'!F$1,0),"")</f>
        <v>PLAN OF AXY DARIA</v>
      </c>
      <c r="G157" s="90" t="str">
        <f>_xlfn.IFNA(VLOOKUP($D157,'Route-Details'!$B$2:$X$1048576,'Node Details'!G$1,0),"")</f>
        <v>Chandigarh</v>
      </c>
      <c r="H157" s="90" t="str">
        <f>_xlfn.IFNA(VLOOKUP($D158,'Route-Details'!$B$2:$X$1048576,'Node Details'!H$1,0),"")</f>
        <v>Punjab</v>
      </c>
      <c r="I157" s="90" t="str">
        <f>_xlfn.IFNA(VLOOKUP($D157,'Route-Details'!$B$2:$X$1048576,'Node Details'!I$1,0),"")</f>
        <v>AXY</v>
      </c>
      <c r="J157" s="90" t="str">
        <f>_xlfn.IFNA(VLOOKUP($D157,'Route-Details'!$B$2:$X$1048576,'Node Details'!J$1,0),"")</f>
        <v>AXY</v>
      </c>
      <c r="K157" s="78">
        <v>46112</v>
      </c>
      <c r="L157" s="78">
        <v>46113</v>
      </c>
      <c r="M157" s="91">
        <v>46125</v>
      </c>
      <c r="N157" s="78">
        <v>46112</v>
      </c>
      <c r="Q157" s="88" t="s">
        <v>173</v>
      </c>
      <c r="R157" s="92"/>
      <c r="S157" s="89"/>
      <c r="T157" s="89"/>
      <c r="U157" s="89"/>
      <c r="V157" s="95"/>
      <c r="W157" s="93"/>
      <c r="X157" s="89"/>
      <c r="Y157" s="94"/>
      <c r="Z157" s="92"/>
      <c r="AA157" s="95"/>
      <c r="AB157" s="89"/>
      <c r="AC157" s="93"/>
      <c r="AD157" s="92"/>
      <c r="AE157" s="88"/>
      <c r="AF157" s="84"/>
      <c r="AG157" s="24"/>
      <c r="AH157" s="95"/>
      <c r="AI157" s="89"/>
      <c r="AJ157" s="88"/>
      <c r="AK157" s="83"/>
      <c r="AL157" s="24"/>
      <c r="AM157" s="24"/>
      <c r="AN157" s="83"/>
      <c r="AO157" s="83"/>
      <c r="AP157" s="24"/>
      <c r="AQ157" s="95"/>
      <c r="AR157" s="96"/>
      <c r="AS157" s="84"/>
      <c r="AT157" s="84"/>
      <c r="AU157" s="24"/>
      <c r="AV157" s="95"/>
      <c r="AW157" s="96"/>
      <c r="AX157" s="97"/>
      <c r="AY157" s="97"/>
      <c r="AZ157" s="97"/>
      <c r="BA157" s="24"/>
      <c r="BB157" s="9" t="s">
        <v>417</v>
      </c>
      <c r="BC157" s="98" t="s">
        <v>176</v>
      </c>
    </row>
    <row r="158" spans="1:55" ht="15" customHeight="1" x14ac:dyDescent="0.25">
      <c r="A158" s="88">
        <f t="shared" si="20"/>
        <v>156</v>
      </c>
      <c r="B158" s="77" t="s">
        <v>342</v>
      </c>
      <c r="C158" s="9"/>
      <c r="D158" s="78" t="s">
        <v>476</v>
      </c>
      <c r="E158" s="90" t="str">
        <f>_xlfn.IFNA(VLOOKUP($D158,'Route-Details'!$B$2:$X$1048576,'Node Details'!E$1,0),"")</f>
        <v>Airtel</v>
      </c>
      <c r="F158" s="90" t="str">
        <f>_xlfn.IFNA(VLOOKUP($D158,'Route-Details'!$B$2:$X$1048576,'Node Details'!F$1,0),"")</f>
        <v>PLAN OF AXY DARIA</v>
      </c>
      <c r="G158" s="90" t="str">
        <f>_xlfn.IFNA(VLOOKUP($D158,'Route-Details'!$B$2:$X$1048576,'Node Details'!G$1,0),"")</f>
        <v>Chandigarh</v>
      </c>
      <c r="H158" s="90" t="str">
        <f>_xlfn.IFNA(VLOOKUP($D159,'Route-Details'!$B$2:$X$1048576,'Node Details'!H$1,0),"")</f>
        <v>Punjab</v>
      </c>
      <c r="I158" s="90" t="str">
        <f>_xlfn.IFNA(VLOOKUP($D158,'Route-Details'!$B$2:$X$1048576,'Node Details'!I$1,0),"")</f>
        <v>AXY</v>
      </c>
      <c r="J158" s="90" t="str">
        <f>_xlfn.IFNA(VLOOKUP($D158,'Route-Details'!$B$2:$X$1048576,'Node Details'!J$1,0),"")</f>
        <v>AXY</v>
      </c>
      <c r="K158" s="78">
        <v>46112</v>
      </c>
      <c r="L158" s="78">
        <v>46113</v>
      </c>
      <c r="M158" s="91">
        <v>46125</v>
      </c>
      <c r="N158" s="78">
        <v>46112</v>
      </c>
      <c r="Q158" s="88" t="s">
        <v>173</v>
      </c>
      <c r="R158" s="92"/>
      <c r="S158" s="89"/>
      <c r="T158" s="89"/>
      <c r="U158" s="89"/>
      <c r="V158" s="95"/>
      <c r="W158" s="93"/>
      <c r="X158" s="89"/>
      <c r="Y158" s="94"/>
      <c r="Z158" s="92"/>
      <c r="AA158" s="95"/>
      <c r="AB158" s="89"/>
      <c r="AC158" s="93"/>
      <c r="AD158" s="92"/>
      <c r="AE158" s="88"/>
      <c r="AF158" s="84"/>
      <c r="AG158" s="24"/>
      <c r="AH158" s="95"/>
      <c r="AI158" s="89"/>
      <c r="AJ158" s="88"/>
      <c r="AK158" s="83"/>
      <c r="AL158" s="24"/>
      <c r="AM158" s="24"/>
      <c r="AN158" s="83"/>
      <c r="AO158" s="83"/>
      <c r="AP158" s="24"/>
      <c r="AQ158" s="95"/>
      <c r="AR158" s="96"/>
      <c r="AS158" s="84"/>
      <c r="AT158" s="84"/>
      <c r="AU158" s="24"/>
      <c r="AV158" s="95"/>
      <c r="AW158" s="96"/>
      <c r="AX158" s="97"/>
      <c r="AY158" s="97"/>
      <c r="AZ158" s="97"/>
      <c r="BA158" s="24"/>
      <c r="BB158" s="9" t="s">
        <v>417</v>
      </c>
      <c r="BC158" s="98" t="s">
        <v>176</v>
      </c>
    </row>
    <row r="159" spans="1:55" ht="15" customHeight="1" x14ac:dyDescent="0.25">
      <c r="A159" s="88">
        <f t="shared" si="20"/>
        <v>157</v>
      </c>
      <c r="B159" s="77" t="s">
        <v>343</v>
      </c>
      <c r="C159" s="9"/>
      <c r="D159" s="78" t="s">
        <v>476</v>
      </c>
      <c r="E159" s="90" t="str">
        <f>_xlfn.IFNA(VLOOKUP($D159,'Route-Details'!$B$2:$X$1048576,'Node Details'!E$1,0),"")</f>
        <v>Airtel</v>
      </c>
      <c r="F159" s="90" t="str">
        <f>_xlfn.IFNA(VLOOKUP($D159,'Route-Details'!$B$2:$X$1048576,'Node Details'!F$1,0),"")</f>
        <v>PLAN OF AXY DARIA</v>
      </c>
      <c r="G159" s="90" t="str">
        <f>_xlfn.IFNA(VLOOKUP($D159,'Route-Details'!$B$2:$X$1048576,'Node Details'!G$1,0),"")</f>
        <v>Chandigarh</v>
      </c>
      <c r="H159" s="90" t="str">
        <f>_xlfn.IFNA(VLOOKUP($D160,'Route-Details'!$B$2:$X$1048576,'Node Details'!H$1,0),"")</f>
        <v>Punjab</v>
      </c>
      <c r="I159" s="90" t="str">
        <f>_xlfn.IFNA(VLOOKUP($D159,'Route-Details'!$B$2:$X$1048576,'Node Details'!I$1,0),"")</f>
        <v>AXY</v>
      </c>
      <c r="J159" s="90" t="str">
        <f>_xlfn.IFNA(VLOOKUP($D159,'Route-Details'!$B$2:$X$1048576,'Node Details'!J$1,0),"")</f>
        <v>AXY</v>
      </c>
      <c r="K159" s="78">
        <v>46112</v>
      </c>
      <c r="L159" s="78">
        <v>46113</v>
      </c>
      <c r="M159" s="91">
        <v>46125</v>
      </c>
      <c r="N159" s="78">
        <v>46112</v>
      </c>
      <c r="Q159" s="88" t="s">
        <v>173</v>
      </c>
      <c r="R159" s="92"/>
      <c r="S159" s="89"/>
      <c r="T159" s="89"/>
      <c r="U159" s="89"/>
      <c r="V159" s="95"/>
      <c r="W159" s="93"/>
      <c r="X159" s="89"/>
      <c r="Y159" s="94"/>
      <c r="Z159" s="92"/>
      <c r="AA159" s="95"/>
      <c r="AB159" s="89"/>
      <c r="AC159" s="93"/>
      <c r="AD159" s="92"/>
      <c r="AE159" s="88"/>
      <c r="AF159" s="84"/>
      <c r="AG159" s="24"/>
      <c r="AH159" s="95"/>
      <c r="AI159" s="89"/>
      <c r="AJ159" s="88"/>
      <c r="AK159" s="83"/>
      <c r="AL159" s="24"/>
      <c r="AM159" s="24"/>
      <c r="AN159" s="83"/>
      <c r="AO159" s="83"/>
      <c r="AP159" s="24"/>
      <c r="AQ159" s="95"/>
      <c r="AR159" s="96"/>
      <c r="AS159" s="84"/>
      <c r="AT159" s="84"/>
      <c r="AU159" s="24"/>
      <c r="AV159" s="95"/>
      <c r="AW159" s="96"/>
      <c r="AX159" s="97"/>
      <c r="AY159" s="97"/>
      <c r="AZ159" s="97"/>
      <c r="BA159" s="24"/>
      <c r="BB159" s="9" t="s">
        <v>417</v>
      </c>
      <c r="BC159" s="98" t="s">
        <v>176</v>
      </c>
    </row>
    <row r="160" spans="1:55" ht="15" customHeight="1" x14ac:dyDescent="0.25">
      <c r="A160" s="88">
        <f t="shared" si="20"/>
        <v>158</v>
      </c>
      <c r="B160" s="77" t="s">
        <v>344</v>
      </c>
      <c r="C160" s="9"/>
      <c r="D160" s="78" t="s">
        <v>463</v>
      </c>
      <c r="E160" s="90" t="str">
        <f>_xlfn.IFNA(VLOOKUP($D160,'Route-Details'!$B$2:$X$1048576,'Node Details'!E$1,0),"")</f>
        <v>Airtel</v>
      </c>
      <c r="F160" s="90" t="str">
        <f>_xlfn.IFNA(VLOOKUP($D160,'Route-Details'!$B$2:$X$1048576,'Node Details'!F$1,0),"")</f>
        <v>PLAN OF AXY DARIA</v>
      </c>
      <c r="G160" s="90" t="str">
        <f>_xlfn.IFNA(VLOOKUP($D160,'Route-Details'!$B$2:$X$1048576,'Node Details'!G$1,0),"")</f>
        <v>Chandigarh</v>
      </c>
      <c r="H160" s="90" t="str">
        <f>_xlfn.IFNA(VLOOKUP($D161,'Route-Details'!$B$2:$X$1048576,'Node Details'!H$1,0),"")</f>
        <v>Punjab</v>
      </c>
      <c r="I160" s="90" t="str">
        <f>_xlfn.IFNA(VLOOKUP($D160,'Route-Details'!$B$2:$X$1048576,'Node Details'!I$1,0),"")</f>
        <v>AXY</v>
      </c>
      <c r="J160" s="90" t="str">
        <f>_xlfn.IFNA(VLOOKUP($D160,'Route-Details'!$B$2:$X$1048576,'Node Details'!J$1,0),"")</f>
        <v>AXY</v>
      </c>
      <c r="K160" s="78">
        <v>46112</v>
      </c>
      <c r="L160" s="78">
        <v>46113</v>
      </c>
      <c r="M160" s="91">
        <v>46125</v>
      </c>
      <c r="N160" s="78">
        <v>46112</v>
      </c>
      <c r="Q160" s="88" t="s">
        <v>173</v>
      </c>
      <c r="R160" s="92"/>
      <c r="S160" s="89"/>
      <c r="T160" s="89"/>
      <c r="U160" s="89"/>
      <c r="V160" s="95"/>
      <c r="W160" s="93"/>
      <c r="X160" s="89"/>
      <c r="Y160" s="94"/>
      <c r="Z160" s="92"/>
      <c r="AA160" s="95"/>
      <c r="AB160" s="89"/>
      <c r="AC160" s="93"/>
      <c r="AD160" s="92"/>
      <c r="AE160" s="88"/>
      <c r="AF160" s="84"/>
      <c r="AG160" s="24"/>
      <c r="AH160" s="95"/>
      <c r="AI160" s="89"/>
      <c r="AJ160" s="88"/>
      <c r="AK160" s="83"/>
      <c r="AL160" s="24"/>
      <c r="AM160" s="24"/>
      <c r="AN160" s="83"/>
      <c r="AO160" s="83"/>
      <c r="AP160" s="24"/>
      <c r="AQ160" s="95"/>
      <c r="AR160" s="96"/>
      <c r="AS160" s="84"/>
      <c r="AT160" s="84"/>
      <c r="AU160" s="24"/>
      <c r="AV160" s="95"/>
      <c r="AW160" s="96"/>
      <c r="AX160" s="97"/>
      <c r="AY160" s="97"/>
      <c r="AZ160" s="97"/>
      <c r="BA160" s="24"/>
      <c r="BB160" s="9" t="s">
        <v>191</v>
      </c>
      <c r="BC160" s="98" t="s">
        <v>176</v>
      </c>
    </row>
    <row r="161" spans="1:55" ht="15" customHeight="1" x14ac:dyDescent="0.25">
      <c r="A161" s="88">
        <f t="shared" si="20"/>
        <v>159</v>
      </c>
      <c r="B161" s="77" t="s">
        <v>345</v>
      </c>
      <c r="C161" s="9"/>
      <c r="D161" s="78" t="s">
        <v>517</v>
      </c>
      <c r="E161" s="90" t="str">
        <f>_xlfn.IFNA(VLOOKUP($D161,'Route-Details'!$B$2:$X$1048576,'Node Details'!E$1,0),"")</f>
        <v>Airtel</v>
      </c>
      <c r="F161" s="90" t="str">
        <f>_xlfn.IFNA(VLOOKUP($D161,'Route-Details'!$B$2:$X$1048576,'Node Details'!F$1,0),"")</f>
        <v>PLAN OF AXY DARIA</v>
      </c>
      <c r="G161" s="90" t="str">
        <f>_xlfn.IFNA(VLOOKUP($D161,'Route-Details'!$B$2:$X$1048576,'Node Details'!G$1,0),"")</f>
        <v>Chandigarh</v>
      </c>
      <c r="H161" s="90" t="str">
        <f>_xlfn.IFNA(VLOOKUP($D162,'Route-Details'!$B$2:$X$1048576,'Node Details'!H$1,0),"")</f>
        <v>Punjab</v>
      </c>
      <c r="I161" s="90" t="str">
        <f>_xlfn.IFNA(VLOOKUP($D161,'Route-Details'!$B$2:$X$1048576,'Node Details'!I$1,0),"")</f>
        <v>AXY</v>
      </c>
      <c r="J161" s="90" t="str">
        <f>_xlfn.IFNA(VLOOKUP($D161,'Route-Details'!$B$2:$X$1048576,'Node Details'!J$1,0),"")</f>
        <v>AXY</v>
      </c>
      <c r="K161" s="78">
        <v>46112</v>
      </c>
      <c r="L161" s="78">
        <v>46113</v>
      </c>
      <c r="M161" s="91">
        <v>46125</v>
      </c>
      <c r="N161" s="78">
        <v>46112</v>
      </c>
      <c r="Q161" s="88" t="s">
        <v>173</v>
      </c>
      <c r="R161" s="92"/>
      <c r="S161" s="89"/>
      <c r="T161" s="89"/>
      <c r="U161" s="89"/>
      <c r="V161" s="95"/>
      <c r="W161" s="93"/>
      <c r="X161" s="89"/>
      <c r="Y161" s="94"/>
      <c r="Z161" s="92"/>
      <c r="AA161" s="95"/>
      <c r="AB161" s="89"/>
      <c r="AC161" s="93"/>
      <c r="AD161" s="92"/>
      <c r="AE161" s="88"/>
      <c r="AF161" s="84"/>
      <c r="AG161" s="24"/>
      <c r="AH161" s="95"/>
      <c r="AI161" s="89"/>
      <c r="AJ161" s="88"/>
      <c r="AK161" s="83"/>
      <c r="AL161" s="24"/>
      <c r="AM161" s="24"/>
      <c r="AN161" s="83"/>
      <c r="AO161" s="83"/>
      <c r="AP161" s="24"/>
      <c r="AQ161" s="95"/>
      <c r="AR161" s="96"/>
      <c r="AS161" s="84"/>
      <c r="AT161" s="84"/>
      <c r="AU161" s="24"/>
      <c r="AV161" s="95"/>
      <c r="AW161" s="96"/>
      <c r="AX161" s="97"/>
      <c r="AY161" s="97"/>
      <c r="AZ161" s="97"/>
      <c r="BA161" s="24"/>
      <c r="BB161" s="9" t="s">
        <v>418</v>
      </c>
      <c r="BC161" s="98" t="s">
        <v>176</v>
      </c>
    </row>
    <row r="162" spans="1:55" ht="15" customHeight="1" x14ac:dyDescent="0.25">
      <c r="A162" s="88">
        <f t="shared" si="20"/>
        <v>160</v>
      </c>
      <c r="B162" s="77" t="s">
        <v>346</v>
      </c>
      <c r="C162" s="9"/>
      <c r="D162" s="78" t="s">
        <v>517</v>
      </c>
      <c r="E162" s="90" t="str">
        <f>_xlfn.IFNA(VLOOKUP($D162,'Route-Details'!$B$2:$X$1048576,'Node Details'!E$1,0),"")</f>
        <v>Airtel</v>
      </c>
      <c r="F162" s="90" t="str">
        <f>_xlfn.IFNA(VLOOKUP($D162,'Route-Details'!$B$2:$X$1048576,'Node Details'!F$1,0),"")</f>
        <v>PLAN OF AXY DARIA</v>
      </c>
      <c r="G162" s="90" t="str">
        <f>_xlfn.IFNA(VLOOKUP($D162,'Route-Details'!$B$2:$X$1048576,'Node Details'!G$1,0),"")</f>
        <v>Chandigarh</v>
      </c>
      <c r="H162" s="90" t="str">
        <f>_xlfn.IFNA(VLOOKUP($D163,'Route-Details'!$B$2:$X$1048576,'Node Details'!H$1,0),"")</f>
        <v>Punjab</v>
      </c>
      <c r="I162" s="90" t="str">
        <f>_xlfn.IFNA(VLOOKUP($D162,'Route-Details'!$B$2:$X$1048576,'Node Details'!I$1,0),"")</f>
        <v>AXY</v>
      </c>
      <c r="J162" s="90" t="str">
        <f>_xlfn.IFNA(VLOOKUP($D162,'Route-Details'!$B$2:$X$1048576,'Node Details'!J$1,0),"")</f>
        <v>AXY</v>
      </c>
      <c r="K162" s="78">
        <v>46112</v>
      </c>
      <c r="L162" s="78">
        <v>46113</v>
      </c>
      <c r="M162" s="91">
        <v>46125</v>
      </c>
      <c r="N162" s="78">
        <v>46112</v>
      </c>
      <c r="Q162" s="88" t="s">
        <v>173</v>
      </c>
      <c r="R162" s="92"/>
      <c r="S162" s="89"/>
      <c r="T162" s="89"/>
      <c r="U162" s="89"/>
      <c r="V162" s="95"/>
      <c r="W162" s="93"/>
      <c r="X162" s="89"/>
      <c r="Y162" s="94"/>
      <c r="Z162" s="92"/>
      <c r="AA162" s="95"/>
      <c r="AB162" s="89"/>
      <c r="AC162" s="93"/>
      <c r="AD162" s="92"/>
      <c r="AE162" s="88"/>
      <c r="AF162" s="84"/>
      <c r="AG162" s="24"/>
      <c r="AH162" s="95"/>
      <c r="AI162" s="89"/>
      <c r="AJ162" s="88"/>
      <c r="AK162" s="83"/>
      <c r="AL162" s="24"/>
      <c r="AM162" s="24"/>
      <c r="AN162" s="83"/>
      <c r="AO162" s="83"/>
      <c r="AP162" s="24"/>
      <c r="AQ162" s="95"/>
      <c r="AR162" s="96"/>
      <c r="AS162" s="84"/>
      <c r="AT162" s="84"/>
      <c r="AU162" s="24"/>
      <c r="AV162" s="95"/>
      <c r="AW162" s="96"/>
      <c r="AX162" s="97"/>
      <c r="AY162" s="97"/>
      <c r="AZ162" s="97"/>
      <c r="BA162" s="24"/>
      <c r="BB162" s="9" t="s">
        <v>418</v>
      </c>
      <c r="BC162" s="98" t="s">
        <v>176</v>
      </c>
    </row>
    <row r="163" spans="1:55" ht="15" customHeight="1" x14ac:dyDescent="0.25">
      <c r="A163" s="88">
        <f t="shared" si="20"/>
        <v>161</v>
      </c>
      <c r="B163" s="77" t="s">
        <v>347</v>
      </c>
      <c r="C163" s="9"/>
      <c r="D163" s="78" t="s">
        <v>517</v>
      </c>
      <c r="E163" s="90" t="str">
        <f>_xlfn.IFNA(VLOOKUP($D163,'Route-Details'!$B$2:$X$1048576,'Node Details'!E$1,0),"")</f>
        <v>Airtel</v>
      </c>
      <c r="F163" s="90" t="str">
        <f>_xlfn.IFNA(VLOOKUP($D163,'Route-Details'!$B$2:$X$1048576,'Node Details'!F$1,0),"")</f>
        <v>PLAN OF AXY DARIA</v>
      </c>
      <c r="G163" s="90" t="str">
        <f>_xlfn.IFNA(VLOOKUP($D163,'Route-Details'!$B$2:$X$1048576,'Node Details'!G$1,0),"")</f>
        <v>Chandigarh</v>
      </c>
      <c r="H163" s="90" t="str">
        <f>_xlfn.IFNA(VLOOKUP($D164,'Route-Details'!$B$2:$X$1048576,'Node Details'!H$1,0),"")</f>
        <v>Punjab</v>
      </c>
      <c r="I163" s="90" t="str">
        <f>_xlfn.IFNA(VLOOKUP($D163,'Route-Details'!$B$2:$X$1048576,'Node Details'!I$1,0),"")</f>
        <v>AXY</v>
      </c>
      <c r="J163" s="90" t="str">
        <f>_xlfn.IFNA(VLOOKUP($D163,'Route-Details'!$B$2:$X$1048576,'Node Details'!J$1,0),"")</f>
        <v>AXY</v>
      </c>
      <c r="K163" s="78">
        <v>46112</v>
      </c>
      <c r="L163" s="78">
        <v>46113</v>
      </c>
      <c r="M163" s="91">
        <v>46125</v>
      </c>
      <c r="N163" s="78">
        <v>46112</v>
      </c>
      <c r="Q163" s="88" t="s">
        <v>173</v>
      </c>
      <c r="R163" s="92"/>
      <c r="S163" s="89"/>
      <c r="T163" s="89"/>
      <c r="U163" s="89"/>
      <c r="V163" s="95"/>
      <c r="W163" s="93"/>
      <c r="X163" s="89"/>
      <c r="Y163" s="94"/>
      <c r="Z163" s="92"/>
      <c r="AA163" s="95"/>
      <c r="AB163" s="89"/>
      <c r="AC163" s="93"/>
      <c r="AD163" s="92"/>
      <c r="AE163" s="88"/>
      <c r="AF163" s="84"/>
      <c r="AG163" s="24"/>
      <c r="AH163" s="95"/>
      <c r="AI163" s="89"/>
      <c r="AJ163" s="88"/>
      <c r="AK163" s="83"/>
      <c r="AL163" s="24"/>
      <c r="AM163" s="24"/>
      <c r="AN163" s="83"/>
      <c r="AO163" s="83"/>
      <c r="AP163" s="24"/>
      <c r="AQ163" s="95"/>
      <c r="AR163" s="96"/>
      <c r="AS163" s="84"/>
      <c r="AT163" s="84"/>
      <c r="AU163" s="24"/>
      <c r="AV163" s="95"/>
      <c r="AW163" s="96"/>
      <c r="AX163" s="97"/>
      <c r="AY163" s="97"/>
      <c r="AZ163" s="97"/>
      <c r="BA163" s="24"/>
      <c r="BB163" s="9" t="s">
        <v>418</v>
      </c>
      <c r="BC163" s="98" t="s">
        <v>176</v>
      </c>
    </row>
    <row r="164" spans="1:55" ht="15" customHeight="1" x14ac:dyDescent="0.25">
      <c r="A164" s="88">
        <f t="shared" si="20"/>
        <v>162</v>
      </c>
      <c r="B164" s="77" t="s">
        <v>348</v>
      </c>
      <c r="C164" s="9"/>
      <c r="D164" s="78" t="s">
        <v>472</v>
      </c>
      <c r="E164" s="90" t="str">
        <f>_xlfn.IFNA(VLOOKUP($D164,'Route-Details'!$B$2:$X$1048576,'Node Details'!E$1,0),"")</f>
        <v>Airtel</v>
      </c>
      <c r="F164" s="90" t="str">
        <f>_xlfn.IFNA(VLOOKUP($D164,'Route-Details'!$B$2:$X$1048576,'Node Details'!F$1,0),"")</f>
        <v>PLAN OF AXY DARIA</v>
      </c>
      <c r="G164" s="90" t="str">
        <f>_xlfn.IFNA(VLOOKUP($D164,'Route-Details'!$B$2:$X$1048576,'Node Details'!G$1,0),"")</f>
        <v>Chandigarh</v>
      </c>
      <c r="H164" s="90" t="str">
        <f>_xlfn.IFNA(VLOOKUP($D165,'Route-Details'!$B$2:$X$1048576,'Node Details'!H$1,0),"")</f>
        <v>Punjab</v>
      </c>
      <c r="I164" s="90" t="str">
        <f>_xlfn.IFNA(VLOOKUP($D164,'Route-Details'!$B$2:$X$1048576,'Node Details'!I$1,0),"")</f>
        <v>AXY</v>
      </c>
      <c r="J164" s="90" t="str">
        <f>_xlfn.IFNA(VLOOKUP($D164,'Route-Details'!$B$2:$X$1048576,'Node Details'!J$1,0),"")</f>
        <v>AXY</v>
      </c>
      <c r="K164" s="78">
        <v>46112</v>
      </c>
      <c r="L164" s="78">
        <v>46113</v>
      </c>
      <c r="M164" s="91">
        <v>46125</v>
      </c>
      <c r="N164" s="78">
        <v>46112</v>
      </c>
      <c r="Q164" s="88" t="s">
        <v>173</v>
      </c>
      <c r="R164" s="92"/>
      <c r="S164" s="89"/>
      <c r="T164" s="89"/>
      <c r="U164" s="89"/>
      <c r="V164" s="95"/>
      <c r="W164" s="93"/>
      <c r="X164" s="89"/>
      <c r="Y164" s="94"/>
      <c r="Z164" s="92"/>
      <c r="AA164" s="95"/>
      <c r="AB164" s="89"/>
      <c r="AC164" s="93"/>
      <c r="AD164" s="92"/>
      <c r="AE164" s="88"/>
      <c r="AF164" s="84"/>
      <c r="AG164" s="24"/>
      <c r="AH164" s="95"/>
      <c r="AI164" s="89"/>
      <c r="AJ164" s="88"/>
      <c r="AK164" s="83"/>
      <c r="AL164" s="24"/>
      <c r="AM164" s="24"/>
      <c r="AN164" s="83"/>
      <c r="AO164" s="83"/>
      <c r="AP164" s="24"/>
      <c r="AQ164" s="95"/>
      <c r="AR164" s="96"/>
      <c r="AS164" s="84"/>
      <c r="AT164" s="84"/>
      <c r="AU164" s="24"/>
      <c r="AV164" s="95"/>
      <c r="AW164" s="96"/>
      <c r="AX164" s="97"/>
      <c r="AY164" s="97"/>
      <c r="AZ164" s="97"/>
      <c r="BA164" s="24"/>
      <c r="BB164" s="9" t="s">
        <v>419</v>
      </c>
      <c r="BC164" s="98" t="s">
        <v>176</v>
      </c>
    </row>
    <row r="165" spans="1:55" ht="15" customHeight="1" x14ac:dyDescent="0.25">
      <c r="A165" s="88">
        <f t="shared" si="20"/>
        <v>163</v>
      </c>
      <c r="B165" s="77" t="s">
        <v>349</v>
      </c>
      <c r="C165" s="9"/>
      <c r="D165" s="78" t="s">
        <v>518</v>
      </c>
      <c r="E165" s="90" t="str">
        <f>_xlfn.IFNA(VLOOKUP($D165,'Route-Details'!$B$2:$X$1048576,'Node Details'!E$1,0),"")</f>
        <v>Airtel</v>
      </c>
      <c r="F165" s="90" t="str">
        <f>_xlfn.IFNA(VLOOKUP($D165,'Route-Details'!$B$2:$X$1048576,'Node Details'!F$1,0),"")</f>
        <v>PLAN OF AXY DARIA</v>
      </c>
      <c r="G165" s="90" t="str">
        <f>_xlfn.IFNA(VLOOKUP($D165,'Route-Details'!$B$2:$X$1048576,'Node Details'!G$1,0),"")</f>
        <v>Chandigarh</v>
      </c>
      <c r="H165" s="90" t="str">
        <f>_xlfn.IFNA(VLOOKUP($D166,'Route-Details'!$B$2:$X$1048576,'Node Details'!H$1,0),"")</f>
        <v>Punjab</v>
      </c>
      <c r="I165" s="90" t="str">
        <f>_xlfn.IFNA(VLOOKUP($D165,'Route-Details'!$B$2:$X$1048576,'Node Details'!I$1,0),"")</f>
        <v>AXY</v>
      </c>
      <c r="J165" s="90" t="str">
        <f>_xlfn.IFNA(VLOOKUP($D165,'Route-Details'!$B$2:$X$1048576,'Node Details'!J$1,0),"")</f>
        <v>AXY</v>
      </c>
      <c r="K165" s="78">
        <v>46112</v>
      </c>
      <c r="L165" s="78">
        <v>46113</v>
      </c>
      <c r="M165" s="91">
        <v>46125</v>
      </c>
      <c r="N165" s="78">
        <v>46112</v>
      </c>
      <c r="Q165" s="88" t="s">
        <v>173</v>
      </c>
      <c r="R165" s="92"/>
      <c r="S165" s="89"/>
      <c r="T165" s="89"/>
      <c r="U165" s="89"/>
      <c r="V165" s="95"/>
      <c r="W165" s="93"/>
      <c r="X165" s="89"/>
      <c r="Y165" s="94"/>
      <c r="Z165" s="92"/>
      <c r="AA165" s="95"/>
      <c r="AB165" s="89"/>
      <c r="AC165" s="93"/>
      <c r="AD165" s="92"/>
      <c r="AE165" s="88"/>
      <c r="AF165" s="84"/>
      <c r="AG165" s="24"/>
      <c r="AH165" s="95"/>
      <c r="AI165" s="89"/>
      <c r="AJ165" s="88"/>
      <c r="AK165" s="83"/>
      <c r="AL165" s="24"/>
      <c r="AM165" s="24"/>
      <c r="AN165" s="83"/>
      <c r="AO165" s="83"/>
      <c r="AP165" s="24"/>
      <c r="AQ165" s="95"/>
      <c r="AR165" s="96"/>
      <c r="AS165" s="84"/>
      <c r="AT165" s="84"/>
      <c r="AU165" s="24"/>
      <c r="AV165" s="95"/>
      <c r="AW165" s="96"/>
      <c r="AX165" s="97"/>
      <c r="AY165" s="97"/>
      <c r="AZ165" s="97"/>
      <c r="BA165" s="24"/>
      <c r="BB165" s="9" t="s">
        <v>420</v>
      </c>
      <c r="BC165" s="98" t="s">
        <v>176</v>
      </c>
    </row>
    <row r="166" spans="1:55" ht="15" customHeight="1" x14ac:dyDescent="0.25">
      <c r="A166" s="88">
        <f t="shared" si="20"/>
        <v>164</v>
      </c>
      <c r="B166" s="77" t="s">
        <v>350</v>
      </c>
      <c r="C166" s="9"/>
      <c r="D166" s="78" t="s">
        <v>518</v>
      </c>
      <c r="E166" s="90" t="str">
        <f>_xlfn.IFNA(VLOOKUP($D166,'Route-Details'!$B$2:$X$1048576,'Node Details'!E$1,0),"")</f>
        <v>Airtel</v>
      </c>
      <c r="F166" s="90" t="str">
        <f>_xlfn.IFNA(VLOOKUP($D166,'Route-Details'!$B$2:$X$1048576,'Node Details'!F$1,0),"")</f>
        <v>PLAN OF AXY DARIA</v>
      </c>
      <c r="G166" s="90" t="str">
        <f>_xlfn.IFNA(VLOOKUP($D166,'Route-Details'!$B$2:$X$1048576,'Node Details'!G$1,0),"")</f>
        <v>Chandigarh</v>
      </c>
      <c r="H166" s="90" t="str">
        <f>_xlfn.IFNA(VLOOKUP($D167,'Route-Details'!$B$2:$X$1048576,'Node Details'!H$1,0),"")</f>
        <v>Punjab</v>
      </c>
      <c r="I166" s="90" t="str">
        <f>_xlfn.IFNA(VLOOKUP($D166,'Route-Details'!$B$2:$X$1048576,'Node Details'!I$1,0),"")</f>
        <v>AXY</v>
      </c>
      <c r="J166" s="90" t="str">
        <f>_xlfn.IFNA(VLOOKUP($D166,'Route-Details'!$B$2:$X$1048576,'Node Details'!J$1,0),"")</f>
        <v>AXY</v>
      </c>
      <c r="K166" s="78">
        <v>46112</v>
      </c>
      <c r="L166" s="78">
        <v>46113</v>
      </c>
      <c r="M166" s="91">
        <v>46125</v>
      </c>
      <c r="N166" s="78">
        <v>46112</v>
      </c>
      <c r="Q166" s="88" t="s">
        <v>173</v>
      </c>
      <c r="R166" s="92"/>
      <c r="S166" s="89"/>
      <c r="T166" s="89"/>
      <c r="U166" s="89"/>
      <c r="V166" s="95"/>
      <c r="W166" s="93"/>
      <c r="X166" s="89"/>
      <c r="Y166" s="94"/>
      <c r="Z166" s="92"/>
      <c r="AA166" s="95"/>
      <c r="AB166" s="89"/>
      <c r="AC166" s="93"/>
      <c r="AD166" s="92"/>
      <c r="AE166" s="88"/>
      <c r="AF166" s="84"/>
      <c r="AG166" s="24"/>
      <c r="AH166" s="95"/>
      <c r="AI166" s="89"/>
      <c r="AJ166" s="88"/>
      <c r="AK166" s="83"/>
      <c r="AL166" s="24"/>
      <c r="AM166" s="24"/>
      <c r="AN166" s="83"/>
      <c r="AO166" s="83"/>
      <c r="AP166" s="24"/>
      <c r="AQ166" s="95"/>
      <c r="AR166" s="96"/>
      <c r="AS166" s="84"/>
      <c r="AT166" s="84"/>
      <c r="AU166" s="24"/>
      <c r="AV166" s="95"/>
      <c r="AW166" s="96"/>
      <c r="AX166" s="97"/>
      <c r="AY166" s="97"/>
      <c r="AZ166" s="97"/>
      <c r="BA166" s="24"/>
      <c r="BB166" s="9" t="s">
        <v>420</v>
      </c>
      <c r="BC166" s="98" t="s">
        <v>176</v>
      </c>
    </row>
    <row r="167" spans="1:55" ht="15" customHeight="1" x14ac:dyDescent="0.25">
      <c r="A167" s="88">
        <f t="shared" si="20"/>
        <v>165</v>
      </c>
      <c r="B167" s="77" t="s">
        <v>351</v>
      </c>
      <c r="C167" s="9"/>
      <c r="D167" s="78" t="s">
        <v>518</v>
      </c>
      <c r="E167" s="90" t="str">
        <f>_xlfn.IFNA(VLOOKUP($D167,'Route-Details'!$B$2:$X$1048576,'Node Details'!E$1,0),"")</f>
        <v>Airtel</v>
      </c>
      <c r="F167" s="90" t="str">
        <f>_xlfn.IFNA(VLOOKUP($D167,'Route-Details'!$B$2:$X$1048576,'Node Details'!F$1,0),"")</f>
        <v>PLAN OF AXY DARIA</v>
      </c>
      <c r="G167" s="90" t="str">
        <f>_xlfn.IFNA(VLOOKUP($D167,'Route-Details'!$B$2:$X$1048576,'Node Details'!G$1,0),"")</f>
        <v>Chandigarh</v>
      </c>
      <c r="H167" s="90" t="str">
        <f>_xlfn.IFNA(VLOOKUP($D168,'Route-Details'!$B$2:$X$1048576,'Node Details'!H$1,0),"")</f>
        <v>Punjab</v>
      </c>
      <c r="I167" s="90" t="str">
        <f>_xlfn.IFNA(VLOOKUP($D167,'Route-Details'!$B$2:$X$1048576,'Node Details'!I$1,0),"")</f>
        <v>AXY</v>
      </c>
      <c r="J167" s="90" t="str">
        <f>_xlfn.IFNA(VLOOKUP($D167,'Route-Details'!$B$2:$X$1048576,'Node Details'!J$1,0),"")</f>
        <v>AXY</v>
      </c>
      <c r="K167" s="78">
        <v>46112</v>
      </c>
      <c r="L167" s="78">
        <v>46113</v>
      </c>
      <c r="M167" s="91">
        <v>46125</v>
      </c>
      <c r="N167" s="78">
        <v>46112</v>
      </c>
      <c r="Q167" s="88" t="s">
        <v>173</v>
      </c>
      <c r="R167" s="92"/>
      <c r="S167" s="89"/>
      <c r="T167" s="89"/>
      <c r="U167" s="89"/>
      <c r="V167" s="95"/>
      <c r="W167" s="93"/>
      <c r="X167" s="89"/>
      <c r="Y167" s="94"/>
      <c r="Z167" s="92"/>
      <c r="AA167" s="95"/>
      <c r="AB167" s="89"/>
      <c r="AC167" s="93"/>
      <c r="AD167" s="92"/>
      <c r="AE167" s="88"/>
      <c r="AF167" s="84"/>
      <c r="AG167" s="24"/>
      <c r="AH167" s="95"/>
      <c r="AI167" s="89"/>
      <c r="AJ167" s="88"/>
      <c r="AK167" s="83"/>
      <c r="AL167" s="24"/>
      <c r="AM167" s="24"/>
      <c r="AN167" s="83"/>
      <c r="AO167" s="83"/>
      <c r="AP167" s="24"/>
      <c r="AQ167" s="95"/>
      <c r="AR167" s="96"/>
      <c r="AS167" s="84"/>
      <c r="AT167" s="84"/>
      <c r="AU167" s="24"/>
      <c r="AV167" s="95"/>
      <c r="AW167" s="96"/>
      <c r="AX167" s="97"/>
      <c r="AY167" s="97"/>
      <c r="AZ167" s="97"/>
      <c r="BA167" s="24"/>
      <c r="BB167" s="9" t="s">
        <v>420</v>
      </c>
      <c r="BC167" s="98" t="s">
        <v>176</v>
      </c>
    </row>
    <row r="168" spans="1:55" ht="15" customHeight="1" x14ac:dyDescent="0.25">
      <c r="A168" s="88">
        <f t="shared" si="20"/>
        <v>166</v>
      </c>
      <c r="B168" s="77" t="s">
        <v>352</v>
      </c>
      <c r="C168" s="9"/>
      <c r="D168" s="78" t="s">
        <v>463</v>
      </c>
      <c r="E168" s="90" t="str">
        <f>_xlfn.IFNA(VLOOKUP($D168,'Route-Details'!$B$2:$X$1048576,'Node Details'!E$1,0),"")</f>
        <v>Airtel</v>
      </c>
      <c r="F168" s="90" t="str">
        <f>_xlfn.IFNA(VLOOKUP($D168,'Route-Details'!$B$2:$X$1048576,'Node Details'!F$1,0),"")</f>
        <v>PLAN OF AXY DARIA</v>
      </c>
      <c r="G168" s="90" t="str">
        <f>_xlfn.IFNA(VLOOKUP($D168,'Route-Details'!$B$2:$X$1048576,'Node Details'!G$1,0),"")</f>
        <v>Chandigarh</v>
      </c>
      <c r="H168" s="90" t="str">
        <f>_xlfn.IFNA(VLOOKUP($D169,'Route-Details'!$B$2:$X$1048576,'Node Details'!H$1,0),"")</f>
        <v>Punjab</v>
      </c>
      <c r="I168" s="90" t="str">
        <f>_xlfn.IFNA(VLOOKUP($D168,'Route-Details'!$B$2:$X$1048576,'Node Details'!I$1,0),"")</f>
        <v>AXY</v>
      </c>
      <c r="J168" s="90" t="str">
        <f>_xlfn.IFNA(VLOOKUP($D168,'Route-Details'!$B$2:$X$1048576,'Node Details'!J$1,0),"")</f>
        <v>AXY</v>
      </c>
      <c r="K168" s="78">
        <v>46112</v>
      </c>
      <c r="L168" s="78">
        <v>46113</v>
      </c>
      <c r="M168" s="91">
        <v>46125</v>
      </c>
      <c r="N168" s="78">
        <v>46112</v>
      </c>
      <c r="Q168" s="88" t="s">
        <v>173</v>
      </c>
      <c r="R168" s="92"/>
      <c r="S168" s="89"/>
      <c r="T168" s="89"/>
      <c r="U168" s="89"/>
      <c r="V168" s="95"/>
      <c r="W168" s="93"/>
      <c r="X168" s="89"/>
      <c r="Y168" s="94"/>
      <c r="Z168" s="92"/>
      <c r="AA168" s="95"/>
      <c r="AB168" s="89"/>
      <c r="AC168" s="93"/>
      <c r="AD168" s="92"/>
      <c r="AE168" s="88"/>
      <c r="AF168" s="84"/>
      <c r="AG168" s="24"/>
      <c r="AH168" s="95"/>
      <c r="AI168" s="89"/>
      <c r="AJ168" s="88"/>
      <c r="AK168" s="83"/>
      <c r="AL168" s="24"/>
      <c r="AM168" s="24"/>
      <c r="AN168" s="83"/>
      <c r="AO168" s="83"/>
      <c r="AP168" s="24"/>
      <c r="AQ168" s="95"/>
      <c r="AR168" s="96"/>
      <c r="AS168" s="84"/>
      <c r="AT168" s="84"/>
      <c r="AU168" s="24"/>
      <c r="AV168" s="95"/>
      <c r="AW168" s="96"/>
      <c r="AX168" s="97"/>
      <c r="AY168" s="97"/>
      <c r="AZ168" s="97"/>
      <c r="BA168" s="24"/>
      <c r="BB168" s="9" t="s">
        <v>191</v>
      </c>
      <c r="BC168" s="98" t="s">
        <v>176</v>
      </c>
    </row>
    <row r="169" spans="1:55" ht="15" customHeight="1" x14ac:dyDescent="0.25">
      <c r="A169" s="88">
        <f t="shared" si="20"/>
        <v>167</v>
      </c>
      <c r="B169" s="77" t="s">
        <v>353</v>
      </c>
      <c r="C169" s="9"/>
      <c r="D169" s="78" t="s">
        <v>519</v>
      </c>
      <c r="E169" s="90" t="str">
        <f>_xlfn.IFNA(VLOOKUP($D169,'Route-Details'!$B$2:$X$1048576,'Node Details'!E$1,0),"")</f>
        <v>Airtel</v>
      </c>
      <c r="F169" s="90" t="str">
        <f>_xlfn.IFNA(VLOOKUP($D169,'Route-Details'!$B$2:$X$1048576,'Node Details'!F$1,0),"")</f>
        <v>PLAN OF AXY DARIA</v>
      </c>
      <c r="G169" s="90" t="str">
        <f>_xlfn.IFNA(VLOOKUP($D169,'Route-Details'!$B$2:$X$1048576,'Node Details'!G$1,0),"")</f>
        <v>Chandigarh</v>
      </c>
      <c r="H169" s="90" t="str">
        <f>_xlfn.IFNA(VLOOKUP($D170,'Route-Details'!$B$2:$X$1048576,'Node Details'!H$1,0),"")</f>
        <v>Punjab</v>
      </c>
      <c r="I169" s="90" t="str">
        <f>_xlfn.IFNA(VLOOKUP($D169,'Route-Details'!$B$2:$X$1048576,'Node Details'!I$1,0),"")</f>
        <v>AXY</v>
      </c>
      <c r="J169" s="90" t="str">
        <f>_xlfn.IFNA(VLOOKUP($D169,'Route-Details'!$B$2:$X$1048576,'Node Details'!J$1,0),"")</f>
        <v>AXY</v>
      </c>
      <c r="K169" s="78">
        <v>46112</v>
      </c>
      <c r="L169" s="78">
        <v>46113</v>
      </c>
      <c r="M169" s="91">
        <v>46125</v>
      </c>
      <c r="N169" s="78">
        <v>46112</v>
      </c>
      <c r="Q169" s="88" t="s">
        <v>173</v>
      </c>
      <c r="R169" s="92"/>
      <c r="S169" s="89"/>
      <c r="T169" s="89"/>
      <c r="U169" s="89"/>
      <c r="V169" s="95"/>
      <c r="W169" s="93"/>
      <c r="X169" s="89"/>
      <c r="Y169" s="94"/>
      <c r="Z169" s="92"/>
      <c r="AA169" s="95"/>
      <c r="AB169" s="89"/>
      <c r="AC169" s="93"/>
      <c r="AD169" s="92"/>
      <c r="AE169" s="88"/>
      <c r="AF169" s="84"/>
      <c r="AG169" s="24"/>
      <c r="AH169" s="95"/>
      <c r="AI169" s="89"/>
      <c r="AJ169" s="88"/>
      <c r="AK169" s="83"/>
      <c r="AL169" s="24"/>
      <c r="AM169" s="24"/>
      <c r="AN169" s="83"/>
      <c r="AO169" s="83"/>
      <c r="AP169" s="24"/>
      <c r="AQ169" s="95"/>
      <c r="AR169" s="96"/>
      <c r="AS169" s="84"/>
      <c r="AT169" s="84"/>
      <c r="AU169" s="24"/>
      <c r="AV169" s="95"/>
      <c r="AW169" s="96"/>
      <c r="AX169" s="97"/>
      <c r="AY169" s="97"/>
      <c r="AZ169" s="97"/>
      <c r="BA169" s="24"/>
      <c r="BB169" s="9" t="s">
        <v>444</v>
      </c>
      <c r="BC169" s="98" t="s">
        <v>176</v>
      </c>
    </row>
    <row r="170" spans="1:55" ht="15" customHeight="1" x14ac:dyDescent="0.25">
      <c r="A170" s="88">
        <f t="shared" si="20"/>
        <v>168</v>
      </c>
      <c r="B170" s="77" t="s">
        <v>354</v>
      </c>
      <c r="C170" s="9"/>
      <c r="D170" s="78" t="s">
        <v>520</v>
      </c>
      <c r="E170" s="90" t="str">
        <f>_xlfn.IFNA(VLOOKUP($D170,'Route-Details'!$B$2:$X$1048576,'Node Details'!E$1,0),"")</f>
        <v>Airtel</v>
      </c>
      <c r="F170" s="90" t="str">
        <f>_xlfn.IFNA(VLOOKUP($D170,'Route-Details'!$B$2:$X$1048576,'Node Details'!F$1,0),"")</f>
        <v>PLAN OF AXY DARIA</v>
      </c>
      <c r="G170" s="90" t="str">
        <f>_xlfn.IFNA(VLOOKUP($D170,'Route-Details'!$B$2:$X$1048576,'Node Details'!G$1,0),"")</f>
        <v>Chandigarh</v>
      </c>
      <c r="H170" s="90" t="str">
        <f>_xlfn.IFNA(VLOOKUP($D171,'Route-Details'!$B$2:$X$1048576,'Node Details'!H$1,0),"")</f>
        <v>Punjab</v>
      </c>
      <c r="I170" s="90" t="str">
        <f>_xlfn.IFNA(VLOOKUP($D170,'Route-Details'!$B$2:$X$1048576,'Node Details'!I$1,0),"")</f>
        <v>AXY</v>
      </c>
      <c r="J170" s="90" t="str">
        <f>_xlfn.IFNA(VLOOKUP($D170,'Route-Details'!$B$2:$X$1048576,'Node Details'!J$1,0),"")</f>
        <v>AXY</v>
      </c>
      <c r="K170" s="78">
        <v>46112</v>
      </c>
      <c r="L170" s="78">
        <v>46113</v>
      </c>
      <c r="M170" s="91">
        <v>46125</v>
      </c>
      <c r="N170" s="78">
        <v>46112</v>
      </c>
      <c r="Q170" s="88" t="s">
        <v>173</v>
      </c>
      <c r="R170" s="92"/>
      <c r="S170" s="89"/>
      <c r="T170" s="89"/>
      <c r="U170" s="89"/>
      <c r="V170" s="95"/>
      <c r="W170" s="93"/>
      <c r="X170" s="89"/>
      <c r="Y170" s="94"/>
      <c r="Z170" s="92"/>
      <c r="AA170" s="95"/>
      <c r="AB170" s="89"/>
      <c r="AC170" s="93"/>
      <c r="AD170" s="92"/>
      <c r="AE170" s="88"/>
      <c r="AF170" s="84"/>
      <c r="AG170" s="24"/>
      <c r="AH170" s="95"/>
      <c r="AI170" s="89"/>
      <c r="AJ170" s="88"/>
      <c r="AK170" s="83"/>
      <c r="AL170" s="24"/>
      <c r="AM170" s="24"/>
      <c r="AN170" s="83"/>
      <c r="AO170" s="83"/>
      <c r="AP170" s="24"/>
      <c r="AQ170" s="95"/>
      <c r="AR170" s="96"/>
      <c r="AS170" s="84"/>
      <c r="AT170" s="84"/>
      <c r="AU170" s="24"/>
      <c r="AV170" s="95"/>
      <c r="AW170" s="96"/>
      <c r="AX170" s="97"/>
      <c r="AY170" s="97"/>
      <c r="AZ170" s="97"/>
      <c r="BA170" s="24"/>
      <c r="BB170" s="9" t="s">
        <v>445</v>
      </c>
      <c r="BC170" s="98" t="s">
        <v>176</v>
      </c>
    </row>
    <row r="171" spans="1:55" ht="15" customHeight="1" x14ac:dyDescent="0.25">
      <c r="A171" s="88">
        <f t="shared" si="20"/>
        <v>169</v>
      </c>
      <c r="B171" s="77" t="s">
        <v>355</v>
      </c>
      <c r="C171" s="9"/>
      <c r="D171" s="78" t="s">
        <v>520</v>
      </c>
      <c r="E171" s="90" t="str">
        <f>_xlfn.IFNA(VLOOKUP($D171,'Route-Details'!$B$2:$X$1048576,'Node Details'!E$1,0),"")</f>
        <v>Airtel</v>
      </c>
      <c r="F171" s="90" t="str">
        <f>_xlfn.IFNA(VLOOKUP($D171,'Route-Details'!$B$2:$X$1048576,'Node Details'!F$1,0),"")</f>
        <v>PLAN OF AXY DARIA</v>
      </c>
      <c r="G171" s="90" t="str">
        <f>_xlfn.IFNA(VLOOKUP($D171,'Route-Details'!$B$2:$X$1048576,'Node Details'!G$1,0),"")</f>
        <v>Chandigarh</v>
      </c>
      <c r="H171" s="90" t="str">
        <f>_xlfn.IFNA(VLOOKUP($D172,'Route-Details'!$B$2:$X$1048576,'Node Details'!H$1,0),"")</f>
        <v>Punjab</v>
      </c>
      <c r="I171" s="90" t="str">
        <f>_xlfn.IFNA(VLOOKUP($D171,'Route-Details'!$B$2:$X$1048576,'Node Details'!I$1,0),"")</f>
        <v>AXY</v>
      </c>
      <c r="J171" s="90" t="str">
        <f>_xlfn.IFNA(VLOOKUP($D171,'Route-Details'!$B$2:$X$1048576,'Node Details'!J$1,0),"")</f>
        <v>AXY</v>
      </c>
      <c r="K171" s="78">
        <v>46112</v>
      </c>
      <c r="L171" s="78">
        <v>46113</v>
      </c>
      <c r="M171" s="91">
        <v>46125</v>
      </c>
      <c r="N171" s="78">
        <v>46112</v>
      </c>
      <c r="Q171" s="88" t="s">
        <v>173</v>
      </c>
      <c r="R171" s="92"/>
      <c r="S171" s="89"/>
      <c r="T171" s="89"/>
      <c r="U171" s="89"/>
      <c r="V171" s="95"/>
      <c r="W171" s="93"/>
      <c r="X171" s="89"/>
      <c r="Y171" s="94"/>
      <c r="Z171" s="92"/>
      <c r="AA171" s="95"/>
      <c r="AB171" s="89"/>
      <c r="AC171" s="93"/>
      <c r="AD171" s="92"/>
      <c r="AE171" s="88"/>
      <c r="AF171" s="84"/>
      <c r="AG171" s="24"/>
      <c r="AH171" s="95"/>
      <c r="AI171" s="89"/>
      <c r="AJ171" s="88"/>
      <c r="AK171" s="83"/>
      <c r="AL171" s="24"/>
      <c r="AM171" s="24"/>
      <c r="AN171" s="83"/>
      <c r="AO171" s="83"/>
      <c r="AP171" s="24"/>
      <c r="AQ171" s="95"/>
      <c r="AR171" s="96"/>
      <c r="AS171" s="84"/>
      <c r="AT171" s="84"/>
      <c r="AU171" s="24"/>
      <c r="AV171" s="95"/>
      <c r="AW171" s="96"/>
      <c r="AX171" s="97"/>
      <c r="AY171" s="97"/>
      <c r="AZ171" s="97"/>
      <c r="BA171" s="24"/>
      <c r="BB171" s="9" t="s">
        <v>445</v>
      </c>
      <c r="BC171" s="98" t="s">
        <v>176</v>
      </c>
    </row>
    <row r="172" spans="1:55" ht="15" customHeight="1" x14ac:dyDescent="0.25">
      <c r="A172" s="88">
        <f t="shared" si="20"/>
        <v>170</v>
      </c>
      <c r="B172" s="77" t="s">
        <v>356</v>
      </c>
      <c r="C172" s="9"/>
      <c r="D172" s="78" t="s">
        <v>520</v>
      </c>
      <c r="E172" s="90" t="str">
        <f>_xlfn.IFNA(VLOOKUP($D172,'Route-Details'!$B$2:$X$1048576,'Node Details'!E$1,0),"")</f>
        <v>Airtel</v>
      </c>
      <c r="F172" s="90" t="str">
        <f>_xlfn.IFNA(VLOOKUP($D172,'Route-Details'!$B$2:$X$1048576,'Node Details'!F$1,0),"")</f>
        <v>PLAN OF AXY DARIA</v>
      </c>
      <c r="G172" s="90" t="str">
        <f>_xlfn.IFNA(VLOOKUP($D172,'Route-Details'!$B$2:$X$1048576,'Node Details'!G$1,0),"")</f>
        <v>Chandigarh</v>
      </c>
      <c r="H172" s="90" t="str">
        <f>_xlfn.IFNA(VLOOKUP($D173,'Route-Details'!$B$2:$X$1048576,'Node Details'!H$1,0),"")</f>
        <v>Punjab</v>
      </c>
      <c r="I172" s="90" t="str">
        <f>_xlfn.IFNA(VLOOKUP($D172,'Route-Details'!$B$2:$X$1048576,'Node Details'!I$1,0),"")</f>
        <v>AXY</v>
      </c>
      <c r="J172" s="90" t="str">
        <f>_xlfn.IFNA(VLOOKUP($D172,'Route-Details'!$B$2:$X$1048576,'Node Details'!J$1,0),"")</f>
        <v>AXY</v>
      </c>
      <c r="K172" s="78">
        <v>46112</v>
      </c>
      <c r="L172" s="78">
        <v>46113</v>
      </c>
      <c r="M172" s="91">
        <v>46125</v>
      </c>
      <c r="N172" s="78">
        <v>46112</v>
      </c>
      <c r="Q172" s="88" t="s">
        <v>173</v>
      </c>
      <c r="R172" s="92"/>
      <c r="S172" s="89"/>
      <c r="T172" s="89"/>
      <c r="U172" s="89"/>
      <c r="V172" s="95"/>
      <c r="W172" s="93"/>
      <c r="X172" s="89"/>
      <c r="Y172" s="94"/>
      <c r="Z172" s="92"/>
      <c r="AA172" s="95"/>
      <c r="AB172" s="89"/>
      <c r="AC172" s="93"/>
      <c r="AD172" s="92"/>
      <c r="AE172" s="88"/>
      <c r="AF172" s="84"/>
      <c r="AG172" s="24"/>
      <c r="AH172" s="95"/>
      <c r="AI172" s="89"/>
      <c r="AJ172" s="88"/>
      <c r="AK172" s="83"/>
      <c r="AL172" s="24"/>
      <c r="AM172" s="24"/>
      <c r="AN172" s="83"/>
      <c r="AO172" s="83"/>
      <c r="AP172" s="24"/>
      <c r="AQ172" s="95"/>
      <c r="AR172" s="96"/>
      <c r="AS172" s="84"/>
      <c r="AT172" s="84"/>
      <c r="AU172" s="24"/>
      <c r="AV172" s="95"/>
      <c r="AW172" s="96"/>
      <c r="AX172" s="97"/>
      <c r="AY172" s="97"/>
      <c r="AZ172" s="97"/>
      <c r="BA172" s="24"/>
      <c r="BB172" s="9" t="s">
        <v>445</v>
      </c>
      <c r="BC172" s="98" t="s">
        <v>176</v>
      </c>
    </row>
    <row r="173" spans="1:55" ht="15" customHeight="1" x14ac:dyDescent="0.25">
      <c r="A173" s="88">
        <f t="shared" si="20"/>
        <v>171</v>
      </c>
      <c r="B173" s="77" t="s">
        <v>357</v>
      </c>
      <c r="C173" s="9"/>
      <c r="D173" s="78" t="s">
        <v>521</v>
      </c>
      <c r="E173" s="90" t="str">
        <f>_xlfn.IFNA(VLOOKUP($D173,'Route-Details'!$B$2:$X$1048576,'Node Details'!E$1,0),"")</f>
        <v>Airtel</v>
      </c>
      <c r="F173" s="90" t="str">
        <f>_xlfn.IFNA(VLOOKUP($D173,'Route-Details'!$B$2:$X$1048576,'Node Details'!F$1,0),"")</f>
        <v>PLAN OF AXY DARIA</v>
      </c>
      <c r="G173" s="90" t="str">
        <f>_xlfn.IFNA(VLOOKUP($D173,'Route-Details'!$B$2:$X$1048576,'Node Details'!G$1,0),"")</f>
        <v>Chandigarh</v>
      </c>
      <c r="H173" s="90" t="str">
        <f>_xlfn.IFNA(VLOOKUP($D174,'Route-Details'!$B$2:$X$1048576,'Node Details'!H$1,0),"")</f>
        <v>Punjab</v>
      </c>
      <c r="I173" s="90" t="str">
        <f>_xlfn.IFNA(VLOOKUP($D173,'Route-Details'!$B$2:$X$1048576,'Node Details'!I$1,0),"")</f>
        <v>AXY</v>
      </c>
      <c r="J173" s="90" t="str">
        <f>_xlfn.IFNA(VLOOKUP($D173,'Route-Details'!$B$2:$X$1048576,'Node Details'!J$1,0),"")</f>
        <v>AXY</v>
      </c>
      <c r="K173" s="78">
        <v>46112</v>
      </c>
      <c r="L173" s="78">
        <v>46113</v>
      </c>
      <c r="M173" s="91">
        <v>46125</v>
      </c>
      <c r="N173" s="78">
        <v>46112</v>
      </c>
      <c r="Q173" s="88" t="s">
        <v>173</v>
      </c>
      <c r="R173" s="92"/>
      <c r="S173" s="89"/>
      <c r="T173" s="89"/>
      <c r="U173" s="89"/>
      <c r="V173" s="95"/>
      <c r="W173" s="93"/>
      <c r="X173" s="89"/>
      <c r="Y173" s="94"/>
      <c r="Z173" s="92"/>
      <c r="AA173" s="95"/>
      <c r="AB173" s="89"/>
      <c r="AC173" s="93"/>
      <c r="AD173" s="92"/>
      <c r="AE173" s="88"/>
      <c r="AF173" s="84"/>
      <c r="AG173" s="24"/>
      <c r="AH173" s="95"/>
      <c r="AI173" s="89"/>
      <c r="AJ173" s="88"/>
      <c r="AK173" s="83"/>
      <c r="AL173" s="24"/>
      <c r="AM173" s="24"/>
      <c r="AN173" s="83"/>
      <c r="AO173" s="83"/>
      <c r="AP173" s="24"/>
      <c r="AQ173" s="95"/>
      <c r="AR173" s="96"/>
      <c r="AS173" s="84"/>
      <c r="AT173" s="84"/>
      <c r="AU173" s="24"/>
      <c r="AV173" s="95"/>
      <c r="AW173" s="96"/>
      <c r="AX173" s="97"/>
      <c r="AY173" s="97"/>
      <c r="AZ173" s="97"/>
      <c r="BA173" s="24"/>
      <c r="BB173" s="9" t="s">
        <v>446</v>
      </c>
      <c r="BC173" s="98" t="s">
        <v>176</v>
      </c>
    </row>
    <row r="174" spans="1:55" ht="15" customHeight="1" x14ac:dyDescent="0.25">
      <c r="A174" s="88">
        <f t="shared" si="20"/>
        <v>172</v>
      </c>
      <c r="B174" s="77" t="s">
        <v>358</v>
      </c>
      <c r="C174" s="9"/>
      <c r="D174" s="78" t="s">
        <v>521</v>
      </c>
      <c r="E174" s="90" t="str">
        <f>_xlfn.IFNA(VLOOKUP($D174,'Route-Details'!$B$2:$X$1048576,'Node Details'!E$1,0),"")</f>
        <v>Airtel</v>
      </c>
      <c r="F174" s="90" t="str">
        <f>_xlfn.IFNA(VLOOKUP($D174,'Route-Details'!$B$2:$X$1048576,'Node Details'!F$1,0),"")</f>
        <v>PLAN OF AXY DARIA</v>
      </c>
      <c r="G174" s="90" t="str">
        <f>_xlfn.IFNA(VLOOKUP($D174,'Route-Details'!$B$2:$X$1048576,'Node Details'!G$1,0),"")</f>
        <v>Chandigarh</v>
      </c>
      <c r="H174" s="90" t="str">
        <f>_xlfn.IFNA(VLOOKUP($D175,'Route-Details'!$B$2:$X$1048576,'Node Details'!H$1,0),"")</f>
        <v>Punjab</v>
      </c>
      <c r="I174" s="90" t="str">
        <f>_xlfn.IFNA(VLOOKUP($D174,'Route-Details'!$B$2:$X$1048576,'Node Details'!I$1,0),"")</f>
        <v>AXY</v>
      </c>
      <c r="J174" s="90" t="str">
        <f>_xlfn.IFNA(VLOOKUP($D174,'Route-Details'!$B$2:$X$1048576,'Node Details'!J$1,0),"")</f>
        <v>AXY</v>
      </c>
      <c r="K174" s="78">
        <v>46112</v>
      </c>
      <c r="L174" s="78">
        <v>46113</v>
      </c>
      <c r="M174" s="91">
        <v>46125</v>
      </c>
      <c r="N174" s="78">
        <v>46112</v>
      </c>
      <c r="Q174" s="88" t="s">
        <v>173</v>
      </c>
      <c r="R174" s="92"/>
      <c r="S174" s="89"/>
      <c r="T174" s="89"/>
      <c r="U174" s="89"/>
      <c r="V174" s="95"/>
      <c r="W174" s="93"/>
      <c r="X174" s="89"/>
      <c r="Y174" s="94"/>
      <c r="Z174" s="92"/>
      <c r="AA174" s="95"/>
      <c r="AB174" s="89"/>
      <c r="AC174" s="93"/>
      <c r="AD174" s="92"/>
      <c r="AE174" s="88"/>
      <c r="AF174" s="84"/>
      <c r="AG174" s="24"/>
      <c r="AH174" s="95"/>
      <c r="AI174" s="89"/>
      <c r="AJ174" s="88"/>
      <c r="AK174" s="83"/>
      <c r="AL174" s="24"/>
      <c r="AM174" s="24"/>
      <c r="AN174" s="83"/>
      <c r="AO174" s="83"/>
      <c r="AP174" s="24"/>
      <c r="AQ174" s="95"/>
      <c r="AR174" s="96"/>
      <c r="AS174" s="84"/>
      <c r="AT174" s="84"/>
      <c r="AU174" s="24"/>
      <c r="AV174" s="95"/>
      <c r="AW174" s="96"/>
      <c r="AX174" s="97"/>
      <c r="AY174" s="97"/>
      <c r="AZ174" s="97"/>
      <c r="BA174" s="24"/>
      <c r="BB174" s="9" t="s">
        <v>446</v>
      </c>
      <c r="BC174" s="98" t="s">
        <v>176</v>
      </c>
    </row>
    <row r="175" spans="1:55" ht="15" customHeight="1" x14ac:dyDescent="0.25">
      <c r="A175" s="88">
        <f t="shared" si="20"/>
        <v>173</v>
      </c>
      <c r="B175" s="77" t="s">
        <v>359</v>
      </c>
      <c r="C175" s="9"/>
      <c r="D175" s="78" t="s">
        <v>521</v>
      </c>
      <c r="E175" s="90" t="str">
        <f>_xlfn.IFNA(VLOOKUP($D175,'Route-Details'!$B$2:$X$1048576,'Node Details'!E$1,0),"")</f>
        <v>Airtel</v>
      </c>
      <c r="F175" s="90" t="str">
        <f>_xlfn.IFNA(VLOOKUP($D175,'Route-Details'!$B$2:$X$1048576,'Node Details'!F$1,0),"")</f>
        <v>PLAN OF AXY DARIA</v>
      </c>
      <c r="G175" s="90" t="str">
        <f>_xlfn.IFNA(VLOOKUP($D175,'Route-Details'!$B$2:$X$1048576,'Node Details'!G$1,0),"")</f>
        <v>Chandigarh</v>
      </c>
      <c r="H175" s="90" t="str">
        <f>_xlfn.IFNA(VLOOKUP($D176,'Route-Details'!$B$2:$X$1048576,'Node Details'!H$1,0),"")</f>
        <v>Punjab</v>
      </c>
      <c r="I175" s="90" t="str">
        <f>_xlfn.IFNA(VLOOKUP($D175,'Route-Details'!$B$2:$X$1048576,'Node Details'!I$1,0),"")</f>
        <v>AXY</v>
      </c>
      <c r="J175" s="90" t="str">
        <f>_xlfn.IFNA(VLOOKUP($D175,'Route-Details'!$B$2:$X$1048576,'Node Details'!J$1,0),"")</f>
        <v>AXY</v>
      </c>
      <c r="K175" s="78">
        <v>46112</v>
      </c>
      <c r="L175" s="78">
        <v>46113</v>
      </c>
      <c r="M175" s="91">
        <v>46125</v>
      </c>
      <c r="N175" s="78">
        <v>46112</v>
      </c>
      <c r="Q175" s="88" t="s">
        <v>173</v>
      </c>
      <c r="R175" s="92"/>
      <c r="S175" s="89"/>
      <c r="T175" s="89"/>
      <c r="U175" s="89"/>
      <c r="V175" s="95"/>
      <c r="W175" s="93"/>
      <c r="X175" s="89"/>
      <c r="Y175" s="94"/>
      <c r="Z175" s="92"/>
      <c r="AA175" s="95"/>
      <c r="AB175" s="89"/>
      <c r="AC175" s="93"/>
      <c r="AD175" s="92"/>
      <c r="AE175" s="88"/>
      <c r="AF175" s="84"/>
      <c r="AG175" s="24"/>
      <c r="AH175" s="95"/>
      <c r="AI175" s="89"/>
      <c r="AJ175" s="88"/>
      <c r="AK175" s="83"/>
      <c r="AL175" s="24"/>
      <c r="AM175" s="24"/>
      <c r="AN175" s="83"/>
      <c r="AO175" s="83"/>
      <c r="AP175" s="24"/>
      <c r="AQ175" s="95"/>
      <c r="AR175" s="96"/>
      <c r="AS175" s="84"/>
      <c r="AT175" s="84"/>
      <c r="AU175" s="24"/>
      <c r="AV175" s="95"/>
      <c r="AW175" s="96"/>
      <c r="AX175" s="97"/>
      <c r="AY175" s="97"/>
      <c r="AZ175" s="97"/>
      <c r="BA175" s="24"/>
      <c r="BB175" s="9" t="s">
        <v>446</v>
      </c>
      <c r="BC175" s="98" t="s">
        <v>176</v>
      </c>
    </row>
    <row r="176" spans="1:55" ht="15" customHeight="1" x14ac:dyDescent="0.25">
      <c r="A176" s="88">
        <f t="shared" si="20"/>
        <v>174</v>
      </c>
      <c r="B176" s="77" t="s">
        <v>360</v>
      </c>
      <c r="C176" s="9"/>
      <c r="D176" s="78" t="s">
        <v>522</v>
      </c>
      <c r="E176" s="90" t="str">
        <f>_xlfn.IFNA(VLOOKUP($D176,'Route-Details'!$B$2:$X$1048576,'Node Details'!E$1,0),"")</f>
        <v>Airtel</v>
      </c>
      <c r="F176" s="90" t="str">
        <f>_xlfn.IFNA(VLOOKUP($D176,'Route-Details'!$B$2:$X$1048576,'Node Details'!F$1,0),"")</f>
        <v>PLAN OF AXY DARIA</v>
      </c>
      <c r="G176" s="90" t="str">
        <f>_xlfn.IFNA(VLOOKUP($D176,'Route-Details'!$B$2:$X$1048576,'Node Details'!G$1,0),"")</f>
        <v>Chandigarh</v>
      </c>
      <c r="H176" s="90" t="str">
        <f>_xlfn.IFNA(VLOOKUP($D177,'Route-Details'!$B$2:$X$1048576,'Node Details'!H$1,0),"")</f>
        <v>Punjab</v>
      </c>
      <c r="I176" s="90" t="str">
        <f>_xlfn.IFNA(VLOOKUP($D176,'Route-Details'!$B$2:$X$1048576,'Node Details'!I$1,0),"")</f>
        <v>AXY</v>
      </c>
      <c r="J176" s="90" t="str">
        <f>_xlfn.IFNA(VLOOKUP($D176,'Route-Details'!$B$2:$X$1048576,'Node Details'!J$1,0),"")</f>
        <v>AXY</v>
      </c>
      <c r="K176" s="78">
        <v>46112</v>
      </c>
      <c r="L176" s="78">
        <v>46113</v>
      </c>
      <c r="M176" s="91">
        <v>46125</v>
      </c>
      <c r="N176" s="78">
        <v>46112</v>
      </c>
      <c r="Q176" s="88" t="s">
        <v>173</v>
      </c>
      <c r="R176" s="92"/>
      <c r="S176" s="89"/>
      <c r="T176" s="89"/>
      <c r="U176" s="89"/>
      <c r="V176" s="95"/>
      <c r="W176" s="93"/>
      <c r="X176" s="89"/>
      <c r="Y176" s="94"/>
      <c r="Z176" s="92"/>
      <c r="AA176" s="95"/>
      <c r="AB176" s="89"/>
      <c r="AC176" s="93"/>
      <c r="AD176" s="92"/>
      <c r="AE176" s="88"/>
      <c r="AF176" s="84"/>
      <c r="AG176" s="24"/>
      <c r="AH176" s="95"/>
      <c r="AI176" s="89"/>
      <c r="AJ176" s="88"/>
      <c r="AK176" s="83"/>
      <c r="AL176" s="24"/>
      <c r="AM176" s="24"/>
      <c r="AN176" s="83"/>
      <c r="AO176" s="83"/>
      <c r="AP176" s="24"/>
      <c r="AQ176" s="95"/>
      <c r="AR176" s="96"/>
      <c r="AS176" s="84"/>
      <c r="AT176" s="84"/>
      <c r="AU176" s="24"/>
      <c r="AV176" s="95"/>
      <c r="AW176" s="96"/>
      <c r="AX176" s="97"/>
      <c r="AY176" s="97"/>
      <c r="AZ176" s="97"/>
      <c r="BA176" s="24"/>
      <c r="BB176" s="9" t="s">
        <v>447</v>
      </c>
      <c r="BC176" s="98" t="s">
        <v>176</v>
      </c>
    </row>
    <row r="177" spans="1:55" ht="15" customHeight="1" x14ac:dyDescent="0.25">
      <c r="A177" s="88">
        <f t="shared" si="20"/>
        <v>175</v>
      </c>
      <c r="B177" s="77" t="s">
        <v>361</v>
      </c>
      <c r="C177" s="9"/>
      <c r="D177" s="78" t="s">
        <v>463</v>
      </c>
      <c r="E177" s="90" t="str">
        <f>_xlfn.IFNA(VLOOKUP($D177,'Route-Details'!$B$2:$X$1048576,'Node Details'!E$1,0),"")</f>
        <v>Airtel</v>
      </c>
      <c r="F177" s="90" t="str">
        <f>_xlfn.IFNA(VLOOKUP($D177,'Route-Details'!$B$2:$X$1048576,'Node Details'!F$1,0),"")</f>
        <v>PLAN OF AXY DARIA</v>
      </c>
      <c r="G177" s="90" t="str">
        <f>_xlfn.IFNA(VLOOKUP($D177,'Route-Details'!$B$2:$X$1048576,'Node Details'!G$1,0),"")</f>
        <v>Chandigarh</v>
      </c>
      <c r="H177" s="90" t="str">
        <f>_xlfn.IFNA(VLOOKUP($D178,'Route-Details'!$B$2:$X$1048576,'Node Details'!H$1,0),"")</f>
        <v>Punjab</v>
      </c>
      <c r="I177" s="90" t="str">
        <f>_xlfn.IFNA(VLOOKUP($D177,'Route-Details'!$B$2:$X$1048576,'Node Details'!I$1,0),"")</f>
        <v>AXY</v>
      </c>
      <c r="J177" s="90" t="str">
        <f>_xlfn.IFNA(VLOOKUP($D177,'Route-Details'!$B$2:$X$1048576,'Node Details'!J$1,0),"")</f>
        <v>AXY</v>
      </c>
      <c r="K177" s="78">
        <v>46112</v>
      </c>
      <c r="L177" s="78">
        <v>46113</v>
      </c>
      <c r="M177" s="91">
        <v>46125</v>
      </c>
      <c r="N177" s="78">
        <v>46112</v>
      </c>
      <c r="Q177" s="88" t="s">
        <v>173</v>
      </c>
      <c r="R177" s="92"/>
      <c r="S177" s="89"/>
      <c r="T177" s="89"/>
      <c r="U177" s="89"/>
      <c r="V177" s="95"/>
      <c r="W177" s="93"/>
      <c r="X177" s="89"/>
      <c r="Y177" s="94"/>
      <c r="Z177" s="92"/>
      <c r="AA177" s="95"/>
      <c r="AB177" s="89"/>
      <c r="AC177" s="93"/>
      <c r="AD177" s="92"/>
      <c r="AE177" s="88"/>
      <c r="AF177" s="84"/>
      <c r="AG177" s="24"/>
      <c r="AH177" s="95"/>
      <c r="AI177" s="89"/>
      <c r="AJ177" s="88"/>
      <c r="AK177" s="83"/>
      <c r="AL177" s="24"/>
      <c r="AM177" s="24"/>
      <c r="AN177" s="83"/>
      <c r="AO177" s="83"/>
      <c r="AP177" s="24"/>
      <c r="AQ177" s="95"/>
      <c r="AR177" s="96"/>
      <c r="AS177" s="84"/>
      <c r="AT177" s="84"/>
      <c r="AU177" s="24"/>
      <c r="AV177" s="95"/>
      <c r="AW177" s="96"/>
      <c r="AX177" s="97"/>
      <c r="AY177" s="97"/>
      <c r="AZ177" s="97"/>
      <c r="BA177" s="24"/>
      <c r="BB177" s="9" t="s">
        <v>191</v>
      </c>
      <c r="BC177" s="98" t="s">
        <v>176</v>
      </c>
    </row>
    <row r="178" spans="1:55" ht="15" customHeight="1" x14ac:dyDescent="0.25">
      <c r="A178" s="88">
        <f t="shared" si="20"/>
        <v>176</v>
      </c>
      <c r="B178" s="77" t="s">
        <v>362</v>
      </c>
      <c r="C178" s="9"/>
      <c r="D178" s="78" t="s">
        <v>523</v>
      </c>
      <c r="E178" s="90" t="str">
        <f>_xlfn.IFNA(VLOOKUP($D178,'Route-Details'!$B$2:$X$1048576,'Node Details'!E$1,0),"")</f>
        <v>Airtel</v>
      </c>
      <c r="F178" s="90" t="str">
        <f>_xlfn.IFNA(VLOOKUP($D178,'Route-Details'!$B$2:$X$1048576,'Node Details'!F$1,0),"")</f>
        <v>PLAN OF AXY DARIA</v>
      </c>
      <c r="G178" s="90" t="str">
        <f>_xlfn.IFNA(VLOOKUP($D178,'Route-Details'!$B$2:$X$1048576,'Node Details'!G$1,0),"")</f>
        <v>Chandigarh</v>
      </c>
      <c r="H178" s="90" t="str">
        <f>_xlfn.IFNA(VLOOKUP($D179,'Route-Details'!$B$2:$X$1048576,'Node Details'!H$1,0),"")</f>
        <v>Punjab</v>
      </c>
      <c r="I178" s="90" t="str">
        <f>_xlfn.IFNA(VLOOKUP($D178,'Route-Details'!$B$2:$X$1048576,'Node Details'!I$1,0),"")</f>
        <v>AXY</v>
      </c>
      <c r="J178" s="90" t="str">
        <f>_xlfn.IFNA(VLOOKUP($D178,'Route-Details'!$B$2:$X$1048576,'Node Details'!J$1,0),"")</f>
        <v>AXY</v>
      </c>
      <c r="K178" s="78">
        <v>46112</v>
      </c>
      <c r="L178" s="78">
        <v>46113</v>
      </c>
      <c r="M178" s="91">
        <v>46125</v>
      </c>
      <c r="N178" s="78">
        <v>46112</v>
      </c>
      <c r="Q178" s="88" t="s">
        <v>173</v>
      </c>
      <c r="R178" s="92"/>
      <c r="S178" s="89"/>
      <c r="T178" s="89"/>
      <c r="U178" s="89"/>
      <c r="V178" s="95"/>
      <c r="W178" s="93"/>
      <c r="X178" s="89"/>
      <c r="Y178" s="94"/>
      <c r="Z178" s="92"/>
      <c r="AA178" s="95"/>
      <c r="AB178" s="89"/>
      <c r="AC178" s="93"/>
      <c r="AD178" s="92"/>
      <c r="AE178" s="88"/>
      <c r="AF178" s="84"/>
      <c r="AG178" s="24"/>
      <c r="AH178" s="95"/>
      <c r="AI178" s="89"/>
      <c r="AJ178" s="88"/>
      <c r="AK178" s="83"/>
      <c r="AL178" s="24"/>
      <c r="AM178" s="24"/>
      <c r="AN178" s="83"/>
      <c r="AO178" s="83"/>
      <c r="AP178" s="24"/>
      <c r="AQ178" s="95"/>
      <c r="AR178" s="96"/>
      <c r="AS178" s="84"/>
      <c r="AT178" s="84"/>
      <c r="AU178" s="24"/>
      <c r="AV178" s="95"/>
      <c r="AW178" s="96"/>
      <c r="AX178" s="97"/>
      <c r="AY178" s="97"/>
      <c r="AZ178" s="97"/>
      <c r="BA178" s="24"/>
      <c r="BB178" s="9" t="s">
        <v>448</v>
      </c>
      <c r="BC178" s="98" t="s">
        <v>176</v>
      </c>
    </row>
    <row r="179" spans="1:55" ht="15" customHeight="1" x14ac:dyDescent="0.25">
      <c r="A179" s="88">
        <f t="shared" si="20"/>
        <v>177</v>
      </c>
      <c r="B179" s="77" t="s">
        <v>363</v>
      </c>
      <c r="C179" s="9"/>
      <c r="D179" s="78" t="s">
        <v>524</v>
      </c>
      <c r="E179" s="90" t="str">
        <f>_xlfn.IFNA(VLOOKUP($D179,'Route-Details'!$B$2:$X$1048576,'Node Details'!E$1,0),"")</f>
        <v>Airtel</v>
      </c>
      <c r="F179" s="90" t="str">
        <f>_xlfn.IFNA(VLOOKUP($D179,'Route-Details'!$B$2:$X$1048576,'Node Details'!F$1,0),"")</f>
        <v>PLAN OF AXY DARIA</v>
      </c>
      <c r="G179" s="90" t="str">
        <f>_xlfn.IFNA(VLOOKUP($D179,'Route-Details'!$B$2:$X$1048576,'Node Details'!G$1,0),"")</f>
        <v>Chandigarh</v>
      </c>
      <c r="H179" s="90" t="str">
        <f>_xlfn.IFNA(VLOOKUP($D180,'Route-Details'!$B$2:$X$1048576,'Node Details'!H$1,0),"")</f>
        <v>Punjab</v>
      </c>
      <c r="I179" s="90" t="str">
        <f>_xlfn.IFNA(VLOOKUP($D179,'Route-Details'!$B$2:$X$1048576,'Node Details'!I$1,0),"")</f>
        <v>AXY</v>
      </c>
      <c r="J179" s="90" t="str">
        <f>_xlfn.IFNA(VLOOKUP($D179,'Route-Details'!$B$2:$X$1048576,'Node Details'!J$1,0),"")</f>
        <v>AXY</v>
      </c>
      <c r="K179" s="78">
        <v>46112</v>
      </c>
      <c r="L179" s="78">
        <v>46113</v>
      </c>
      <c r="M179" s="91">
        <v>46125</v>
      </c>
      <c r="N179" s="78">
        <v>46112</v>
      </c>
      <c r="Q179" s="88" t="s">
        <v>173</v>
      </c>
      <c r="R179" s="92"/>
      <c r="S179" s="89"/>
      <c r="T179" s="89"/>
      <c r="U179" s="89"/>
      <c r="V179" s="95"/>
      <c r="W179" s="93"/>
      <c r="X179" s="89"/>
      <c r="Y179" s="94"/>
      <c r="Z179" s="92"/>
      <c r="AA179" s="95"/>
      <c r="AB179" s="89"/>
      <c r="AC179" s="93"/>
      <c r="AD179" s="92"/>
      <c r="AE179" s="88"/>
      <c r="AF179" s="84"/>
      <c r="AG179" s="24"/>
      <c r="AH179" s="95"/>
      <c r="AI179" s="89"/>
      <c r="AJ179" s="88"/>
      <c r="AK179" s="83"/>
      <c r="AL179" s="24"/>
      <c r="AM179" s="24"/>
      <c r="AN179" s="83"/>
      <c r="AO179" s="83"/>
      <c r="AP179" s="24"/>
      <c r="AQ179" s="95"/>
      <c r="AR179" s="96"/>
      <c r="AS179" s="84"/>
      <c r="AT179" s="84"/>
      <c r="AU179" s="24"/>
      <c r="AV179" s="95"/>
      <c r="AW179" s="96"/>
      <c r="AX179" s="97"/>
      <c r="AY179" s="97"/>
      <c r="AZ179" s="97"/>
      <c r="BA179" s="24"/>
      <c r="BB179" s="9" t="s">
        <v>449</v>
      </c>
      <c r="BC179" s="98" t="s">
        <v>176</v>
      </c>
    </row>
    <row r="180" spans="1:55" ht="15" customHeight="1" x14ac:dyDescent="0.25">
      <c r="A180" s="88">
        <f t="shared" si="20"/>
        <v>178</v>
      </c>
      <c r="B180" s="77" t="s">
        <v>364</v>
      </c>
      <c r="C180" s="9"/>
      <c r="D180" s="78" t="s">
        <v>524</v>
      </c>
      <c r="E180" s="90" t="str">
        <f>_xlfn.IFNA(VLOOKUP($D180,'Route-Details'!$B$2:$X$1048576,'Node Details'!E$1,0),"")</f>
        <v>Airtel</v>
      </c>
      <c r="F180" s="90" t="str">
        <f>_xlfn.IFNA(VLOOKUP($D180,'Route-Details'!$B$2:$X$1048576,'Node Details'!F$1,0),"")</f>
        <v>PLAN OF AXY DARIA</v>
      </c>
      <c r="G180" s="90" t="str">
        <f>_xlfn.IFNA(VLOOKUP($D180,'Route-Details'!$B$2:$X$1048576,'Node Details'!G$1,0),"")</f>
        <v>Chandigarh</v>
      </c>
      <c r="H180" s="90" t="str">
        <f>_xlfn.IFNA(VLOOKUP($D181,'Route-Details'!$B$2:$X$1048576,'Node Details'!H$1,0),"")</f>
        <v>Punjab</v>
      </c>
      <c r="I180" s="90" t="str">
        <f>_xlfn.IFNA(VLOOKUP($D180,'Route-Details'!$B$2:$X$1048576,'Node Details'!I$1,0),"")</f>
        <v>AXY</v>
      </c>
      <c r="J180" s="90" t="str">
        <f>_xlfn.IFNA(VLOOKUP($D180,'Route-Details'!$B$2:$X$1048576,'Node Details'!J$1,0),"")</f>
        <v>AXY</v>
      </c>
      <c r="K180" s="78">
        <v>46112</v>
      </c>
      <c r="L180" s="78">
        <v>46113</v>
      </c>
      <c r="M180" s="91">
        <v>46125</v>
      </c>
      <c r="N180" s="78">
        <v>46112</v>
      </c>
      <c r="Q180" s="88" t="s">
        <v>173</v>
      </c>
      <c r="R180" s="92"/>
      <c r="S180" s="89"/>
      <c r="T180" s="89"/>
      <c r="U180" s="89"/>
      <c r="V180" s="95"/>
      <c r="W180" s="93"/>
      <c r="X180" s="89"/>
      <c r="Y180" s="94"/>
      <c r="Z180" s="92"/>
      <c r="AA180" s="95"/>
      <c r="AB180" s="89"/>
      <c r="AC180" s="93"/>
      <c r="AD180" s="92"/>
      <c r="AE180" s="88"/>
      <c r="AF180" s="84"/>
      <c r="AG180" s="24"/>
      <c r="AH180" s="95"/>
      <c r="AI180" s="89"/>
      <c r="AJ180" s="88"/>
      <c r="AK180" s="83"/>
      <c r="AL180" s="24"/>
      <c r="AM180" s="24"/>
      <c r="AN180" s="83"/>
      <c r="AO180" s="83"/>
      <c r="AP180" s="24"/>
      <c r="AQ180" s="95"/>
      <c r="AR180" s="96"/>
      <c r="AS180" s="84"/>
      <c r="AT180" s="84"/>
      <c r="AU180" s="24"/>
      <c r="AV180" s="95"/>
      <c r="AW180" s="96"/>
      <c r="AX180" s="97"/>
      <c r="AY180" s="97"/>
      <c r="AZ180" s="97"/>
      <c r="BA180" s="24"/>
      <c r="BB180" s="9" t="s">
        <v>449</v>
      </c>
      <c r="BC180" s="98" t="s">
        <v>176</v>
      </c>
    </row>
    <row r="181" spans="1:55" ht="15" customHeight="1" x14ac:dyDescent="0.25">
      <c r="A181" s="88">
        <f t="shared" si="20"/>
        <v>179</v>
      </c>
      <c r="B181" s="77" t="s">
        <v>365</v>
      </c>
      <c r="C181" s="9"/>
      <c r="D181" s="78" t="s">
        <v>525</v>
      </c>
      <c r="E181" s="90" t="str">
        <f>_xlfn.IFNA(VLOOKUP($D181,'Route-Details'!$B$2:$X$1048576,'Node Details'!E$1,0),"")</f>
        <v>Airtel</v>
      </c>
      <c r="F181" s="90" t="str">
        <f>_xlfn.IFNA(VLOOKUP($D181,'Route-Details'!$B$2:$X$1048576,'Node Details'!F$1,0),"")</f>
        <v>PLAN OF AXY DARIA</v>
      </c>
      <c r="G181" s="90" t="str">
        <f>_xlfn.IFNA(VLOOKUP($D181,'Route-Details'!$B$2:$X$1048576,'Node Details'!G$1,0),"")</f>
        <v>Chandigarh</v>
      </c>
      <c r="H181" s="90" t="str">
        <f>_xlfn.IFNA(VLOOKUP($D182,'Route-Details'!$B$2:$X$1048576,'Node Details'!H$1,0),"")</f>
        <v>Punjab</v>
      </c>
      <c r="I181" s="90" t="str">
        <f>_xlfn.IFNA(VLOOKUP($D181,'Route-Details'!$B$2:$X$1048576,'Node Details'!I$1,0),"")</f>
        <v>AXY</v>
      </c>
      <c r="J181" s="90" t="str">
        <f>_xlfn.IFNA(VLOOKUP($D181,'Route-Details'!$B$2:$X$1048576,'Node Details'!J$1,0),"")</f>
        <v>AXY</v>
      </c>
      <c r="K181" s="78">
        <v>46112</v>
      </c>
      <c r="L181" s="78">
        <v>46113</v>
      </c>
      <c r="M181" s="91">
        <v>46125</v>
      </c>
      <c r="N181" s="78">
        <v>46112</v>
      </c>
      <c r="Q181" s="88" t="s">
        <v>173</v>
      </c>
      <c r="R181" s="92"/>
      <c r="S181" s="89"/>
      <c r="T181" s="89"/>
      <c r="U181" s="89"/>
      <c r="V181" s="95"/>
      <c r="W181" s="93"/>
      <c r="X181" s="89"/>
      <c r="Y181" s="94"/>
      <c r="Z181" s="92"/>
      <c r="AA181" s="95"/>
      <c r="AB181" s="89"/>
      <c r="AC181" s="93"/>
      <c r="AD181" s="92"/>
      <c r="AE181" s="88"/>
      <c r="AF181" s="84"/>
      <c r="AG181" s="24"/>
      <c r="AH181" s="95"/>
      <c r="AI181" s="89"/>
      <c r="AJ181" s="88"/>
      <c r="AK181" s="83"/>
      <c r="AL181" s="24"/>
      <c r="AM181" s="24"/>
      <c r="AN181" s="83"/>
      <c r="AO181" s="83"/>
      <c r="AP181" s="24"/>
      <c r="AQ181" s="95"/>
      <c r="AR181" s="96"/>
      <c r="AS181" s="84"/>
      <c r="AT181" s="84"/>
      <c r="AU181" s="24"/>
      <c r="AV181" s="95"/>
      <c r="AW181" s="96"/>
      <c r="AX181" s="97"/>
      <c r="AY181" s="97"/>
      <c r="AZ181" s="97"/>
      <c r="BA181" s="24"/>
      <c r="BB181" s="9" t="s">
        <v>451</v>
      </c>
      <c r="BC181" s="98" t="s">
        <v>176</v>
      </c>
    </row>
    <row r="182" spans="1:55" ht="15" customHeight="1" x14ac:dyDescent="0.25">
      <c r="A182" s="88">
        <f t="shared" si="20"/>
        <v>180</v>
      </c>
      <c r="B182" s="77" t="s">
        <v>366</v>
      </c>
      <c r="C182" s="9"/>
      <c r="D182" s="78" t="s">
        <v>525</v>
      </c>
      <c r="E182" s="90" t="str">
        <f>_xlfn.IFNA(VLOOKUP($D182,'Route-Details'!$B$2:$X$1048576,'Node Details'!E$1,0),"")</f>
        <v>Airtel</v>
      </c>
      <c r="F182" s="90" t="str">
        <f>_xlfn.IFNA(VLOOKUP($D182,'Route-Details'!$B$2:$X$1048576,'Node Details'!F$1,0),"")</f>
        <v>PLAN OF AXY DARIA</v>
      </c>
      <c r="G182" s="90" t="str">
        <f>_xlfn.IFNA(VLOOKUP($D182,'Route-Details'!$B$2:$X$1048576,'Node Details'!G$1,0),"")</f>
        <v>Chandigarh</v>
      </c>
      <c r="H182" s="90" t="str">
        <f>_xlfn.IFNA(VLOOKUP($D183,'Route-Details'!$B$2:$X$1048576,'Node Details'!H$1,0),"")</f>
        <v>Punjab</v>
      </c>
      <c r="I182" s="90" t="str">
        <f>_xlfn.IFNA(VLOOKUP($D182,'Route-Details'!$B$2:$X$1048576,'Node Details'!I$1,0),"")</f>
        <v>AXY</v>
      </c>
      <c r="J182" s="90" t="str">
        <f>_xlfn.IFNA(VLOOKUP($D182,'Route-Details'!$B$2:$X$1048576,'Node Details'!J$1,0),"")</f>
        <v>AXY</v>
      </c>
      <c r="K182" s="78">
        <v>46112</v>
      </c>
      <c r="L182" s="78">
        <v>46113</v>
      </c>
      <c r="M182" s="91">
        <v>46125</v>
      </c>
      <c r="N182" s="78">
        <v>46112</v>
      </c>
      <c r="Q182" s="88" t="s">
        <v>173</v>
      </c>
      <c r="R182" s="92"/>
      <c r="S182" s="89"/>
      <c r="T182" s="89"/>
      <c r="U182" s="89"/>
      <c r="V182" s="95"/>
      <c r="W182" s="93"/>
      <c r="X182" s="89"/>
      <c r="Y182" s="94"/>
      <c r="Z182" s="92"/>
      <c r="AA182" s="95"/>
      <c r="AB182" s="89"/>
      <c r="AC182" s="93"/>
      <c r="AD182" s="92"/>
      <c r="AE182" s="88"/>
      <c r="AF182" s="84"/>
      <c r="AG182" s="24"/>
      <c r="AH182" s="95"/>
      <c r="AI182" s="89"/>
      <c r="AJ182" s="88"/>
      <c r="AK182" s="83"/>
      <c r="AL182" s="24"/>
      <c r="AM182" s="24"/>
      <c r="AN182" s="83"/>
      <c r="AO182" s="83"/>
      <c r="AP182" s="24"/>
      <c r="AQ182" s="95"/>
      <c r="AR182" s="96"/>
      <c r="AS182" s="84"/>
      <c r="AT182" s="84"/>
      <c r="AU182" s="24"/>
      <c r="AV182" s="95"/>
      <c r="AW182" s="96"/>
      <c r="AX182" s="97"/>
      <c r="AY182" s="97"/>
      <c r="AZ182" s="97"/>
      <c r="BA182" s="24"/>
      <c r="BB182" s="9" t="s">
        <v>451</v>
      </c>
      <c r="BC182" s="98" t="s">
        <v>176</v>
      </c>
    </row>
    <row r="183" spans="1:55" ht="15" customHeight="1" x14ac:dyDescent="0.25">
      <c r="A183" s="88">
        <f t="shared" si="20"/>
        <v>181</v>
      </c>
      <c r="B183" s="77" t="s">
        <v>367</v>
      </c>
      <c r="C183" s="9"/>
      <c r="D183" s="78" t="s">
        <v>481</v>
      </c>
      <c r="E183" s="90" t="str">
        <f>_xlfn.IFNA(VLOOKUP($D183,'Route-Details'!$B$2:$X$1048576,'Node Details'!E$1,0),"")</f>
        <v>Airtel</v>
      </c>
      <c r="F183" s="90" t="str">
        <f>_xlfn.IFNA(VLOOKUP($D183,'Route-Details'!$B$2:$X$1048576,'Node Details'!F$1,0),"")</f>
        <v>PLAN OF AXY DARIA</v>
      </c>
      <c r="G183" s="90" t="str">
        <f>_xlfn.IFNA(VLOOKUP($D183,'Route-Details'!$B$2:$X$1048576,'Node Details'!G$1,0),"")</f>
        <v>Chandigarh</v>
      </c>
      <c r="H183" s="90" t="str">
        <f>_xlfn.IFNA(VLOOKUP($D184,'Route-Details'!$B$2:$X$1048576,'Node Details'!H$1,0),"")</f>
        <v>Punjab</v>
      </c>
      <c r="I183" s="90" t="str">
        <f>_xlfn.IFNA(VLOOKUP($D183,'Route-Details'!$B$2:$X$1048576,'Node Details'!I$1,0),"")</f>
        <v>AXY</v>
      </c>
      <c r="J183" s="90" t="str">
        <f>_xlfn.IFNA(VLOOKUP($D183,'Route-Details'!$B$2:$X$1048576,'Node Details'!J$1,0),"")</f>
        <v>AXY</v>
      </c>
      <c r="K183" s="78">
        <v>46112</v>
      </c>
      <c r="L183" s="78">
        <v>46113</v>
      </c>
      <c r="M183" s="91">
        <v>46125</v>
      </c>
      <c r="N183" s="78">
        <v>46112</v>
      </c>
      <c r="Q183" s="88" t="s">
        <v>173</v>
      </c>
      <c r="R183" s="92"/>
      <c r="S183" s="89"/>
      <c r="T183" s="89"/>
      <c r="U183" s="89"/>
      <c r="V183" s="95"/>
      <c r="W183" s="93"/>
      <c r="X183" s="89"/>
      <c r="Y183" s="94"/>
      <c r="Z183" s="92"/>
      <c r="AA183" s="95"/>
      <c r="AB183" s="89"/>
      <c r="AC183" s="93"/>
      <c r="AD183" s="92"/>
      <c r="AE183" s="88"/>
      <c r="AF183" s="84"/>
      <c r="AG183" s="24"/>
      <c r="AH183" s="95"/>
      <c r="AI183" s="89"/>
      <c r="AJ183" s="88"/>
      <c r="AK183" s="83"/>
      <c r="AL183" s="24"/>
      <c r="AM183" s="24"/>
      <c r="AN183" s="83"/>
      <c r="AO183" s="83"/>
      <c r="AP183" s="24"/>
      <c r="AQ183" s="95"/>
      <c r="AR183" s="96"/>
      <c r="AS183" s="84"/>
      <c r="AT183" s="84"/>
      <c r="AU183" s="24"/>
      <c r="AV183" s="95"/>
      <c r="AW183" s="96"/>
      <c r="AX183" s="97"/>
      <c r="AY183" s="97"/>
      <c r="AZ183" s="97"/>
      <c r="BA183" s="24"/>
      <c r="BB183" s="9" t="s">
        <v>450</v>
      </c>
      <c r="BC183" s="98" t="s">
        <v>176</v>
      </c>
    </row>
    <row r="184" spans="1:55" ht="15" customHeight="1" x14ac:dyDescent="0.25">
      <c r="A184" s="88">
        <f t="shared" si="20"/>
        <v>182</v>
      </c>
      <c r="B184" s="77" t="s">
        <v>368</v>
      </c>
      <c r="C184" s="9"/>
      <c r="D184" s="78" t="s">
        <v>481</v>
      </c>
      <c r="E184" s="90" t="str">
        <f>_xlfn.IFNA(VLOOKUP($D184,'Route-Details'!$B$2:$X$1048576,'Node Details'!E$1,0),"")</f>
        <v>Airtel</v>
      </c>
      <c r="F184" s="90" t="str">
        <f>_xlfn.IFNA(VLOOKUP($D184,'Route-Details'!$B$2:$X$1048576,'Node Details'!F$1,0),"")</f>
        <v>PLAN OF AXY DARIA</v>
      </c>
      <c r="G184" s="90" t="str">
        <f>_xlfn.IFNA(VLOOKUP($D184,'Route-Details'!$B$2:$X$1048576,'Node Details'!G$1,0),"")</f>
        <v>Chandigarh</v>
      </c>
      <c r="H184" s="90" t="str">
        <f>_xlfn.IFNA(VLOOKUP($D185,'Route-Details'!$B$2:$X$1048576,'Node Details'!H$1,0),"")</f>
        <v>Punjab</v>
      </c>
      <c r="I184" s="90" t="str">
        <f>_xlfn.IFNA(VLOOKUP($D184,'Route-Details'!$B$2:$X$1048576,'Node Details'!I$1,0),"")</f>
        <v>AXY</v>
      </c>
      <c r="J184" s="90" t="str">
        <f>_xlfn.IFNA(VLOOKUP($D184,'Route-Details'!$B$2:$X$1048576,'Node Details'!J$1,0),"")</f>
        <v>AXY</v>
      </c>
      <c r="K184" s="78">
        <v>46112</v>
      </c>
      <c r="L184" s="78">
        <v>46113</v>
      </c>
      <c r="M184" s="91">
        <v>46125</v>
      </c>
      <c r="N184" s="78">
        <v>46112</v>
      </c>
      <c r="Q184" s="88" t="s">
        <v>173</v>
      </c>
      <c r="R184" s="92"/>
      <c r="S184" s="89"/>
      <c r="T184" s="89"/>
      <c r="U184" s="89"/>
      <c r="V184" s="95"/>
      <c r="W184" s="93"/>
      <c r="X184" s="89"/>
      <c r="Y184" s="94"/>
      <c r="Z184" s="92"/>
      <c r="AA184" s="95"/>
      <c r="AB184" s="89"/>
      <c r="AC184" s="93"/>
      <c r="AD184" s="92"/>
      <c r="AE184" s="88"/>
      <c r="AF184" s="84"/>
      <c r="AG184" s="24"/>
      <c r="AH184" s="95"/>
      <c r="AI184" s="89"/>
      <c r="AJ184" s="88"/>
      <c r="AK184" s="83"/>
      <c r="AL184" s="24"/>
      <c r="AM184" s="24"/>
      <c r="AN184" s="83"/>
      <c r="AO184" s="83"/>
      <c r="AP184" s="24"/>
      <c r="AQ184" s="95"/>
      <c r="AR184" s="96"/>
      <c r="AS184" s="84"/>
      <c r="AT184" s="84"/>
      <c r="AU184" s="24"/>
      <c r="AV184" s="95"/>
      <c r="AW184" s="96"/>
      <c r="AX184" s="97"/>
      <c r="AY184" s="97"/>
      <c r="AZ184" s="97"/>
      <c r="BA184" s="24"/>
      <c r="BB184" s="9" t="s">
        <v>450</v>
      </c>
      <c r="BC184" s="98" t="s">
        <v>176</v>
      </c>
    </row>
    <row r="185" spans="1:55" ht="15" customHeight="1" x14ac:dyDescent="0.25">
      <c r="A185" s="88">
        <f t="shared" si="20"/>
        <v>183</v>
      </c>
      <c r="B185" s="77" t="s">
        <v>224</v>
      </c>
      <c r="C185" s="9"/>
      <c r="D185" s="78" t="s">
        <v>462</v>
      </c>
      <c r="E185" s="90" t="str">
        <f>_xlfn.IFNA(VLOOKUP($D185,'Route-Details'!$B$2:$X$1048576,'Node Details'!E$1,0),"")</f>
        <v>Airtel</v>
      </c>
      <c r="F185" s="90" t="str">
        <f>_xlfn.IFNA(VLOOKUP($D185,'Route-Details'!$B$2:$X$1048576,'Node Details'!F$1,0),"")</f>
        <v>PLAN OF AXY DARIA</v>
      </c>
      <c r="G185" s="90" t="str">
        <f>_xlfn.IFNA(VLOOKUP($D185,'Route-Details'!$B$2:$X$1048576,'Node Details'!G$1,0),"")</f>
        <v>Chandigarh</v>
      </c>
      <c r="H185" s="90" t="str">
        <f>_xlfn.IFNA(VLOOKUP($D186,'Route-Details'!$B$2:$X$1048576,'Node Details'!H$1,0),"")</f>
        <v/>
      </c>
      <c r="I185" s="90" t="str">
        <f>_xlfn.IFNA(VLOOKUP($D185,'Route-Details'!$B$2:$X$1048576,'Node Details'!I$1,0),"")</f>
        <v>AXY</v>
      </c>
      <c r="J185" s="90" t="str">
        <f>_xlfn.IFNA(VLOOKUP($D185,'Route-Details'!$B$2:$X$1048576,'Node Details'!J$1,0),"")</f>
        <v>AXY</v>
      </c>
      <c r="K185" s="78">
        <v>46112</v>
      </c>
      <c r="L185" s="78">
        <v>46113</v>
      </c>
      <c r="M185" s="91">
        <v>46125</v>
      </c>
      <c r="N185" s="78">
        <v>46112</v>
      </c>
      <c r="Q185" s="88" t="s">
        <v>173</v>
      </c>
      <c r="R185" s="92"/>
      <c r="S185" s="89"/>
      <c r="T185" s="89"/>
      <c r="U185" s="89"/>
      <c r="V185" s="95"/>
      <c r="W185" s="93"/>
      <c r="X185" s="89"/>
      <c r="Y185" s="94"/>
      <c r="Z185" s="92"/>
      <c r="AA185" s="95"/>
      <c r="AB185" s="89"/>
      <c r="AC185" s="93"/>
      <c r="AD185" s="92"/>
      <c r="AE185" s="88"/>
      <c r="AF185" s="84"/>
      <c r="AG185" s="24"/>
      <c r="AH185" s="95"/>
      <c r="AI185" s="89"/>
      <c r="AJ185" s="88"/>
      <c r="AK185" s="83"/>
      <c r="AL185" s="24"/>
      <c r="AM185" s="24"/>
      <c r="AN185" s="83"/>
      <c r="AO185" s="83"/>
      <c r="AP185" s="24"/>
      <c r="AQ185" s="95"/>
      <c r="AR185" s="96"/>
      <c r="AS185" s="84"/>
      <c r="AT185" s="84"/>
      <c r="AU185" s="24"/>
      <c r="AV185" s="95"/>
      <c r="AW185" s="96"/>
      <c r="AX185" s="97"/>
      <c r="AY185" s="97"/>
      <c r="AZ185" s="97"/>
      <c r="BA185" s="24"/>
      <c r="BB185" s="9" t="s">
        <v>190</v>
      </c>
      <c r="BC185" s="98" t="s">
        <v>176</v>
      </c>
    </row>
  </sheetData>
  <conditionalFormatting sqref="B3:B185">
    <cfRule type="duplicateValues" dxfId="5" priority="631"/>
    <cfRule type="duplicateValues" dxfId="4" priority="632"/>
  </conditionalFormatting>
  <dataValidations count="3">
    <dataValidation type="list" allowBlank="1" showInputMessage="1" showErrorMessage="1" sqref="AD3:AD14 R3:R14" xr:uid="{00000000-0002-0000-0400-000000000000}">
      <formula1>"6F,12F,24F,48F"</formula1>
    </dataValidation>
    <dataValidation type="list" allowBlank="1" showInputMessage="1" showErrorMessage="1" sqref="Q3:Q185" xr:uid="{00000000-0002-0000-0400-000001000000}">
      <formula1>"Yes,No"</formula1>
    </dataValidation>
    <dataValidation type="list" allowBlank="1" showInputMessage="1" showErrorMessage="1" sqref="AC3:AC40" xr:uid="{00000000-0002-0000-0400-000002000000}">
      <formula1>"ADSS, UA, A"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Y526"/>
  <sheetViews>
    <sheetView zoomScaleNormal="100" workbookViewId="0">
      <pane ySplit="2" topLeftCell="A513" activePane="bottomLeft" state="frozen"/>
      <selection pane="bottomLeft" activeCell="A110" sqref="A110:XFD526"/>
    </sheetView>
  </sheetViews>
  <sheetFormatPr defaultRowHeight="15" x14ac:dyDescent="0.25"/>
  <cols>
    <col min="1" max="1" width="7.5703125" style="9" bestFit="1" customWidth="1"/>
    <col min="2" max="2" width="12.85546875" style="9" customWidth="1"/>
    <col min="3" max="3" width="20.85546875" style="9" bestFit="1" customWidth="1"/>
    <col min="4" max="4" width="9.140625" style="9" bestFit="1" customWidth="1"/>
    <col min="5" max="5" width="9.28515625" style="9" bestFit="1" customWidth="1"/>
    <col min="6" max="6" width="10.42578125" style="15" bestFit="1" customWidth="1"/>
    <col min="7" max="7" width="1.7109375" style="9" customWidth="1"/>
    <col min="8" max="8" width="21.42578125" style="9" bestFit="1" customWidth="1"/>
    <col min="9" max="10" width="8.7109375" style="9" customWidth="1"/>
    <col min="11" max="11" width="11.5703125" style="9" bestFit="1" customWidth="1"/>
    <col min="12" max="12" width="11.5703125" style="14" customWidth="1"/>
    <col min="13" max="13" width="1.7109375" customWidth="1"/>
    <col min="14" max="14" width="25.85546875" bestFit="1" customWidth="1"/>
    <col min="15" max="15" width="9.85546875" style="12" bestFit="1" customWidth="1"/>
    <col min="16" max="16" width="7.85546875" bestFit="1" customWidth="1"/>
    <col min="17" max="17" width="13" bestFit="1" customWidth="1"/>
    <col min="18" max="18" width="1.7109375" customWidth="1"/>
    <col min="19" max="19" width="16" bestFit="1" customWidth="1"/>
    <col min="20" max="20" width="9.85546875" style="12" bestFit="1" customWidth="1"/>
    <col min="21" max="21" width="7.42578125" bestFit="1" customWidth="1"/>
    <col min="22" max="22" width="8.42578125" bestFit="1" customWidth="1"/>
    <col min="23" max="23" width="7.28515625" bestFit="1" customWidth="1"/>
    <col min="24" max="24" width="7.28515625" customWidth="1"/>
  </cols>
  <sheetData>
    <row r="1" spans="1:25" s="26" customFormat="1" ht="15.75" customHeight="1" thickBot="1" x14ac:dyDescent="0.3">
      <c r="A1" s="29"/>
      <c r="B1" s="29"/>
      <c r="C1" s="29">
        <v>3</v>
      </c>
      <c r="D1" s="29">
        <f>MATCH(D2,'Node Details'!$B$2:$U$2,0)</f>
        <v>9</v>
      </c>
      <c r="E1" s="29">
        <f>MATCH(E2,'Node Details'!$B$2:$U$2,0)</f>
        <v>4</v>
      </c>
      <c r="F1" s="29"/>
      <c r="G1" s="29"/>
      <c r="H1" s="29"/>
      <c r="I1" s="29">
        <f>SUBTOTAL(9,I3:I1048576)</f>
        <v>880</v>
      </c>
      <c r="J1" s="29"/>
      <c r="K1" s="29">
        <f>SUBTOTAL(9,K3:K1048576)</f>
        <v>193158</v>
      </c>
      <c r="L1" s="29"/>
      <c r="Q1" s="29">
        <f>SUBTOTAL(9,Q3:Q1048576)</f>
        <v>193158</v>
      </c>
    </row>
    <row r="2" spans="1:25" s="20" customFormat="1" ht="36" customHeight="1" x14ac:dyDescent="0.25">
      <c r="A2" s="63" t="s">
        <v>0</v>
      </c>
      <c r="B2" s="64" t="s">
        <v>80</v>
      </c>
      <c r="C2" s="65" t="s">
        <v>78</v>
      </c>
      <c r="D2" s="65" t="s">
        <v>38</v>
      </c>
      <c r="E2" s="65" t="s">
        <v>32</v>
      </c>
      <c r="F2" s="71" t="s">
        <v>41</v>
      </c>
      <c r="G2" s="22"/>
      <c r="H2" s="72" t="s">
        <v>5</v>
      </c>
      <c r="I2" s="64" t="s">
        <v>81</v>
      </c>
      <c r="J2" s="64" t="s">
        <v>82</v>
      </c>
      <c r="K2" s="73" t="s">
        <v>83</v>
      </c>
      <c r="L2" s="74" t="s">
        <v>84</v>
      </c>
      <c r="M2" s="23"/>
      <c r="N2" s="63" t="s">
        <v>66</v>
      </c>
      <c r="O2" s="75" t="s">
        <v>67</v>
      </c>
      <c r="P2" s="65" t="s">
        <v>68</v>
      </c>
      <c r="Q2" s="70" t="s">
        <v>69</v>
      </c>
      <c r="R2" s="22"/>
      <c r="S2" s="63" t="s">
        <v>70</v>
      </c>
      <c r="T2" s="75" t="s">
        <v>71</v>
      </c>
      <c r="U2" s="65" t="s">
        <v>72</v>
      </c>
      <c r="V2" s="65" t="s">
        <v>73</v>
      </c>
      <c r="W2" s="70" t="s">
        <v>74</v>
      </c>
      <c r="X2" s="39" t="s">
        <v>85</v>
      </c>
      <c r="Y2" s="20" t="s">
        <v>175</v>
      </c>
    </row>
    <row r="3" spans="1:25" s="24" customFormat="1" ht="11.1" customHeight="1" x14ac:dyDescent="0.2">
      <c r="A3" s="76">
        <v>1</v>
      </c>
      <c r="B3" s="77" t="s">
        <v>137</v>
      </c>
      <c r="C3" s="76" t="str">
        <f>IF($B3&lt;&gt;"",_xlfn.IFNA(VLOOKUP($B3,'Node Details'!$B:$U,C$1,0),"Check"),"")</f>
        <v>0000AXZ01-AXZ010101</v>
      </c>
      <c r="D3" s="76" t="str">
        <f>IF($B3&lt;&gt;"",_xlfn.IFNA(VLOOKUP($B3,'Node Details'!$B:$U,D$1,0),"Check"),"")</f>
        <v>AXZ</v>
      </c>
      <c r="E3" s="76" t="str">
        <f>IF($B3&lt;&gt;"",_xlfn.IFNA(VLOOKUP($B3,'Node Details'!$B:$U,E$1,0),"Check"),"")</f>
        <v>Airtel</v>
      </c>
      <c r="F3" s="78">
        <v>46110</v>
      </c>
      <c r="G3" s="76"/>
      <c r="H3" s="9" t="s">
        <v>22</v>
      </c>
      <c r="I3" s="9">
        <v>2</v>
      </c>
      <c r="J3" s="9">
        <v>42</v>
      </c>
      <c r="K3" s="79">
        <f t="shared" ref="K3:K66" si="0">IF(I3&lt;&gt;"",J3*I3,0)</f>
        <v>84</v>
      </c>
      <c r="L3" s="78">
        <v>46110</v>
      </c>
      <c r="N3" s="81"/>
      <c r="O3" s="82"/>
      <c r="P3" s="83">
        <f t="shared" ref="P3:P66" si="1">J3</f>
        <v>42</v>
      </c>
      <c r="Q3" s="83">
        <f t="shared" ref="Q3:Q66" si="2">P3*I3</f>
        <v>84</v>
      </c>
      <c r="R3" s="83"/>
      <c r="S3" s="81"/>
      <c r="T3" s="82"/>
      <c r="U3" s="83">
        <f t="shared" ref="U3:U66" si="3">J3</f>
        <v>42</v>
      </c>
      <c r="V3" s="83">
        <f t="shared" ref="V3:V66" si="4">I3</f>
        <v>2</v>
      </c>
      <c r="W3" s="84">
        <f t="shared" ref="W3:W66" si="5">IF(V3&lt;&gt;"",V3*U3,0)</f>
        <v>84</v>
      </c>
      <c r="X3" s="84" t="s">
        <v>181</v>
      </c>
      <c r="Y3" s="24" t="s">
        <v>176</v>
      </c>
    </row>
    <row r="4" spans="1:25" s="24" customFormat="1" ht="11.1" customHeight="1" x14ac:dyDescent="0.2">
      <c r="A4" s="76">
        <f t="shared" ref="A4:A67" si="6">A3+1</f>
        <v>2</v>
      </c>
      <c r="B4" s="77" t="s">
        <v>138</v>
      </c>
      <c r="C4" s="76" t="str">
        <f>IF($B4&lt;&gt;"",_xlfn.IFNA(VLOOKUP($B4,'Node Details'!$B:$U,C$1,0),"Check"),"")</f>
        <v>0000AXZ01-AXZ010102</v>
      </c>
      <c r="D4" s="76" t="str">
        <f>IF($B4&lt;&gt;"",_xlfn.IFNA(VLOOKUP($B4,'Node Details'!$B:$U,D$1,0),"Check"),"")</f>
        <v>AXZ</v>
      </c>
      <c r="E4" s="76" t="str">
        <f>IF($B4&lt;&gt;"",_xlfn.IFNA(VLOOKUP($B4,'Node Details'!$B:$U,E$1,0),"Check"),"")</f>
        <v>Airtel</v>
      </c>
      <c r="F4" s="78">
        <v>46110</v>
      </c>
      <c r="G4" s="76"/>
      <c r="H4" s="9" t="s">
        <v>22</v>
      </c>
      <c r="I4" s="9">
        <v>2</v>
      </c>
      <c r="J4" s="9">
        <v>42</v>
      </c>
      <c r="K4" s="79">
        <f t="shared" si="0"/>
        <v>84</v>
      </c>
      <c r="L4" s="78">
        <v>46110</v>
      </c>
      <c r="N4" s="81"/>
      <c r="O4" s="82"/>
      <c r="P4" s="83">
        <f t="shared" si="1"/>
        <v>42</v>
      </c>
      <c r="Q4" s="83">
        <f t="shared" si="2"/>
        <v>84</v>
      </c>
      <c r="R4" s="83"/>
      <c r="S4" s="81"/>
      <c r="T4" s="82"/>
      <c r="U4" s="83">
        <f t="shared" si="3"/>
        <v>42</v>
      </c>
      <c r="V4" s="83">
        <f t="shared" si="4"/>
        <v>2</v>
      </c>
      <c r="W4" s="84">
        <f t="shared" si="5"/>
        <v>84</v>
      </c>
      <c r="X4" s="84" t="s">
        <v>181</v>
      </c>
      <c r="Y4" s="24" t="s">
        <v>176</v>
      </c>
    </row>
    <row r="5" spans="1:25" s="24" customFormat="1" ht="11.1" customHeight="1" x14ac:dyDescent="0.2">
      <c r="A5" s="76">
        <f t="shared" si="6"/>
        <v>3</v>
      </c>
      <c r="B5" s="77" t="s">
        <v>139</v>
      </c>
      <c r="C5" s="76" t="str">
        <f>IF($B5&lt;&gt;"",_xlfn.IFNA(VLOOKUP($B5,'Node Details'!$B:$U,C$1,0),"Check"),"")</f>
        <v>0000AXZ01-AXZ010105</v>
      </c>
      <c r="D5" s="76" t="str">
        <f>IF($B5&lt;&gt;"",_xlfn.IFNA(VLOOKUP($B5,'Node Details'!$B:$U,D$1,0),"Check"),"")</f>
        <v>AXZ</v>
      </c>
      <c r="E5" s="76" t="str">
        <f>IF($B5&lt;&gt;"",_xlfn.IFNA(VLOOKUP($B5,'Node Details'!$B:$U,E$1,0),"Check"),"")</f>
        <v>Airtel</v>
      </c>
      <c r="F5" s="78">
        <v>46110</v>
      </c>
      <c r="G5" s="76"/>
      <c r="H5" s="9" t="s">
        <v>22</v>
      </c>
      <c r="I5" s="9">
        <v>2</v>
      </c>
      <c r="J5" s="9">
        <v>42</v>
      </c>
      <c r="K5" s="79">
        <f t="shared" si="0"/>
        <v>84</v>
      </c>
      <c r="L5" s="78">
        <v>46110</v>
      </c>
      <c r="N5" s="81"/>
      <c r="O5" s="82"/>
      <c r="P5" s="83">
        <f t="shared" si="1"/>
        <v>42</v>
      </c>
      <c r="Q5" s="83">
        <f t="shared" si="2"/>
        <v>84</v>
      </c>
      <c r="R5" s="83"/>
      <c r="S5" s="81"/>
      <c r="T5" s="82"/>
      <c r="U5" s="83">
        <f t="shared" si="3"/>
        <v>42</v>
      </c>
      <c r="V5" s="83">
        <f t="shared" si="4"/>
        <v>2</v>
      </c>
      <c r="W5" s="84">
        <f t="shared" si="5"/>
        <v>84</v>
      </c>
      <c r="X5" s="84" t="s">
        <v>181</v>
      </c>
      <c r="Y5" s="24" t="s">
        <v>176</v>
      </c>
    </row>
    <row r="6" spans="1:25" s="24" customFormat="1" ht="11.1" customHeight="1" x14ac:dyDescent="0.2">
      <c r="A6" s="76">
        <f t="shared" si="6"/>
        <v>4</v>
      </c>
      <c r="B6" s="77" t="s">
        <v>140</v>
      </c>
      <c r="C6" s="76" t="str">
        <f>IF($B6&lt;&gt;"",_xlfn.IFNA(VLOOKUP($B6,'Node Details'!$B:$U,C$1,0),"Check"),"")</f>
        <v>0000AXZ01-AXZ010105</v>
      </c>
      <c r="D6" s="76" t="str">
        <f>IF($B6&lt;&gt;"",_xlfn.IFNA(VLOOKUP($B6,'Node Details'!$B:$U,D$1,0),"Check"),"")</f>
        <v>AXZ</v>
      </c>
      <c r="E6" s="76" t="str">
        <f>IF($B6&lt;&gt;"",_xlfn.IFNA(VLOOKUP($B6,'Node Details'!$B:$U,E$1,0),"Check"),"")</f>
        <v>Airtel</v>
      </c>
      <c r="F6" s="78">
        <v>46110</v>
      </c>
      <c r="G6" s="76"/>
      <c r="H6" s="9" t="s">
        <v>22</v>
      </c>
      <c r="I6" s="9">
        <v>2</v>
      </c>
      <c r="J6" s="9">
        <v>42</v>
      </c>
      <c r="K6" s="79">
        <f t="shared" si="0"/>
        <v>84</v>
      </c>
      <c r="L6" s="78">
        <v>46110</v>
      </c>
      <c r="N6" s="81"/>
      <c r="O6" s="82"/>
      <c r="P6" s="83">
        <f t="shared" si="1"/>
        <v>42</v>
      </c>
      <c r="Q6" s="83">
        <f t="shared" si="2"/>
        <v>84</v>
      </c>
      <c r="R6" s="83"/>
      <c r="S6" s="81"/>
      <c r="T6" s="82"/>
      <c r="U6" s="83">
        <f t="shared" si="3"/>
        <v>42</v>
      </c>
      <c r="V6" s="83">
        <f t="shared" si="4"/>
        <v>2</v>
      </c>
      <c r="W6" s="84">
        <f t="shared" si="5"/>
        <v>84</v>
      </c>
      <c r="X6" s="84" t="s">
        <v>181</v>
      </c>
      <c r="Y6" s="24" t="s">
        <v>176</v>
      </c>
    </row>
    <row r="7" spans="1:25" s="24" customFormat="1" ht="11.1" customHeight="1" x14ac:dyDescent="0.2">
      <c r="A7" s="76">
        <f t="shared" si="6"/>
        <v>5</v>
      </c>
      <c r="B7" s="77" t="s">
        <v>141</v>
      </c>
      <c r="C7" s="76" t="str">
        <f>IF($B7&lt;&gt;"",_xlfn.IFNA(VLOOKUP($B7,'Node Details'!$B:$U,C$1,0),"Check"),"")</f>
        <v>0000AXZ01-AXZ010105</v>
      </c>
      <c r="D7" s="76" t="str">
        <f>IF($B7&lt;&gt;"",_xlfn.IFNA(VLOOKUP($B7,'Node Details'!$B:$U,D$1,0),"Check"),"")</f>
        <v>AXZ</v>
      </c>
      <c r="E7" s="76" t="str">
        <f>IF($B7&lt;&gt;"",_xlfn.IFNA(VLOOKUP($B7,'Node Details'!$B:$U,E$1,0),"Check"),"")</f>
        <v>Airtel</v>
      </c>
      <c r="F7" s="78">
        <v>46110</v>
      </c>
      <c r="G7" s="76"/>
      <c r="H7" s="9" t="s">
        <v>22</v>
      </c>
      <c r="I7" s="9">
        <v>2</v>
      </c>
      <c r="J7" s="9">
        <v>42</v>
      </c>
      <c r="K7" s="79">
        <f t="shared" si="0"/>
        <v>84</v>
      </c>
      <c r="L7" s="78">
        <v>46110</v>
      </c>
      <c r="N7" s="81"/>
      <c r="O7" s="82"/>
      <c r="P7" s="83">
        <f t="shared" si="1"/>
        <v>42</v>
      </c>
      <c r="Q7" s="83">
        <f t="shared" si="2"/>
        <v>84</v>
      </c>
      <c r="R7" s="83"/>
      <c r="S7" s="81"/>
      <c r="T7" s="82"/>
      <c r="U7" s="83">
        <f t="shared" si="3"/>
        <v>42</v>
      </c>
      <c r="V7" s="83">
        <f t="shared" si="4"/>
        <v>2</v>
      </c>
      <c r="W7" s="84">
        <f t="shared" si="5"/>
        <v>84</v>
      </c>
      <c r="X7" s="84" t="s">
        <v>181</v>
      </c>
      <c r="Y7" s="24" t="s">
        <v>176</v>
      </c>
    </row>
    <row r="8" spans="1:25" s="24" customFormat="1" ht="11.1" customHeight="1" x14ac:dyDescent="0.2">
      <c r="A8" s="76">
        <f t="shared" si="6"/>
        <v>6</v>
      </c>
      <c r="B8" s="77" t="s">
        <v>142</v>
      </c>
      <c r="C8" s="76" t="str">
        <f>IF($B8&lt;&gt;"",_xlfn.IFNA(VLOOKUP($B8,'Node Details'!$B:$U,C$1,0),"Check"),"")</f>
        <v>0000AXZ01-AXZ010202</v>
      </c>
      <c r="D8" s="76" t="str">
        <f>IF($B8&lt;&gt;"",_xlfn.IFNA(VLOOKUP($B8,'Node Details'!$B:$U,D$1,0),"Check"),"")</f>
        <v>AXZ</v>
      </c>
      <c r="E8" s="76" t="str">
        <f>IF($B8&lt;&gt;"",_xlfn.IFNA(VLOOKUP($B8,'Node Details'!$B:$U,E$1,0),"Check"),"")</f>
        <v>Airtel</v>
      </c>
      <c r="F8" s="78">
        <v>46110</v>
      </c>
      <c r="G8" s="76"/>
      <c r="H8" s="9" t="s">
        <v>22</v>
      </c>
      <c r="I8" s="9">
        <v>2</v>
      </c>
      <c r="J8" s="9">
        <v>42</v>
      </c>
      <c r="K8" s="79">
        <f t="shared" si="0"/>
        <v>84</v>
      </c>
      <c r="L8" s="78">
        <v>46110</v>
      </c>
      <c r="N8" s="81"/>
      <c r="O8" s="82"/>
      <c r="P8" s="83">
        <f t="shared" si="1"/>
        <v>42</v>
      </c>
      <c r="Q8" s="83">
        <f t="shared" si="2"/>
        <v>84</v>
      </c>
      <c r="R8" s="83"/>
      <c r="S8" s="81"/>
      <c r="T8" s="82"/>
      <c r="U8" s="83">
        <f t="shared" si="3"/>
        <v>42</v>
      </c>
      <c r="V8" s="83">
        <f t="shared" si="4"/>
        <v>2</v>
      </c>
      <c r="W8" s="84">
        <f t="shared" si="5"/>
        <v>84</v>
      </c>
      <c r="X8" s="84" t="s">
        <v>181</v>
      </c>
      <c r="Y8" s="24" t="s">
        <v>176</v>
      </c>
    </row>
    <row r="9" spans="1:25" s="24" customFormat="1" ht="11.1" customHeight="1" x14ac:dyDescent="0.2">
      <c r="A9" s="76">
        <f t="shared" si="6"/>
        <v>7</v>
      </c>
      <c r="B9" s="77" t="s">
        <v>143</v>
      </c>
      <c r="C9" s="76" t="str">
        <f>IF($B9&lt;&gt;"",_xlfn.IFNA(VLOOKUP($B9,'Node Details'!$B:$U,C$1,0),"Check"),"")</f>
        <v>0000AXZ01-AXZ010202</v>
      </c>
      <c r="D9" s="76" t="str">
        <f>IF($B9&lt;&gt;"",_xlfn.IFNA(VLOOKUP($B9,'Node Details'!$B:$U,D$1,0),"Check"),"")</f>
        <v>AXZ</v>
      </c>
      <c r="E9" s="76" t="str">
        <f>IF($B9&lt;&gt;"",_xlfn.IFNA(VLOOKUP($B9,'Node Details'!$B:$U,E$1,0),"Check"),"")</f>
        <v>Airtel</v>
      </c>
      <c r="F9" s="78">
        <v>46110</v>
      </c>
      <c r="G9" s="76"/>
      <c r="H9" s="9" t="s">
        <v>22</v>
      </c>
      <c r="I9" s="9">
        <v>2</v>
      </c>
      <c r="J9" s="9">
        <v>42</v>
      </c>
      <c r="K9" s="79">
        <f t="shared" si="0"/>
        <v>84</v>
      </c>
      <c r="L9" s="78">
        <v>46110</v>
      </c>
      <c r="N9" s="81"/>
      <c r="O9" s="82"/>
      <c r="P9" s="83">
        <f t="shared" si="1"/>
        <v>42</v>
      </c>
      <c r="Q9" s="83">
        <f t="shared" si="2"/>
        <v>84</v>
      </c>
      <c r="R9" s="83"/>
      <c r="S9" s="81"/>
      <c r="T9" s="82"/>
      <c r="U9" s="83">
        <f t="shared" si="3"/>
        <v>42</v>
      </c>
      <c r="V9" s="83">
        <f t="shared" si="4"/>
        <v>2</v>
      </c>
      <c r="W9" s="84">
        <f t="shared" si="5"/>
        <v>84</v>
      </c>
      <c r="X9" s="84" t="s">
        <v>181</v>
      </c>
      <c r="Y9" s="24" t="s">
        <v>176</v>
      </c>
    </row>
    <row r="10" spans="1:25" s="24" customFormat="1" ht="11.1" customHeight="1" x14ac:dyDescent="0.2">
      <c r="A10" s="76">
        <f t="shared" si="6"/>
        <v>8</v>
      </c>
      <c r="B10" s="77" t="s">
        <v>144</v>
      </c>
      <c r="C10" s="76" t="str">
        <f>IF($B10&lt;&gt;"",_xlfn.IFNA(VLOOKUP($B10,'Node Details'!$B:$U,C$1,0),"Check"),"")</f>
        <v>0000AXZ01-AXZ010202</v>
      </c>
      <c r="D10" s="76" t="str">
        <f>IF($B10&lt;&gt;"",_xlfn.IFNA(VLOOKUP($B10,'Node Details'!$B:$U,D$1,0),"Check"),"")</f>
        <v>AXZ</v>
      </c>
      <c r="E10" s="76" t="str">
        <f>IF($B10&lt;&gt;"",_xlfn.IFNA(VLOOKUP($B10,'Node Details'!$B:$U,E$1,0),"Check"),"")</f>
        <v>Airtel</v>
      </c>
      <c r="F10" s="78">
        <v>46110</v>
      </c>
      <c r="G10" s="76"/>
      <c r="H10" s="9" t="s">
        <v>22</v>
      </c>
      <c r="I10" s="9">
        <v>2</v>
      </c>
      <c r="J10" s="9">
        <v>42</v>
      </c>
      <c r="K10" s="79">
        <f t="shared" si="0"/>
        <v>84</v>
      </c>
      <c r="L10" s="78">
        <v>46110</v>
      </c>
      <c r="N10" s="81"/>
      <c r="O10" s="82"/>
      <c r="P10" s="83">
        <f t="shared" si="1"/>
        <v>42</v>
      </c>
      <c r="Q10" s="83">
        <f t="shared" si="2"/>
        <v>84</v>
      </c>
      <c r="R10" s="83"/>
      <c r="S10" s="81"/>
      <c r="T10" s="82"/>
      <c r="U10" s="83">
        <f t="shared" si="3"/>
        <v>42</v>
      </c>
      <c r="V10" s="83">
        <f t="shared" si="4"/>
        <v>2</v>
      </c>
      <c r="W10" s="84">
        <f t="shared" si="5"/>
        <v>84</v>
      </c>
      <c r="X10" s="84" t="s">
        <v>181</v>
      </c>
      <c r="Y10" s="24" t="s">
        <v>176</v>
      </c>
    </row>
    <row r="11" spans="1:25" s="24" customFormat="1" ht="11.1" customHeight="1" x14ac:dyDescent="0.2">
      <c r="A11" s="76">
        <f t="shared" si="6"/>
        <v>9</v>
      </c>
      <c r="B11" s="77" t="s">
        <v>145</v>
      </c>
      <c r="C11" s="76" t="str">
        <f>IF($B11&lt;&gt;"",_xlfn.IFNA(VLOOKUP($B11,'Node Details'!$B:$U,C$1,0),"Check"),"")</f>
        <v>0000AXZ01-AXZ010202</v>
      </c>
      <c r="D11" s="76" t="str">
        <f>IF($B11&lt;&gt;"",_xlfn.IFNA(VLOOKUP($B11,'Node Details'!$B:$U,D$1,0),"Check"),"")</f>
        <v>AXZ</v>
      </c>
      <c r="E11" s="76" t="str">
        <f>IF($B11&lt;&gt;"",_xlfn.IFNA(VLOOKUP($B11,'Node Details'!$B:$U,E$1,0),"Check"),"")</f>
        <v>Airtel</v>
      </c>
      <c r="F11" s="78">
        <v>46110</v>
      </c>
      <c r="G11" s="76"/>
      <c r="H11" s="9" t="s">
        <v>22</v>
      </c>
      <c r="I11" s="9">
        <v>2</v>
      </c>
      <c r="J11" s="9">
        <v>42</v>
      </c>
      <c r="K11" s="79">
        <f t="shared" si="0"/>
        <v>84</v>
      </c>
      <c r="L11" s="78">
        <v>46110</v>
      </c>
      <c r="N11" s="81"/>
      <c r="O11" s="82"/>
      <c r="P11" s="83">
        <f t="shared" si="1"/>
        <v>42</v>
      </c>
      <c r="Q11" s="83">
        <f t="shared" si="2"/>
        <v>84</v>
      </c>
      <c r="R11" s="83"/>
      <c r="S11" s="81"/>
      <c r="T11" s="82"/>
      <c r="U11" s="83">
        <f t="shared" si="3"/>
        <v>42</v>
      </c>
      <c r="V11" s="83">
        <f t="shared" si="4"/>
        <v>2</v>
      </c>
      <c r="W11" s="84">
        <f t="shared" si="5"/>
        <v>84</v>
      </c>
      <c r="X11" s="84" t="s">
        <v>181</v>
      </c>
      <c r="Y11" s="24" t="s">
        <v>176</v>
      </c>
    </row>
    <row r="12" spans="1:25" s="24" customFormat="1" ht="11.1" customHeight="1" x14ac:dyDescent="0.2">
      <c r="A12" s="76">
        <f t="shared" si="6"/>
        <v>10</v>
      </c>
      <c r="B12" s="77" t="s">
        <v>146</v>
      </c>
      <c r="C12" s="76" t="str">
        <f>IF($B12&lt;&gt;"",_xlfn.IFNA(VLOOKUP($B12,'Node Details'!$B:$U,C$1,0),"Check"),"")</f>
        <v>0000AXZ01-AXZ010202</v>
      </c>
      <c r="D12" s="76" t="str">
        <f>IF($B12&lt;&gt;"",_xlfn.IFNA(VLOOKUP($B12,'Node Details'!$B:$U,D$1,0),"Check"),"")</f>
        <v>AXZ</v>
      </c>
      <c r="E12" s="76" t="str">
        <f>IF($B12&lt;&gt;"",_xlfn.IFNA(VLOOKUP($B12,'Node Details'!$B:$U,E$1,0),"Check"),"")</f>
        <v>Airtel</v>
      </c>
      <c r="F12" s="78">
        <v>46110</v>
      </c>
      <c r="G12" s="76"/>
      <c r="H12" s="9" t="s">
        <v>22</v>
      </c>
      <c r="I12" s="9">
        <v>2</v>
      </c>
      <c r="J12" s="9">
        <v>42</v>
      </c>
      <c r="K12" s="79">
        <f t="shared" si="0"/>
        <v>84</v>
      </c>
      <c r="L12" s="78">
        <v>46110</v>
      </c>
      <c r="N12" s="81"/>
      <c r="O12" s="82"/>
      <c r="P12" s="83">
        <f t="shared" si="1"/>
        <v>42</v>
      </c>
      <c r="Q12" s="83">
        <f t="shared" si="2"/>
        <v>84</v>
      </c>
      <c r="R12" s="83"/>
      <c r="S12" s="81"/>
      <c r="T12" s="82"/>
      <c r="U12" s="83">
        <f t="shared" si="3"/>
        <v>42</v>
      </c>
      <c r="V12" s="83">
        <f t="shared" si="4"/>
        <v>2</v>
      </c>
      <c r="W12" s="84">
        <f t="shared" si="5"/>
        <v>84</v>
      </c>
      <c r="X12" s="84" t="s">
        <v>181</v>
      </c>
      <c r="Y12" s="24" t="s">
        <v>176</v>
      </c>
    </row>
    <row r="13" spans="1:25" s="24" customFormat="1" ht="11.1" customHeight="1" x14ac:dyDescent="0.2">
      <c r="A13" s="76">
        <f t="shared" si="6"/>
        <v>11</v>
      </c>
      <c r="B13" s="77" t="s">
        <v>148</v>
      </c>
      <c r="C13" s="76" t="str">
        <f>IF($B13&lt;&gt;"",_xlfn.IFNA(VLOOKUP($B13,'Node Details'!$B:$U,C$1,0),"Check"),"")</f>
        <v>0000AXZ02-AXZ020101</v>
      </c>
      <c r="D13" s="76" t="str">
        <f>IF($B13&lt;&gt;"",_xlfn.IFNA(VLOOKUP($B13,'Node Details'!$B:$U,D$1,0),"Check"),"")</f>
        <v>AXZ</v>
      </c>
      <c r="E13" s="76" t="str">
        <f>IF($B13&lt;&gt;"",_xlfn.IFNA(VLOOKUP($B13,'Node Details'!$B:$U,E$1,0),"Check"),"")</f>
        <v>Airtel</v>
      </c>
      <c r="F13" s="78">
        <v>46110</v>
      </c>
      <c r="G13" s="76"/>
      <c r="H13" s="9" t="s">
        <v>22</v>
      </c>
      <c r="I13" s="9">
        <v>2</v>
      </c>
      <c r="J13" s="9">
        <v>42</v>
      </c>
      <c r="K13" s="79">
        <f t="shared" si="0"/>
        <v>84</v>
      </c>
      <c r="L13" s="78">
        <v>46110</v>
      </c>
      <c r="N13" s="81"/>
      <c r="O13" s="82"/>
      <c r="P13" s="83">
        <f t="shared" si="1"/>
        <v>42</v>
      </c>
      <c r="Q13" s="83">
        <f t="shared" si="2"/>
        <v>84</v>
      </c>
      <c r="R13" s="83"/>
      <c r="S13" s="81"/>
      <c r="T13" s="82"/>
      <c r="U13" s="83">
        <f t="shared" si="3"/>
        <v>42</v>
      </c>
      <c r="V13" s="83">
        <f t="shared" si="4"/>
        <v>2</v>
      </c>
      <c r="W13" s="84">
        <f t="shared" si="5"/>
        <v>84</v>
      </c>
      <c r="X13" s="84" t="s">
        <v>181</v>
      </c>
      <c r="Y13" s="24" t="s">
        <v>176</v>
      </c>
    </row>
    <row r="14" spans="1:25" s="24" customFormat="1" ht="11.1" customHeight="1" x14ac:dyDescent="0.2">
      <c r="A14" s="76">
        <f t="shared" si="6"/>
        <v>12</v>
      </c>
      <c r="B14" s="77" t="s">
        <v>149</v>
      </c>
      <c r="C14" s="76" t="str">
        <f>IF($B14&lt;&gt;"",_xlfn.IFNA(VLOOKUP($B14,'Node Details'!$B:$U,C$1,0),"Check"),"")</f>
        <v>0000AXZ02-AXZ020103</v>
      </c>
      <c r="D14" s="76" t="str">
        <f>IF($B14&lt;&gt;"",_xlfn.IFNA(VLOOKUP($B14,'Node Details'!$B:$U,D$1,0),"Check"),"")</f>
        <v>AXZ</v>
      </c>
      <c r="E14" s="76" t="str">
        <f>IF($B14&lt;&gt;"",_xlfn.IFNA(VLOOKUP($B14,'Node Details'!$B:$U,E$1,0),"Check"),"")</f>
        <v>Airtel</v>
      </c>
      <c r="F14" s="78">
        <v>46110</v>
      </c>
      <c r="G14" s="76"/>
      <c r="H14" s="9" t="s">
        <v>22</v>
      </c>
      <c r="I14" s="9">
        <v>2</v>
      </c>
      <c r="J14" s="9">
        <v>42</v>
      </c>
      <c r="K14" s="79">
        <f t="shared" si="0"/>
        <v>84</v>
      </c>
      <c r="L14" s="78">
        <v>46110</v>
      </c>
      <c r="N14" s="81"/>
      <c r="O14" s="82"/>
      <c r="P14" s="83">
        <f t="shared" si="1"/>
        <v>42</v>
      </c>
      <c r="Q14" s="83">
        <f t="shared" si="2"/>
        <v>84</v>
      </c>
      <c r="R14" s="83"/>
      <c r="S14" s="81"/>
      <c r="T14" s="82"/>
      <c r="U14" s="83">
        <f t="shared" si="3"/>
        <v>42</v>
      </c>
      <c r="V14" s="83">
        <f t="shared" si="4"/>
        <v>2</v>
      </c>
      <c r="W14" s="84">
        <f t="shared" si="5"/>
        <v>84</v>
      </c>
      <c r="X14" s="84" t="s">
        <v>181</v>
      </c>
      <c r="Y14" s="24" t="s">
        <v>176</v>
      </c>
    </row>
    <row r="15" spans="1:25" s="24" customFormat="1" ht="11.1" customHeight="1" x14ac:dyDescent="0.2">
      <c r="A15" s="76">
        <f t="shared" si="6"/>
        <v>13</v>
      </c>
      <c r="B15" s="77" t="s">
        <v>150</v>
      </c>
      <c r="C15" s="76" t="str">
        <f>IF($B15&lt;&gt;"",_xlfn.IFNA(VLOOKUP($B15,'Node Details'!$B:$U,C$1,0),"Check"),"")</f>
        <v>0000AXZ02-AXZ020103</v>
      </c>
      <c r="D15" s="76" t="str">
        <f>IF($B15&lt;&gt;"",_xlfn.IFNA(VLOOKUP($B15,'Node Details'!$B:$U,D$1,0),"Check"),"")</f>
        <v>AXZ</v>
      </c>
      <c r="E15" s="76" t="str">
        <f>IF($B15&lt;&gt;"",_xlfn.IFNA(VLOOKUP($B15,'Node Details'!$B:$U,E$1,0),"Check"),"")</f>
        <v>Airtel</v>
      </c>
      <c r="F15" s="78">
        <v>46110</v>
      </c>
      <c r="G15" s="76"/>
      <c r="H15" s="9" t="s">
        <v>22</v>
      </c>
      <c r="I15" s="9">
        <v>2</v>
      </c>
      <c r="J15" s="9">
        <v>42</v>
      </c>
      <c r="K15" s="79">
        <f t="shared" si="0"/>
        <v>84</v>
      </c>
      <c r="L15" s="78">
        <v>46110</v>
      </c>
      <c r="N15" s="85"/>
      <c r="O15" s="86"/>
      <c r="P15" s="83">
        <f t="shared" si="1"/>
        <v>42</v>
      </c>
      <c r="Q15" s="83">
        <f t="shared" si="2"/>
        <v>84</v>
      </c>
      <c r="R15" s="83"/>
      <c r="S15" s="83"/>
      <c r="T15" s="87"/>
      <c r="U15" s="83">
        <f t="shared" si="3"/>
        <v>42</v>
      </c>
      <c r="V15" s="83">
        <f t="shared" si="4"/>
        <v>2</v>
      </c>
      <c r="W15" s="84">
        <f t="shared" si="5"/>
        <v>84</v>
      </c>
      <c r="X15" s="84" t="s">
        <v>181</v>
      </c>
      <c r="Y15" s="24" t="s">
        <v>176</v>
      </c>
    </row>
    <row r="16" spans="1:25" s="24" customFormat="1" ht="11.1" customHeight="1" x14ac:dyDescent="0.2">
      <c r="A16" s="76">
        <f t="shared" si="6"/>
        <v>14</v>
      </c>
      <c r="B16" s="77" t="s">
        <v>151</v>
      </c>
      <c r="C16" s="76" t="str">
        <f>IF($B16&lt;&gt;"",_xlfn.IFNA(VLOOKUP($B16,'Node Details'!$B:$U,C$1,0),"Check"),"")</f>
        <v>0000AXZ02-AXZ020203</v>
      </c>
      <c r="D16" s="76" t="str">
        <f>IF($B16&lt;&gt;"",_xlfn.IFNA(VLOOKUP($B16,'Node Details'!$B:$U,D$1,0),"Check"),"")</f>
        <v>AXZ</v>
      </c>
      <c r="E16" s="76" t="str">
        <f>IF($B16&lt;&gt;"",_xlfn.IFNA(VLOOKUP($B16,'Node Details'!$B:$U,E$1,0),"Check"),"")</f>
        <v>Airtel</v>
      </c>
      <c r="F16" s="78">
        <v>46110</v>
      </c>
      <c r="G16" s="76"/>
      <c r="H16" s="9" t="s">
        <v>22</v>
      </c>
      <c r="I16" s="9">
        <v>2</v>
      </c>
      <c r="J16" s="9">
        <v>42</v>
      </c>
      <c r="K16" s="79">
        <f t="shared" si="0"/>
        <v>84</v>
      </c>
      <c r="L16" s="78">
        <v>46110</v>
      </c>
      <c r="N16" s="85"/>
      <c r="O16" s="86"/>
      <c r="P16" s="83">
        <f t="shared" si="1"/>
        <v>42</v>
      </c>
      <c r="Q16" s="83">
        <f t="shared" si="2"/>
        <v>84</v>
      </c>
      <c r="R16" s="83"/>
      <c r="S16" s="83"/>
      <c r="T16" s="87"/>
      <c r="U16" s="83">
        <f t="shared" si="3"/>
        <v>42</v>
      </c>
      <c r="V16" s="83">
        <f t="shared" si="4"/>
        <v>2</v>
      </c>
      <c r="W16" s="84">
        <f t="shared" si="5"/>
        <v>84</v>
      </c>
      <c r="X16" s="84" t="s">
        <v>181</v>
      </c>
      <c r="Y16" s="24" t="s">
        <v>176</v>
      </c>
    </row>
    <row r="17" spans="1:25" s="24" customFormat="1" ht="11.1" customHeight="1" x14ac:dyDescent="0.2">
      <c r="A17" s="76">
        <f t="shared" si="6"/>
        <v>15</v>
      </c>
      <c r="B17" s="77" t="s">
        <v>152</v>
      </c>
      <c r="C17" s="76" t="str">
        <f>IF($B17&lt;&gt;"",_xlfn.IFNA(VLOOKUP($B17,'Node Details'!$B:$U,C$1,0),"Check"),"")</f>
        <v>0000AXZ02-AXZ020203</v>
      </c>
      <c r="D17" s="76" t="str">
        <f>IF($B17&lt;&gt;"",_xlfn.IFNA(VLOOKUP($B17,'Node Details'!$B:$U,D$1,0),"Check"),"")</f>
        <v>AXZ</v>
      </c>
      <c r="E17" s="76" t="str">
        <f>IF($B17&lt;&gt;"",_xlfn.IFNA(VLOOKUP($B17,'Node Details'!$B:$U,E$1,0),"Check"),"")</f>
        <v>Airtel</v>
      </c>
      <c r="F17" s="78">
        <v>46110</v>
      </c>
      <c r="G17" s="76"/>
      <c r="H17" s="9" t="s">
        <v>22</v>
      </c>
      <c r="I17" s="9">
        <v>2</v>
      </c>
      <c r="J17" s="9">
        <v>42</v>
      </c>
      <c r="K17" s="79">
        <f t="shared" si="0"/>
        <v>84</v>
      </c>
      <c r="L17" s="78">
        <v>46110</v>
      </c>
      <c r="N17" s="85"/>
      <c r="O17" s="86"/>
      <c r="P17" s="83">
        <f t="shared" si="1"/>
        <v>42</v>
      </c>
      <c r="Q17" s="83">
        <f t="shared" si="2"/>
        <v>84</v>
      </c>
      <c r="R17" s="83"/>
      <c r="S17" s="83"/>
      <c r="T17" s="87"/>
      <c r="U17" s="83">
        <f t="shared" si="3"/>
        <v>42</v>
      </c>
      <c r="V17" s="83">
        <f t="shared" si="4"/>
        <v>2</v>
      </c>
      <c r="W17" s="84">
        <f t="shared" si="5"/>
        <v>84</v>
      </c>
      <c r="X17" s="84" t="s">
        <v>181</v>
      </c>
      <c r="Y17" s="24" t="s">
        <v>176</v>
      </c>
    </row>
    <row r="18" spans="1:25" s="24" customFormat="1" ht="11.1" customHeight="1" x14ac:dyDescent="0.2">
      <c r="A18" s="76">
        <f t="shared" si="6"/>
        <v>16</v>
      </c>
      <c r="B18" s="77" t="s">
        <v>153</v>
      </c>
      <c r="C18" s="76" t="str">
        <f>IF($B18&lt;&gt;"",_xlfn.IFNA(VLOOKUP($B18,'Node Details'!$B:$U,C$1,0),"Check"),"")</f>
        <v>0000AXZ02-AXZ020203</v>
      </c>
      <c r="D18" s="76" t="str">
        <f>IF($B18&lt;&gt;"",_xlfn.IFNA(VLOOKUP($B18,'Node Details'!$B:$U,D$1,0),"Check"),"")</f>
        <v>AXZ</v>
      </c>
      <c r="E18" s="76" t="str">
        <f>IF($B18&lt;&gt;"",_xlfn.IFNA(VLOOKUP($B18,'Node Details'!$B:$U,E$1,0),"Check"),"")</f>
        <v>Airtel</v>
      </c>
      <c r="F18" s="78">
        <v>46110</v>
      </c>
      <c r="G18" s="76"/>
      <c r="H18" s="9" t="s">
        <v>22</v>
      </c>
      <c r="I18" s="9">
        <v>2</v>
      </c>
      <c r="J18" s="9">
        <v>42</v>
      </c>
      <c r="K18" s="79">
        <f t="shared" si="0"/>
        <v>84</v>
      </c>
      <c r="L18" s="78">
        <v>46110</v>
      </c>
      <c r="N18" s="85"/>
      <c r="O18" s="86"/>
      <c r="P18" s="83">
        <f t="shared" si="1"/>
        <v>42</v>
      </c>
      <c r="Q18" s="83">
        <f t="shared" si="2"/>
        <v>84</v>
      </c>
      <c r="R18" s="83"/>
      <c r="S18" s="83"/>
      <c r="T18" s="87"/>
      <c r="U18" s="83">
        <f t="shared" si="3"/>
        <v>42</v>
      </c>
      <c r="V18" s="83">
        <f t="shared" si="4"/>
        <v>2</v>
      </c>
      <c r="W18" s="84">
        <f t="shared" si="5"/>
        <v>84</v>
      </c>
      <c r="X18" s="84" t="s">
        <v>181</v>
      </c>
      <c r="Y18" s="24" t="s">
        <v>176</v>
      </c>
    </row>
    <row r="19" spans="1:25" s="24" customFormat="1" ht="11.1" customHeight="1" x14ac:dyDescent="0.2">
      <c r="A19" s="76">
        <f t="shared" si="6"/>
        <v>17</v>
      </c>
      <c r="B19" s="77" t="s">
        <v>154</v>
      </c>
      <c r="C19" s="76" t="str">
        <f>IF($B19&lt;&gt;"",_xlfn.IFNA(VLOOKUP($B19,'Node Details'!$B:$U,C$1,0),"Check"),"")</f>
        <v>0000AXZ02-AXZ020203</v>
      </c>
      <c r="D19" s="76" t="str">
        <f>IF($B19&lt;&gt;"",_xlfn.IFNA(VLOOKUP($B19,'Node Details'!$B:$U,D$1,0),"Check"),"")</f>
        <v>AXZ</v>
      </c>
      <c r="E19" s="76" t="str">
        <f>IF($B19&lt;&gt;"",_xlfn.IFNA(VLOOKUP($B19,'Node Details'!$B:$U,E$1,0),"Check"),"")</f>
        <v>Airtel</v>
      </c>
      <c r="F19" s="78">
        <v>46110</v>
      </c>
      <c r="G19" s="76"/>
      <c r="H19" s="9" t="s">
        <v>22</v>
      </c>
      <c r="I19" s="9">
        <v>2</v>
      </c>
      <c r="J19" s="9">
        <v>42</v>
      </c>
      <c r="K19" s="79">
        <f t="shared" si="0"/>
        <v>84</v>
      </c>
      <c r="L19" s="78">
        <v>46110</v>
      </c>
      <c r="N19" s="85"/>
      <c r="O19" s="86"/>
      <c r="P19" s="83">
        <f t="shared" si="1"/>
        <v>42</v>
      </c>
      <c r="Q19" s="83">
        <f t="shared" si="2"/>
        <v>84</v>
      </c>
      <c r="R19" s="83"/>
      <c r="S19" s="83"/>
      <c r="T19" s="87"/>
      <c r="U19" s="83">
        <f t="shared" si="3"/>
        <v>42</v>
      </c>
      <c r="V19" s="83">
        <f t="shared" si="4"/>
        <v>2</v>
      </c>
      <c r="W19" s="84">
        <f t="shared" si="5"/>
        <v>84</v>
      </c>
      <c r="X19" s="84" t="s">
        <v>181</v>
      </c>
      <c r="Y19" s="24" t="s">
        <v>176</v>
      </c>
    </row>
    <row r="20" spans="1:25" s="24" customFormat="1" ht="11.1" customHeight="1" x14ac:dyDescent="0.2">
      <c r="A20" s="76">
        <f t="shared" si="6"/>
        <v>18</v>
      </c>
      <c r="B20" s="77" t="s">
        <v>155</v>
      </c>
      <c r="C20" s="76" t="str">
        <f>IF($B20&lt;&gt;"",_xlfn.IFNA(VLOOKUP($B20,'Node Details'!$B:$U,C$1,0),"Check"),"")</f>
        <v>0000AXZ02-AXZ020203</v>
      </c>
      <c r="D20" s="76" t="str">
        <f>IF($B20&lt;&gt;"",_xlfn.IFNA(VLOOKUP($B20,'Node Details'!$B:$U,D$1,0),"Check"),"")</f>
        <v>AXZ</v>
      </c>
      <c r="E20" s="76" t="str">
        <f>IF($B20&lt;&gt;"",_xlfn.IFNA(VLOOKUP($B20,'Node Details'!$B:$U,E$1,0),"Check"),"")</f>
        <v>Airtel</v>
      </c>
      <c r="F20" s="78">
        <v>46110</v>
      </c>
      <c r="G20" s="76"/>
      <c r="H20" s="9" t="s">
        <v>22</v>
      </c>
      <c r="I20" s="9">
        <v>2</v>
      </c>
      <c r="J20" s="9">
        <v>42</v>
      </c>
      <c r="K20" s="79">
        <f t="shared" si="0"/>
        <v>84</v>
      </c>
      <c r="L20" s="78">
        <v>46110</v>
      </c>
      <c r="N20" s="85"/>
      <c r="O20" s="86"/>
      <c r="P20" s="83">
        <f t="shared" si="1"/>
        <v>42</v>
      </c>
      <c r="Q20" s="83">
        <f t="shared" si="2"/>
        <v>84</v>
      </c>
      <c r="R20" s="83"/>
      <c r="S20" s="83"/>
      <c r="T20" s="87"/>
      <c r="U20" s="83">
        <f t="shared" si="3"/>
        <v>42</v>
      </c>
      <c r="V20" s="83">
        <f t="shared" si="4"/>
        <v>2</v>
      </c>
      <c r="W20" s="84">
        <f t="shared" si="5"/>
        <v>84</v>
      </c>
      <c r="X20" s="84" t="s">
        <v>181</v>
      </c>
      <c r="Y20" s="24" t="s">
        <v>176</v>
      </c>
    </row>
    <row r="21" spans="1:25" s="24" customFormat="1" ht="11.1" customHeight="1" x14ac:dyDescent="0.2">
      <c r="A21" s="76">
        <f t="shared" si="6"/>
        <v>19</v>
      </c>
      <c r="B21" s="77" t="s">
        <v>156</v>
      </c>
      <c r="C21" s="76" t="str">
        <f>IF($B21&lt;&gt;"",_xlfn.IFNA(VLOOKUP($B21,'Node Details'!$B:$U,C$1,0),"Check"),"")</f>
        <v>0000AXZ02-AXZ020203</v>
      </c>
      <c r="D21" s="76" t="str">
        <f>IF($B21&lt;&gt;"",_xlfn.IFNA(VLOOKUP($B21,'Node Details'!$B:$U,D$1,0),"Check"),"")</f>
        <v>AXZ</v>
      </c>
      <c r="E21" s="76" t="str">
        <f>IF($B21&lt;&gt;"",_xlfn.IFNA(VLOOKUP($B21,'Node Details'!$B:$U,E$1,0),"Check"),"")</f>
        <v>Airtel</v>
      </c>
      <c r="F21" s="78">
        <v>46110</v>
      </c>
      <c r="G21" s="76"/>
      <c r="H21" s="9" t="s">
        <v>22</v>
      </c>
      <c r="I21" s="9">
        <v>2</v>
      </c>
      <c r="J21" s="9">
        <v>42</v>
      </c>
      <c r="K21" s="79">
        <f t="shared" si="0"/>
        <v>84</v>
      </c>
      <c r="L21" s="78">
        <v>46110</v>
      </c>
      <c r="N21" s="85"/>
      <c r="O21" s="86"/>
      <c r="P21" s="83">
        <f t="shared" si="1"/>
        <v>42</v>
      </c>
      <c r="Q21" s="83">
        <f t="shared" si="2"/>
        <v>84</v>
      </c>
      <c r="R21" s="83"/>
      <c r="S21" s="83"/>
      <c r="T21" s="87"/>
      <c r="U21" s="83">
        <f t="shared" si="3"/>
        <v>42</v>
      </c>
      <c r="V21" s="83">
        <f t="shared" si="4"/>
        <v>2</v>
      </c>
      <c r="W21" s="84">
        <f t="shared" si="5"/>
        <v>84</v>
      </c>
      <c r="X21" s="84" t="s">
        <v>181</v>
      </c>
      <c r="Y21" s="24" t="s">
        <v>176</v>
      </c>
    </row>
    <row r="22" spans="1:25" s="24" customFormat="1" ht="11.1" customHeight="1" x14ac:dyDescent="0.2">
      <c r="A22" s="76">
        <f t="shared" si="6"/>
        <v>20</v>
      </c>
      <c r="B22" s="77" t="s">
        <v>157</v>
      </c>
      <c r="C22" s="76" t="str">
        <f>IF($B22&lt;&gt;"",_xlfn.IFNA(VLOOKUP($B22,'Node Details'!$B:$U,C$1,0),"Check"),"")</f>
        <v>0000AXZ02-AXZ020203</v>
      </c>
      <c r="D22" s="76" t="str">
        <f>IF($B22&lt;&gt;"",_xlfn.IFNA(VLOOKUP($B22,'Node Details'!$B:$U,D$1,0),"Check"),"")</f>
        <v>AXZ</v>
      </c>
      <c r="E22" s="76" t="str">
        <f>IF($B22&lt;&gt;"",_xlfn.IFNA(VLOOKUP($B22,'Node Details'!$B:$U,E$1,0),"Check"),"")</f>
        <v>Airtel</v>
      </c>
      <c r="F22" s="78">
        <v>46110</v>
      </c>
      <c r="G22" s="76"/>
      <c r="H22" s="9" t="s">
        <v>22</v>
      </c>
      <c r="I22" s="9">
        <v>2</v>
      </c>
      <c r="J22" s="9">
        <v>42</v>
      </c>
      <c r="K22" s="79">
        <f t="shared" si="0"/>
        <v>84</v>
      </c>
      <c r="L22" s="78">
        <v>46110</v>
      </c>
      <c r="N22" s="85"/>
      <c r="O22" s="86"/>
      <c r="P22" s="83">
        <f t="shared" si="1"/>
        <v>42</v>
      </c>
      <c r="Q22" s="83">
        <f t="shared" si="2"/>
        <v>84</v>
      </c>
      <c r="R22" s="83"/>
      <c r="S22" s="83"/>
      <c r="T22" s="87"/>
      <c r="U22" s="83">
        <f t="shared" si="3"/>
        <v>42</v>
      </c>
      <c r="V22" s="83">
        <f t="shared" si="4"/>
        <v>2</v>
      </c>
      <c r="W22" s="84">
        <f t="shared" si="5"/>
        <v>84</v>
      </c>
      <c r="X22" s="84" t="s">
        <v>181</v>
      </c>
      <c r="Y22" s="24" t="s">
        <v>176</v>
      </c>
    </row>
    <row r="23" spans="1:25" s="24" customFormat="1" ht="11.1" customHeight="1" x14ac:dyDescent="0.2">
      <c r="A23" s="76">
        <f t="shared" si="6"/>
        <v>21</v>
      </c>
      <c r="B23" s="77" t="s">
        <v>158</v>
      </c>
      <c r="C23" s="76" t="str">
        <f>IF($B23&lt;&gt;"",_xlfn.IFNA(VLOOKUP($B23,'Node Details'!$B:$U,C$1,0),"Check"),"")</f>
        <v>0000AXZ02-AXZ020203</v>
      </c>
      <c r="D23" s="76" t="str">
        <f>IF($B23&lt;&gt;"",_xlfn.IFNA(VLOOKUP($B23,'Node Details'!$B:$U,D$1,0),"Check"),"")</f>
        <v>AXZ</v>
      </c>
      <c r="E23" s="76" t="str">
        <f>IF($B23&lt;&gt;"",_xlfn.IFNA(VLOOKUP($B23,'Node Details'!$B:$U,E$1,0),"Check"),"")</f>
        <v>Airtel</v>
      </c>
      <c r="F23" s="78">
        <v>46110</v>
      </c>
      <c r="G23" s="76"/>
      <c r="H23" s="9" t="s">
        <v>22</v>
      </c>
      <c r="I23" s="9">
        <v>2</v>
      </c>
      <c r="J23" s="9">
        <v>42</v>
      </c>
      <c r="K23" s="79">
        <f t="shared" si="0"/>
        <v>84</v>
      </c>
      <c r="L23" s="78">
        <v>46110</v>
      </c>
      <c r="N23" s="85"/>
      <c r="O23" s="86"/>
      <c r="P23" s="83">
        <f t="shared" si="1"/>
        <v>42</v>
      </c>
      <c r="Q23" s="83">
        <f t="shared" si="2"/>
        <v>84</v>
      </c>
      <c r="R23" s="83"/>
      <c r="S23" s="83"/>
      <c r="T23" s="87"/>
      <c r="U23" s="83">
        <f t="shared" si="3"/>
        <v>42</v>
      </c>
      <c r="V23" s="83">
        <f t="shared" si="4"/>
        <v>2</v>
      </c>
      <c r="W23" s="84">
        <f t="shared" si="5"/>
        <v>84</v>
      </c>
      <c r="X23" s="84" t="s">
        <v>181</v>
      </c>
      <c r="Y23" s="24" t="s">
        <v>176</v>
      </c>
    </row>
    <row r="24" spans="1:25" s="24" customFormat="1" ht="11.1" customHeight="1" x14ac:dyDescent="0.2">
      <c r="A24" s="76">
        <f t="shared" si="6"/>
        <v>22</v>
      </c>
      <c r="B24" s="77" t="s">
        <v>160</v>
      </c>
      <c r="C24" s="76" t="str">
        <f>IF($B24&lt;&gt;"",_xlfn.IFNA(VLOOKUP($B24,'Node Details'!$B:$U,C$1,0),"Check"),"")</f>
        <v>0000AXZ03-AXZ030101</v>
      </c>
      <c r="D24" s="76" t="str">
        <f>IF($B24&lt;&gt;"",_xlfn.IFNA(VLOOKUP($B24,'Node Details'!$B:$U,D$1,0),"Check"),"")</f>
        <v>AXZ</v>
      </c>
      <c r="E24" s="76" t="str">
        <f>IF($B24&lt;&gt;"",_xlfn.IFNA(VLOOKUP($B24,'Node Details'!$B:$U,E$1,0),"Check"),"")</f>
        <v>Airtel</v>
      </c>
      <c r="F24" s="78">
        <v>46110</v>
      </c>
      <c r="G24" s="76"/>
      <c r="H24" s="9" t="s">
        <v>22</v>
      </c>
      <c r="I24" s="9">
        <v>2</v>
      </c>
      <c r="J24" s="9">
        <v>42</v>
      </c>
      <c r="K24" s="79">
        <f t="shared" si="0"/>
        <v>84</v>
      </c>
      <c r="L24" s="78">
        <v>46110</v>
      </c>
      <c r="N24" s="85"/>
      <c r="O24" s="86"/>
      <c r="P24" s="83">
        <f t="shared" si="1"/>
        <v>42</v>
      </c>
      <c r="Q24" s="83">
        <f t="shared" si="2"/>
        <v>84</v>
      </c>
      <c r="R24" s="83"/>
      <c r="S24" s="83"/>
      <c r="T24" s="87"/>
      <c r="U24" s="83">
        <f t="shared" si="3"/>
        <v>42</v>
      </c>
      <c r="V24" s="83">
        <f t="shared" si="4"/>
        <v>2</v>
      </c>
      <c r="W24" s="84">
        <f t="shared" si="5"/>
        <v>84</v>
      </c>
      <c r="X24" s="84" t="s">
        <v>181</v>
      </c>
      <c r="Y24" s="24" t="s">
        <v>176</v>
      </c>
    </row>
    <row r="25" spans="1:25" s="24" customFormat="1" ht="11.1" customHeight="1" x14ac:dyDescent="0.2">
      <c r="A25" s="76">
        <f t="shared" si="6"/>
        <v>23</v>
      </c>
      <c r="B25" s="77" t="s">
        <v>161</v>
      </c>
      <c r="C25" s="76" t="str">
        <f>IF($B25&lt;&gt;"",_xlfn.IFNA(VLOOKUP($B25,'Node Details'!$B:$U,C$1,0),"Check"),"")</f>
        <v>0000AXZ03-AXZ030102</v>
      </c>
      <c r="D25" s="76" t="str">
        <f>IF($B25&lt;&gt;"",_xlfn.IFNA(VLOOKUP($B25,'Node Details'!$B:$U,D$1,0),"Check"),"")</f>
        <v>AXZ</v>
      </c>
      <c r="E25" s="76" t="str">
        <f>IF($B25&lt;&gt;"",_xlfn.IFNA(VLOOKUP($B25,'Node Details'!$B:$U,E$1,0),"Check"),"")</f>
        <v>Airtel</v>
      </c>
      <c r="F25" s="78">
        <v>46110</v>
      </c>
      <c r="G25" s="76"/>
      <c r="H25" s="9" t="s">
        <v>22</v>
      </c>
      <c r="I25" s="9">
        <v>2</v>
      </c>
      <c r="J25" s="9">
        <v>42</v>
      </c>
      <c r="K25" s="79">
        <f t="shared" si="0"/>
        <v>84</v>
      </c>
      <c r="L25" s="78">
        <v>46110</v>
      </c>
      <c r="N25" s="85"/>
      <c r="O25" s="86"/>
      <c r="P25" s="83">
        <f t="shared" si="1"/>
        <v>42</v>
      </c>
      <c r="Q25" s="83">
        <f t="shared" si="2"/>
        <v>84</v>
      </c>
      <c r="R25" s="83"/>
      <c r="S25" s="83"/>
      <c r="T25" s="87"/>
      <c r="U25" s="83">
        <f t="shared" si="3"/>
        <v>42</v>
      </c>
      <c r="V25" s="83">
        <f t="shared" si="4"/>
        <v>2</v>
      </c>
      <c r="W25" s="84">
        <f t="shared" si="5"/>
        <v>84</v>
      </c>
      <c r="X25" s="84" t="s">
        <v>181</v>
      </c>
      <c r="Y25" s="24" t="s">
        <v>176</v>
      </c>
    </row>
    <row r="26" spans="1:25" s="24" customFormat="1" ht="11.1" customHeight="1" x14ac:dyDescent="0.2">
      <c r="A26" s="76">
        <f t="shared" si="6"/>
        <v>24</v>
      </c>
      <c r="B26" s="77" t="s">
        <v>162</v>
      </c>
      <c r="C26" s="76" t="str">
        <f>IF($B26&lt;&gt;"",_xlfn.IFNA(VLOOKUP($B26,'Node Details'!$B:$U,C$1,0),"Check"),"")</f>
        <v>0000AXZ03-AXZ030104</v>
      </c>
      <c r="D26" s="76" t="str">
        <f>IF($B26&lt;&gt;"",_xlfn.IFNA(VLOOKUP($B26,'Node Details'!$B:$U,D$1,0),"Check"),"")</f>
        <v>AXZ</v>
      </c>
      <c r="E26" s="76" t="str">
        <f>IF($B26&lt;&gt;"",_xlfn.IFNA(VLOOKUP($B26,'Node Details'!$B:$U,E$1,0),"Check"),"")</f>
        <v>Airtel</v>
      </c>
      <c r="F26" s="78">
        <v>46110</v>
      </c>
      <c r="G26" s="76"/>
      <c r="H26" s="9" t="s">
        <v>22</v>
      </c>
      <c r="I26" s="9">
        <v>2</v>
      </c>
      <c r="J26" s="9">
        <v>42</v>
      </c>
      <c r="K26" s="79">
        <f t="shared" si="0"/>
        <v>84</v>
      </c>
      <c r="L26" s="78">
        <v>46110</v>
      </c>
      <c r="N26" s="85"/>
      <c r="O26" s="86"/>
      <c r="P26" s="83">
        <f t="shared" si="1"/>
        <v>42</v>
      </c>
      <c r="Q26" s="83">
        <f t="shared" si="2"/>
        <v>84</v>
      </c>
      <c r="R26" s="83"/>
      <c r="S26" s="83"/>
      <c r="T26" s="87"/>
      <c r="U26" s="83">
        <f t="shared" si="3"/>
        <v>42</v>
      </c>
      <c r="V26" s="83">
        <f t="shared" si="4"/>
        <v>2</v>
      </c>
      <c r="W26" s="84">
        <f t="shared" si="5"/>
        <v>84</v>
      </c>
      <c r="X26" s="84" t="s">
        <v>181</v>
      </c>
      <c r="Y26" s="24" t="s">
        <v>176</v>
      </c>
    </row>
    <row r="27" spans="1:25" s="24" customFormat="1" ht="11.1" customHeight="1" x14ac:dyDescent="0.2">
      <c r="A27" s="76">
        <f t="shared" si="6"/>
        <v>25</v>
      </c>
      <c r="B27" s="77" t="s">
        <v>163</v>
      </c>
      <c r="C27" s="76" t="str">
        <f>IF($B27&lt;&gt;"",_xlfn.IFNA(VLOOKUP($B27,'Node Details'!$B:$U,C$1,0),"Check"),"")</f>
        <v>0000AXZ03-AXZ030104</v>
      </c>
      <c r="D27" s="76" t="str">
        <f>IF($B27&lt;&gt;"",_xlfn.IFNA(VLOOKUP($B27,'Node Details'!$B:$U,D$1,0),"Check"),"")</f>
        <v>AXZ</v>
      </c>
      <c r="E27" s="76" t="str">
        <f>IF($B27&lt;&gt;"",_xlfn.IFNA(VLOOKUP($B27,'Node Details'!$B:$U,E$1,0),"Check"),"")</f>
        <v>Airtel</v>
      </c>
      <c r="F27" s="78">
        <v>46110</v>
      </c>
      <c r="G27" s="76"/>
      <c r="H27" s="9" t="s">
        <v>22</v>
      </c>
      <c r="I27" s="9">
        <v>2</v>
      </c>
      <c r="J27" s="9">
        <v>42</v>
      </c>
      <c r="K27" s="79">
        <f t="shared" si="0"/>
        <v>84</v>
      </c>
      <c r="L27" s="78">
        <v>46110</v>
      </c>
      <c r="N27" s="85"/>
      <c r="O27" s="86"/>
      <c r="P27" s="83">
        <f t="shared" si="1"/>
        <v>42</v>
      </c>
      <c r="Q27" s="83">
        <f t="shared" si="2"/>
        <v>84</v>
      </c>
      <c r="R27" s="83"/>
      <c r="S27" s="83"/>
      <c r="T27" s="87"/>
      <c r="U27" s="83">
        <f t="shared" si="3"/>
        <v>42</v>
      </c>
      <c r="V27" s="83">
        <f t="shared" si="4"/>
        <v>2</v>
      </c>
      <c r="W27" s="84">
        <f t="shared" si="5"/>
        <v>84</v>
      </c>
      <c r="X27" s="84" t="s">
        <v>181</v>
      </c>
      <c r="Y27" s="24" t="s">
        <v>176</v>
      </c>
    </row>
    <row r="28" spans="1:25" s="24" customFormat="1" ht="11.1" customHeight="1" x14ac:dyDescent="0.2">
      <c r="A28" s="76">
        <f t="shared" si="6"/>
        <v>26</v>
      </c>
      <c r="B28" s="77" t="s">
        <v>164</v>
      </c>
      <c r="C28" s="76" t="str">
        <f>IF($B28&lt;&gt;"",_xlfn.IFNA(VLOOKUP($B28,'Node Details'!$B:$U,C$1,0),"Check"),"")</f>
        <v>AXZ030104-AXZ030106</v>
      </c>
      <c r="D28" s="76" t="str">
        <f>IF($B28&lt;&gt;"",_xlfn.IFNA(VLOOKUP($B28,'Node Details'!$B:$U,D$1,0),"Check"),"")</f>
        <v>AXZ</v>
      </c>
      <c r="E28" s="76" t="str">
        <f>IF($B28&lt;&gt;"",_xlfn.IFNA(VLOOKUP($B28,'Node Details'!$B:$U,E$1,0),"Check"),"")</f>
        <v>Airtel</v>
      </c>
      <c r="F28" s="78">
        <v>46110</v>
      </c>
      <c r="G28" s="76"/>
      <c r="H28" s="9" t="s">
        <v>22</v>
      </c>
      <c r="I28" s="9">
        <v>2</v>
      </c>
      <c r="J28" s="9">
        <v>42</v>
      </c>
      <c r="K28" s="79">
        <f t="shared" si="0"/>
        <v>84</v>
      </c>
      <c r="L28" s="78">
        <v>46110</v>
      </c>
      <c r="N28" s="85"/>
      <c r="O28" s="86"/>
      <c r="P28" s="83">
        <f t="shared" si="1"/>
        <v>42</v>
      </c>
      <c r="Q28" s="83">
        <f t="shared" si="2"/>
        <v>84</v>
      </c>
      <c r="R28" s="83"/>
      <c r="S28" s="83"/>
      <c r="T28" s="87"/>
      <c r="U28" s="83">
        <f t="shared" si="3"/>
        <v>42</v>
      </c>
      <c r="V28" s="83">
        <f t="shared" si="4"/>
        <v>2</v>
      </c>
      <c r="W28" s="84">
        <f t="shared" si="5"/>
        <v>84</v>
      </c>
      <c r="X28" s="84" t="s">
        <v>181</v>
      </c>
      <c r="Y28" s="24" t="s">
        <v>176</v>
      </c>
    </row>
    <row r="29" spans="1:25" s="24" customFormat="1" ht="11.1" customHeight="1" x14ac:dyDescent="0.2">
      <c r="A29" s="76">
        <f t="shared" si="6"/>
        <v>27</v>
      </c>
      <c r="B29" s="77" t="s">
        <v>165</v>
      </c>
      <c r="C29" s="76" t="str">
        <f>IF($B29&lt;&gt;"",_xlfn.IFNA(VLOOKUP($B29,'Node Details'!$B:$U,C$1,0),"Check"),"")</f>
        <v>AXZ030104-AXZ030106</v>
      </c>
      <c r="D29" s="76" t="str">
        <f>IF($B29&lt;&gt;"",_xlfn.IFNA(VLOOKUP($B29,'Node Details'!$B:$U,D$1,0),"Check"),"")</f>
        <v>AXZ</v>
      </c>
      <c r="E29" s="76" t="str">
        <f>IF($B29&lt;&gt;"",_xlfn.IFNA(VLOOKUP($B29,'Node Details'!$B:$U,E$1,0),"Check"),"")</f>
        <v>Airtel</v>
      </c>
      <c r="F29" s="78">
        <v>46110</v>
      </c>
      <c r="G29" s="76"/>
      <c r="H29" s="9" t="s">
        <v>22</v>
      </c>
      <c r="I29" s="9">
        <v>2</v>
      </c>
      <c r="J29" s="9">
        <v>42</v>
      </c>
      <c r="K29" s="79">
        <f t="shared" si="0"/>
        <v>84</v>
      </c>
      <c r="L29" s="78">
        <v>46110</v>
      </c>
      <c r="N29" s="85"/>
      <c r="O29" s="86"/>
      <c r="P29" s="83">
        <f t="shared" si="1"/>
        <v>42</v>
      </c>
      <c r="Q29" s="83">
        <f t="shared" si="2"/>
        <v>84</v>
      </c>
      <c r="R29" s="83"/>
      <c r="S29" s="83"/>
      <c r="T29" s="87"/>
      <c r="U29" s="83">
        <f t="shared" si="3"/>
        <v>42</v>
      </c>
      <c r="V29" s="83">
        <f t="shared" si="4"/>
        <v>2</v>
      </c>
      <c r="W29" s="84">
        <f t="shared" si="5"/>
        <v>84</v>
      </c>
      <c r="X29" s="84" t="s">
        <v>181</v>
      </c>
      <c r="Y29" s="24" t="s">
        <v>176</v>
      </c>
    </row>
    <row r="30" spans="1:25" s="24" customFormat="1" ht="11.1" customHeight="1" x14ac:dyDescent="0.2">
      <c r="A30" s="76">
        <f t="shared" si="6"/>
        <v>28</v>
      </c>
      <c r="B30" s="77" t="s">
        <v>166</v>
      </c>
      <c r="C30" s="76" t="str">
        <f>IF($B30&lt;&gt;"",_xlfn.IFNA(VLOOKUP($B30,'Node Details'!$B:$U,C$1,0),"Check"),"")</f>
        <v>0000AXZ03-AXZ030201</v>
      </c>
      <c r="D30" s="76" t="str">
        <f>IF($B30&lt;&gt;"",_xlfn.IFNA(VLOOKUP($B30,'Node Details'!$B:$U,D$1,0),"Check"),"")</f>
        <v>AXZ</v>
      </c>
      <c r="E30" s="76" t="str">
        <f>IF($B30&lt;&gt;"",_xlfn.IFNA(VLOOKUP($B30,'Node Details'!$B:$U,E$1,0),"Check"),"")</f>
        <v>Airtel</v>
      </c>
      <c r="F30" s="78">
        <v>46110</v>
      </c>
      <c r="G30" s="76"/>
      <c r="H30" s="9" t="s">
        <v>22</v>
      </c>
      <c r="I30" s="9">
        <v>2</v>
      </c>
      <c r="J30" s="9">
        <v>42</v>
      </c>
      <c r="K30" s="79">
        <f t="shared" si="0"/>
        <v>84</v>
      </c>
      <c r="L30" s="78">
        <v>46110</v>
      </c>
      <c r="N30" s="85"/>
      <c r="O30" s="86"/>
      <c r="P30" s="83">
        <f t="shared" si="1"/>
        <v>42</v>
      </c>
      <c r="Q30" s="83">
        <f t="shared" si="2"/>
        <v>84</v>
      </c>
      <c r="R30" s="83"/>
      <c r="S30" s="83"/>
      <c r="T30" s="87"/>
      <c r="U30" s="83">
        <f t="shared" si="3"/>
        <v>42</v>
      </c>
      <c r="V30" s="83">
        <f t="shared" si="4"/>
        <v>2</v>
      </c>
      <c r="W30" s="84">
        <f t="shared" si="5"/>
        <v>84</v>
      </c>
      <c r="X30" s="84" t="s">
        <v>181</v>
      </c>
      <c r="Y30" s="24" t="s">
        <v>176</v>
      </c>
    </row>
    <row r="31" spans="1:25" s="24" customFormat="1" ht="11.1" customHeight="1" x14ac:dyDescent="0.2">
      <c r="A31" s="76">
        <f t="shared" si="6"/>
        <v>29</v>
      </c>
      <c r="B31" s="77" t="s">
        <v>167</v>
      </c>
      <c r="C31" s="76" t="str">
        <f>IF($B31&lt;&gt;"",_xlfn.IFNA(VLOOKUP($B31,'Node Details'!$B:$U,C$1,0),"Check"),"")</f>
        <v>0000AXZ03-AXZ030201</v>
      </c>
      <c r="D31" s="76" t="str">
        <f>IF($B31&lt;&gt;"",_xlfn.IFNA(VLOOKUP($B31,'Node Details'!$B:$U,D$1,0),"Check"),"")</f>
        <v>AXZ</v>
      </c>
      <c r="E31" s="76" t="str">
        <f>IF($B31&lt;&gt;"",_xlfn.IFNA(VLOOKUP($B31,'Node Details'!$B:$U,E$1,0),"Check"),"")</f>
        <v>Airtel</v>
      </c>
      <c r="F31" s="78">
        <v>46110</v>
      </c>
      <c r="G31" s="76"/>
      <c r="H31" s="9" t="s">
        <v>22</v>
      </c>
      <c r="I31" s="9">
        <v>2</v>
      </c>
      <c r="J31" s="9">
        <v>42</v>
      </c>
      <c r="K31" s="79">
        <f t="shared" si="0"/>
        <v>84</v>
      </c>
      <c r="L31" s="78">
        <v>46110</v>
      </c>
      <c r="N31" s="85"/>
      <c r="O31" s="86"/>
      <c r="P31" s="83">
        <f t="shared" si="1"/>
        <v>42</v>
      </c>
      <c r="Q31" s="83">
        <f t="shared" si="2"/>
        <v>84</v>
      </c>
      <c r="R31" s="83"/>
      <c r="S31" s="83"/>
      <c r="T31" s="87"/>
      <c r="U31" s="83">
        <f t="shared" si="3"/>
        <v>42</v>
      </c>
      <c r="V31" s="83">
        <f t="shared" si="4"/>
        <v>2</v>
      </c>
      <c r="W31" s="84">
        <f t="shared" si="5"/>
        <v>84</v>
      </c>
      <c r="X31" s="84" t="s">
        <v>181</v>
      </c>
      <c r="Y31" s="24" t="s">
        <v>176</v>
      </c>
    </row>
    <row r="32" spans="1:25" s="24" customFormat="1" ht="11.1" customHeight="1" x14ac:dyDescent="0.2">
      <c r="A32" s="76">
        <f t="shared" si="6"/>
        <v>30</v>
      </c>
      <c r="B32" s="77" t="s">
        <v>168</v>
      </c>
      <c r="C32" s="76" t="str">
        <f>IF($B32&lt;&gt;"",_xlfn.IFNA(VLOOKUP($B32,'Node Details'!$B:$U,C$1,0),"Check"),"")</f>
        <v>0000AXZ03-AXZ030201</v>
      </c>
      <c r="D32" s="76" t="str">
        <f>IF($B32&lt;&gt;"",_xlfn.IFNA(VLOOKUP($B32,'Node Details'!$B:$U,D$1,0),"Check"),"")</f>
        <v>AXZ</v>
      </c>
      <c r="E32" s="76" t="str">
        <f>IF($B32&lt;&gt;"",_xlfn.IFNA(VLOOKUP($B32,'Node Details'!$B:$U,E$1,0),"Check"),"")</f>
        <v>Airtel</v>
      </c>
      <c r="F32" s="78">
        <v>46110</v>
      </c>
      <c r="G32" s="76"/>
      <c r="H32" s="9" t="s">
        <v>22</v>
      </c>
      <c r="I32" s="9">
        <v>2</v>
      </c>
      <c r="J32" s="9">
        <v>42</v>
      </c>
      <c r="K32" s="79">
        <f t="shared" si="0"/>
        <v>84</v>
      </c>
      <c r="L32" s="78">
        <v>46110</v>
      </c>
      <c r="N32" s="85"/>
      <c r="O32" s="86"/>
      <c r="P32" s="83">
        <f t="shared" si="1"/>
        <v>42</v>
      </c>
      <c r="Q32" s="83">
        <f t="shared" si="2"/>
        <v>84</v>
      </c>
      <c r="R32" s="83"/>
      <c r="S32" s="83"/>
      <c r="T32" s="87"/>
      <c r="U32" s="83">
        <f t="shared" si="3"/>
        <v>42</v>
      </c>
      <c r="V32" s="83">
        <f t="shared" si="4"/>
        <v>2</v>
      </c>
      <c r="W32" s="84">
        <f t="shared" si="5"/>
        <v>84</v>
      </c>
      <c r="X32" s="84" t="s">
        <v>181</v>
      </c>
      <c r="Y32" s="24" t="s">
        <v>176</v>
      </c>
    </row>
    <row r="33" spans="1:25" s="24" customFormat="1" ht="11.1" customHeight="1" x14ac:dyDescent="0.2">
      <c r="A33" s="76">
        <f t="shared" si="6"/>
        <v>31</v>
      </c>
      <c r="B33" s="77" t="s">
        <v>169</v>
      </c>
      <c r="C33" s="76" t="str">
        <f>IF($B33&lt;&gt;"",_xlfn.IFNA(VLOOKUP($B33,'Node Details'!$B:$U,C$1,0),"Check"),"")</f>
        <v>AXZ030201-AXZ030205</v>
      </c>
      <c r="D33" s="76" t="str">
        <f>IF($B33&lt;&gt;"",_xlfn.IFNA(VLOOKUP($B33,'Node Details'!$B:$U,D$1,0),"Check"),"")</f>
        <v>AXZ</v>
      </c>
      <c r="E33" s="76" t="str">
        <f>IF($B33&lt;&gt;"",_xlfn.IFNA(VLOOKUP($B33,'Node Details'!$B:$U,E$1,0),"Check"),"")</f>
        <v>Airtel</v>
      </c>
      <c r="F33" s="78">
        <v>46110</v>
      </c>
      <c r="G33" s="76"/>
      <c r="H33" s="9" t="s">
        <v>22</v>
      </c>
      <c r="I33" s="9">
        <v>2</v>
      </c>
      <c r="J33" s="9">
        <v>42</v>
      </c>
      <c r="K33" s="79">
        <f t="shared" si="0"/>
        <v>84</v>
      </c>
      <c r="L33" s="78">
        <v>46110</v>
      </c>
      <c r="N33" s="85"/>
      <c r="O33" s="86"/>
      <c r="P33" s="83">
        <f t="shared" si="1"/>
        <v>42</v>
      </c>
      <c r="Q33" s="83">
        <f t="shared" si="2"/>
        <v>84</v>
      </c>
      <c r="R33" s="83"/>
      <c r="S33" s="83"/>
      <c r="T33" s="87"/>
      <c r="U33" s="83">
        <f t="shared" si="3"/>
        <v>42</v>
      </c>
      <c r="V33" s="83">
        <f t="shared" si="4"/>
        <v>2</v>
      </c>
      <c r="W33" s="84">
        <f t="shared" si="5"/>
        <v>84</v>
      </c>
      <c r="X33" s="84" t="s">
        <v>181</v>
      </c>
      <c r="Y33" s="24" t="s">
        <v>176</v>
      </c>
    </row>
    <row r="34" spans="1:25" s="24" customFormat="1" ht="11.1" customHeight="1" x14ac:dyDescent="0.2">
      <c r="A34" s="76">
        <f t="shared" si="6"/>
        <v>32</v>
      </c>
      <c r="B34" s="77" t="s">
        <v>170</v>
      </c>
      <c r="C34" s="76" t="str">
        <f>IF($B34&lt;&gt;"",_xlfn.IFNA(VLOOKUP($B34,'Node Details'!$B:$U,C$1,0),"Check"),"")</f>
        <v>AXZ030201-AXZ030205</v>
      </c>
      <c r="D34" s="76" t="str">
        <f>IF($B34&lt;&gt;"",_xlfn.IFNA(VLOOKUP($B34,'Node Details'!$B:$U,D$1,0),"Check"),"")</f>
        <v>AXZ</v>
      </c>
      <c r="E34" s="76" t="str">
        <f>IF($B34&lt;&gt;"",_xlfn.IFNA(VLOOKUP($B34,'Node Details'!$B:$U,E$1,0),"Check"),"")</f>
        <v>Airtel</v>
      </c>
      <c r="F34" s="78">
        <v>46110</v>
      </c>
      <c r="G34" s="76"/>
      <c r="H34" s="9" t="s">
        <v>22</v>
      </c>
      <c r="I34" s="9">
        <v>2</v>
      </c>
      <c r="J34" s="9">
        <v>42</v>
      </c>
      <c r="K34" s="79">
        <f t="shared" si="0"/>
        <v>84</v>
      </c>
      <c r="L34" s="78">
        <v>46110</v>
      </c>
      <c r="N34" s="85"/>
      <c r="O34" s="86"/>
      <c r="P34" s="83">
        <f t="shared" si="1"/>
        <v>42</v>
      </c>
      <c r="Q34" s="83">
        <f t="shared" si="2"/>
        <v>84</v>
      </c>
      <c r="R34" s="83"/>
      <c r="S34" s="83"/>
      <c r="T34" s="87"/>
      <c r="U34" s="83">
        <f t="shared" si="3"/>
        <v>42</v>
      </c>
      <c r="V34" s="83">
        <f t="shared" si="4"/>
        <v>2</v>
      </c>
      <c r="W34" s="84">
        <f t="shared" si="5"/>
        <v>84</v>
      </c>
      <c r="X34" s="84" t="s">
        <v>181</v>
      </c>
      <c r="Y34" s="24" t="s">
        <v>176</v>
      </c>
    </row>
    <row r="35" spans="1:25" s="24" customFormat="1" ht="11.1" customHeight="1" x14ac:dyDescent="0.2">
      <c r="A35" s="76">
        <f t="shared" si="6"/>
        <v>33</v>
      </c>
      <c r="B35" s="77" t="s">
        <v>171</v>
      </c>
      <c r="C35" s="76" t="str">
        <f>IF($B35&lt;&gt;"",_xlfn.IFNA(VLOOKUP($B35,'Node Details'!$B:$U,C$1,0),"Check"),"")</f>
        <v>AXZ030201-AXZ030205</v>
      </c>
      <c r="D35" s="76" t="str">
        <f>IF($B35&lt;&gt;"",_xlfn.IFNA(VLOOKUP($B35,'Node Details'!$B:$U,D$1,0),"Check"),"")</f>
        <v>AXZ</v>
      </c>
      <c r="E35" s="76" t="str">
        <f>IF($B35&lt;&gt;"",_xlfn.IFNA(VLOOKUP($B35,'Node Details'!$B:$U,E$1,0),"Check"),"")</f>
        <v>Airtel</v>
      </c>
      <c r="F35" s="78">
        <v>46110</v>
      </c>
      <c r="G35" s="76"/>
      <c r="H35" s="9" t="s">
        <v>22</v>
      </c>
      <c r="I35" s="9">
        <v>2</v>
      </c>
      <c r="J35" s="9">
        <v>42</v>
      </c>
      <c r="K35" s="79">
        <f t="shared" si="0"/>
        <v>84</v>
      </c>
      <c r="L35" s="78">
        <v>46110</v>
      </c>
      <c r="N35" s="85"/>
      <c r="O35" s="86"/>
      <c r="P35" s="83">
        <f t="shared" si="1"/>
        <v>42</v>
      </c>
      <c r="Q35" s="83">
        <f t="shared" si="2"/>
        <v>84</v>
      </c>
      <c r="R35" s="83"/>
      <c r="S35" s="83"/>
      <c r="T35" s="87"/>
      <c r="U35" s="83">
        <f t="shared" si="3"/>
        <v>42</v>
      </c>
      <c r="V35" s="83">
        <f t="shared" si="4"/>
        <v>2</v>
      </c>
      <c r="W35" s="84">
        <f t="shared" si="5"/>
        <v>84</v>
      </c>
      <c r="X35" s="84" t="s">
        <v>181</v>
      </c>
      <c r="Y35" s="24" t="s">
        <v>176</v>
      </c>
    </row>
    <row r="36" spans="1:25" s="24" customFormat="1" ht="11.1" customHeight="1" x14ac:dyDescent="0.2">
      <c r="A36" s="76">
        <f t="shared" si="6"/>
        <v>34</v>
      </c>
      <c r="B36" s="77" t="s">
        <v>172</v>
      </c>
      <c r="C36" s="76" t="str">
        <f>IF($B36&lt;&gt;"",_xlfn.IFNA(VLOOKUP($B36,'Node Details'!$B:$U,C$1,0),"Check"),"")</f>
        <v>AXZ030201-AXZ030205</v>
      </c>
      <c r="D36" s="76" t="str">
        <f>IF($B36&lt;&gt;"",_xlfn.IFNA(VLOOKUP($B36,'Node Details'!$B:$U,D$1,0),"Check"),"")</f>
        <v>AXZ</v>
      </c>
      <c r="E36" s="76" t="str">
        <f>IF($B36&lt;&gt;"",_xlfn.IFNA(VLOOKUP($B36,'Node Details'!$B:$U,E$1,0),"Check"),"")</f>
        <v>Airtel</v>
      </c>
      <c r="F36" s="78">
        <v>46110</v>
      </c>
      <c r="G36" s="76"/>
      <c r="H36" s="9" t="s">
        <v>22</v>
      </c>
      <c r="I36" s="9">
        <v>2</v>
      </c>
      <c r="J36" s="9">
        <v>42</v>
      </c>
      <c r="K36" s="79">
        <f t="shared" si="0"/>
        <v>84</v>
      </c>
      <c r="L36" s="78">
        <v>46110</v>
      </c>
      <c r="N36" s="85"/>
      <c r="O36" s="86"/>
      <c r="P36" s="83">
        <f t="shared" si="1"/>
        <v>42</v>
      </c>
      <c r="Q36" s="83">
        <f t="shared" si="2"/>
        <v>84</v>
      </c>
      <c r="R36" s="83"/>
      <c r="S36" s="83"/>
      <c r="T36" s="87"/>
      <c r="U36" s="83">
        <f t="shared" si="3"/>
        <v>42</v>
      </c>
      <c r="V36" s="83">
        <f t="shared" si="4"/>
        <v>2</v>
      </c>
      <c r="W36" s="84">
        <f t="shared" si="5"/>
        <v>84</v>
      </c>
      <c r="X36" s="84" t="s">
        <v>181</v>
      </c>
      <c r="Y36" s="24" t="s">
        <v>176</v>
      </c>
    </row>
    <row r="37" spans="1:25" s="24" customFormat="1" ht="11.1" customHeight="1" x14ac:dyDescent="0.2">
      <c r="A37" s="76">
        <f t="shared" si="6"/>
        <v>35</v>
      </c>
      <c r="B37" s="77" t="s">
        <v>136</v>
      </c>
      <c r="C37" s="76" t="str">
        <f>IF($B37&lt;&gt;"",_xlfn.IFNA(VLOOKUP($B37,'Node Details'!$B:$U,C$1,0),"Check"),"")</f>
        <v>000000AXZ-0000AXZ01</v>
      </c>
      <c r="D37" s="76" t="str">
        <f>IF($B37&lt;&gt;"",_xlfn.IFNA(VLOOKUP($B37,'Node Details'!$B:$U,D$1,0),"Check"),"")</f>
        <v>AXZ</v>
      </c>
      <c r="E37" s="76" t="str">
        <f>IF($B37&lt;&gt;"",_xlfn.IFNA(VLOOKUP($B37,'Node Details'!$B:$U,E$1,0),"Check"),"")</f>
        <v>Airtel</v>
      </c>
      <c r="F37" s="78">
        <v>46110</v>
      </c>
      <c r="G37" s="76"/>
      <c r="H37" s="9" t="s">
        <v>177</v>
      </c>
      <c r="I37" s="9">
        <v>2</v>
      </c>
      <c r="J37" s="9">
        <v>650</v>
      </c>
      <c r="K37" s="79">
        <f t="shared" si="0"/>
        <v>1300</v>
      </c>
      <c r="L37" s="78">
        <v>46110</v>
      </c>
      <c r="N37" s="85"/>
      <c r="O37" s="86"/>
      <c r="P37" s="83">
        <f t="shared" si="1"/>
        <v>650</v>
      </c>
      <c r="Q37" s="83">
        <f t="shared" si="2"/>
        <v>1300</v>
      </c>
      <c r="R37" s="83"/>
      <c r="S37" s="83"/>
      <c r="T37" s="87"/>
      <c r="U37" s="83">
        <f t="shared" si="3"/>
        <v>650</v>
      </c>
      <c r="V37" s="83">
        <f t="shared" si="4"/>
        <v>2</v>
      </c>
      <c r="W37" s="84">
        <f t="shared" si="5"/>
        <v>1300</v>
      </c>
      <c r="X37" s="84" t="s">
        <v>181</v>
      </c>
      <c r="Y37" s="24" t="s">
        <v>176</v>
      </c>
    </row>
    <row r="38" spans="1:25" s="24" customFormat="1" ht="11.1" customHeight="1" x14ac:dyDescent="0.2">
      <c r="A38" s="76">
        <f t="shared" si="6"/>
        <v>36</v>
      </c>
      <c r="B38" s="77" t="s">
        <v>147</v>
      </c>
      <c r="C38" s="76" t="str">
        <f>IF($B38&lt;&gt;"",_xlfn.IFNA(VLOOKUP($B38,'Node Details'!$B:$U,C$1,0),"Check"),"")</f>
        <v>000000AXZ-0000AXZ03</v>
      </c>
      <c r="D38" s="76" t="str">
        <f>IF($B38&lt;&gt;"",_xlfn.IFNA(VLOOKUP($B38,'Node Details'!$B:$U,D$1,0),"Check"),"")</f>
        <v>AXZ</v>
      </c>
      <c r="E38" s="76" t="str">
        <f>IF($B38&lt;&gt;"",_xlfn.IFNA(VLOOKUP($B38,'Node Details'!$B:$U,E$1,0),"Check"),"")</f>
        <v>Airtel</v>
      </c>
      <c r="F38" s="78">
        <v>46110</v>
      </c>
      <c r="G38" s="76"/>
      <c r="H38" s="9" t="s">
        <v>177</v>
      </c>
      <c r="I38" s="9">
        <v>2</v>
      </c>
      <c r="J38" s="9">
        <v>650</v>
      </c>
      <c r="K38" s="79">
        <f t="shared" si="0"/>
        <v>1300</v>
      </c>
      <c r="L38" s="78">
        <v>46110</v>
      </c>
      <c r="N38" s="85"/>
      <c r="O38" s="86"/>
      <c r="P38" s="83">
        <f t="shared" si="1"/>
        <v>650</v>
      </c>
      <c r="Q38" s="83">
        <f t="shared" si="2"/>
        <v>1300</v>
      </c>
      <c r="R38" s="83"/>
      <c r="S38" s="83"/>
      <c r="T38" s="87"/>
      <c r="U38" s="83">
        <f t="shared" si="3"/>
        <v>650</v>
      </c>
      <c r="V38" s="83">
        <f t="shared" si="4"/>
        <v>2</v>
      </c>
      <c r="W38" s="84">
        <f t="shared" si="5"/>
        <v>1300</v>
      </c>
      <c r="X38" s="84" t="s">
        <v>181</v>
      </c>
      <c r="Y38" s="24" t="s">
        <v>176</v>
      </c>
    </row>
    <row r="39" spans="1:25" s="24" customFormat="1" ht="11.1" customHeight="1" x14ac:dyDescent="0.2">
      <c r="A39" s="76">
        <f t="shared" si="6"/>
        <v>37</v>
      </c>
      <c r="B39" s="77" t="s">
        <v>159</v>
      </c>
      <c r="C39" s="76" t="str">
        <f>IF($B39&lt;&gt;"",_xlfn.IFNA(VLOOKUP($B39,'Node Details'!$B:$U,C$1,0),"Check"),"")</f>
        <v>000000AXZ-0000AXZ03</v>
      </c>
      <c r="D39" s="76" t="str">
        <f>IF($B39&lt;&gt;"",_xlfn.IFNA(VLOOKUP($B39,'Node Details'!$B:$U,D$1,0),"Check"),"")</f>
        <v>AXZ</v>
      </c>
      <c r="E39" s="76" t="str">
        <f>IF($B39&lt;&gt;"",_xlfn.IFNA(VLOOKUP($B39,'Node Details'!$B:$U,E$1,0),"Check"),"")</f>
        <v>Airtel</v>
      </c>
      <c r="F39" s="78">
        <v>46110</v>
      </c>
      <c r="G39" s="76"/>
      <c r="H39" s="9" t="s">
        <v>177</v>
      </c>
      <c r="I39" s="9">
        <v>2</v>
      </c>
      <c r="J39" s="9">
        <v>650</v>
      </c>
      <c r="K39" s="79">
        <f t="shared" si="0"/>
        <v>1300</v>
      </c>
      <c r="L39" s="78">
        <v>46110</v>
      </c>
      <c r="N39" s="85"/>
      <c r="O39" s="86"/>
      <c r="P39" s="83">
        <f t="shared" si="1"/>
        <v>650</v>
      </c>
      <c r="Q39" s="83">
        <f t="shared" si="2"/>
        <v>1300</v>
      </c>
      <c r="R39" s="83"/>
      <c r="S39" s="83"/>
      <c r="T39" s="87"/>
      <c r="U39" s="83">
        <f t="shared" si="3"/>
        <v>650</v>
      </c>
      <c r="V39" s="83">
        <f t="shared" si="4"/>
        <v>2</v>
      </c>
      <c r="W39" s="84">
        <f t="shared" si="5"/>
        <v>1300</v>
      </c>
      <c r="X39" s="84" t="s">
        <v>181</v>
      </c>
      <c r="Y39" s="24" t="s">
        <v>176</v>
      </c>
    </row>
    <row r="40" spans="1:25" s="24" customFormat="1" ht="11.1" customHeight="1" x14ac:dyDescent="0.2">
      <c r="A40" s="76">
        <f t="shared" si="6"/>
        <v>38</v>
      </c>
      <c r="B40" s="77" t="s">
        <v>137</v>
      </c>
      <c r="C40" s="76" t="str">
        <f>IF($B40&lt;&gt;"",_xlfn.IFNA(VLOOKUP($B40,'Node Details'!$B:$U,C$1,0),"Check"),"")</f>
        <v>0000AXZ01-AXZ010101</v>
      </c>
      <c r="D40" s="76" t="str">
        <f>IF($B40&lt;&gt;"",_xlfn.IFNA(VLOOKUP($B40,'Node Details'!$B:$U,D$1,0),"Check"),"")</f>
        <v>AXZ</v>
      </c>
      <c r="E40" s="76" t="str">
        <f>IF($B40&lt;&gt;"",_xlfn.IFNA(VLOOKUP($B40,'Node Details'!$B:$U,E$1,0),"Check"),"")</f>
        <v>Airtel</v>
      </c>
      <c r="F40" s="78">
        <v>46110</v>
      </c>
      <c r="G40" s="76"/>
      <c r="H40" s="9" t="s">
        <v>178</v>
      </c>
      <c r="I40" s="9">
        <v>1</v>
      </c>
      <c r="J40" s="9">
        <v>950</v>
      </c>
      <c r="K40" s="79">
        <f t="shared" si="0"/>
        <v>950</v>
      </c>
      <c r="L40" s="78">
        <v>46110</v>
      </c>
      <c r="N40" s="85"/>
      <c r="O40" s="86"/>
      <c r="P40" s="83">
        <f t="shared" si="1"/>
        <v>950</v>
      </c>
      <c r="Q40" s="83">
        <f t="shared" si="2"/>
        <v>950</v>
      </c>
      <c r="R40" s="83"/>
      <c r="S40" s="83"/>
      <c r="T40" s="87"/>
      <c r="U40" s="83">
        <f t="shared" si="3"/>
        <v>950</v>
      </c>
      <c r="V40" s="83">
        <f t="shared" si="4"/>
        <v>1</v>
      </c>
      <c r="W40" s="84">
        <f t="shared" si="5"/>
        <v>950</v>
      </c>
      <c r="X40" s="84" t="s">
        <v>181</v>
      </c>
      <c r="Y40" s="24" t="s">
        <v>176</v>
      </c>
    </row>
    <row r="41" spans="1:25" s="24" customFormat="1" ht="11.1" customHeight="1" x14ac:dyDescent="0.2">
      <c r="A41" s="76">
        <f t="shared" si="6"/>
        <v>39</v>
      </c>
      <c r="B41" s="77" t="s">
        <v>138</v>
      </c>
      <c r="C41" s="76" t="str">
        <f>IF($B41&lt;&gt;"",_xlfn.IFNA(VLOOKUP($B41,'Node Details'!$B:$U,C$1,0),"Check"),"")</f>
        <v>0000AXZ01-AXZ010102</v>
      </c>
      <c r="D41" s="76" t="str">
        <f>IF($B41&lt;&gt;"",_xlfn.IFNA(VLOOKUP($B41,'Node Details'!$B:$U,D$1,0),"Check"),"")</f>
        <v>AXZ</v>
      </c>
      <c r="E41" s="76" t="str">
        <f>IF($B41&lt;&gt;"",_xlfn.IFNA(VLOOKUP($B41,'Node Details'!$B:$U,E$1,0),"Check"),"")</f>
        <v>Airtel</v>
      </c>
      <c r="F41" s="78">
        <v>46110</v>
      </c>
      <c r="G41" s="76"/>
      <c r="H41" s="9" t="s">
        <v>179</v>
      </c>
      <c r="I41" s="9">
        <v>1</v>
      </c>
      <c r="J41" s="9">
        <v>375</v>
      </c>
      <c r="K41" s="79">
        <f t="shared" si="0"/>
        <v>375</v>
      </c>
      <c r="L41" s="78">
        <v>46110</v>
      </c>
      <c r="N41" s="85"/>
      <c r="O41" s="86"/>
      <c r="P41" s="83">
        <f t="shared" si="1"/>
        <v>375</v>
      </c>
      <c r="Q41" s="83">
        <f t="shared" si="2"/>
        <v>375</v>
      </c>
      <c r="R41" s="83"/>
      <c r="S41" s="83"/>
      <c r="T41" s="87"/>
      <c r="U41" s="83">
        <f t="shared" si="3"/>
        <v>375</v>
      </c>
      <c r="V41" s="83">
        <f t="shared" si="4"/>
        <v>1</v>
      </c>
      <c r="W41" s="84">
        <f t="shared" si="5"/>
        <v>375</v>
      </c>
      <c r="X41" s="84" t="s">
        <v>181</v>
      </c>
      <c r="Y41" s="24" t="s">
        <v>176</v>
      </c>
    </row>
    <row r="42" spans="1:25" s="24" customFormat="1" ht="11.1" customHeight="1" x14ac:dyDescent="0.2">
      <c r="A42" s="76">
        <f t="shared" si="6"/>
        <v>40</v>
      </c>
      <c r="B42" s="77" t="s">
        <v>139</v>
      </c>
      <c r="C42" s="76" t="str">
        <f>IF($B42&lt;&gt;"",_xlfn.IFNA(VLOOKUP($B42,'Node Details'!$B:$U,C$1,0),"Check"),"")</f>
        <v>0000AXZ01-AXZ010105</v>
      </c>
      <c r="D42" s="76" t="str">
        <f>IF($B42&lt;&gt;"",_xlfn.IFNA(VLOOKUP($B42,'Node Details'!$B:$U,D$1,0),"Check"),"")</f>
        <v>AXZ</v>
      </c>
      <c r="E42" s="76" t="str">
        <f>IF($B42&lt;&gt;"",_xlfn.IFNA(VLOOKUP($B42,'Node Details'!$B:$U,E$1,0),"Check"),"")</f>
        <v>Airtel</v>
      </c>
      <c r="F42" s="78">
        <v>46110</v>
      </c>
      <c r="G42" s="76"/>
      <c r="H42" s="9" t="s">
        <v>179</v>
      </c>
      <c r="I42" s="9">
        <v>1</v>
      </c>
      <c r="J42" s="9">
        <v>375</v>
      </c>
      <c r="K42" s="79">
        <f t="shared" si="0"/>
        <v>375</v>
      </c>
      <c r="L42" s="78">
        <v>46110</v>
      </c>
      <c r="N42" s="85"/>
      <c r="O42" s="86"/>
      <c r="P42" s="83">
        <f t="shared" si="1"/>
        <v>375</v>
      </c>
      <c r="Q42" s="83">
        <f t="shared" si="2"/>
        <v>375</v>
      </c>
      <c r="R42" s="83"/>
      <c r="S42" s="83"/>
      <c r="T42" s="87"/>
      <c r="U42" s="83">
        <f t="shared" si="3"/>
        <v>375</v>
      </c>
      <c r="V42" s="83">
        <f t="shared" si="4"/>
        <v>1</v>
      </c>
      <c r="W42" s="84">
        <f t="shared" si="5"/>
        <v>375</v>
      </c>
      <c r="X42" s="84" t="s">
        <v>181</v>
      </c>
      <c r="Y42" s="24" t="s">
        <v>176</v>
      </c>
    </row>
    <row r="43" spans="1:25" s="24" customFormat="1" ht="11.1" customHeight="1" x14ac:dyDescent="0.2">
      <c r="A43" s="76">
        <f t="shared" si="6"/>
        <v>41</v>
      </c>
      <c r="B43" s="77" t="s">
        <v>140</v>
      </c>
      <c r="C43" s="76" t="str">
        <f>IF($B43&lt;&gt;"",_xlfn.IFNA(VLOOKUP($B43,'Node Details'!$B:$U,C$1,0),"Check"),"")</f>
        <v>0000AXZ01-AXZ010105</v>
      </c>
      <c r="D43" s="76" t="str">
        <f>IF($B43&lt;&gt;"",_xlfn.IFNA(VLOOKUP($B43,'Node Details'!$B:$U,D$1,0),"Check"),"")</f>
        <v>AXZ</v>
      </c>
      <c r="E43" s="76" t="str">
        <f>IF($B43&lt;&gt;"",_xlfn.IFNA(VLOOKUP($B43,'Node Details'!$B:$U,E$1,0),"Check"),"")</f>
        <v>Airtel</v>
      </c>
      <c r="F43" s="78">
        <v>46110</v>
      </c>
      <c r="G43" s="76"/>
      <c r="H43" s="9" t="s">
        <v>179</v>
      </c>
      <c r="I43" s="9">
        <v>1</v>
      </c>
      <c r="J43" s="9">
        <v>375</v>
      </c>
      <c r="K43" s="79">
        <f t="shared" si="0"/>
        <v>375</v>
      </c>
      <c r="L43" s="78">
        <v>46110</v>
      </c>
      <c r="N43" s="85"/>
      <c r="O43" s="86"/>
      <c r="P43" s="83">
        <f t="shared" si="1"/>
        <v>375</v>
      </c>
      <c r="Q43" s="83">
        <f t="shared" si="2"/>
        <v>375</v>
      </c>
      <c r="R43" s="83"/>
      <c r="S43" s="83"/>
      <c r="T43" s="87"/>
      <c r="U43" s="83">
        <f t="shared" si="3"/>
        <v>375</v>
      </c>
      <c r="V43" s="83">
        <f t="shared" si="4"/>
        <v>1</v>
      </c>
      <c r="W43" s="84">
        <f t="shared" si="5"/>
        <v>375</v>
      </c>
      <c r="X43" s="84" t="s">
        <v>181</v>
      </c>
      <c r="Y43" s="24" t="s">
        <v>176</v>
      </c>
    </row>
    <row r="44" spans="1:25" s="24" customFormat="1" ht="11.1" customHeight="1" x14ac:dyDescent="0.2">
      <c r="A44" s="76">
        <f t="shared" si="6"/>
        <v>42</v>
      </c>
      <c r="B44" s="77" t="s">
        <v>141</v>
      </c>
      <c r="C44" s="76" t="str">
        <f>IF($B44&lt;&gt;"",_xlfn.IFNA(VLOOKUP($B44,'Node Details'!$B:$U,C$1,0),"Check"),"")</f>
        <v>0000AXZ01-AXZ010105</v>
      </c>
      <c r="D44" s="76" t="str">
        <f>IF($B44&lt;&gt;"",_xlfn.IFNA(VLOOKUP($B44,'Node Details'!$B:$U,D$1,0),"Check"),"")</f>
        <v>AXZ</v>
      </c>
      <c r="E44" s="76" t="str">
        <f>IF($B44&lt;&gt;"",_xlfn.IFNA(VLOOKUP($B44,'Node Details'!$B:$U,E$1,0),"Check"),"")</f>
        <v>Airtel</v>
      </c>
      <c r="F44" s="78">
        <v>46110</v>
      </c>
      <c r="G44" s="76"/>
      <c r="H44" s="9" t="s">
        <v>179</v>
      </c>
      <c r="I44" s="9">
        <v>1</v>
      </c>
      <c r="J44" s="9">
        <v>375</v>
      </c>
      <c r="K44" s="79">
        <f t="shared" si="0"/>
        <v>375</v>
      </c>
      <c r="L44" s="78">
        <v>46110</v>
      </c>
      <c r="N44" s="85"/>
      <c r="O44" s="86"/>
      <c r="P44" s="83">
        <f t="shared" si="1"/>
        <v>375</v>
      </c>
      <c r="Q44" s="83">
        <f t="shared" si="2"/>
        <v>375</v>
      </c>
      <c r="R44" s="83"/>
      <c r="S44" s="83"/>
      <c r="T44" s="87"/>
      <c r="U44" s="83">
        <f t="shared" si="3"/>
        <v>375</v>
      </c>
      <c r="V44" s="83">
        <f t="shared" si="4"/>
        <v>1</v>
      </c>
      <c r="W44" s="84">
        <f t="shared" si="5"/>
        <v>375</v>
      </c>
      <c r="X44" s="84" t="s">
        <v>181</v>
      </c>
      <c r="Y44" s="24" t="s">
        <v>176</v>
      </c>
    </row>
    <row r="45" spans="1:25" s="24" customFormat="1" ht="11.1" customHeight="1" x14ac:dyDescent="0.2">
      <c r="A45" s="76">
        <f t="shared" si="6"/>
        <v>43</v>
      </c>
      <c r="B45" s="77" t="s">
        <v>142</v>
      </c>
      <c r="C45" s="76" t="str">
        <f>IF($B45&lt;&gt;"",_xlfn.IFNA(VLOOKUP($B45,'Node Details'!$B:$U,C$1,0),"Check"),"")</f>
        <v>0000AXZ01-AXZ010202</v>
      </c>
      <c r="D45" s="76" t="str">
        <f>IF($B45&lt;&gt;"",_xlfn.IFNA(VLOOKUP($B45,'Node Details'!$B:$U,D$1,0),"Check"),"")</f>
        <v>AXZ</v>
      </c>
      <c r="E45" s="76" t="str">
        <f>IF($B45&lt;&gt;"",_xlfn.IFNA(VLOOKUP($B45,'Node Details'!$B:$U,E$1,0),"Check"),"")</f>
        <v>Airtel</v>
      </c>
      <c r="F45" s="78">
        <v>46110</v>
      </c>
      <c r="G45" s="76"/>
      <c r="H45" s="9" t="s">
        <v>178</v>
      </c>
      <c r="I45" s="9">
        <v>1</v>
      </c>
      <c r="J45" s="9">
        <v>950</v>
      </c>
      <c r="K45" s="79">
        <f t="shared" si="0"/>
        <v>950</v>
      </c>
      <c r="L45" s="78">
        <v>46110</v>
      </c>
      <c r="N45" s="85"/>
      <c r="O45" s="86"/>
      <c r="P45" s="83">
        <f t="shared" si="1"/>
        <v>950</v>
      </c>
      <c r="Q45" s="83">
        <f t="shared" si="2"/>
        <v>950</v>
      </c>
      <c r="R45" s="83"/>
      <c r="S45" s="83"/>
      <c r="T45" s="87"/>
      <c r="U45" s="83">
        <f t="shared" si="3"/>
        <v>950</v>
      </c>
      <c r="V45" s="83">
        <f t="shared" si="4"/>
        <v>1</v>
      </c>
      <c r="W45" s="84">
        <f t="shared" si="5"/>
        <v>950</v>
      </c>
      <c r="X45" s="84" t="s">
        <v>181</v>
      </c>
      <c r="Y45" s="24" t="s">
        <v>176</v>
      </c>
    </row>
    <row r="46" spans="1:25" s="24" customFormat="1" ht="11.1" customHeight="1" x14ac:dyDescent="0.2">
      <c r="A46" s="76">
        <f t="shared" si="6"/>
        <v>44</v>
      </c>
      <c r="B46" s="77" t="s">
        <v>143</v>
      </c>
      <c r="C46" s="76" t="str">
        <f>IF($B46&lt;&gt;"",_xlfn.IFNA(VLOOKUP($B46,'Node Details'!$B:$U,C$1,0),"Check"),"")</f>
        <v>0000AXZ01-AXZ010202</v>
      </c>
      <c r="D46" s="76" t="str">
        <f>IF($B46&lt;&gt;"",_xlfn.IFNA(VLOOKUP($B46,'Node Details'!$B:$U,D$1,0),"Check"),"")</f>
        <v>AXZ</v>
      </c>
      <c r="E46" s="76" t="str">
        <f>IF($B46&lt;&gt;"",_xlfn.IFNA(VLOOKUP($B46,'Node Details'!$B:$U,E$1,0),"Check"),"")</f>
        <v>Airtel</v>
      </c>
      <c r="F46" s="78">
        <v>46110</v>
      </c>
      <c r="G46" s="76"/>
      <c r="H46" s="9" t="s">
        <v>179</v>
      </c>
      <c r="I46" s="9">
        <v>1</v>
      </c>
      <c r="J46" s="9">
        <v>375</v>
      </c>
      <c r="K46" s="79">
        <f t="shared" si="0"/>
        <v>375</v>
      </c>
      <c r="L46" s="78">
        <v>46110</v>
      </c>
      <c r="N46" s="85"/>
      <c r="O46" s="86"/>
      <c r="P46" s="83">
        <f t="shared" si="1"/>
        <v>375</v>
      </c>
      <c r="Q46" s="83">
        <f t="shared" si="2"/>
        <v>375</v>
      </c>
      <c r="R46" s="83"/>
      <c r="S46" s="83"/>
      <c r="T46" s="87"/>
      <c r="U46" s="83">
        <f t="shared" si="3"/>
        <v>375</v>
      </c>
      <c r="V46" s="83">
        <f t="shared" si="4"/>
        <v>1</v>
      </c>
      <c r="W46" s="84">
        <f t="shared" si="5"/>
        <v>375</v>
      </c>
      <c r="X46" s="84" t="s">
        <v>181</v>
      </c>
      <c r="Y46" s="24" t="s">
        <v>176</v>
      </c>
    </row>
    <row r="47" spans="1:25" s="24" customFormat="1" ht="11.1" customHeight="1" x14ac:dyDescent="0.2">
      <c r="A47" s="76">
        <f t="shared" si="6"/>
        <v>45</v>
      </c>
      <c r="B47" s="77" t="s">
        <v>144</v>
      </c>
      <c r="C47" s="76" t="str">
        <f>IF($B47&lt;&gt;"",_xlfn.IFNA(VLOOKUP($B47,'Node Details'!$B:$U,C$1,0),"Check"),"")</f>
        <v>0000AXZ01-AXZ010202</v>
      </c>
      <c r="D47" s="76" t="str">
        <f>IF($B47&lt;&gt;"",_xlfn.IFNA(VLOOKUP($B47,'Node Details'!$B:$U,D$1,0),"Check"),"")</f>
        <v>AXZ</v>
      </c>
      <c r="E47" s="76" t="str">
        <f>IF($B47&lt;&gt;"",_xlfn.IFNA(VLOOKUP($B47,'Node Details'!$B:$U,E$1,0),"Check"),"")</f>
        <v>Airtel</v>
      </c>
      <c r="F47" s="78">
        <v>46110</v>
      </c>
      <c r="G47" s="76"/>
      <c r="H47" s="9" t="s">
        <v>179</v>
      </c>
      <c r="I47" s="9">
        <v>1</v>
      </c>
      <c r="J47" s="9">
        <v>375</v>
      </c>
      <c r="K47" s="79">
        <f t="shared" si="0"/>
        <v>375</v>
      </c>
      <c r="L47" s="78">
        <v>46110</v>
      </c>
      <c r="N47" s="85"/>
      <c r="O47" s="86"/>
      <c r="P47" s="83">
        <f t="shared" si="1"/>
        <v>375</v>
      </c>
      <c r="Q47" s="83">
        <f t="shared" si="2"/>
        <v>375</v>
      </c>
      <c r="R47" s="83"/>
      <c r="S47" s="83"/>
      <c r="T47" s="87"/>
      <c r="U47" s="83">
        <f t="shared" si="3"/>
        <v>375</v>
      </c>
      <c r="V47" s="83">
        <f t="shared" si="4"/>
        <v>1</v>
      </c>
      <c r="W47" s="84">
        <f t="shared" si="5"/>
        <v>375</v>
      </c>
      <c r="X47" s="84" t="s">
        <v>181</v>
      </c>
      <c r="Y47" s="24" t="s">
        <v>176</v>
      </c>
    </row>
    <row r="48" spans="1:25" s="24" customFormat="1" ht="11.1" customHeight="1" x14ac:dyDescent="0.2">
      <c r="A48" s="76">
        <f t="shared" si="6"/>
        <v>46</v>
      </c>
      <c r="B48" s="77" t="s">
        <v>145</v>
      </c>
      <c r="C48" s="76" t="str">
        <f>IF($B48&lt;&gt;"",_xlfn.IFNA(VLOOKUP($B48,'Node Details'!$B:$U,C$1,0),"Check"),"")</f>
        <v>0000AXZ01-AXZ010202</v>
      </c>
      <c r="D48" s="76" t="str">
        <f>IF($B48&lt;&gt;"",_xlfn.IFNA(VLOOKUP($B48,'Node Details'!$B:$U,D$1,0),"Check"),"")</f>
        <v>AXZ</v>
      </c>
      <c r="E48" s="76" t="str">
        <f>IF($B48&lt;&gt;"",_xlfn.IFNA(VLOOKUP($B48,'Node Details'!$B:$U,E$1,0),"Check"),"")</f>
        <v>Airtel</v>
      </c>
      <c r="F48" s="78">
        <v>46110</v>
      </c>
      <c r="G48" s="76"/>
      <c r="H48" s="9" t="s">
        <v>179</v>
      </c>
      <c r="I48" s="9">
        <v>1</v>
      </c>
      <c r="J48" s="9">
        <v>375</v>
      </c>
      <c r="K48" s="79">
        <f t="shared" si="0"/>
        <v>375</v>
      </c>
      <c r="L48" s="78">
        <v>46110</v>
      </c>
      <c r="N48" s="85"/>
      <c r="O48" s="86"/>
      <c r="P48" s="83">
        <f t="shared" si="1"/>
        <v>375</v>
      </c>
      <c r="Q48" s="83">
        <f t="shared" si="2"/>
        <v>375</v>
      </c>
      <c r="R48" s="83"/>
      <c r="S48" s="83"/>
      <c r="T48" s="87"/>
      <c r="U48" s="83">
        <f t="shared" si="3"/>
        <v>375</v>
      </c>
      <c r="V48" s="83">
        <f t="shared" si="4"/>
        <v>1</v>
      </c>
      <c r="W48" s="84">
        <f t="shared" si="5"/>
        <v>375</v>
      </c>
      <c r="X48" s="84" t="s">
        <v>181</v>
      </c>
      <c r="Y48" s="24" t="s">
        <v>176</v>
      </c>
    </row>
    <row r="49" spans="1:25" s="24" customFormat="1" ht="11.1" customHeight="1" x14ac:dyDescent="0.2">
      <c r="A49" s="76">
        <f t="shared" si="6"/>
        <v>47</v>
      </c>
      <c r="B49" s="77" t="s">
        <v>146</v>
      </c>
      <c r="C49" s="76" t="str">
        <f>IF($B49&lt;&gt;"",_xlfn.IFNA(VLOOKUP($B49,'Node Details'!$B:$U,C$1,0),"Check"),"")</f>
        <v>0000AXZ01-AXZ010202</v>
      </c>
      <c r="D49" s="76" t="str">
        <f>IF($B49&lt;&gt;"",_xlfn.IFNA(VLOOKUP($B49,'Node Details'!$B:$U,D$1,0),"Check"),"")</f>
        <v>AXZ</v>
      </c>
      <c r="E49" s="76" t="str">
        <f>IF($B49&lt;&gt;"",_xlfn.IFNA(VLOOKUP($B49,'Node Details'!$B:$U,E$1,0),"Check"),"")</f>
        <v>Airtel</v>
      </c>
      <c r="F49" s="78">
        <v>46110</v>
      </c>
      <c r="G49" s="76"/>
      <c r="H49" s="9" t="s">
        <v>179</v>
      </c>
      <c r="I49" s="9">
        <v>1</v>
      </c>
      <c r="J49" s="9">
        <v>375</v>
      </c>
      <c r="K49" s="79">
        <f t="shared" si="0"/>
        <v>375</v>
      </c>
      <c r="L49" s="78">
        <v>46110</v>
      </c>
      <c r="N49" s="85"/>
      <c r="O49" s="86"/>
      <c r="P49" s="83">
        <f t="shared" si="1"/>
        <v>375</v>
      </c>
      <c r="Q49" s="83">
        <f t="shared" si="2"/>
        <v>375</v>
      </c>
      <c r="R49" s="83"/>
      <c r="S49" s="83"/>
      <c r="T49" s="87"/>
      <c r="U49" s="83">
        <f t="shared" si="3"/>
        <v>375</v>
      </c>
      <c r="V49" s="83">
        <f t="shared" si="4"/>
        <v>1</v>
      </c>
      <c r="W49" s="84">
        <f t="shared" si="5"/>
        <v>375</v>
      </c>
      <c r="X49" s="84" t="s">
        <v>181</v>
      </c>
      <c r="Y49" s="24" t="s">
        <v>176</v>
      </c>
    </row>
    <row r="50" spans="1:25" s="24" customFormat="1" ht="11.1" customHeight="1" x14ac:dyDescent="0.2">
      <c r="A50" s="76">
        <f t="shared" si="6"/>
        <v>48</v>
      </c>
      <c r="B50" s="77" t="s">
        <v>148</v>
      </c>
      <c r="C50" s="76" t="str">
        <f>IF($B50&lt;&gt;"",_xlfn.IFNA(VLOOKUP($B50,'Node Details'!$B:$U,C$1,0),"Check"),"")</f>
        <v>0000AXZ02-AXZ020101</v>
      </c>
      <c r="D50" s="76" t="str">
        <f>IF($B50&lt;&gt;"",_xlfn.IFNA(VLOOKUP($B50,'Node Details'!$B:$U,D$1,0),"Check"),"")</f>
        <v>AXZ</v>
      </c>
      <c r="E50" s="76" t="str">
        <f>IF($B50&lt;&gt;"",_xlfn.IFNA(VLOOKUP($B50,'Node Details'!$B:$U,E$1,0),"Check"),"")</f>
        <v>Airtel</v>
      </c>
      <c r="F50" s="78">
        <v>46110</v>
      </c>
      <c r="G50" s="76"/>
      <c r="H50" s="9" t="s">
        <v>179</v>
      </c>
      <c r="I50" s="9">
        <v>1</v>
      </c>
      <c r="J50" s="9">
        <v>375</v>
      </c>
      <c r="K50" s="79">
        <f t="shared" si="0"/>
        <v>375</v>
      </c>
      <c r="L50" s="78">
        <v>46110</v>
      </c>
      <c r="N50" s="85"/>
      <c r="O50" s="86"/>
      <c r="P50" s="83">
        <f t="shared" si="1"/>
        <v>375</v>
      </c>
      <c r="Q50" s="83">
        <f t="shared" si="2"/>
        <v>375</v>
      </c>
      <c r="R50" s="83"/>
      <c r="S50" s="83"/>
      <c r="T50" s="87"/>
      <c r="U50" s="83">
        <f t="shared" si="3"/>
        <v>375</v>
      </c>
      <c r="V50" s="83">
        <f t="shared" si="4"/>
        <v>1</v>
      </c>
      <c r="W50" s="84">
        <f t="shared" si="5"/>
        <v>375</v>
      </c>
      <c r="X50" s="84" t="s">
        <v>181</v>
      </c>
      <c r="Y50" s="24" t="s">
        <v>176</v>
      </c>
    </row>
    <row r="51" spans="1:25" s="24" customFormat="1" ht="11.1" customHeight="1" x14ac:dyDescent="0.2">
      <c r="A51" s="76">
        <f t="shared" si="6"/>
        <v>49</v>
      </c>
      <c r="B51" s="77" t="s">
        <v>149</v>
      </c>
      <c r="C51" s="76" t="str">
        <f>IF($B51&lt;&gt;"",_xlfn.IFNA(VLOOKUP($B51,'Node Details'!$B:$U,C$1,0),"Check"),"")</f>
        <v>0000AXZ02-AXZ020103</v>
      </c>
      <c r="D51" s="76" t="str">
        <f>IF($B51&lt;&gt;"",_xlfn.IFNA(VLOOKUP($B51,'Node Details'!$B:$U,D$1,0),"Check"),"")</f>
        <v>AXZ</v>
      </c>
      <c r="E51" s="76" t="str">
        <f>IF($B51&lt;&gt;"",_xlfn.IFNA(VLOOKUP($B51,'Node Details'!$B:$U,E$1,0),"Check"),"")</f>
        <v>Airtel</v>
      </c>
      <c r="F51" s="78">
        <v>46110</v>
      </c>
      <c r="G51" s="76"/>
      <c r="H51" s="9" t="s">
        <v>179</v>
      </c>
      <c r="I51" s="9">
        <v>1</v>
      </c>
      <c r="J51" s="9">
        <v>375</v>
      </c>
      <c r="K51" s="79">
        <f t="shared" si="0"/>
        <v>375</v>
      </c>
      <c r="L51" s="78">
        <v>46110</v>
      </c>
      <c r="N51" s="85"/>
      <c r="O51" s="86"/>
      <c r="P51" s="83">
        <f t="shared" si="1"/>
        <v>375</v>
      </c>
      <c r="Q51" s="83">
        <f t="shared" si="2"/>
        <v>375</v>
      </c>
      <c r="R51" s="83"/>
      <c r="S51" s="83"/>
      <c r="T51" s="87"/>
      <c r="U51" s="83">
        <f t="shared" si="3"/>
        <v>375</v>
      </c>
      <c r="V51" s="83">
        <f t="shared" si="4"/>
        <v>1</v>
      </c>
      <c r="W51" s="84">
        <f t="shared" si="5"/>
        <v>375</v>
      </c>
      <c r="X51" s="84" t="s">
        <v>181</v>
      </c>
      <c r="Y51" s="24" t="s">
        <v>176</v>
      </c>
    </row>
    <row r="52" spans="1:25" s="24" customFormat="1" ht="11.1" customHeight="1" x14ac:dyDescent="0.2">
      <c r="A52" s="76">
        <f t="shared" si="6"/>
        <v>50</v>
      </c>
      <c r="B52" s="77" t="s">
        <v>150</v>
      </c>
      <c r="C52" s="76" t="str">
        <f>IF($B52&lt;&gt;"",_xlfn.IFNA(VLOOKUP($B52,'Node Details'!$B:$U,C$1,0),"Check"),"")</f>
        <v>0000AXZ02-AXZ020103</v>
      </c>
      <c r="D52" s="76" t="str">
        <f>IF($B52&lt;&gt;"",_xlfn.IFNA(VLOOKUP($B52,'Node Details'!$B:$U,D$1,0),"Check"),"")</f>
        <v>AXZ</v>
      </c>
      <c r="E52" s="76" t="str">
        <f>IF($B52&lt;&gt;"",_xlfn.IFNA(VLOOKUP($B52,'Node Details'!$B:$U,E$1,0),"Check"),"")</f>
        <v>Airtel</v>
      </c>
      <c r="F52" s="78">
        <v>46110</v>
      </c>
      <c r="G52" s="76"/>
      <c r="H52" s="9" t="s">
        <v>179</v>
      </c>
      <c r="I52" s="9">
        <v>1</v>
      </c>
      <c r="J52" s="9">
        <v>375</v>
      </c>
      <c r="K52" s="79">
        <f t="shared" si="0"/>
        <v>375</v>
      </c>
      <c r="L52" s="78">
        <v>46110</v>
      </c>
      <c r="N52" s="85"/>
      <c r="O52" s="86"/>
      <c r="P52" s="83">
        <f t="shared" si="1"/>
        <v>375</v>
      </c>
      <c r="Q52" s="83">
        <f t="shared" si="2"/>
        <v>375</v>
      </c>
      <c r="R52" s="83"/>
      <c r="S52" s="83"/>
      <c r="T52" s="87"/>
      <c r="U52" s="83">
        <f t="shared" si="3"/>
        <v>375</v>
      </c>
      <c r="V52" s="83">
        <f t="shared" si="4"/>
        <v>1</v>
      </c>
      <c r="W52" s="84">
        <f t="shared" si="5"/>
        <v>375</v>
      </c>
      <c r="X52" s="84" t="s">
        <v>181</v>
      </c>
      <c r="Y52" s="24" t="s">
        <v>176</v>
      </c>
    </row>
    <row r="53" spans="1:25" s="24" customFormat="1" ht="11.1" customHeight="1" x14ac:dyDescent="0.2">
      <c r="A53" s="76">
        <f t="shared" si="6"/>
        <v>51</v>
      </c>
      <c r="B53" s="77" t="s">
        <v>151</v>
      </c>
      <c r="C53" s="76" t="str">
        <f>IF($B53&lt;&gt;"",_xlfn.IFNA(VLOOKUP($B53,'Node Details'!$B:$U,C$1,0),"Check"),"")</f>
        <v>0000AXZ02-AXZ020203</v>
      </c>
      <c r="D53" s="76" t="str">
        <f>IF($B53&lt;&gt;"",_xlfn.IFNA(VLOOKUP($B53,'Node Details'!$B:$U,D$1,0),"Check"),"")</f>
        <v>AXZ</v>
      </c>
      <c r="E53" s="76" t="str">
        <f>IF($B53&lt;&gt;"",_xlfn.IFNA(VLOOKUP($B53,'Node Details'!$B:$U,E$1,0),"Check"),"")</f>
        <v>Airtel</v>
      </c>
      <c r="F53" s="78">
        <v>46110</v>
      </c>
      <c r="G53" s="76"/>
      <c r="H53" s="9" t="s">
        <v>178</v>
      </c>
      <c r="I53" s="9">
        <v>1</v>
      </c>
      <c r="J53" s="9">
        <v>950</v>
      </c>
      <c r="K53" s="79">
        <f t="shared" si="0"/>
        <v>950</v>
      </c>
      <c r="L53" s="78">
        <v>46110</v>
      </c>
      <c r="N53" s="85"/>
      <c r="O53" s="86"/>
      <c r="P53" s="83">
        <f t="shared" si="1"/>
        <v>950</v>
      </c>
      <c r="Q53" s="83">
        <f t="shared" si="2"/>
        <v>950</v>
      </c>
      <c r="R53" s="83"/>
      <c r="S53" s="83"/>
      <c r="T53" s="87"/>
      <c r="U53" s="83">
        <f t="shared" si="3"/>
        <v>950</v>
      </c>
      <c r="V53" s="83">
        <f t="shared" si="4"/>
        <v>1</v>
      </c>
      <c r="W53" s="84">
        <f t="shared" si="5"/>
        <v>950</v>
      </c>
      <c r="X53" s="84" t="s">
        <v>181</v>
      </c>
      <c r="Y53" s="24" t="s">
        <v>176</v>
      </c>
    </row>
    <row r="54" spans="1:25" s="24" customFormat="1" ht="11.1" customHeight="1" x14ac:dyDescent="0.2">
      <c r="A54" s="76">
        <f t="shared" si="6"/>
        <v>52</v>
      </c>
      <c r="B54" s="77" t="s">
        <v>152</v>
      </c>
      <c r="C54" s="76" t="str">
        <f>IF($B54&lt;&gt;"",_xlfn.IFNA(VLOOKUP($B54,'Node Details'!$B:$U,C$1,0),"Check"),"")</f>
        <v>0000AXZ02-AXZ020203</v>
      </c>
      <c r="D54" s="76" t="str">
        <f>IF($B54&lt;&gt;"",_xlfn.IFNA(VLOOKUP($B54,'Node Details'!$B:$U,D$1,0),"Check"),"")</f>
        <v>AXZ</v>
      </c>
      <c r="E54" s="76" t="str">
        <f>IF($B54&lt;&gt;"",_xlfn.IFNA(VLOOKUP($B54,'Node Details'!$B:$U,E$1,0),"Check"),"")</f>
        <v>Airtel</v>
      </c>
      <c r="F54" s="78">
        <v>46110</v>
      </c>
      <c r="G54" s="76"/>
      <c r="H54" s="9" t="s">
        <v>179</v>
      </c>
      <c r="I54" s="9">
        <v>1</v>
      </c>
      <c r="J54" s="9">
        <v>375</v>
      </c>
      <c r="K54" s="79">
        <f t="shared" si="0"/>
        <v>375</v>
      </c>
      <c r="L54" s="78">
        <v>46110</v>
      </c>
      <c r="N54" s="85"/>
      <c r="O54" s="86"/>
      <c r="P54" s="83">
        <f t="shared" si="1"/>
        <v>375</v>
      </c>
      <c r="Q54" s="83">
        <f t="shared" si="2"/>
        <v>375</v>
      </c>
      <c r="R54" s="83"/>
      <c r="S54" s="83"/>
      <c r="T54" s="87"/>
      <c r="U54" s="83">
        <f t="shared" si="3"/>
        <v>375</v>
      </c>
      <c r="V54" s="83">
        <f t="shared" si="4"/>
        <v>1</v>
      </c>
      <c r="W54" s="84">
        <f t="shared" si="5"/>
        <v>375</v>
      </c>
      <c r="X54" s="84" t="s">
        <v>181</v>
      </c>
      <c r="Y54" s="24" t="s">
        <v>176</v>
      </c>
    </row>
    <row r="55" spans="1:25" s="24" customFormat="1" ht="11.1" customHeight="1" x14ac:dyDescent="0.2">
      <c r="A55" s="76">
        <f t="shared" si="6"/>
        <v>53</v>
      </c>
      <c r="B55" s="77" t="s">
        <v>153</v>
      </c>
      <c r="C55" s="76" t="str">
        <f>IF($B55&lt;&gt;"",_xlfn.IFNA(VLOOKUP($B55,'Node Details'!$B:$U,C$1,0),"Check"),"")</f>
        <v>0000AXZ02-AXZ020203</v>
      </c>
      <c r="D55" s="76" t="str">
        <f>IF($B55&lt;&gt;"",_xlfn.IFNA(VLOOKUP($B55,'Node Details'!$B:$U,D$1,0),"Check"),"")</f>
        <v>AXZ</v>
      </c>
      <c r="E55" s="76" t="str">
        <f>IF($B55&lt;&gt;"",_xlfn.IFNA(VLOOKUP($B55,'Node Details'!$B:$U,E$1,0),"Check"),"")</f>
        <v>Airtel</v>
      </c>
      <c r="F55" s="78">
        <v>46110</v>
      </c>
      <c r="G55" s="76"/>
      <c r="H55" s="9" t="s">
        <v>178</v>
      </c>
      <c r="I55" s="9">
        <v>1</v>
      </c>
      <c r="J55" s="9">
        <v>950</v>
      </c>
      <c r="K55" s="79">
        <f t="shared" si="0"/>
        <v>950</v>
      </c>
      <c r="L55" s="78">
        <v>46110</v>
      </c>
      <c r="N55" s="85"/>
      <c r="O55" s="86"/>
      <c r="P55" s="83">
        <f t="shared" si="1"/>
        <v>950</v>
      </c>
      <c r="Q55" s="83">
        <f t="shared" si="2"/>
        <v>950</v>
      </c>
      <c r="R55" s="83"/>
      <c r="S55" s="83"/>
      <c r="T55" s="87"/>
      <c r="U55" s="83">
        <f t="shared" si="3"/>
        <v>950</v>
      </c>
      <c r="V55" s="83">
        <f t="shared" si="4"/>
        <v>1</v>
      </c>
      <c r="W55" s="84">
        <f t="shared" si="5"/>
        <v>950</v>
      </c>
      <c r="X55" s="84" t="s">
        <v>181</v>
      </c>
      <c r="Y55" s="24" t="s">
        <v>176</v>
      </c>
    </row>
    <row r="56" spans="1:25" s="24" customFormat="1" ht="11.1" customHeight="1" x14ac:dyDescent="0.2">
      <c r="A56" s="76">
        <f t="shared" si="6"/>
        <v>54</v>
      </c>
      <c r="B56" s="77" t="s">
        <v>154</v>
      </c>
      <c r="C56" s="76" t="str">
        <f>IF($B56&lt;&gt;"",_xlfn.IFNA(VLOOKUP($B56,'Node Details'!$B:$U,C$1,0),"Check"),"")</f>
        <v>0000AXZ02-AXZ020203</v>
      </c>
      <c r="D56" s="76" t="str">
        <f>IF($B56&lt;&gt;"",_xlfn.IFNA(VLOOKUP($B56,'Node Details'!$B:$U,D$1,0),"Check"),"")</f>
        <v>AXZ</v>
      </c>
      <c r="E56" s="76" t="str">
        <f>IF($B56&lt;&gt;"",_xlfn.IFNA(VLOOKUP($B56,'Node Details'!$B:$U,E$1,0),"Check"),"")</f>
        <v>Airtel</v>
      </c>
      <c r="F56" s="78">
        <v>46110</v>
      </c>
      <c r="G56" s="76"/>
      <c r="H56" s="9" t="s">
        <v>178</v>
      </c>
      <c r="I56" s="9">
        <v>1</v>
      </c>
      <c r="J56" s="9">
        <v>950</v>
      </c>
      <c r="K56" s="79">
        <f t="shared" si="0"/>
        <v>950</v>
      </c>
      <c r="L56" s="78">
        <v>46110</v>
      </c>
      <c r="N56" s="85"/>
      <c r="O56" s="86"/>
      <c r="P56" s="83">
        <f t="shared" si="1"/>
        <v>950</v>
      </c>
      <c r="Q56" s="83">
        <f t="shared" si="2"/>
        <v>950</v>
      </c>
      <c r="R56" s="83"/>
      <c r="S56" s="83"/>
      <c r="T56" s="87"/>
      <c r="U56" s="83">
        <f t="shared" si="3"/>
        <v>950</v>
      </c>
      <c r="V56" s="83">
        <f t="shared" si="4"/>
        <v>1</v>
      </c>
      <c r="W56" s="84">
        <f t="shared" si="5"/>
        <v>950</v>
      </c>
      <c r="X56" s="84" t="s">
        <v>181</v>
      </c>
      <c r="Y56" s="24" t="s">
        <v>176</v>
      </c>
    </row>
    <row r="57" spans="1:25" s="24" customFormat="1" ht="11.1" customHeight="1" x14ac:dyDescent="0.2">
      <c r="A57" s="76">
        <f t="shared" si="6"/>
        <v>55</v>
      </c>
      <c r="B57" s="77" t="s">
        <v>155</v>
      </c>
      <c r="C57" s="76" t="str">
        <f>IF($B57&lt;&gt;"",_xlfn.IFNA(VLOOKUP($B57,'Node Details'!$B:$U,C$1,0),"Check"),"")</f>
        <v>0000AXZ02-AXZ020203</v>
      </c>
      <c r="D57" s="76" t="str">
        <f>IF($B57&lt;&gt;"",_xlfn.IFNA(VLOOKUP($B57,'Node Details'!$B:$U,D$1,0),"Check"),"")</f>
        <v>AXZ</v>
      </c>
      <c r="E57" s="76" t="str">
        <f>IF($B57&lt;&gt;"",_xlfn.IFNA(VLOOKUP($B57,'Node Details'!$B:$U,E$1,0),"Check"),"")</f>
        <v>Airtel</v>
      </c>
      <c r="F57" s="78">
        <v>46110</v>
      </c>
      <c r="G57" s="76"/>
      <c r="H57" s="9" t="s">
        <v>179</v>
      </c>
      <c r="I57" s="9">
        <v>1</v>
      </c>
      <c r="J57" s="9">
        <v>375</v>
      </c>
      <c r="K57" s="79">
        <f t="shared" si="0"/>
        <v>375</v>
      </c>
      <c r="L57" s="78">
        <v>46110</v>
      </c>
      <c r="N57" s="85"/>
      <c r="O57" s="86"/>
      <c r="P57" s="83">
        <f t="shared" si="1"/>
        <v>375</v>
      </c>
      <c r="Q57" s="83">
        <f t="shared" si="2"/>
        <v>375</v>
      </c>
      <c r="R57" s="83"/>
      <c r="S57" s="83"/>
      <c r="T57" s="87"/>
      <c r="U57" s="83">
        <f t="shared" si="3"/>
        <v>375</v>
      </c>
      <c r="V57" s="83">
        <f t="shared" si="4"/>
        <v>1</v>
      </c>
      <c r="W57" s="84">
        <f t="shared" si="5"/>
        <v>375</v>
      </c>
      <c r="X57" s="84" t="s">
        <v>181</v>
      </c>
      <c r="Y57" s="24" t="s">
        <v>176</v>
      </c>
    </row>
    <row r="58" spans="1:25" s="24" customFormat="1" ht="11.1" customHeight="1" x14ac:dyDescent="0.25">
      <c r="A58" s="76">
        <f t="shared" si="6"/>
        <v>56</v>
      </c>
      <c r="B58" t="s">
        <v>156</v>
      </c>
      <c r="C58" s="76" t="str">
        <f>IF($B58&lt;&gt;"",_xlfn.IFNA(VLOOKUP($B58,'Node Details'!$B:$U,C$1,0),"Check"),"")</f>
        <v>0000AXZ02-AXZ020203</v>
      </c>
      <c r="D58" s="76" t="str">
        <f>IF($B58&lt;&gt;"",_xlfn.IFNA(VLOOKUP($B58,'Node Details'!$B:$U,D$1,0),"Check"),"")</f>
        <v>AXZ</v>
      </c>
      <c r="E58" s="76" t="str">
        <f>IF($B58&lt;&gt;"",_xlfn.IFNA(VLOOKUP($B58,'Node Details'!$B:$U,E$1,0),"Check"),"")</f>
        <v>Airtel</v>
      </c>
      <c r="F58" s="78">
        <v>46110</v>
      </c>
      <c r="G58" s="76"/>
      <c r="H58" s="9" t="s">
        <v>179</v>
      </c>
      <c r="I58" s="9">
        <v>1</v>
      </c>
      <c r="J58" s="9">
        <v>375</v>
      </c>
      <c r="K58" s="79">
        <f t="shared" si="0"/>
        <v>375</v>
      </c>
      <c r="L58" s="78">
        <v>46110</v>
      </c>
      <c r="N58" s="81"/>
      <c r="O58" s="82"/>
      <c r="P58" s="83">
        <f t="shared" si="1"/>
        <v>375</v>
      </c>
      <c r="Q58" s="83">
        <f t="shared" si="2"/>
        <v>375</v>
      </c>
      <c r="R58" s="83"/>
      <c r="S58" s="81"/>
      <c r="T58" s="82"/>
      <c r="U58" s="83">
        <f t="shared" si="3"/>
        <v>375</v>
      </c>
      <c r="V58" s="83">
        <f t="shared" si="4"/>
        <v>1</v>
      </c>
      <c r="W58" s="84">
        <f t="shared" si="5"/>
        <v>375</v>
      </c>
      <c r="X58" s="84" t="s">
        <v>181</v>
      </c>
      <c r="Y58" s="24" t="s">
        <v>176</v>
      </c>
    </row>
    <row r="59" spans="1:25" s="24" customFormat="1" ht="11.1" customHeight="1" x14ac:dyDescent="0.25">
      <c r="A59" s="76">
        <f t="shared" si="6"/>
        <v>57</v>
      </c>
      <c r="B59" t="s">
        <v>157</v>
      </c>
      <c r="C59" s="76" t="str">
        <f>IF($B59&lt;&gt;"",_xlfn.IFNA(VLOOKUP($B59,'Node Details'!$B:$U,C$1,0),"Check"),"")</f>
        <v>0000AXZ02-AXZ020203</v>
      </c>
      <c r="D59" s="76" t="str">
        <f>IF($B59&lt;&gt;"",_xlfn.IFNA(VLOOKUP($B59,'Node Details'!$B:$U,D$1,0),"Check"),"")</f>
        <v>AXZ</v>
      </c>
      <c r="E59" s="76" t="str">
        <f>IF($B59&lt;&gt;"",_xlfn.IFNA(VLOOKUP($B59,'Node Details'!$B:$U,E$1,0),"Check"),"")</f>
        <v>Airtel</v>
      </c>
      <c r="F59" s="78">
        <v>46110</v>
      </c>
      <c r="G59" s="76"/>
      <c r="H59" s="9" t="s">
        <v>179</v>
      </c>
      <c r="I59" s="9">
        <v>1</v>
      </c>
      <c r="J59" s="9">
        <v>375</v>
      </c>
      <c r="K59" s="79">
        <f t="shared" si="0"/>
        <v>375</v>
      </c>
      <c r="L59" s="78">
        <v>46110</v>
      </c>
      <c r="N59" s="81"/>
      <c r="O59" s="82"/>
      <c r="P59" s="83">
        <f t="shared" si="1"/>
        <v>375</v>
      </c>
      <c r="Q59" s="83">
        <f t="shared" si="2"/>
        <v>375</v>
      </c>
      <c r="R59" s="83"/>
      <c r="S59" s="81"/>
      <c r="T59" s="82"/>
      <c r="U59" s="83">
        <f t="shared" si="3"/>
        <v>375</v>
      </c>
      <c r="V59" s="83">
        <f t="shared" si="4"/>
        <v>1</v>
      </c>
      <c r="W59" s="84">
        <f t="shared" si="5"/>
        <v>375</v>
      </c>
      <c r="X59" s="84" t="s">
        <v>181</v>
      </c>
      <c r="Y59" s="24" t="s">
        <v>176</v>
      </c>
    </row>
    <row r="60" spans="1:25" s="24" customFormat="1" ht="11.1" customHeight="1" x14ac:dyDescent="0.25">
      <c r="A60" s="76">
        <f t="shared" si="6"/>
        <v>58</v>
      </c>
      <c r="B60" t="s">
        <v>158</v>
      </c>
      <c r="C60" s="76" t="str">
        <f>IF($B60&lt;&gt;"",_xlfn.IFNA(VLOOKUP($B60,'Node Details'!$B:$U,C$1,0),"Check"),"")</f>
        <v>0000AXZ02-AXZ020203</v>
      </c>
      <c r="D60" s="76" t="str">
        <f>IF($B60&lt;&gt;"",_xlfn.IFNA(VLOOKUP($B60,'Node Details'!$B:$U,D$1,0),"Check"),"")</f>
        <v>AXZ</v>
      </c>
      <c r="E60" s="76" t="str">
        <f>IF($B60&lt;&gt;"",_xlfn.IFNA(VLOOKUP($B60,'Node Details'!$B:$U,E$1,0),"Check"),"")</f>
        <v>Airtel</v>
      </c>
      <c r="F60" s="78">
        <v>46110</v>
      </c>
      <c r="G60" s="76"/>
      <c r="H60" s="9" t="s">
        <v>178</v>
      </c>
      <c r="I60" s="9">
        <v>1</v>
      </c>
      <c r="J60" s="9">
        <v>950</v>
      </c>
      <c r="K60" s="79">
        <f t="shared" si="0"/>
        <v>950</v>
      </c>
      <c r="L60" s="78">
        <v>46110</v>
      </c>
      <c r="N60" s="81"/>
      <c r="O60" s="82"/>
      <c r="P60" s="83">
        <f t="shared" si="1"/>
        <v>950</v>
      </c>
      <c r="Q60" s="83">
        <f t="shared" si="2"/>
        <v>950</v>
      </c>
      <c r="R60" s="83"/>
      <c r="S60" s="81"/>
      <c r="T60" s="82"/>
      <c r="U60" s="83">
        <f t="shared" si="3"/>
        <v>950</v>
      </c>
      <c r="V60" s="83">
        <f t="shared" si="4"/>
        <v>1</v>
      </c>
      <c r="W60" s="84">
        <f t="shared" si="5"/>
        <v>950</v>
      </c>
      <c r="X60" s="84" t="s">
        <v>181</v>
      </c>
      <c r="Y60" s="24" t="s">
        <v>176</v>
      </c>
    </row>
    <row r="61" spans="1:25" s="24" customFormat="1" ht="11.1" customHeight="1" x14ac:dyDescent="0.25">
      <c r="A61" s="76">
        <f t="shared" si="6"/>
        <v>59</v>
      </c>
      <c r="B61" t="s">
        <v>160</v>
      </c>
      <c r="C61" s="76" t="str">
        <f>IF($B61&lt;&gt;"",_xlfn.IFNA(VLOOKUP($B61,'Node Details'!$B:$U,C$1,0),"Check"),"")</f>
        <v>0000AXZ03-AXZ030101</v>
      </c>
      <c r="D61" s="76" t="str">
        <f>IF($B61&lt;&gt;"",_xlfn.IFNA(VLOOKUP($B61,'Node Details'!$B:$U,D$1,0),"Check"),"")</f>
        <v>AXZ</v>
      </c>
      <c r="E61" s="76" t="str">
        <f>IF($B61&lt;&gt;"",_xlfn.IFNA(VLOOKUP($B61,'Node Details'!$B:$U,E$1,0),"Check"),"")</f>
        <v>Airtel</v>
      </c>
      <c r="F61" s="78">
        <v>46110</v>
      </c>
      <c r="G61" s="76"/>
      <c r="H61" s="9" t="s">
        <v>179</v>
      </c>
      <c r="I61" s="9">
        <v>1</v>
      </c>
      <c r="J61" s="9">
        <v>375</v>
      </c>
      <c r="K61" s="79">
        <f t="shared" si="0"/>
        <v>375</v>
      </c>
      <c r="L61" s="78">
        <v>46110</v>
      </c>
      <c r="N61" s="81"/>
      <c r="O61" s="82"/>
      <c r="P61" s="83">
        <f t="shared" si="1"/>
        <v>375</v>
      </c>
      <c r="Q61" s="83">
        <f t="shared" si="2"/>
        <v>375</v>
      </c>
      <c r="R61" s="83"/>
      <c r="S61" s="81"/>
      <c r="T61" s="82"/>
      <c r="U61" s="83">
        <f t="shared" si="3"/>
        <v>375</v>
      </c>
      <c r="V61" s="83">
        <f t="shared" si="4"/>
        <v>1</v>
      </c>
      <c r="W61" s="84">
        <f t="shared" si="5"/>
        <v>375</v>
      </c>
      <c r="X61" s="84" t="s">
        <v>181</v>
      </c>
      <c r="Y61" s="24" t="s">
        <v>176</v>
      </c>
    </row>
    <row r="62" spans="1:25" s="24" customFormat="1" ht="11.1" customHeight="1" x14ac:dyDescent="0.25">
      <c r="A62" s="76">
        <f t="shared" si="6"/>
        <v>60</v>
      </c>
      <c r="B62" t="s">
        <v>161</v>
      </c>
      <c r="C62" s="76" t="str">
        <f>IF($B62&lt;&gt;"",_xlfn.IFNA(VLOOKUP($B62,'Node Details'!$B:$U,C$1,0),"Check"),"")</f>
        <v>0000AXZ03-AXZ030102</v>
      </c>
      <c r="D62" s="76" t="str">
        <f>IF($B62&lt;&gt;"",_xlfn.IFNA(VLOOKUP($B62,'Node Details'!$B:$U,D$1,0),"Check"),"")</f>
        <v>AXZ</v>
      </c>
      <c r="E62" s="76" t="str">
        <f>IF($B62&lt;&gt;"",_xlfn.IFNA(VLOOKUP($B62,'Node Details'!$B:$U,E$1,0),"Check"),"")</f>
        <v>Airtel</v>
      </c>
      <c r="F62" s="78">
        <v>46110</v>
      </c>
      <c r="G62" s="76"/>
      <c r="H62" s="9" t="s">
        <v>179</v>
      </c>
      <c r="I62" s="9">
        <v>1</v>
      </c>
      <c r="J62" s="9">
        <v>375</v>
      </c>
      <c r="K62" s="79">
        <f t="shared" si="0"/>
        <v>375</v>
      </c>
      <c r="L62" s="78">
        <v>46110</v>
      </c>
      <c r="N62" s="81"/>
      <c r="O62" s="82"/>
      <c r="P62" s="83">
        <f t="shared" si="1"/>
        <v>375</v>
      </c>
      <c r="Q62" s="83">
        <f t="shared" si="2"/>
        <v>375</v>
      </c>
      <c r="R62" s="83"/>
      <c r="S62" s="81"/>
      <c r="T62" s="82"/>
      <c r="U62" s="83">
        <f t="shared" si="3"/>
        <v>375</v>
      </c>
      <c r="V62" s="83">
        <f t="shared" si="4"/>
        <v>1</v>
      </c>
      <c r="W62" s="84">
        <f t="shared" si="5"/>
        <v>375</v>
      </c>
      <c r="X62" s="84" t="s">
        <v>181</v>
      </c>
      <c r="Y62" s="24" t="s">
        <v>176</v>
      </c>
    </row>
    <row r="63" spans="1:25" s="24" customFormat="1" ht="11.1" customHeight="1" x14ac:dyDescent="0.25">
      <c r="A63" s="76">
        <f t="shared" si="6"/>
        <v>61</v>
      </c>
      <c r="B63" t="s">
        <v>162</v>
      </c>
      <c r="C63" s="76" t="str">
        <f>IF($B63&lt;&gt;"",_xlfn.IFNA(VLOOKUP($B63,'Node Details'!$B:$U,C$1,0),"Check"),"")</f>
        <v>0000AXZ03-AXZ030104</v>
      </c>
      <c r="D63" s="76" t="str">
        <f>IF($B63&lt;&gt;"",_xlfn.IFNA(VLOOKUP($B63,'Node Details'!$B:$U,D$1,0),"Check"),"")</f>
        <v>AXZ</v>
      </c>
      <c r="E63" s="76" t="str">
        <f>IF($B63&lt;&gt;"",_xlfn.IFNA(VLOOKUP($B63,'Node Details'!$B:$U,E$1,0),"Check"),"")</f>
        <v>Airtel</v>
      </c>
      <c r="F63" s="78">
        <v>46110</v>
      </c>
      <c r="G63" s="76"/>
      <c r="H63" s="9" t="s">
        <v>179</v>
      </c>
      <c r="I63" s="9">
        <v>1</v>
      </c>
      <c r="J63" s="9">
        <v>375</v>
      </c>
      <c r="K63" s="79">
        <f t="shared" si="0"/>
        <v>375</v>
      </c>
      <c r="L63" s="78">
        <v>46110</v>
      </c>
      <c r="N63" s="85"/>
      <c r="O63" s="86"/>
      <c r="P63" s="83">
        <f t="shared" si="1"/>
        <v>375</v>
      </c>
      <c r="Q63" s="83">
        <f t="shared" si="2"/>
        <v>375</v>
      </c>
      <c r="R63" s="83"/>
      <c r="S63" s="83"/>
      <c r="T63" s="87"/>
      <c r="U63" s="83">
        <f t="shared" si="3"/>
        <v>375</v>
      </c>
      <c r="V63" s="83">
        <f t="shared" si="4"/>
        <v>1</v>
      </c>
      <c r="W63" s="84">
        <f t="shared" si="5"/>
        <v>375</v>
      </c>
      <c r="X63" s="84" t="s">
        <v>181</v>
      </c>
      <c r="Y63" s="24" t="s">
        <v>176</v>
      </c>
    </row>
    <row r="64" spans="1:25" s="24" customFormat="1" ht="11.1" customHeight="1" x14ac:dyDescent="0.25">
      <c r="A64" s="76">
        <f t="shared" si="6"/>
        <v>62</v>
      </c>
      <c r="B64" t="s">
        <v>163</v>
      </c>
      <c r="C64" s="76" t="str">
        <f>IF($B64&lt;&gt;"",_xlfn.IFNA(VLOOKUP($B64,'Node Details'!$B:$U,C$1,0),"Check"),"")</f>
        <v>0000AXZ03-AXZ030104</v>
      </c>
      <c r="D64" s="76" t="str">
        <f>IF($B64&lt;&gt;"",_xlfn.IFNA(VLOOKUP($B64,'Node Details'!$B:$U,D$1,0),"Check"),"")</f>
        <v>AXZ</v>
      </c>
      <c r="E64" s="76" t="str">
        <f>IF($B64&lt;&gt;"",_xlfn.IFNA(VLOOKUP($B64,'Node Details'!$B:$U,E$1,0),"Check"),"")</f>
        <v>Airtel</v>
      </c>
      <c r="F64" s="78">
        <v>46110</v>
      </c>
      <c r="G64" s="76"/>
      <c r="H64" s="9" t="s">
        <v>178</v>
      </c>
      <c r="I64" s="9">
        <v>1</v>
      </c>
      <c r="J64" s="9">
        <v>950</v>
      </c>
      <c r="K64" s="79">
        <f t="shared" si="0"/>
        <v>950</v>
      </c>
      <c r="L64" s="78">
        <v>46110</v>
      </c>
      <c r="N64" s="85"/>
      <c r="O64" s="86"/>
      <c r="P64" s="83">
        <f t="shared" si="1"/>
        <v>950</v>
      </c>
      <c r="Q64" s="83">
        <f t="shared" si="2"/>
        <v>950</v>
      </c>
      <c r="R64" s="83"/>
      <c r="S64" s="83"/>
      <c r="T64" s="87"/>
      <c r="U64" s="83">
        <f t="shared" si="3"/>
        <v>950</v>
      </c>
      <c r="V64" s="83">
        <f t="shared" si="4"/>
        <v>1</v>
      </c>
      <c r="W64" s="84">
        <f t="shared" si="5"/>
        <v>950</v>
      </c>
      <c r="X64" s="84" t="s">
        <v>181</v>
      </c>
      <c r="Y64" s="24" t="s">
        <v>176</v>
      </c>
    </row>
    <row r="65" spans="1:25" s="24" customFormat="1" ht="11.1" customHeight="1" x14ac:dyDescent="0.25">
      <c r="A65" s="76">
        <f t="shared" si="6"/>
        <v>63</v>
      </c>
      <c r="B65" t="s">
        <v>164</v>
      </c>
      <c r="C65" s="76" t="str">
        <f>IF($B65&lt;&gt;"",_xlfn.IFNA(VLOOKUP($B65,'Node Details'!$B:$U,C$1,0),"Check"),"")</f>
        <v>AXZ030104-AXZ030106</v>
      </c>
      <c r="D65" s="76" t="str">
        <f>IF($B65&lt;&gt;"",_xlfn.IFNA(VLOOKUP($B65,'Node Details'!$B:$U,D$1,0),"Check"),"")</f>
        <v>AXZ</v>
      </c>
      <c r="E65" s="76" t="str">
        <f>IF($B65&lt;&gt;"",_xlfn.IFNA(VLOOKUP($B65,'Node Details'!$B:$U,E$1,0),"Check"),"")</f>
        <v>Airtel</v>
      </c>
      <c r="F65" s="78">
        <v>46110</v>
      </c>
      <c r="G65" s="76"/>
      <c r="H65" s="9" t="s">
        <v>179</v>
      </c>
      <c r="I65" s="9">
        <v>1</v>
      </c>
      <c r="J65" s="9">
        <v>375</v>
      </c>
      <c r="K65" s="79">
        <f t="shared" si="0"/>
        <v>375</v>
      </c>
      <c r="L65" s="78">
        <v>46110</v>
      </c>
      <c r="N65" s="85"/>
      <c r="O65" s="86"/>
      <c r="P65" s="83">
        <f t="shared" si="1"/>
        <v>375</v>
      </c>
      <c r="Q65" s="83">
        <f t="shared" si="2"/>
        <v>375</v>
      </c>
      <c r="R65" s="83"/>
      <c r="S65" s="83"/>
      <c r="T65" s="87"/>
      <c r="U65" s="83">
        <f t="shared" si="3"/>
        <v>375</v>
      </c>
      <c r="V65" s="83">
        <f t="shared" si="4"/>
        <v>1</v>
      </c>
      <c r="W65" s="84">
        <f t="shared" si="5"/>
        <v>375</v>
      </c>
      <c r="X65" s="84" t="s">
        <v>181</v>
      </c>
      <c r="Y65" s="24" t="s">
        <v>176</v>
      </c>
    </row>
    <row r="66" spans="1:25" s="24" customFormat="1" ht="11.1" customHeight="1" x14ac:dyDescent="0.25">
      <c r="A66" s="76">
        <f t="shared" si="6"/>
        <v>64</v>
      </c>
      <c r="B66" t="s">
        <v>165</v>
      </c>
      <c r="C66" s="76" t="str">
        <f>IF($B66&lt;&gt;"",_xlfn.IFNA(VLOOKUP($B66,'Node Details'!$B:$U,C$1,0),"Check"),"")</f>
        <v>AXZ030104-AXZ030106</v>
      </c>
      <c r="D66" s="76" t="str">
        <f>IF($B66&lt;&gt;"",_xlfn.IFNA(VLOOKUP($B66,'Node Details'!$B:$U,D$1,0),"Check"),"")</f>
        <v>AXZ</v>
      </c>
      <c r="E66" s="76" t="str">
        <f>IF($B66&lt;&gt;"",_xlfn.IFNA(VLOOKUP($B66,'Node Details'!$B:$U,E$1,0),"Check"),"")</f>
        <v>Airtel</v>
      </c>
      <c r="F66" s="78">
        <v>46110</v>
      </c>
      <c r="G66" s="76"/>
      <c r="H66" s="9" t="s">
        <v>179</v>
      </c>
      <c r="I66" s="9">
        <v>1</v>
      </c>
      <c r="J66" s="9">
        <v>375</v>
      </c>
      <c r="K66" s="79">
        <f t="shared" si="0"/>
        <v>375</v>
      </c>
      <c r="L66" s="78">
        <v>46110</v>
      </c>
      <c r="N66" s="85"/>
      <c r="O66" s="86"/>
      <c r="P66" s="83">
        <f t="shared" si="1"/>
        <v>375</v>
      </c>
      <c r="Q66" s="83">
        <f t="shared" si="2"/>
        <v>375</v>
      </c>
      <c r="R66" s="83"/>
      <c r="S66" s="83"/>
      <c r="T66" s="87"/>
      <c r="U66" s="83">
        <f t="shared" si="3"/>
        <v>375</v>
      </c>
      <c r="V66" s="83">
        <f t="shared" si="4"/>
        <v>1</v>
      </c>
      <c r="W66" s="84">
        <f t="shared" si="5"/>
        <v>375</v>
      </c>
      <c r="X66" s="84" t="s">
        <v>181</v>
      </c>
      <c r="Y66" s="24" t="s">
        <v>176</v>
      </c>
    </row>
    <row r="67" spans="1:25" s="24" customFormat="1" ht="11.1" customHeight="1" x14ac:dyDescent="0.25">
      <c r="A67" s="76">
        <f t="shared" si="6"/>
        <v>65</v>
      </c>
      <c r="B67" t="s">
        <v>166</v>
      </c>
      <c r="C67" s="76" t="str">
        <f>IF($B67&lt;&gt;"",_xlfn.IFNA(VLOOKUP($B67,'Node Details'!$B:$U,C$1,0),"Check"),"")</f>
        <v>0000AXZ03-AXZ030201</v>
      </c>
      <c r="D67" s="76" t="str">
        <f>IF($B67&lt;&gt;"",_xlfn.IFNA(VLOOKUP($B67,'Node Details'!$B:$U,D$1,0),"Check"),"")</f>
        <v>AXZ</v>
      </c>
      <c r="E67" s="76" t="str">
        <f>IF($B67&lt;&gt;"",_xlfn.IFNA(VLOOKUP($B67,'Node Details'!$B:$U,E$1,0),"Check"),"")</f>
        <v>Airtel</v>
      </c>
      <c r="F67" s="78">
        <v>46110</v>
      </c>
      <c r="G67" s="76"/>
      <c r="H67" s="9" t="s">
        <v>179</v>
      </c>
      <c r="I67" s="9">
        <v>1</v>
      </c>
      <c r="J67" s="9">
        <v>375</v>
      </c>
      <c r="K67" s="79">
        <f t="shared" ref="K67:K111" si="7">IF(I67&lt;&gt;"",J67*I67,0)</f>
        <v>375</v>
      </c>
      <c r="L67" s="78">
        <v>46110</v>
      </c>
      <c r="N67" s="85"/>
      <c r="O67" s="86"/>
      <c r="P67" s="83">
        <f t="shared" ref="P67:P110" si="8">J67</f>
        <v>375</v>
      </c>
      <c r="Q67" s="83">
        <f t="shared" ref="Q67:Q110" si="9">P67*I67</f>
        <v>375</v>
      </c>
      <c r="R67" s="83"/>
      <c r="S67" s="83"/>
      <c r="T67" s="87"/>
      <c r="U67" s="83">
        <f t="shared" ref="U67:U110" si="10">J67</f>
        <v>375</v>
      </c>
      <c r="V67" s="83">
        <f t="shared" ref="V67:V110" si="11">I67</f>
        <v>1</v>
      </c>
      <c r="W67" s="84">
        <f t="shared" ref="W67:W110" si="12">IF(V67&lt;&gt;"",V67*U67,0)</f>
        <v>375</v>
      </c>
      <c r="X67" s="84" t="s">
        <v>181</v>
      </c>
      <c r="Y67" s="24" t="s">
        <v>176</v>
      </c>
    </row>
    <row r="68" spans="1:25" s="24" customFormat="1" ht="11.1" customHeight="1" x14ac:dyDescent="0.25">
      <c r="A68" s="76">
        <f t="shared" ref="A68:A131" si="13">A67+1</f>
        <v>66</v>
      </c>
      <c r="B68" t="s">
        <v>167</v>
      </c>
      <c r="C68" s="76" t="str">
        <f>IF($B68&lt;&gt;"",_xlfn.IFNA(VLOOKUP($B68,'Node Details'!$B:$U,C$1,0),"Check"),"")</f>
        <v>0000AXZ03-AXZ030201</v>
      </c>
      <c r="D68" s="76" t="str">
        <f>IF($B68&lt;&gt;"",_xlfn.IFNA(VLOOKUP($B68,'Node Details'!$B:$U,D$1,0),"Check"),"")</f>
        <v>AXZ</v>
      </c>
      <c r="E68" s="76" t="str">
        <f>IF($B68&lt;&gt;"",_xlfn.IFNA(VLOOKUP($B68,'Node Details'!$B:$U,E$1,0),"Check"),"")</f>
        <v>Airtel</v>
      </c>
      <c r="F68" s="78">
        <v>46110</v>
      </c>
      <c r="G68" s="76"/>
      <c r="H68" s="9" t="s">
        <v>179</v>
      </c>
      <c r="I68" s="9">
        <v>1</v>
      </c>
      <c r="J68" s="9">
        <v>375</v>
      </c>
      <c r="K68" s="79">
        <f t="shared" si="7"/>
        <v>375</v>
      </c>
      <c r="L68" s="78">
        <v>46110</v>
      </c>
      <c r="N68" s="85"/>
      <c r="O68" s="86"/>
      <c r="P68" s="83">
        <f t="shared" si="8"/>
        <v>375</v>
      </c>
      <c r="Q68" s="83">
        <f t="shared" si="9"/>
        <v>375</v>
      </c>
      <c r="R68" s="83"/>
      <c r="S68" s="83"/>
      <c r="T68" s="87"/>
      <c r="U68" s="83">
        <f t="shared" si="10"/>
        <v>375</v>
      </c>
      <c r="V68" s="83">
        <f t="shared" si="11"/>
        <v>1</v>
      </c>
      <c r="W68" s="84">
        <f t="shared" si="12"/>
        <v>375</v>
      </c>
      <c r="X68" s="84" t="s">
        <v>181</v>
      </c>
      <c r="Y68" s="24" t="s">
        <v>176</v>
      </c>
    </row>
    <row r="69" spans="1:25" s="24" customFormat="1" ht="11.1" customHeight="1" x14ac:dyDescent="0.2">
      <c r="A69" s="76">
        <f t="shared" si="13"/>
        <v>67</v>
      </c>
      <c r="B69" s="77" t="s">
        <v>168</v>
      </c>
      <c r="C69" s="76" t="str">
        <f>IF($B69&lt;&gt;"",_xlfn.IFNA(VLOOKUP($B69,'Node Details'!$B:$U,C$1,0),"Check"),"")</f>
        <v>0000AXZ03-AXZ030201</v>
      </c>
      <c r="D69" s="76" t="str">
        <f>IF($B69&lt;&gt;"",_xlfn.IFNA(VLOOKUP($B69,'Node Details'!$B:$U,D$1,0),"Check"),"")</f>
        <v>AXZ</v>
      </c>
      <c r="E69" s="76" t="str">
        <f>IF($B69&lt;&gt;"",_xlfn.IFNA(VLOOKUP($B69,'Node Details'!$B:$U,E$1,0),"Check"),"")</f>
        <v>Airtel</v>
      </c>
      <c r="F69" s="78">
        <v>46110</v>
      </c>
      <c r="G69" s="76"/>
      <c r="H69" s="9" t="s">
        <v>179</v>
      </c>
      <c r="I69" s="9">
        <v>1</v>
      </c>
      <c r="J69" s="9">
        <v>375</v>
      </c>
      <c r="K69" s="79">
        <f t="shared" si="7"/>
        <v>375</v>
      </c>
      <c r="L69" s="78">
        <v>46110</v>
      </c>
      <c r="N69" s="81"/>
      <c r="O69" s="82"/>
      <c r="P69" s="83">
        <f t="shared" si="8"/>
        <v>375</v>
      </c>
      <c r="Q69" s="83">
        <f t="shared" si="9"/>
        <v>375</v>
      </c>
      <c r="R69" s="83"/>
      <c r="S69" s="81"/>
      <c r="T69" s="82"/>
      <c r="U69" s="83">
        <f t="shared" si="10"/>
        <v>375</v>
      </c>
      <c r="V69" s="83">
        <f t="shared" si="11"/>
        <v>1</v>
      </c>
      <c r="W69" s="84">
        <f t="shared" si="12"/>
        <v>375</v>
      </c>
      <c r="X69" s="84" t="s">
        <v>181</v>
      </c>
      <c r="Y69" s="24" t="s">
        <v>176</v>
      </c>
    </row>
    <row r="70" spans="1:25" s="24" customFormat="1" ht="11.1" customHeight="1" x14ac:dyDescent="0.2">
      <c r="A70" s="76">
        <f t="shared" si="13"/>
        <v>68</v>
      </c>
      <c r="B70" s="77" t="s">
        <v>169</v>
      </c>
      <c r="C70" s="76" t="str">
        <f>IF($B70&lt;&gt;"",_xlfn.IFNA(VLOOKUP($B70,'Node Details'!$B:$U,C$1,0),"Check"),"")</f>
        <v>AXZ030201-AXZ030205</v>
      </c>
      <c r="D70" s="76" t="str">
        <f>IF($B70&lt;&gt;"",_xlfn.IFNA(VLOOKUP($B70,'Node Details'!$B:$U,D$1,0),"Check"),"")</f>
        <v>AXZ</v>
      </c>
      <c r="E70" s="76" t="str">
        <f>IF($B70&lt;&gt;"",_xlfn.IFNA(VLOOKUP($B70,'Node Details'!$B:$U,E$1,0),"Check"),"")</f>
        <v>Airtel</v>
      </c>
      <c r="F70" s="78">
        <v>46110</v>
      </c>
      <c r="G70" s="76"/>
      <c r="H70" s="9" t="s">
        <v>179</v>
      </c>
      <c r="I70" s="9">
        <v>1</v>
      </c>
      <c r="J70" s="9">
        <v>375</v>
      </c>
      <c r="K70" s="79">
        <f t="shared" si="7"/>
        <v>375</v>
      </c>
      <c r="L70" s="78">
        <v>46110</v>
      </c>
      <c r="N70" s="81"/>
      <c r="O70" s="82"/>
      <c r="P70" s="83">
        <f t="shared" si="8"/>
        <v>375</v>
      </c>
      <c r="Q70" s="83">
        <f t="shared" si="9"/>
        <v>375</v>
      </c>
      <c r="R70" s="83"/>
      <c r="S70" s="81"/>
      <c r="T70" s="82"/>
      <c r="U70" s="83">
        <f t="shared" si="10"/>
        <v>375</v>
      </c>
      <c r="V70" s="83">
        <f t="shared" si="11"/>
        <v>1</v>
      </c>
      <c r="W70" s="84">
        <f t="shared" si="12"/>
        <v>375</v>
      </c>
      <c r="X70" s="84" t="s">
        <v>181</v>
      </c>
      <c r="Y70" s="24" t="s">
        <v>176</v>
      </c>
    </row>
    <row r="71" spans="1:25" s="24" customFormat="1" ht="11.1" customHeight="1" x14ac:dyDescent="0.2">
      <c r="A71" s="76">
        <f t="shared" si="13"/>
        <v>69</v>
      </c>
      <c r="B71" s="77" t="s">
        <v>170</v>
      </c>
      <c r="C71" s="76" t="str">
        <f>IF($B71&lt;&gt;"",_xlfn.IFNA(VLOOKUP($B71,'Node Details'!$B:$U,C$1,0),"Check"),"")</f>
        <v>AXZ030201-AXZ030205</v>
      </c>
      <c r="D71" s="76" t="str">
        <f>IF($B71&lt;&gt;"",_xlfn.IFNA(VLOOKUP($B71,'Node Details'!$B:$U,D$1,0),"Check"),"")</f>
        <v>AXZ</v>
      </c>
      <c r="E71" s="76" t="str">
        <f>IF($B71&lt;&gt;"",_xlfn.IFNA(VLOOKUP($B71,'Node Details'!$B:$U,E$1,0),"Check"),"")</f>
        <v>Airtel</v>
      </c>
      <c r="F71" s="78">
        <v>46110</v>
      </c>
      <c r="G71" s="76"/>
      <c r="H71" s="9" t="s">
        <v>179</v>
      </c>
      <c r="I71" s="9">
        <v>1</v>
      </c>
      <c r="J71" s="9">
        <v>375</v>
      </c>
      <c r="K71" s="79">
        <f t="shared" si="7"/>
        <v>375</v>
      </c>
      <c r="L71" s="78">
        <v>46110</v>
      </c>
      <c r="N71" s="81"/>
      <c r="O71" s="82"/>
      <c r="P71" s="83">
        <f t="shared" si="8"/>
        <v>375</v>
      </c>
      <c r="Q71" s="83">
        <f t="shared" si="9"/>
        <v>375</v>
      </c>
      <c r="R71" s="83"/>
      <c r="S71" s="81"/>
      <c r="T71" s="82"/>
      <c r="U71" s="83">
        <f t="shared" si="10"/>
        <v>375</v>
      </c>
      <c r="V71" s="83">
        <f t="shared" si="11"/>
        <v>1</v>
      </c>
      <c r="W71" s="84">
        <f t="shared" si="12"/>
        <v>375</v>
      </c>
      <c r="X71" s="84" t="s">
        <v>181</v>
      </c>
      <c r="Y71" s="24" t="s">
        <v>176</v>
      </c>
    </row>
    <row r="72" spans="1:25" s="24" customFormat="1" ht="11.1" customHeight="1" x14ac:dyDescent="0.2">
      <c r="A72" s="76">
        <f t="shared" si="13"/>
        <v>70</v>
      </c>
      <c r="B72" s="77" t="s">
        <v>171</v>
      </c>
      <c r="C72" s="76" t="str">
        <f>IF($B72&lt;&gt;"",_xlfn.IFNA(VLOOKUP($B72,'Node Details'!$B:$U,C$1,0),"Check"),"")</f>
        <v>AXZ030201-AXZ030205</v>
      </c>
      <c r="D72" s="76" t="str">
        <f>IF($B72&lt;&gt;"",_xlfn.IFNA(VLOOKUP($B72,'Node Details'!$B:$U,D$1,0),"Check"),"")</f>
        <v>AXZ</v>
      </c>
      <c r="E72" s="76" t="str">
        <f>IF($B72&lt;&gt;"",_xlfn.IFNA(VLOOKUP($B72,'Node Details'!$B:$U,E$1,0),"Check"),"")</f>
        <v>Airtel</v>
      </c>
      <c r="F72" s="78">
        <v>46110</v>
      </c>
      <c r="G72" s="76"/>
      <c r="H72" s="9" t="s">
        <v>179</v>
      </c>
      <c r="I72" s="9">
        <v>1</v>
      </c>
      <c r="J72" s="9">
        <v>375</v>
      </c>
      <c r="K72" s="79">
        <f t="shared" si="7"/>
        <v>375</v>
      </c>
      <c r="L72" s="78">
        <v>46110</v>
      </c>
      <c r="N72" s="81"/>
      <c r="O72" s="82"/>
      <c r="P72" s="83">
        <f t="shared" si="8"/>
        <v>375</v>
      </c>
      <c r="Q72" s="83">
        <f t="shared" si="9"/>
        <v>375</v>
      </c>
      <c r="R72" s="83"/>
      <c r="S72" s="81"/>
      <c r="T72" s="82"/>
      <c r="U72" s="83">
        <f t="shared" si="10"/>
        <v>375</v>
      </c>
      <c r="V72" s="83">
        <f t="shared" si="11"/>
        <v>1</v>
      </c>
      <c r="W72" s="84">
        <f t="shared" si="12"/>
        <v>375</v>
      </c>
      <c r="X72" s="84" t="s">
        <v>181</v>
      </c>
      <c r="Y72" s="24" t="s">
        <v>176</v>
      </c>
    </row>
    <row r="73" spans="1:25" s="24" customFormat="1" ht="11.1" customHeight="1" x14ac:dyDescent="0.2">
      <c r="A73" s="76">
        <f t="shared" si="13"/>
        <v>71</v>
      </c>
      <c r="B73" s="77" t="s">
        <v>172</v>
      </c>
      <c r="C73" s="76" t="str">
        <f>IF($B73&lt;&gt;"",_xlfn.IFNA(VLOOKUP($B73,'Node Details'!$B:$U,C$1,0),"Check"),"")</f>
        <v>AXZ030201-AXZ030205</v>
      </c>
      <c r="D73" s="76" t="str">
        <f>IF($B73&lt;&gt;"",_xlfn.IFNA(VLOOKUP($B73,'Node Details'!$B:$U,D$1,0),"Check"),"")</f>
        <v>AXZ</v>
      </c>
      <c r="E73" s="76" t="str">
        <f>IF($B73&lt;&gt;"",_xlfn.IFNA(VLOOKUP($B73,'Node Details'!$B:$U,E$1,0),"Check"),"")</f>
        <v>Airtel</v>
      </c>
      <c r="F73" s="78">
        <v>46110</v>
      </c>
      <c r="G73" s="76"/>
      <c r="H73" s="9" t="s">
        <v>179</v>
      </c>
      <c r="I73" s="9">
        <v>1</v>
      </c>
      <c r="J73" s="9">
        <v>375</v>
      </c>
      <c r="K73" s="79">
        <f t="shared" si="7"/>
        <v>375</v>
      </c>
      <c r="L73" s="78">
        <v>46110</v>
      </c>
      <c r="N73" s="81"/>
      <c r="O73" s="82"/>
      <c r="P73" s="83">
        <f t="shared" si="8"/>
        <v>375</v>
      </c>
      <c r="Q73" s="83">
        <f t="shared" si="9"/>
        <v>375</v>
      </c>
      <c r="R73" s="83"/>
      <c r="S73" s="81"/>
      <c r="T73" s="82"/>
      <c r="U73" s="83">
        <f t="shared" si="10"/>
        <v>375</v>
      </c>
      <c r="V73" s="83">
        <f t="shared" si="11"/>
        <v>1</v>
      </c>
      <c r="W73" s="84">
        <f t="shared" si="12"/>
        <v>375</v>
      </c>
      <c r="X73" s="84" t="s">
        <v>181</v>
      </c>
      <c r="Y73" s="24" t="s">
        <v>176</v>
      </c>
    </row>
    <row r="74" spans="1:25" s="24" customFormat="1" ht="11.1" customHeight="1" x14ac:dyDescent="0.2">
      <c r="A74" s="76">
        <f t="shared" si="13"/>
        <v>72</v>
      </c>
      <c r="B74" s="77" t="s">
        <v>136</v>
      </c>
      <c r="C74" s="76" t="str">
        <f>IF($B74&lt;&gt;"",_xlfn.IFNA(VLOOKUP($B74,'Node Details'!$B:$U,C$1,0),"Check"),"")</f>
        <v>000000AXZ-0000AXZ01</v>
      </c>
      <c r="D74" s="76" t="str">
        <f>IF($B74&lt;&gt;"",_xlfn.IFNA(VLOOKUP($B74,'Node Details'!$B:$U,D$1,0),"Check"),"")</f>
        <v>AXZ</v>
      </c>
      <c r="E74" s="76" t="str">
        <f>IF($B74&lt;&gt;"",_xlfn.IFNA(VLOOKUP($B74,'Node Details'!$B:$U,E$1,0),"Check"),"")</f>
        <v>Airtel</v>
      </c>
      <c r="F74" s="78">
        <v>46110</v>
      </c>
      <c r="G74" s="76"/>
      <c r="H74" s="9" t="s">
        <v>180</v>
      </c>
      <c r="I74" s="9">
        <v>2</v>
      </c>
      <c r="J74" s="9">
        <v>150</v>
      </c>
      <c r="K74" s="79">
        <f t="shared" si="7"/>
        <v>300</v>
      </c>
      <c r="L74" s="78">
        <v>46110</v>
      </c>
      <c r="N74" s="81"/>
      <c r="O74" s="82"/>
      <c r="P74" s="83">
        <f t="shared" si="8"/>
        <v>150</v>
      </c>
      <c r="Q74" s="83">
        <f t="shared" si="9"/>
        <v>300</v>
      </c>
      <c r="R74" s="83"/>
      <c r="S74" s="81"/>
      <c r="T74" s="82"/>
      <c r="U74" s="83">
        <f t="shared" si="10"/>
        <v>150</v>
      </c>
      <c r="V74" s="83">
        <f t="shared" si="11"/>
        <v>2</v>
      </c>
      <c r="W74" s="84">
        <f t="shared" si="12"/>
        <v>300</v>
      </c>
      <c r="X74" s="84" t="s">
        <v>181</v>
      </c>
      <c r="Y74" s="24" t="s">
        <v>176</v>
      </c>
    </row>
    <row r="75" spans="1:25" s="24" customFormat="1" ht="11.1" customHeight="1" x14ac:dyDescent="0.2">
      <c r="A75" s="76">
        <f t="shared" si="13"/>
        <v>73</v>
      </c>
      <c r="B75" s="77" t="s">
        <v>137</v>
      </c>
      <c r="C75" s="76" t="str">
        <f>IF($B75&lt;&gt;"",_xlfn.IFNA(VLOOKUP($B75,'Node Details'!$B:$U,C$1,0),"Check"),"")</f>
        <v>0000AXZ01-AXZ010101</v>
      </c>
      <c r="D75" s="76" t="str">
        <f>IF($B75&lt;&gt;"",_xlfn.IFNA(VLOOKUP($B75,'Node Details'!$B:$U,D$1,0),"Check"),"")</f>
        <v>AXZ</v>
      </c>
      <c r="E75" s="76" t="str">
        <f>IF($B75&lt;&gt;"",_xlfn.IFNA(VLOOKUP($B75,'Node Details'!$B:$U,E$1,0),"Check"),"")</f>
        <v>Airtel</v>
      </c>
      <c r="F75" s="78">
        <v>46110</v>
      </c>
      <c r="G75" s="76"/>
      <c r="H75" s="9" t="s">
        <v>180</v>
      </c>
      <c r="I75" s="9">
        <v>2</v>
      </c>
      <c r="J75" s="9">
        <v>150</v>
      </c>
      <c r="K75" s="79">
        <f t="shared" si="7"/>
        <v>300</v>
      </c>
      <c r="L75" s="78">
        <v>46110</v>
      </c>
      <c r="N75" s="81"/>
      <c r="O75" s="82"/>
      <c r="P75" s="83">
        <f t="shared" si="8"/>
        <v>150</v>
      </c>
      <c r="Q75" s="83">
        <f t="shared" si="9"/>
        <v>300</v>
      </c>
      <c r="R75" s="83"/>
      <c r="S75" s="81"/>
      <c r="T75" s="82"/>
      <c r="U75" s="83">
        <f t="shared" si="10"/>
        <v>150</v>
      </c>
      <c r="V75" s="83">
        <f t="shared" si="11"/>
        <v>2</v>
      </c>
      <c r="W75" s="84">
        <f t="shared" si="12"/>
        <v>300</v>
      </c>
      <c r="X75" s="84" t="s">
        <v>181</v>
      </c>
      <c r="Y75" s="24" t="s">
        <v>176</v>
      </c>
    </row>
    <row r="76" spans="1:25" s="24" customFormat="1" ht="11.1" customHeight="1" x14ac:dyDescent="0.2">
      <c r="A76" s="76">
        <f t="shared" si="13"/>
        <v>74</v>
      </c>
      <c r="B76" s="77" t="s">
        <v>138</v>
      </c>
      <c r="C76" s="76" t="str">
        <f>IF($B76&lt;&gt;"",_xlfn.IFNA(VLOOKUP($B76,'Node Details'!$B:$U,C$1,0),"Check"),"")</f>
        <v>0000AXZ01-AXZ010102</v>
      </c>
      <c r="D76" s="76" t="str">
        <f>IF($B76&lt;&gt;"",_xlfn.IFNA(VLOOKUP($B76,'Node Details'!$B:$U,D$1,0),"Check"),"")</f>
        <v>AXZ</v>
      </c>
      <c r="E76" s="76" t="str">
        <f>IF($B76&lt;&gt;"",_xlfn.IFNA(VLOOKUP($B76,'Node Details'!$B:$U,E$1,0),"Check"),"")</f>
        <v>Airtel</v>
      </c>
      <c r="F76" s="78">
        <v>46110</v>
      </c>
      <c r="G76" s="76"/>
      <c r="H76" s="9" t="s">
        <v>180</v>
      </c>
      <c r="I76" s="9">
        <v>2</v>
      </c>
      <c r="J76" s="9">
        <v>150</v>
      </c>
      <c r="K76" s="79">
        <f t="shared" si="7"/>
        <v>300</v>
      </c>
      <c r="L76" s="78">
        <v>46110</v>
      </c>
      <c r="N76" s="81"/>
      <c r="O76" s="82"/>
      <c r="P76" s="83">
        <f t="shared" si="8"/>
        <v>150</v>
      </c>
      <c r="Q76" s="83">
        <f t="shared" si="9"/>
        <v>300</v>
      </c>
      <c r="R76" s="83"/>
      <c r="S76" s="81"/>
      <c r="T76" s="82"/>
      <c r="U76" s="83">
        <f t="shared" si="10"/>
        <v>150</v>
      </c>
      <c r="V76" s="83">
        <f t="shared" si="11"/>
        <v>2</v>
      </c>
      <c r="W76" s="84">
        <f t="shared" si="12"/>
        <v>300</v>
      </c>
      <c r="X76" s="84" t="s">
        <v>181</v>
      </c>
      <c r="Y76" s="24" t="s">
        <v>176</v>
      </c>
    </row>
    <row r="77" spans="1:25" s="24" customFormat="1" ht="11.1" customHeight="1" x14ac:dyDescent="0.2">
      <c r="A77" s="76">
        <f t="shared" si="13"/>
        <v>75</v>
      </c>
      <c r="B77" s="77" t="s">
        <v>139</v>
      </c>
      <c r="C77" s="76" t="str">
        <f>IF($B77&lt;&gt;"",_xlfn.IFNA(VLOOKUP($B77,'Node Details'!$B:$U,C$1,0),"Check"),"")</f>
        <v>0000AXZ01-AXZ010105</v>
      </c>
      <c r="D77" s="76" t="str">
        <f>IF($B77&lt;&gt;"",_xlfn.IFNA(VLOOKUP($B77,'Node Details'!$B:$U,D$1,0),"Check"),"")</f>
        <v>AXZ</v>
      </c>
      <c r="E77" s="76" t="str">
        <f>IF($B77&lt;&gt;"",_xlfn.IFNA(VLOOKUP($B77,'Node Details'!$B:$U,E$1,0),"Check"),"")</f>
        <v>Airtel</v>
      </c>
      <c r="F77" s="78">
        <v>46110</v>
      </c>
      <c r="G77" s="76"/>
      <c r="H77" s="9" t="s">
        <v>180</v>
      </c>
      <c r="I77" s="9">
        <v>2</v>
      </c>
      <c r="J77" s="9">
        <v>150</v>
      </c>
      <c r="K77" s="79">
        <f t="shared" si="7"/>
        <v>300</v>
      </c>
      <c r="L77" s="78">
        <v>46110</v>
      </c>
      <c r="N77" s="81"/>
      <c r="O77" s="82"/>
      <c r="P77" s="83">
        <f t="shared" si="8"/>
        <v>150</v>
      </c>
      <c r="Q77" s="83">
        <f t="shared" si="9"/>
        <v>300</v>
      </c>
      <c r="R77" s="83"/>
      <c r="S77" s="81"/>
      <c r="T77" s="82"/>
      <c r="U77" s="83">
        <f t="shared" si="10"/>
        <v>150</v>
      </c>
      <c r="V77" s="83">
        <f t="shared" si="11"/>
        <v>2</v>
      </c>
      <c r="W77" s="84">
        <f t="shared" si="12"/>
        <v>300</v>
      </c>
      <c r="X77" s="84" t="s">
        <v>181</v>
      </c>
      <c r="Y77" s="24" t="s">
        <v>176</v>
      </c>
    </row>
    <row r="78" spans="1:25" s="24" customFormat="1" ht="11.1" customHeight="1" x14ac:dyDescent="0.2">
      <c r="A78" s="76">
        <f t="shared" si="13"/>
        <v>76</v>
      </c>
      <c r="B78" s="77" t="s">
        <v>140</v>
      </c>
      <c r="C78" s="76" t="str">
        <f>IF($B78&lt;&gt;"",_xlfn.IFNA(VLOOKUP($B78,'Node Details'!$B:$U,C$1,0),"Check"),"")</f>
        <v>0000AXZ01-AXZ010105</v>
      </c>
      <c r="D78" s="76" t="str">
        <f>IF($B78&lt;&gt;"",_xlfn.IFNA(VLOOKUP($B78,'Node Details'!$B:$U,D$1,0),"Check"),"")</f>
        <v>AXZ</v>
      </c>
      <c r="E78" s="76" t="str">
        <f>IF($B78&lt;&gt;"",_xlfn.IFNA(VLOOKUP($B78,'Node Details'!$B:$U,E$1,0),"Check"),"")</f>
        <v>Airtel</v>
      </c>
      <c r="F78" s="78">
        <v>46110</v>
      </c>
      <c r="G78" s="76"/>
      <c r="H78" s="9" t="s">
        <v>180</v>
      </c>
      <c r="I78" s="9">
        <v>2</v>
      </c>
      <c r="J78" s="9">
        <v>150</v>
      </c>
      <c r="K78" s="79">
        <f t="shared" si="7"/>
        <v>300</v>
      </c>
      <c r="L78" s="78">
        <v>46110</v>
      </c>
      <c r="N78" s="85"/>
      <c r="O78" s="86"/>
      <c r="P78" s="83">
        <f t="shared" si="8"/>
        <v>150</v>
      </c>
      <c r="Q78" s="83">
        <f t="shared" si="9"/>
        <v>300</v>
      </c>
      <c r="R78" s="83"/>
      <c r="S78" s="83"/>
      <c r="T78" s="87"/>
      <c r="U78" s="83">
        <f t="shared" si="10"/>
        <v>150</v>
      </c>
      <c r="V78" s="83">
        <f t="shared" si="11"/>
        <v>2</v>
      </c>
      <c r="W78" s="84">
        <f t="shared" si="12"/>
        <v>300</v>
      </c>
      <c r="X78" s="84" t="s">
        <v>181</v>
      </c>
      <c r="Y78" s="24" t="s">
        <v>176</v>
      </c>
    </row>
    <row r="79" spans="1:25" s="24" customFormat="1" ht="11.1" customHeight="1" x14ac:dyDescent="0.2">
      <c r="A79" s="76">
        <f t="shared" si="13"/>
        <v>77</v>
      </c>
      <c r="B79" s="77" t="s">
        <v>141</v>
      </c>
      <c r="C79" s="76" t="str">
        <f>IF($B79&lt;&gt;"",_xlfn.IFNA(VLOOKUP($B79,'Node Details'!$B:$U,C$1,0),"Check"),"")</f>
        <v>0000AXZ01-AXZ010105</v>
      </c>
      <c r="D79" s="76" t="str">
        <f>IF($B79&lt;&gt;"",_xlfn.IFNA(VLOOKUP($B79,'Node Details'!$B:$U,D$1,0),"Check"),"")</f>
        <v>AXZ</v>
      </c>
      <c r="E79" s="76" t="str">
        <f>IF($B79&lt;&gt;"",_xlfn.IFNA(VLOOKUP($B79,'Node Details'!$B:$U,E$1,0),"Check"),"")</f>
        <v>Airtel</v>
      </c>
      <c r="F79" s="78">
        <v>46110</v>
      </c>
      <c r="G79" s="76"/>
      <c r="H79" s="9" t="s">
        <v>180</v>
      </c>
      <c r="I79" s="9">
        <v>2</v>
      </c>
      <c r="J79" s="9">
        <v>150</v>
      </c>
      <c r="K79" s="79">
        <f t="shared" si="7"/>
        <v>300</v>
      </c>
      <c r="L79" s="78">
        <v>46110</v>
      </c>
      <c r="N79" s="85"/>
      <c r="O79" s="86"/>
      <c r="P79" s="83">
        <f t="shared" si="8"/>
        <v>150</v>
      </c>
      <c r="Q79" s="83">
        <f t="shared" si="9"/>
        <v>300</v>
      </c>
      <c r="R79" s="83"/>
      <c r="S79" s="83"/>
      <c r="T79" s="87"/>
      <c r="U79" s="83">
        <f t="shared" si="10"/>
        <v>150</v>
      </c>
      <c r="V79" s="83">
        <f t="shared" si="11"/>
        <v>2</v>
      </c>
      <c r="W79" s="84">
        <f t="shared" si="12"/>
        <v>300</v>
      </c>
      <c r="X79" s="84" t="s">
        <v>181</v>
      </c>
      <c r="Y79" s="24" t="s">
        <v>176</v>
      </c>
    </row>
    <row r="80" spans="1:25" s="24" customFormat="1" ht="11.1" customHeight="1" x14ac:dyDescent="0.2">
      <c r="A80" s="76">
        <f t="shared" si="13"/>
        <v>78</v>
      </c>
      <c r="B80" s="77" t="s">
        <v>142</v>
      </c>
      <c r="C80" s="76" t="str">
        <f>IF($B80&lt;&gt;"",_xlfn.IFNA(VLOOKUP($B80,'Node Details'!$B:$U,C$1,0),"Check"),"")</f>
        <v>0000AXZ01-AXZ010202</v>
      </c>
      <c r="D80" s="76" t="str">
        <f>IF($B80&lt;&gt;"",_xlfn.IFNA(VLOOKUP($B80,'Node Details'!$B:$U,D$1,0),"Check"),"")</f>
        <v>AXZ</v>
      </c>
      <c r="E80" s="76" t="str">
        <f>IF($B80&lt;&gt;"",_xlfn.IFNA(VLOOKUP($B80,'Node Details'!$B:$U,E$1,0),"Check"),"")</f>
        <v>Airtel</v>
      </c>
      <c r="F80" s="78">
        <v>46110</v>
      </c>
      <c r="G80" s="76"/>
      <c r="H80" s="9" t="s">
        <v>180</v>
      </c>
      <c r="I80" s="9">
        <v>2</v>
      </c>
      <c r="J80" s="9">
        <v>150</v>
      </c>
      <c r="K80" s="79">
        <f t="shared" si="7"/>
        <v>300</v>
      </c>
      <c r="L80" s="78">
        <v>46110</v>
      </c>
      <c r="N80" s="85"/>
      <c r="O80" s="86"/>
      <c r="P80" s="83">
        <f t="shared" si="8"/>
        <v>150</v>
      </c>
      <c r="Q80" s="83">
        <f t="shared" si="9"/>
        <v>300</v>
      </c>
      <c r="R80" s="83"/>
      <c r="S80" s="83"/>
      <c r="T80" s="87"/>
      <c r="U80" s="83">
        <f t="shared" si="10"/>
        <v>150</v>
      </c>
      <c r="V80" s="83">
        <f t="shared" si="11"/>
        <v>2</v>
      </c>
      <c r="W80" s="84">
        <f t="shared" si="12"/>
        <v>300</v>
      </c>
      <c r="X80" s="84" t="s">
        <v>181</v>
      </c>
      <c r="Y80" s="24" t="s">
        <v>176</v>
      </c>
    </row>
    <row r="81" spans="1:25" s="24" customFormat="1" ht="11.1" customHeight="1" x14ac:dyDescent="0.2">
      <c r="A81" s="76">
        <f t="shared" si="13"/>
        <v>79</v>
      </c>
      <c r="B81" s="77" t="s">
        <v>143</v>
      </c>
      <c r="C81" s="76" t="str">
        <f>IF($B81&lt;&gt;"",_xlfn.IFNA(VLOOKUP($B81,'Node Details'!$B:$U,C$1,0),"Check"),"")</f>
        <v>0000AXZ01-AXZ010202</v>
      </c>
      <c r="D81" s="76" t="str">
        <f>IF($B81&lt;&gt;"",_xlfn.IFNA(VLOOKUP($B81,'Node Details'!$B:$U,D$1,0),"Check"),"")</f>
        <v>AXZ</v>
      </c>
      <c r="E81" s="76" t="str">
        <f>IF($B81&lt;&gt;"",_xlfn.IFNA(VLOOKUP($B81,'Node Details'!$B:$U,E$1,0),"Check"),"")</f>
        <v>Airtel</v>
      </c>
      <c r="F81" s="78">
        <v>46110</v>
      </c>
      <c r="G81" s="76"/>
      <c r="H81" s="9" t="s">
        <v>180</v>
      </c>
      <c r="I81" s="9">
        <v>2</v>
      </c>
      <c r="J81" s="9">
        <v>150</v>
      </c>
      <c r="K81" s="79">
        <f t="shared" si="7"/>
        <v>300</v>
      </c>
      <c r="L81" s="78">
        <v>46110</v>
      </c>
      <c r="N81" s="85"/>
      <c r="O81" s="86"/>
      <c r="P81" s="83">
        <f t="shared" si="8"/>
        <v>150</v>
      </c>
      <c r="Q81" s="83">
        <f t="shared" si="9"/>
        <v>300</v>
      </c>
      <c r="R81" s="83"/>
      <c r="S81" s="83"/>
      <c r="T81" s="87"/>
      <c r="U81" s="83">
        <f t="shared" si="10"/>
        <v>150</v>
      </c>
      <c r="V81" s="83">
        <f t="shared" si="11"/>
        <v>2</v>
      </c>
      <c r="W81" s="84">
        <f t="shared" si="12"/>
        <v>300</v>
      </c>
      <c r="X81" s="84" t="s">
        <v>181</v>
      </c>
      <c r="Y81" s="24" t="s">
        <v>176</v>
      </c>
    </row>
    <row r="82" spans="1:25" s="24" customFormat="1" ht="11.1" customHeight="1" x14ac:dyDescent="0.2">
      <c r="A82" s="76">
        <f t="shared" si="13"/>
        <v>80</v>
      </c>
      <c r="B82" s="77" t="s">
        <v>144</v>
      </c>
      <c r="C82" s="76" t="str">
        <f>IF($B82&lt;&gt;"",_xlfn.IFNA(VLOOKUP($B82,'Node Details'!$B:$U,C$1,0),"Check"),"")</f>
        <v>0000AXZ01-AXZ010202</v>
      </c>
      <c r="D82" s="76" t="str">
        <f>IF($B82&lt;&gt;"",_xlfn.IFNA(VLOOKUP($B82,'Node Details'!$B:$U,D$1,0),"Check"),"")</f>
        <v>AXZ</v>
      </c>
      <c r="E82" s="76" t="str">
        <f>IF($B82&lt;&gt;"",_xlfn.IFNA(VLOOKUP($B82,'Node Details'!$B:$U,E$1,0),"Check"),"")</f>
        <v>Airtel</v>
      </c>
      <c r="F82" s="78">
        <v>46110</v>
      </c>
      <c r="G82" s="76"/>
      <c r="H82" s="9" t="s">
        <v>180</v>
      </c>
      <c r="I82" s="9">
        <v>2</v>
      </c>
      <c r="J82" s="9">
        <v>150</v>
      </c>
      <c r="K82" s="79">
        <f t="shared" si="7"/>
        <v>300</v>
      </c>
      <c r="L82" s="78">
        <v>46110</v>
      </c>
      <c r="N82" s="85"/>
      <c r="O82" s="86"/>
      <c r="P82" s="83">
        <f t="shared" si="8"/>
        <v>150</v>
      </c>
      <c r="Q82" s="83">
        <f t="shared" si="9"/>
        <v>300</v>
      </c>
      <c r="R82" s="83"/>
      <c r="S82" s="83"/>
      <c r="T82" s="87"/>
      <c r="U82" s="83">
        <f t="shared" si="10"/>
        <v>150</v>
      </c>
      <c r="V82" s="83">
        <f t="shared" si="11"/>
        <v>2</v>
      </c>
      <c r="W82" s="84">
        <f t="shared" si="12"/>
        <v>300</v>
      </c>
      <c r="X82" s="84" t="s">
        <v>181</v>
      </c>
      <c r="Y82" s="24" t="s">
        <v>176</v>
      </c>
    </row>
    <row r="83" spans="1:25" s="24" customFormat="1" ht="11.1" customHeight="1" x14ac:dyDescent="0.2">
      <c r="A83" s="76">
        <f t="shared" si="13"/>
        <v>81</v>
      </c>
      <c r="B83" s="77" t="s">
        <v>145</v>
      </c>
      <c r="C83" s="76" t="str">
        <f>IF($B83&lt;&gt;"",_xlfn.IFNA(VLOOKUP($B83,'Node Details'!$B:$U,C$1,0),"Check"),"")</f>
        <v>0000AXZ01-AXZ010202</v>
      </c>
      <c r="D83" s="76" t="str">
        <f>IF($B83&lt;&gt;"",_xlfn.IFNA(VLOOKUP($B83,'Node Details'!$B:$U,D$1,0),"Check"),"")</f>
        <v>AXZ</v>
      </c>
      <c r="E83" s="76" t="str">
        <f>IF($B83&lt;&gt;"",_xlfn.IFNA(VLOOKUP($B83,'Node Details'!$B:$U,E$1,0),"Check"),"")</f>
        <v>Airtel</v>
      </c>
      <c r="F83" s="78">
        <v>46110</v>
      </c>
      <c r="G83" s="76"/>
      <c r="H83" s="9" t="s">
        <v>180</v>
      </c>
      <c r="I83" s="9">
        <v>2</v>
      </c>
      <c r="J83" s="9">
        <v>150</v>
      </c>
      <c r="K83" s="79">
        <f t="shared" si="7"/>
        <v>300</v>
      </c>
      <c r="L83" s="78">
        <v>46110</v>
      </c>
      <c r="N83" s="85"/>
      <c r="O83" s="86"/>
      <c r="P83" s="83">
        <f t="shared" si="8"/>
        <v>150</v>
      </c>
      <c r="Q83" s="83">
        <f t="shared" si="9"/>
        <v>300</v>
      </c>
      <c r="R83" s="83"/>
      <c r="S83" s="83"/>
      <c r="T83" s="87"/>
      <c r="U83" s="83">
        <f t="shared" si="10"/>
        <v>150</v>
      </c>
      <c r="V83" s="83">
        <f t="shared" si="11"/>
        <v>2</v>
      </c>
      <c r="W83" s="84">
        <f t="shared" si="12"/>
        <v>300</v>
      </c>
      <c r="X83" s="84" t="s">
        <v>181</v>
      </c>
      <c r="Y83" s="24" t="s">
        <v>176</v>
      </c>
    </row>
    <row r="84" spans="1:25" s="24" customFormat="1" ht="11.1" customHeight="1" x14ac:dyDescent="0.2">
      <c r="A84" s="76">
        <f t="shared" si="13"/>
        <v>82</v>
      </c>
      <c r="B84" s="77" t="s">
        <v>146</v>
      </c>
      <c r="C84" s="76" t="str">
        <f>IF($B84&lt;&gt;"",_xlfn.IFNA(VLOOKUP($B84,'Node Details'!$B:$U,C$1,0),"Check"),"")</f>
        <v>0000AXZ01-AXZ010202</v>
      </c>
      <c r="D84" s="76" t="str">
        <f>IF($B84&lt;&gt;"",_xlfn.IFNA(VLOOKUP($B84,'Node Details'!$B:$U,D$1,0),"Check"),"")</f>
        <v>AXZ</v>
      </c>
      <c r="E84" s="76" t="str">
        <f>IF($B84&lt;&gt;"",_xlfn.IFNA(VLOOKUP($B84,'Node Details'!$B:$U,E$1,0),"Check"),"")</f>
        <v>Airtel</v>
      </c>
      <c r="F84" s="78">
        <v>46110</v>
      </c>
      <c r="G84" s="76"/>
      <c r="H84" s="9" t="s">
        <v>180</v>
      </c>
      <c r="I84" s="9">
        <v>2</v>
      </c>
      <c r="J84" s="9">
        <v>150</v>
      </c>
      <c r="K84" s="79">
        <f t="shared" si="7"/>
        <v>300</v>
      </c>
      <c r="L84" s="78">
        <v>46110</v>
      </c>
      <c r="N84" s="85"/>
      <c r="O84" s="86"/>
      <c r="P84" s="83">
        <f t="shared" si="8"/>
        <v>150</v>
      </c>
      <c r="Q84" s="83">
        <f t="shared" si="9"/>
        <v>300</v>
      </c>
      <c r="R84" s="83"/>
      <c r="S84" s="83"/>
      <c r="T84" s="87"/>
      <c r="U84" s="83">
        <f t="shared" si="10"/>
        <v>150</v>
      </c>
      <c r="V84" s="83">
        <f t="shared" si="11"/>
        <v>2</v>
      </c>
      <c r="W84" s="84">
        <f t="shared" si="12"/>
        <v>300</v>
      </c>
      <c r="X84" s="84" t="s">
        <v>181</v>
      </c>
      <c r="Y84" s="24" t="s">
        <v>176</v>
      </c>
    </row>
    <row r="85" spans="1:25" s="24" customFormat="1" ht="11.1" customHeight="1" x14ac:dyDescent="0.2">
      <c r="A85" s="76">
        <f t="shared" si="13"/>
        <v>83</v>
      </c>
      <c r="B85" s="77" t="s">
        <v>147</v>
      </c>
      <c r="C85" s="76" t="str">
        <f>IF($B85&lt;&gt;"",_xlfn.IFNA(VLOOKUP($B85,'Node Details'!$B:$U,C$1,0),"Check"),"")</f>
        <v>000000AXZ-0000AXZ03</v>
      </c>
      <c r="D85" s="76" t="str">
        <f>IF($B85&lt;&gt;"",_xlfn.IFNA(VLOOKUP($B85,'Node Details'!$B:$U,D$1,0),"Check"),"")</f>
        <v>AXZ</v>
      </c>
      <c r="E85" s="76" t="str">
        <f>IF($B85&lt;&gt;"",_xlfn.IFNA(VLOOKUP($B85,'Node Details'!$B:$U,E$1,0),"Check"),"")</f>
        <v>Airtel</v>
      </c>
      <c r="F85" s="78">
        <v>46110</v>
      </c>
      <c r="G85" s="76"/>
      <c r="H85" s="9" t="s">
        <v>180</v>
      </c>
      <c r="I85" s="9">
        <v>2</v>
      </c>
      <c r="J85" s="9">
        <v>150</v>
      </c>
      <c r="K85" s="79">
        <f t="shared" si="7"/>
        <v>300</v>
      </c>
      <c r="L85" s="78">
        <v>46110</v>
      </c>
      <c r="N85" s="85"/>
      <c r="O85" s="86"/>
      <c r="P85" s="83">
        <f t="shared" si="8"/>
        <v>150</v>
      </c>
      <c r="Q85" s="83">
        <f t="shared" si="9"/>
        <v>300</v>
      </c>
      <c r="R85" s="83"/>
      <c r="S85" s="83"/>
      <c r="T85" s="87"/>
      <c r="U85" s="83">
        <f t="shared" si="10"/>
        <v>150</v>
      </c>
      <c r="V85" s="83">
        <f t="shared" si="11"/>
        <v>2</v>
      </c>
      <c r="W85" s="84">
        <f t="shared" si="12"/>
        <v>300</v>
      </c>
      <c r="X85" s="84" t="s">
        <v>181</v>
      </c>
      <c r="Y85" s="24" t="s">
        <v>176</v>
      </c>
    </row>
    <row r="86" spans="1:25" s="24" customFormat="1" ht="11.1" customHeight="1" x14ac:dyDescent="0.2">
      <c r="A86" s="76">
        <f t="shared" si="13"/>
        <v>84</v>
      </c>
      <c r="B86" s="77" t="s">
        <v>148</v>
      </c>
      <c r="C86" s="76" t="str">
        <f>IF($B86&lt;&gt;"",_xlfn.IFNA(VLOOKUP($B86,'Node Details'!$B:$U,C$1,0),"Check"),"")</f>
        <v>0000AXZ02-AXZ020101</v>
      </c>
      <c r="D86" s="76" t="str">
        <f>IF($B86&lt;&gt;"",_xlfn.IFNA(VLOOKUP($B86,'Node Details'!$B:$U,D$1,0),"Check"),"")</f>
        <v>AXZ</v>
      </c>
      <c r="E86" s="76" t="str">
        <f>IF($B86&lt;&gt;"",_xlfn.IFNA(VLOOKUP($B86,'Node Details'!$B:$U,E$1,0),"Check"),"")</f>
        <v>Airtel</v>
      </c>
      <c r="F86" s="78">
        <v>46110</v>
      </c>
      <c r="G86" s="76"/>
      <c r="H86" s="9" t="s">
        <v>180</v>
      </c>
      <c r="I86" s="9">
        <v>2</v>
      </c>
      <c r="J86" s="9">
        <v>150</v>
      </c>
      <c r="K86" s="79">
        <f t="shared" si="7"/>
        <v>300</v>
      </c>
      <c r="L86" s="78">
        <v>46110</v>
      </c>
      <c r="N86" s="85"/>
      <c r="O86" s="86"/>
      <c r="P86" s="83">
        <f t="shared" si="8"/>
        <v>150</v>
      </c>
      <c r="Q86" s="83">
        <f t="shared" si="9"/>
        <v>300</v>
      </c>
      <c r="R86" s="83"/>
      <c r="S86" s="83"/>
      <c r="T86" s="87"/>
      <c r="U86" s="83">
        <f t="shared" si="10"/>
        <v>150</v>
      </c>
      <c r="V86" s="83">
        <f t="shared" si="11"/>
        <v>2</v>
      </c>
      <c r="W86" s="84">
        <f t="shared" si="12"/>
        <v>300</v>
      </c>
      <c r="X86" s="84" t="s">
        <v>181</v>
      </c>
      <c r="Y86" s="24" t="s">
        <v>176</v>
      </c>
    </row>
    <row r="87" spans="1:25" s="24" customFormat="1" ht="11.1" customHeight="1" x14ac:dyDescent="0.2">
      <c r="A87" s="76">
        <f t="shared" si="13"/>
        <v>85</v>
      </c>
      <c r="B87" s="77" t="s">
        <v>149</v>
      </c>
      <c r="C87" s="76" t="str">
        <f>IF($B87&lt;&gt;"",_xlfn.IFNA(VLOOKUP($B87,'Node Details'!$B:$U,C$1,0),"Check"),"")</f>
        <v>0000AXZ02-AXZ020103</v>
      </c>
      <c r="D87" s="76" t="str">
        <f>IF($B87&lt;&gt;"",_xlfn.IFNA(VLOOKUP($B87,'Node Details'!$B:$U,D$1,0),"Check"),"")</f>
        <v>AXZ</v>
      </c>
      <c r="E87" s="76" t="str">
        <f>IF($B87&lt;&gt;"",_xlfn.IFNA(VLOOKUP($B87,'Node Details'!$B:$U,E$1,0),"Check"),"")</f>
        <v>Airtel</v>
      </c>
      <c r="F87" s="78">
        <v>46110</v>
      </c>
      <c r="G87" s="76"/>
      <c r="H87" s="9" t="s">
        <v>180</v>
      </c>
      <c r="I87" s="9">
        <v>2</v>
      </c>
      <c r="J87" s="9">
        <v>150</v>
      </c>
      <c r="K87" s="79">
        <f t="shared" si="7"/>
        <v>300</v>
      </c>
      <c r="L87" s="78">
        <v>46110</v>
      </c>
      <c r="N87" s="85"/>
      <c r="O87" s="86"/>
      <c r="P87" s="83">
        <f t="shared" si="8"/>
        <v>150</v>
      </c>
      <c r="Q87" s="83">
        <f t="shared" si="9"/>
        <v>300</v>
      </c>
      <c r="R87" s="83"/>
      <c r="S87" s="83"/>
      <c r="T87" s="87"/>
      <c r="U87" s="83">
        <f t="shared" si="10"/>
        <v>150</v>
      </c>
      <c r="V87" s="83">
        <f t="shared" si="11"/>
        <v>2</v>
      </c>
      <c r="W87" s="84">
        <f t="shared" si="12"/>
        <v>300</v>
      </c>
      <c r="X87" s="84" t="s">
        <v>181</v>
      </c>
      <c r="Y87" s="24" t="s">
        <v>176</v>
      </c>
    </row>
    <row r="88" spans="1:25" s="24" customFormat="1" ht="11.1" customHeight="1" x14ac:dyDescent="0.2">
      <c r="A88" s="76">
        <f t="shared" si="13"/>
        <v>86</v>
      </c>
      <c r="B88" s="77" t="s">
        <v>150</v>
      </c>
      <c r="C88" s="76" t="str">
        <f>IF($B88&lt;&gt;"",_xlfn.IFNA(VLOOKUP($B88,'Node Details'!$B:$U,C$1,0),"Check"),"")</f>
        <v>0000AXZ02-AXZ020103</v>
      </c>
      <c r="D88" s="76" t="str">
        <f>IF($B88&lt;&gt;"",_xlfn.IFNA(VLOOKUP($B88,'Node Details'!$B:$U,D$1,0),"Check"),"")</f>
        <v>AXZ</v>
      </c>
      <c r="E88" s="76" t="str">
        <f>IF($B88&lt;&gt;"",_xlfn.IFNA(VLOOKUP($B88,'Node Details'!$B:$U,E$1,0),"Check"),"")</f>
        <v>Airtel</v>
      </c>
      <c r="F88" s="78">
        <v>46110</v>
      </c>
      <c r="G88" s="76"/>
      <c r="H88" s="9" t="s">
        <v>180</v>
      </c>
      <c r="I88" s="9">
        <v>2</v>
      </c>
      <c r="J88" s="9">
        <v>150</v>
      </c>
      <c r="K88" s="79">
        <f t="shared" si="7"/>
        <v>300</v>
      </c>
      <c r="L88" s="78">
        <v>46110</v>
      </c>
      <c r="N88" s="85"/>
      <c r="O88" s="86"/>
      <c r="P88" s="83">
        <f t="shared" si="8"/>
        <v>150</v>
      </c>
      <c r="Q88" s="83">
        <f t="shared" si="9"/>
        <v>300</v>
      </c>
      <c r="R88" s="83"/>
      <c r="S88" s="83"/>
      <c r="T88" s="87"/>
      <c r="U88" s="83">
        <f t="shared" si="10"/>
        <v>150</v>
      </c>
      <c r="V88" s="83">
        <f t="shared" si="11"/>
        <v>2</v>
      </c>
      <c r="W88" s="84">
        <f t="shared" si="12"/>
        <v>300</v>
      </c>
      <c r="X88" s="84" t="s">
        <v>181</v>
      </c>
      <c r="Y88" s="24" t="s">
        <v>176</v>
      </c>
    </row>
    <row r="89" spans="1:25" s="24" customFormat="1" ht="11.1" customHeight="1" x14ac:dyDescent="0.2">
      <c r="A89" s="76">
        <f t="shared" si="13"/>
        <v>87</v>
      </c>
      <c r="B89" s="77" t="s">
        <v>151</v>
      </c>
      <c r="C89" s="76" t="str">
        <f>IF($B89&lt;&gt;"",_xlfn.IFNA(VLOOKUP($B89,'Node Details'!$B:$U,C$1,0),"Check"),"")</f>
        <v>0000AXZ02-AXZ020203</v>
      </c>
      <c r="D89" s="76" t="str">
        <f>IF($B89&lt;&gt;"",_xlfn.IFNA(VLOOKUP($B89,'Node Details'!$B:$U,D$1,0),"Check"),"")</f>
        <v>AXZ</v>
      </c>
      <c r="E89" s="76" t="str">
        <f>IF($B89&lt;&gt;"",_xlfn.IFNA(VLOOKUP($B89,'Node Details'!$B:$U,E$1,0),"Check"),"")</f>
        <v>Airtel</v>
      </c>
      <c r="F89" s="78">
        <v>46110</v>
      </c>
      <c r="G89" s="76"/>
      <c r="H89" s="9" t="s">
        <v>180</v>
      </c>
      <c r="I89" s="9">
        <v>2</v>
      </c>
      <c r="J89" s="9">
        <v>150</v>
      </c>
      <c r="K89" s="79">
        <f t="shared" si="7"/>
        <v>300</v>
      </c>
      <c r="L89" s="78">
        <v>46110</v>
      </c>
      <c r="N89" s="85"/>
      <c r="O89" s="86"/>
      <c r="P89" s="83">
        <f t="shared" si="8"/>
        <v>150</v>
      </c>
      <c r="Q89" s="83">
        <f t="shared" si="9"/>
        <v>300</v>
      </c>
      <c r="R89" s="83"/>
      <c r="S89" s="83"/>
      <c r="T89" s="87"/>
      <c r="U89" s="83">
        <f t="shared" si="10"/>
        <v>150</v>
      </c>
      <c r="V89" s="83">
        <f t="shared" si="11"/>
        <v>2</v>
      </c>
      <c r="W89" s="84">
        <f t="shared" si="12"/>
        <v>300</v>
      </c>
      <c r="X89" s="84" t="s">
        <v>181</v>
      </c>
      <c r="Y89" s="24" t="s">
        <v>176</v>
      </c>
    </row>
    <row r="90" spans="1:25" s="24" customFormat="1" ht="11.1" customHeight="1" x14ac:dyDescent="0.2">
      <c r="A90" s="76">
        <f t="shared" si="13"/>
        <v>88</v>
      </c>
      <c r="B90" s="77" t="s">
        <v>152</v>
      </c>
      <c r="C90" s="76" t="str">
        <f>IF($B90&lt;&gt;"",_xlfn.IFNA(VLOOKUP($B90,'Node Details'!$B:$U,C$1,0),"Check"),"")</f>
        <v>0000AXZ02-AXZ020203</v>
      </c>
      <c r="D90" s="76" t="str">
        <f>IF($B90&lt;&gt;"",_xlfn.IFNA(VLOOKUP($B90,'Node Details'!$B:$U,D$1,0),"Check"),"")</f>
        <v>AXZ</v>
      </c>
      <c r="E90" s="76" t="str">
        <f>IF($B90&lt;&gt;"",_xlfn.IFNA(VLOOKUP($B90,'Node Details'!$B:$U,E$1,0),"Check"),"")</f>
        <v>Airtel</v>
      </c>
      <c r="F90" s="78">
        <v>46110</v>
      </c>
      <c r="G90" s="76"/>
      <c r="H90" s="9" t="s">
        <v>180</v>
      </c>
      <c r="I90" s="9">
        <v>2</v>
      </c>
      <c r="J90" s="9">
        <v>150</v>
      </c>
      <c r="K90" s="79">
        <f t="shared" si="7"/>
        <v>300</v>
      </c>
      <c r="L90" s="78">
        <v>46110</v>
      </c>
      <c r="N90" s="85"/>
      <c r="O90" s="86"/>
      <c r="P90" s="83">
        <f t="shared" si="8"/>
        <v>150</v>
      </c>
      <c r="Q90" s="83">
        <f t="shared" si="9"/>
        <v>300</v>
      </c>
      <c r="R90" s="83"/>
      <c r="S90" s="83"/>
      <c r="T90" s="87"/>
      <c r="U90" s="83">
        <f t="shared" si="10"/>
        <v>150</v>
      </c>
      <c r="V90" s="83">
        <f t="shared" si="11"/>
        <v>2</v>
      </c>
      <c r="W90" s="84">
        <f t="shared" si="12"/>
        <v>300</v>
      </c>
      <c r="X90" s="84" t="s">
        <v>181</v>
      </c>
      <c r="Y90" s="24" t="s">
        <v>176</v>
      </c>
    </row>
    <row r="91" spans="1:25" s="24" customFormat="1" ht="11.1" customHeight="1" x14ac:dyDescent="0.2">
      <c r="A91" s="76">
        <f t="shared" si="13"/>
        <v>89</v>
      </c>
      <c r="B91" s="77" t="s">
        <v>153</v>
      </c>
      <c r="C91" s="76" t="str">
        <f>IF($B91&lt;&gt;"",_xlfn.IFNA(VLOOKUP($B91,'Node Details'!$B:$U,C$1,0),"Check"),"")</f>
        <v>0000AXZ02-AXZ020203</v>
      </c>
      <c r="D91" s="76" t="str">
        <f>IF($B91&lt;&gt;"",_xlfn.IFNA(VLOOKUP($B91,'Node Details'!$B:$U,D$1,0),"Check"),"")</f>
        <v>AXZ</v>
      </c>
      <c r="E91" s="76" t="str">
        <f>IF($B91&lt;&gt;"",_xlfn.IFNA(VLOOKUP($B91,'Node Details'!$B:$U,E$1,0),"Check"),"")</f>
        <v>Airtel</v>
      </c>
      <c r="F91" s="78">
        <v>46110</v>
      </c>
      <c r="G91" s="76"/>
      <c r="H91" s="9" t="s">
        <v>180</v>
      </c>
      <c r="I91" s="9">
        <v>2</v>
      </c>
      <c r="J91" s="9">
        <v>150</v>
      </c>
      <c r="K91" s="79">
        <f t="shared" si="7"/>
        <v>300</v>
      </c>
      <c r="L91" s="78">
        <v>46110</v>
      </c>
      <c r="N91" s="85"/>
      <c r="O91" s="86"/>
      <c r="P91" s="83">
        <f t="shared" si="8"/>
        <v>150</v>
      </c>
      <c r="Q91" s="83">
        <f t="shared" si="9"/>
        <v>300</v>
      </c>
      <c r="R91" s="83"/>
      <c r="S91" s="83"/>
      <c r="T91" s="87"/>
      <c r="U91" s="83">
        <f t="shared" si="10"/>
        <v>150</v>
      </c>
      <c r="V91" s="83">
        <f t="shared" si="11"/>
        <v>2</v>
      </c>
      <c r="W91" s="84">
        <f t="shared" si="12"/>
        <v>300</v>
      </c>
      <c r="X91" s="84" t="s">
        <v>181</v>
      </c>
      <c r="Y91" s="24" t="s">
        <v>176</v>
      </c>
    </row>
    <row r="92" spans="1:25" s="24" customFormat="1" ht="11.1" customHeight="1" x14ac:dyDescent="0.2">
      <c r="A92" s="76">
        <f t="shared" si="13"/>
        <v>90</v>
      </c>
      <c r="B92" s="77" t="s">
        <v>154</v>
      </c>
      <c r="C92" s="76" t="str">
        <f>IF($B92&lt;&gt;"",_xlfn.IFNA(VLOOKUP($B92,'Node Details'!$B:$U,C$1,0),"Check"),"")</f>
        <v>0000AXZ02-AXZ020203</v>
      </c>
      <c r="D92" s="76" t="str">
        <f>IF($B92&lt;&gt;"",_xlfn.IFNA(VLOOKUP($B92,'Node Details'!$B:$U,D$1,0),"Check"),"")</f>
        <v>AXZ</v>
      </c>
      <c r="E92" s="76" t="str">
        <f>IF($B92&lt;&gt;"",_xlfn.IFNA(VLOOKUP($B92,'Node Details'!$B:$U,E$1,0),"Check"),"")</f>
        <v>Airtel</v>
      </c>
      <c r="F92" s="78">
        <v>46110</v>
      </c>
      <c r="G92" s="76"/>
      <c r="H92" s="9" t="s">
        <v>180</v>
      </c>
      <c r="I92" s="9">
        <v>2</v>
      </c>
      <c r="J92" s="9">
        <v>150</v>
      </c>
      <c r="K92" s="79">
        <f t="shared" si="7"/>
        <v>300</v>
      </c>
      <c r="L92" s="78">
        <v>46110</v>
      </c>
      <c r="N92" s="85"/>
      <c r="O92" s="86"/>
      <c r="P92" s="83">
        <f t="shared" si="8"/>
        <v>150</v>
      </c>
      <c r="Q92" s="83">
        <f t="shared" si="9"/>
        <v>300</v>
      </c>
      <c r="R92" s="83"/>
      <c r="S92" s="83"/>
      <c r="T92" s="87"/>
      <c r="U92" s="83">
        <f t="shared" si="10"/>
        <v>150</v>
      </c>
      <c r="V92" s="83">
        <f t="shared" si="11"/>
        <v>2</v>
      </c>
      <c r="W92" s="84">
        <f t="shared" si="12"/>
        <v>300</v>
      </c>
      <c r="X92" s="84" t="s">
        <v>181</v>
      </c>
      <c r="Y92" s="24" t="s">
        <v>176</v>
      </c>
    </row>
    <row r="93" spans="1:25" s="24" customFormat="1" ht="11.1" customHeight="1" x14ac:dyDescent="0.2">
      <c r="A93" s="76">
        <f t="shared" si="13"/>
        <v>91</v>
      </c>
      <c r="B93" s="77" t="s">
        <v>155</v>
      </c>
      <c r="C93" s="76" t="str">
        <f>IF($B93&lt;&gt;"",_xlfn.IFNA(VLOOKUP($B93,'Node Details'!$B:$U,C$1,0),"Check"),"")</f>
        <v>0000AXZ02-AXZ020203</v>
      </c>
      <c r="D93" s="76" t="str">
        <f>IF($B93&lt;&gt;"",_xlfn.IFNA(VLOOKUP($B93,'Node Details'!$B:$U,D$1,0),"Check"),"")</f>
        <v>AXZ</v>
      </c>
      <c r="E93" s="76" t="str">
        <f>IF($B93&lt;&gt;"",_xlfn.IFNA(VLOOKUP($B93,'Node Details'!$B:$U,E$1,0),"Check"),"")</f>
        <v>Airtel</v>
      </c>
      <c r="F93" s="78">
        <v>46110</v>
      </c>
      <c r="G93" s="76"/>
      <c r="H93" s="9" t="s">
        <v>180</v>
      </c>
      <c r="I93" s="9">
        <v>2</v>
      </c>
      <c r="J93" s="9">
        <v>150</v>
      </c>
      <c r="K93" s="79">
        <f t="shared" si="7"/>
        <v>300</v>
      </c>
      <c r="L93" s="78">
        <v>46110</v>
      </c>
      <c r="N93" s="85"/>
      <c r="O93" s="86"/>
      <c r="P93" s="83">
        <f t="shared" si="8"/>
        <v>150</v>
      </c>
      <c r="Q93" s="83">
        <f t="shared" si="9"/>
        <v>300</v>
      </c>
      <c r="R93" s="83"/>
      <c r="S93" s="83"/>
      <c r="T93" s="87"/>
      <c r="U93" s="83">
        <f t="shared" si="10"/>
        <v>150</v>
      </c>
      <c r="V93" s="83">
        <f t="shared" si="11"/>
        <v>2</v>
      </c>
      <c r="W93" s="84">
        <f t="shared" si="12"/>
        <v>300</v>
      </c>
      <c r="X93" s="84" t="s">
        <v>181</v>
      </c>
      <c r="Y93" s="24" t="s">
        <v>176</v>
      </c>
    </row>
    <row r="94" spans="1:25" s="24" customFormat="1" ht="11.1" customHeight="1" x14ac:dyDescent="0.2">
      <c r="A94" s="76">
        <f t="shared" si="13"/>
        <v>92</v>
      </c>
      <c r="B94" s="77" t="s">
        <v>156</v>
      </c>
      <c r="C94" s="76" t="str">
        <f>IF($B94&lt;&gt;"",_xlfn.IFNA(VLOOKUP($B94,'Node Details'!$B:$U,C$1,0),"Check"),"")</f>
        <v>0000AXZ02-AXZ020203</v>
      </c>
      <c r="D94" s="76" t="str">
        <f>IF($B94&lt;&gt;"",_xlfn.IFNA(VLOOKUP($B94,'Node Details'!$B:$U,D$1,0),"Check"),"")</f>
        <v>AXZ</v>
      </c>
      <c r="E94" s="76" t="str">
        <f>IF($B94&lt;&gt;"",_xlfn.IFNA(VLOOKUP($B94,'Node Details'!$B:$U,E$1,0),"Check"),"")</f>
        <v>Airtel</v>
      </c>
      <c r="F94" s="78">
        <v>46110</v>
      </c>
      <c r="G94" s="76"/>
      <c r="H94" s="9" t="s">
        <v>180</v>
      </c>
      <c r="I94" s="9">
        <v>2</v>
      </c>
      <c r="J94" s="9">
        <v>150</v>
      </c>
      <c r="K94" s="79">
        <f t="shared" si="7"/>
        <v>300</v>
      </c>
      <c r="L94" s="78">
        <v>46110</v>
      </c>
      <c r="N94" s="85"/>
      <c r="O94" s="86"/>
      <c r="P94" s="83">
        <f t="shared" si="8"/>
        <v>150</v>
      </c>
      <c r="Q94" s="83">
        <f t="shared" si="9"/>
        <v>300</v>
      </c>
      <c r="R94" s="83"/>
      <c r="S94" s="83"/>
      <c r="T94" s="87"/>
      <c r="U94" s="83">
        <f t="shared" si="10"/>
        <v>150</v>
      </c>
      <c r="V94" s="83">
        <f t="shared" si="11"/>
        <v>2</v>
      </c>
      <c r="W94" s="84">
        <f t="shared" si="12"/>
        <v>300</v>
      </c>
      <c r="X94" s="84" t="s">
        <v>181</v>
      </c>
      <c r="Y94" s="24" t="s">
        <v>176</v>
      </c>
    </row>
    <row r="95" spans="1:25" s="24" customFormat="1" ht="11.1" customHeight="1" x14ac:dyDescent="0.2">
      <c r="A95" s="76">
        <f t="shared" si="13"/>
        <v>93</v>
      </c>
      <c r="B95" s="77" t="s">
        <v>157</v>
      </c>
      <c r="C95" s="76" t="str">
        <f>IF($B95&lt;&gt;"",_xlfn.IFNA(VLOOKUP($B95,'Node Details'!$B:$U,C$1,0),"Check"),"")</f>
        <v>0000AXZ02-AXZ020203</v>
      </c>
      <c r="D95" s="76" t="str">
        <f>IF($B95&lt;&gt;"",_xlfn.IFNA(VLOOKUP($B95,'Node Details'!$B:$U,D$1,0),"Check"),"")</f>
        <v>AXZ</v>
      </c>
      <c r="E95" s="76" t="str">
        <f>IF($B95&lt;&gt;"",_xlfn.IFNA(VLOOKUP($B95,'Node Details'!$B:$U,E$1,0),"Check"),"")</f>
        <v>Airtel</v>
      </c>
      <c r="F95" s="78">
        <v>46110</v>
      </c>
      <c r="G95" s="76"/>
      <c r="H95" s="9" t="s">
        <v>180</v>
      </c>
      <c r="I95" s="9">
        <v>2</v>
      </c>
      <c r="J95" s="9">
        <v>150</v>
      </c>
      <c r="K95" s="79">
        <f t="shared" si="7"/>
        <v>300</v>
      </c>
      <c r="L95" s="78">
        <v>46110</v>
      </c>
      <c r="N95" s="85"/>
      <c r="O95" s="86"/>
      <c r="P95" s="83">
        <f t="shared" si="8"/>
        <v>150</v>
      </c>
      <c r="Q95" s="83">
        <f t="shared" si="9"/>
        <v>300</v>
      </c>
      <c r="R95" s="83"/>
      <c r="S95" s="83"/>
      <c r="T95" s="87"/>
      <c r="U95" s="83">
        <f t="shared" si="10"/>
        <v>150</v>
      </c>
      <c r="V95" s="83">
        <f t="shared" si="11"/>
        <v>2</v>
      </c>
      <c r="W95" s="84">
        <f t="shared" si="12"/>
        <v>300</v>
      </c>
      <c r="X95" s="84" t="s">
        <v>181</v>
      </c>
      <c r="Y95" s="24" t="s">
        <v>176</v>
      </c>
    </row>
    <row r="96" spans="1:25" s="24" customFormat="1" ht="11.1" customHeight="1" x14ac:dyDescent="0.2">
      <c r="A96" s="76">
        <f t="shared" si="13"/>
        <v>94</v>
      </c>
      <c r="B96" s="77" t="s">
        <v>158</v>
      </c>
      <c r="C96" s="76" t="str">
        <f>IF($B96&lt;&gt;"",_xlfn.IFNA(VLOOKUP($B96,'Node Details'!$B:$U,C$1,0),"Check"),"")</f>
        <v>0000AXZ02-AXZ020203</v>
      </c>
      <c r="D96" s="76" t="str">
        <f>IF($B96&lt;&gt;"",_xlfn.IFNA(VLOOKUP($B96,'Node Details'!$B:$U,D$1,0),"Check"),"")</f>
        <v>AXZ</v>
      </c>
      <c r="E96" s="76" t="str">
        <f>IF($B96&lt;&gt;"",_xlfn.IFNA(VLOOKUP($B96,'Node Details'!$B:$U,E$1,0),"Check"),"")</f>
        <v>Airtel</v>
      </c>
      <c r="F96" s="78">
        <v>46110</v>
      </c>
      <c r="G96" s="76"/>
      <c r="H96" s="9" t="s">
        <v>180</v>
      </c>
      <c r="I96" s="9">
        <v>2</v>
      </c>
      <c r="J96" s="9">
        <v>150</v>
      </c>
      <c r="K96" s="79">
        <f t="shared" si="7"/>
        <v>300</v>
      </c>
      <c r="L96" s="78">
        <v>46110</v>
      </c>
      <c r="N96" s="85"/>
      <c r="O96" s="86"/>
      <c r="P96" s="83">
        <f t="shared" si="8"/>
        <v>150</v>
      </c>
      <c r="Q96" s="83">
        <f t="shared" si="9"/>
        <v>300</v>
      </c>
      <c r="R96" s="83"/>
      <c r="S96" s="83"/>
      <c r="T96" s="87"/>
      <c r="U96" s="83">
        <f t="shared" si="10"/>
        <v>150</v>
      </c>
      <c r="V96" s="83">
        <f t="shared" si="11"/>
        <v>2</v>
      </c>
      <c r="W96" s="84">
        <f t="shared" si="12"/>
        <v>300</v>
      </c>
      <c r="X96" s="84" t="s">
        <v>181</v>
      </c>
      <c r="Y96" s="24" t="s">
        <v>176</v>
      </c>
    </row>
    <row r="97" spans="1:25" s="24" customFormat="1" ht="11.1" customHeight="1" x14ac:dyDescent="0.2">
      <c r="A97" s="76">
        <f t="shared" si="13"/>
        <v>95</v>
      </c>
      <c r="B97" s="77" t="s">
        <v>159</v>
      </c>
      <c r="C97" s="76" t="str">
        <f>IF($B97&lt;&gt;"",_xlfn.IFNA(VLOOKUP($B97,'Node Details'!$B:$U,C$1,0),"Check"),"")</f>
        <v>000000AXZ-0000AXZ03</v>
      </c>
      <c r="D97" s="76" t="str">
        <f>IF($B97&lt;&gt;"",_xlfn.IFNA(VLOOKUP($B97,'Node Details'!$B:$U,D$1,0),"Check"),"")</f>
        <v>AXZ</v>
      </c>
      <c r="E97" s="76" t="str">
        <f>IF($B97&lt;&gt;"",_xlfn.IFNA(VLOOKUP($B97,'Node Details'!$B:$U,E$1,0),"Check"),"")</f>
        <v>Airtel</v>
      </c>
      <c r="F97" s="78">
        <v>46110</v>
      </c>
      <c r="G97" s="76"/>
      <c r="H97" s="9" t="s">
        <v>180</v>
      </c>
      <c r="I97" s="9">
        <v>2</v>
      </c>
      <c r="J97" s="9">
        <v>150</v>
      </c>
      <c r="K97" s="79">
        <f t="shared" si="7"/>
        <v>300</v>
      </c>
      <c r="L97" s="78">
        <v>46110</v>
      </c>
      <c r="N97" s="85"/>
      <c r="O97" s="86"/>
      <c r="P97" s="83">
        <f t="shared" si="8"/>
        <v>150</v>
      </c>
      <c r="Q97" s="83">
        <f t="shared" si="9"/>
        <v>300</v>
      </c>
      <c r="R97" s="83"/>
      <c r="S97" s="83"/>
      <c r="T97" s="87"/>
      <c r="U97" s="83">
        <f t="shared" si="10"/>
        <v>150</v>
      </c>
      <c r="V97" s="83">
        <f t="shared" si="11"/>
        <v>2</v>
      </c>
      <c r="W97" s="84">
        <f t="shared" si="12"/>
        <v>300</v>
      </c>
      <c r="X97" s="84" t="s">
        <v>181</v>
      </c>
      <c r="Y97" s="24" t="s">
        <v>176</v>
      </c>
    </row>
    <row r="98" spans="1:25" s="24" customFormat="1" ht="11.1" customHeight="1" x14ac:dyDescent="0.2">
      <c r="A98" s="76">
        <f t="shared" si="13"/>
        <v>96</v>
      </c>
      <c r="B98" s="77" t="s">
        <v>160</v>
      </c>
      <c r="C98" s="76" t="str">
        <f>IF($B98&lt;&gt;"",_xlfn.IFNA(VLOOKUP($B98,'Node Details'!$B:$U,C$1,0),"Check"),"")</f>
        <v>0000AXZ03-AXZ030101</v>
      </c>
      <c r="D98" s="76" t="str">
        <f>IF($B98&lt;&gt;"",_xlfn.IFNA(VLOOKUP($B98,'Node Details'!$B:$U,D$1,0),"Check"),"")</f>
        <v>AXZ</v>
      </c>
      <c r="E98" s="76" t="str">
        <f>IF($B98&lt;&gt;"",_xlfn.IFNA(VLOOKUP($B98,'Node Details'!$B:$U,E$1,0),"Check"),"")</f>
        <v>Airtel</v>
      </c>
      <c r="F98" s="78">
        <v>46110</v>
      </c>
      <c r="G98" s="76"/>
      <c r="H98" s="9" t="s">
        <v>180</v>
      </c>
      <c r="I98" s="9">
        <v>2</v>
      </c>
      <c r="J98" s="9">
        <v>150</v>
      </c>
      <c r="K98" s="79">
        <f t="shared" si="7"/>
        <v>300</v>
      </c>
      <c r="L98" s="78">
        <v>46110</v>
      </c>
      <c r="N98" s="85"/>
      <c r="O98" s="86"/>
      <c r="P98" s="83">
        <f t="shared" si="8"/>
        <v>150</v>
      </c>
      <c r="Q98" s="83">
        <f t="shared" si="9"/>
        <v>300</v>
      </c>
      <c r="R98" s="83"/>
      <c r="S98" s="83"/>
      <c r="T98" s="87"/>
      <c r="U98" s="83">
        <f t="shared" si="10"/>
        <v>150</v>
      </c>
      <c r="V98" s="83">
        <f t="shared" si="11"/>
        <v>2</v>
      </c>
      <c r="W98" s="84">
        <f t="shared" si="12"/>
        <v>300</v>
      </c>
      <c r="X98" s="84" t="s">
        <v>181</v>
      </c>
      <c r="Y98" s="24" t="s">
        <v>176</v>
      </c>
    </row>
    <row r="99" spans="1:25" s="24" customFormat="1" ht="11.1" customHeight="1" x14ac:dyDescent="0.2">
      <c r="A99" s="76">
        <f t="shared" si="13"/>
        <v>97</v>
      </c>
      <c r="B99" s="77" t="s">
        <v>161</v>
      </c>
      <c r="C99" s="76" t="str">
        <f>IF($B99&lt;&gt;"",_xlfn.IFNA(VLOOKUP($B99,'Node Details'!$B:$U,C$1,0),"Check"),"")</f>
        <v>0000AXZ03-AXZ030102</v>
      </c>
      <c r="D99" s="76" t="str">
        <f>IF($B99&lt;&gt;"",_xlfn.IFNA(VLOOKUP($B99,'Node Details'!$B:$U,D$1,0),"Check"),"")</f>
        <v>AXZ</v>
      </c>
      <c r="E99" s="76" t="str">
        <f>IF($B99&lt;&gt;"",_xlfn.IFNA(VLOOKUP($B99,'Node Details'!$B:$U,E$1,0),"Check"),"")</f>
        <v>Airtel</v>
      </c>
      <c r="F99" s="78">
        <v>46110</v>
      </c>
      <c r="G99" s="76"/>
      <c r="H99" s="9" t="s">
        <v>180</v>
      </c>
      <c r="I99" s="9">
        <v>2</v>
      </c>
      <c r="J99" s="9">
        <v>150</v>
      </c>
      <c r="K99" s="79">
        <f t="shared" si="7"/>
        <v>300</v>
      </c>
      <c r="L99" s="78">
        <v>46110</v>
      </c>
      <c r="N99" s="85"/>
      <c r="O99" s="86"/>
      <c r="P99" s="83">
        <f t="shared" si="8"/>
        <v>150</v>
      </c>
      <c r="Q99" s="83">
        <f t="shared" si="9"/>
        <v>300</v>
      </c>
      <c r="R99" s="83"/>
      <c r="S99" s="83"/>
      <c r="T99" s="87"/>
      <c r="U99" s="83">
        <f t="shared" si="10"/>
        <v>150</v>
      </c>
      <c r="V99" s="83">
        <f t="shared" si="11"/>
        <v>2</v>
      </c>
      <c r="W99" s="84">
        <f t="shared" si="12"/>
        <v>300</v>
      </c>
      <c r="X99" s="84" t="s">
        <v>181</v>
      </c>
      <c r="Y99" s="24" t="s">
        <v>176</v>
      </c>
    </row>
    <row r="100" spans="1:25" s="24" customFormat="1" ht="11.1" customHeight="1" x14ac:dyDescent="0.2">
      <c r="A100" s="76">
        <f t="shared" si="13"/>
        <v>98</v>
      </c>
      <c r="B100" s="77" t="s">
        <v>162</v>
      </c>
      <c r="C100" s="76" t="str">
        <f>IF($B100&lt;&gt;"",_xlfn.IFNA(VLOOKUP($B100,'Node Details'!$B:$U,C$1,0),"Check"),"")</f>
        <v>0000AXZ03-AXZ030104</v>
      </c>
      <c r="D100" s="76" t="str">
        <f>IF($B100&lt;&gt;"",_xlfn.IFNA(VLOOKUP($B100,'Node Details'!$B:$U,D$1,0),"Check"),"")</f>
        <v>AXZ</v>
      </c>
      <c r="E100" s="76" t="str">
        <f>IF($B100&lt;&gt;"",_xlfn.IFNA(VLOOKUP($B100,'Node Details'!$B:$U,E$1,0),"Check"),"")</f>
        <v>Airtel</v>
      </c>
      <c r="F100" s="78">
        <v>46110</v>
      </c>
      <c r="G100" s="76"/>
      <c r="H100" s="9" t="s">
        <v>180</v>
      </c>
      <c r="I100" s="9">
        <v>2</v>
      </c>
      <c r="J100" s="9">
        <v>150</v>
      </c>
      <c r="K100" s="79">
        <f t="shared" si="7"/>
        <v>300</v>
      </c>
      <c r="L100" s="78">
        <v>46110</v>
      </c>
      <c r="N100" s="85"/>
      <c r="O100" s="86"/>
      <c r="P100" s="83">
        <f t="shared" si="8"/>
        <v>150</v>
      </c>
      <c r="Q100" s="83">
        <f t="shared" si="9"/>
        <v>300</v>
      </c>
      <c r="R100" s="83"/>
      <c r="S100" s="83"/>
      <c r="T100" s="87"/>
      <c r="U100" s="83">
        <f t="shared" si="10"/>
        <v>150</v>
      </c>
      <c r="V100" s="83">
        <f t="shared" si="11"/>
        <v>2</v>
      </c>
      <c r="W100" s="84">
        <f t="shared" si="12"/>
        <v>300</v>
      </c>
      <c r="X100" s="84" t="s">
        <v>181</v>
      </c>
      <c r="Y100" s="24" t="s">
        <v>176</v>
      </c>
    </row>
    <row r="101" spans="1:25" s="24" customFormat="1" ht="11.1" customHeight="1" x14ac:dyDescent="0.2">
      <c r="A101" s="76">
        <f t="shared" si="13"/>
        <v>99</v>
      </c>
      <c r="B101" s="77" t="s">
        <v>163</v>
      </c>
      <c r="C101" s="76" t="str">
        <f>IF($B101&lt;&gt;"",_xlfn.IFNA(VLOOKUP($B101,'Node Details'!$B:$U,C$1,0),"Check"),"")</f>
        <v>0000AXZ03-AXZ030104</v>
      </c>
      <c r="D101" s="76" t="str">
        <f>IF($B101&lt;&gt;"",_xlfn.IFNA(VLOOKUP($B101,'Node Details'!$B:$U,D$1,0),"Check"),"")</f>
        <v>AXZ</v>
      </c>
      <c r="E101" s="76" t="str">
        <f>IF($B101&lt;&gt;"",_xlfn.IFNA(VLOOKUP($B101,'Node Details'!$B:$U,E$1,0),"Check"),"")</f>
        <v>Airtel</v>
      </c>
      <c r="F101" s="78">
        <v>46110</v>
      </c>
      <c r="G101" s="76"/>
      <c r="H101" s="9" t="s">
        <v>180</v>
      </c>
      <c r="I101" s="9">
        <v>2</v>
      </c>
      <c r="J101" s="9">
        <v>150</v>
      </c>
      <c r="K101" s="79">
        <f t="shared" si="7"/>
        <v>300</v>
      </c>
      <c r="L101" s="78">
        <v>46110</v>
      </c>
      <c r="N101" s="85"/>
      <c r="O101" s="86"/>
      <c r="P101" s="83">
        <f t="shared" si="8"/>
        <v>150</v>
      </c>
      <c r="Q101" s="83">
        <f t="shared" si="9"/>
        <v>300</v>
      </c>
      <c r="R101" s="83"/>
      <c r="S101" s="83"/>
      <c r="T101" s="87"/>
      <c r="U101" s="83">
        <f t="shared" si="10"/>
        <v>150</v>
      </c>
      <c r="V101" s="83">
        <f t="shared" si="11"/>
        <v>2</v>
      </c>
      <c r="W101" s="84">
        <f t="shared" si="12"/>
        <v>300</v>
      </c>
      <c r="X101" s="84" t="s">
        <v>181</v>
      </c>
      <c r="Y101" s="24" t="s">
        <v>176</v>
      </c>
    </row>
    <row r="102" spans="1:25" s="24" customFormat="1" ht="11.1" customHeight="1" x14ac:dyDescent="0.2">
      <c r="A102" s="76">
        <f t="shared" si="13"/>
        <v>100</v>
      </c>
      <c r="B102" s="77" t="s">
        <v>164</v>
      </c>
      <c r="C102" s="76" t="str">
        <f>IF($B102&lt;&gt;"",_xlfn.IFNA(VLOOKUP($B102,'Node Details'!$B:$U,C$1,0),"Check"),"")</f>
        <v>AXZ030104-AXZ030106</v>
      </c>
      <c r="D102" s="76" t="str">
        <f>IF($B102&lt;&gt;"",_xlfn.IFNA(VLOOKUP($B102,'Node Details'!$B:$U,D$1,0),"Check"),"")</f>
        <v>AXZ</v>
      </c>
      <c r="E102" s="76" t="str">
        <f>IF($B102&lt;&gt;"",_xlfn.IFNA(VLOOKUP($B102,'Node Details'!$B:$U,E$1,0),"Check"),"")</f>
        <v>Airtel</v>
      </c>
      <c r="F102" s="78">
        <v>46110</v>
      </c>
      <c r="G102" s="76"/>
      <c r="H102" s="9" t="s">
        <v>180</v>
      </c>
      <c r="I102" s="9">
        <v>2</v>
      </c>
      <c r="J102" s="9">
        <v>150</v>
      </c>
      <c r="K102" s="79">
        <f t="shared" si="7"/>
        <v>300</v>
      </c>
      <c r="L102" s="78">
        <v>46110</v>
      </c>
      <c r="N102" s="85"/>
      <c r="O102" s="86"/>
      <c r="P102" s="83">
        <f t="shared" si="8"/>
        <v>150</v>
      </c>
      <c r="Q102" s="83">
        <f t="shared" si="9"/>
        <v>300</v>
      </c>
      <c r="R102" s="83"/>
      <c r="S102" s="83"/>
      <c r="T102" s="87"/>
      <c r="U102" s="83">
        <f t="shared" si="10"/>
        <v>150</v>
      </c>
      <c r="V102" s="83">
        <f t="shared" si="11"/>
        <v>2</v>
      </c>
      <c r="W102" s="84">
        <f t="shared" si="12"/>
        <v>300</v>
      </c>
      <c r="X102" s="84" t="s">
        <v>181</v>
      </c>
      <c r="Y102" s="24" t="s">
        <v>176</v>
      </c>
    </row>
    <row r="103" spans="1:25" s="24" customFormat="1" ht="11.1" customHeight="1" x14ac:dyDescent="0.2">
      <c r="A103" s="76">
        <f t="shared" si="13"/>
        <v>101</v>
      </c>
      <c r="B103" s="77" t="s">
        <v>165</v>
      </c>
      <c r="C103" s="76" t="str">
        <f>IF($B103&lt;&gt;"",_xlfn.IFNA(VLOOKUP($B103,'Node Details'!$B:$U,C$1,0),"Check"),"")</f>
        <v>AXZ030104-AXZ030106</v>
      </c>
      <c r="D103" s="76" t="str">
        <f>IF($B103&lt;&gt;"",_xlfn.IFNA(VLOOKUP($B103,'Node Details'!$B:$U,D$1,0),"Check"),"")</f>
        <v>AXZ</v>
      </c>
      <c r="E103" s="76" t="str">
        <f>IF($B103&lt;&gt;"",_xlfn.IFNA(VLOOKUP($B103,'Node Details'!$B:$U,E$1,0),"Check"),"")</f>
        <v>Airtel</v>
      </c>
      <c r="F103" s="78">
        <v>46110</v>
      </c>
      <c r="G103" s="76"/>
      <c r="H103" s="9" t="s">
        <v>180</v>
      </c>
      <c r="I103" s="9">
        <v>2</v>
      </c>
      <c r="J103" s="9">
        <v>150</v>
      </c>
      <c r="K103" s="79">
        <f t="shared" si="7"/>
        <v>300</v>
      </c>
      <c r="L103" s="78">
        <v>46110</v>
      </c>
      <c r="N103" s="85"/>
      <c r="O103" s="86"/>
      <c r="P103" s="83">
        <f t="shared" si="8"/>
        <v>150</v>
      </c>
      <c r="Q103" s="83">
        <f t="shared" si="9"/>
        <v>300</v>
      </c>
      <c r="R103" s="83"/>
      <c r="S103" s="83"/>
      <c r="T103" s="87"/>
      <c r="U103" s="83">
        <f t="shared" si="10"/>
        <v>150</v>
      </c>
      <c r="V103" s="83">
        <f t="shared" si="11"/>
        <v>2</v>
      </c>
      <c r="W103" s="84">
        <f t="shared" si="12"/>
        <v>300</v>
      </c>
      <c r="X103" s="84" t="s">
        <v>181</v>
      </c>
      <c r="Y103" s="24" t="s">
        <v>176</v>
      </c>
    </row>
    <row r="104" spans="1:25" s="24" customFormat="1" ht="11.1" customHeight="1" x14ac:dyDescent="0.2">
      <c r="A104" s="76">
        <f t="shared" si="13"/>
        <v>102</v>
      </c>
      <c r="B104" s="77" t="s">
        <v>166</v>
      </c>
      <c r="C104" s="76" t="str">
        <f>IF($B104&lt;&gt;"",_xlfn.IFNA(VLOOKUP($B104,'Node Details'!$B:$U,C$1,0),"Check"),"")</f>
        <v>0000AXZ03-AXZ030201</v>
      </c>
      <c r="D104" s="76" t="str">
        <f>IF($B104&lt;&gt;"",_xlfn.IFNA(VLOOKUP($B104,'Node Details'!$B:$U,D$1,0),"Check"),"")</f>
        <v>AXZ</v>
      </c>
      <c r="E104" s="76" t="str">
        <f>IF($B104&lt;&gt;"",_xlfn.IFNA(VLOOKUP($B104,'Node Details'!$B:$U,E$1,0),"Check"),"")</f>
        <v>Airtel</v>
      </c>
      <c r="F104" s="78">
        <v>46110</v>
      </c>
      <c r="G104" s="76"/>
      <c r="H104" s="9" t="s">
        <v>180</v>
      </c>
      <c r="I104" s="9">
        <v>2</v>
      </c>
      <c r="J104" s="9">
        <v>150</v>
      </c>
      <c r="K104" s="79">
        <f t="shared" si="7"/>
        <v>300</v>
      </c>
      <c r="L104" s="78">
        <v>46110</v>
      </c>
      <c r="N104" s="85"/>
      <c r="O104" s="86"/>
      <c r="P104" s="83">
        <f t="shared" si="8"/>
        <v>150</v>
      </c>
      <c r="Q104" s="83">
        <f t="shared" si="9"/>
        <v>300</v>
      </c>
      <c r="R104" s="83"/>
      <c r="S104" s="83"/>
      <c r="T104" s="87"/>
      <c r="U104" s="83">
        <f t="shared" si="10"/>
        <v>150</v>
      </c>
      <c r="V104" s="83">
        <f t="shared" si="11"/>
        <v>2</v>
      </c>
      <c r="W104" s="84">
        <f t="shared" si="12"/>
        <v>300</v>
      </c>
      <c r="X104" s="84" t="s">
        <v>181</v>
      </c>
      <c r="Y104" s="24" t="s">
        <v>176</v>
      </c>
    </row>
    <row r="105" spans="1:25" s="24" customFormat="1" ht="11.1" customHeight="1" x14ac:dyDescent="0.2">
      <c r="A105" s="76">
        <f t="shared" si="13"/>
        <v>103</v>
      </c>
      <c r="B105" s="77" t="s">
        <v>167</v>
      </c>
      <c r="C105" s="76" t="str">
        <f>IF($B105&lt;&gt;"",_xlfn.IFNA(VLOOKUP($B105,'Node Details'!$B:$U,C$1,0),"Check"),"")</f>
        <v>0000AXZ03-AXZ030201</v>
      </c>
      <c r="D105" s="76" t="str">
        <f>IF($B105&lt;&gt;"",_xlfn.IFNA(VLOOKUP($B105,'Node Details'!$B:$U,D$1,0),"Check"),"")</f>
        <v>AXZ</v>
      </c>
      <c r="E105" s="76" t="str">
        <f>IF($B105&lt;&gt;"",_xlfn.IFNA(VLOOKUP($B105,'Node Details'!$B:$U,E$1,0),"Check"),"")</f>
        <v>Airtel</v>
      </c>
      <c r="F105" s="78">
        <v>46110</v>
      </c>
      <c r="G105" s="76"/>
      <c r="H105" s="9" t="s">
        <v>180</v>
      </c>
      <c r="I105" s="9">
        <v>2</v>
      </c>
      <c r="J105" s="9">
        <v>150</v>
      </c>
      <c r="K105" s="79">
        <f t="shared" si="7"/>
        <v>300</v>
      </c>
      <c r="L105" s="78">
        <v>46110</v>
      </c>
      <c r="N105" s="85"/>
      <c r="O105" s="86"/>
      <c r="P105" s="83">
        <f t="shared" si="8"/>
        <v>150</v>
      </c>
      <c r="Q105" s="83">
        <f t="shared" si="9"/>
        <v>300</v>
      </c>
      <c r="R105" s="83"/>
      <c r="S105" s="83"/>
      <c r="T105" s="87"/>
      <c r="U105" s="83">
        <f t="shared" si="10"/>
        <v>150</v>
      </c>
      <c r="V105" s="83">
        <f t="shared" si="11"/>
        <v>2</v>
      </c>
      <c r="W105" s="84">
        <f t="shared" si="12"/>
        <v>300</v>
      </c>
      <c r="X105" s="84" t="s">
        <v>181</v>
      </c>
      <c r="Y105" s="24" t="s">
        <v>176</v>
      </c>
    </row>
    <row r="106" spans="1:25" s="24" customFormat="1" ht="11.1" customHeight="1" x14ac:dyDescent="0.2">
      <c r="A106" s="76">
        <f t="shared" si="13"/>
        <v>104</v>
      </c>
      <c r="B106" s="77" t="s">
        <v>168</v>
      </c>
      <c r="C106" s="76" t="str">
        <f>IF($B106&lt;&gt;"",_xlfn.IFNA(VLOOKUP($B106,'Node Details'!$B:$U,C$1,0),"Check"),"")</f>
        <v>0000AXZ03-AXZ030201</v>
      </c>
      <c r="D106" s="76" t="str">
        <f>IF($B106&lt;&gt;"",_xlfn.IFNA(VLOOKUP($B106,'Node Details'!$B:$U,D$1,0),"Check"),"")</f>
        <v>AXZ</v>
      </c>
      <c r="E106" s="76" t="str">
        <f>IF($B106&lt;&gt;"",_xlfn.IFNA(VLOOKUP($B106,'Node Details'!$B:$U,E$1,0),"Check"),"")</f>
        <v>Airtel</v>
      </c>
      <c r="F106" s="78">
        <v>46110</v>
      </c>
      <c r="G106" s="76"/>
      <c r="H106" s="9" t="s">
        <v>180</v>
      </c>
      <c r="I106" s="9">
        <v>2</v>
      </c>
      <c r="J106" s="9">
        <v>150</v>
      </c>
      <c r="K106" s="79">
        <f t="shared" si="7"/>
        <v>300</v>
      </c>
      <c r="L106" s="78">
        <v>46110</v>
      </c>
      <c r="N106" s="85"/>
      <c r="O106" s="86"/>
      <c r="P106" s="83">
        <f t="shared" si="8"/>
        <v>150</v>
      </c>
      <c r="Q106" s="83">
        <f t="shared" si="9"/>
        <v>300</v>
      </c>
      <c r="R106" s="83"/>
      <c r="S106" s="83"/>
      <c r="T106" s="87"/>
      <c r="U106" s="83">
        <f t="shared" si="10"/>
        <v>150</v>
      </c>
      <c r="V106" s="83">
        <f t="shared" si="11"/>
        <v>2</v>
      </c>
      <c r="W106" s="84">
        <f t="shared" si="12"/>
        <v>300</v>
      </c>
      <c r="X106" s="84" t="s">
        <v>181</v>
      </c>
      <c r="Y106" s="24" t="s">
        <v>176</v>
      </c>
    </row>
    <row r="107" spans="1:25" s="24" customFormat="1" ht="11.1" customHeight="1" x14ac:dyDescent="0.2">
      <c r="A107" s="76">
        <f t="shared" si="13"/>
        <v>105</v>
      </c>
      <c r="B107" s="77" t="s">
        <v>169</v>
      </c>
      <c r="C107" s="76" t="str">
        <f>IF($B107&lt;&gt;"",_xlfn.IFNA(VLOOKUP($B107,'Node Details'!$B:$U,C$1,0),"Check"),"")</f>
        <v>AXZ030201-AXZ030205</v>
      </c>
      <c r="D107" s="76" t="str">
        <f>IF($B107&lt;&gt;"",_xlfn.IFNA(VLOOKUP($B107,'Node Details'!$B:$U,D$1,0),"Check"),"")</f>
        <v>AXZ</v>
      </c>
      <c r="E107" s="76" t="str">
        <f>IF($B107&lt;&gt;"",_xlfn.IFNA(VLOOKUP($B107,'Node Details'!$B:$U,E$1,0),"Check"),"")</f>
        <v>Airtel</v>
      </c>
      <c r="F107" s="78">
        <v>46110</v>
      </c>
      <c r="G107" s="76"/>
      <c r="H107" s="9" t="s">
        <v>180</v>
      </c>
      <c r="I107" s="9">
        <v>2</v>
      </c>
      <c r="J107" s="9">
        <v>150</v>
      </c>
      <c r="K107" s="79">
        <f t="shared" si="7"/>
        <v>300</v>
      </c>
      <c r="L107" s="78">
        <v>46110</v>
      </c>
      <c r="N107" s="85"/>
      <c r="O107" s="86"/>
      <c r="P107" s="83">
        <f t="shared" si="8"/>
        <v>150</v>
      </c>
      <c r="Q107" s="83">
        <f t="shared" si="9"/>
        <v>300</v>
      </c>
      <c r="R107" s="83"/>
      <c r="S107" s="83"/>
      <c r="T107" s="87"/>
      <c r="U107" s="83">
        <f t="shared" si="10"/>
        <v>150</v>
      </c>
      <c r="V107" s="83">
        <f t="shared" si="11"/>
        <v>2</v>
      </c>
      <c r="W107" s="84">
        <f t="shared" si="12"/>
        <v>300</v>
      </c>
      <c r="X107" s="84" t="s">
        <v>181</v>
      </c>
      <c r="Y107" s="24" t="s">
        <v>176</v>
      </c>
    </row>
    <row r="108" spans="1:25" s="24" customFormat="1" ht="11.1" customHeight="1" x14ac:dyDescent="0.2">
      <c r="A108" s="76">
        <f t="shared" si="13"/>
        <v>106</v>
      </c>
      <c r="B108" s="77" t="s">
        <v>170</v>
      </c>
      <c r="C108" s="76" t="str">
        <f>IF($B108&lt;&gt;"",_xlfn.IFNA(VLOOKUP($B108,'Node Details'!$B:$U,C$1,0),"Check"),"")</f>
        <v>AXZ030201-AXZ030205</v>
      </c>
      <c r="D108" s="76" t="str">
        <f>IF($B108&lt;&gt;"",_xlfn.IFNA(VLOOKUP($B108,'Node Details'!$B:$U,D$1,0),"Check"),"")</f>
        <v>AXZ</v>
      </c>
      <c r="E108" s="76" t="str">
        <f>IF($B108&lt;&gt;"",_xlfn.IFNA(VLOOKUP($B108,'Node Details'!$B:$U,E$1,0),"Check"),"")</f>
        <v>Airtel</v>
      </c>
      <c r="F108" s="78">
        <v>46110</v>
      </c>
      <c r="G108" s="76"/>
      <c r="H108" s="9" t="s">
        <v>180</v>
      </c>
      <c r="I108" s="9">
        <v>2</v>
      </c>
      <c r="J108" s="9">
        <v>150</v>
      </c>
      <c r="K108" s="79">
        <f t="shared" si="7"/>
        <v>300</v>
      </c>
      <c r="L108" s="78">
        <v>46110</v>
      </c>
      <c r="N108" s="85"/>
      <c r="O108" s="86"/>
      <c r="P108" s="83">
        <f t="shared" si="8"/>
        <v>150</v>
      </c>
      <c r="Q108" s="83">
        <f t="shared" si="9"/>
        <v>300</v>
      </c>
      <c r="R108" s="83"/>
      <c r="S108" s="83"/>
      <c r="T108" s="87"/>
      <c r="U108" s="83">
        <f t="shared" si="10"/>
        <v>150</v>
      </c>
      <c r="V108" s="83">
        <f t="shared" si="11"/>
        <v>2</v>
      </c>
      <c r="W108" s="84">
        <f t="shared" si="12"/>
        <v>300</v>
      </c>
      <c r="X108" s="84" t="s">
        <v>181</v>
      </c>
      <c r="Y108" s="24" t="s">
        <v>176</v>
      </c>
    </row>
    <row r="109" spans="1:25" s="24" customFormat="1" ht="11.1" customHeight="1" x14ac:dyDescent="0.2">
      <c r="A109" s="76">
        <f t="shared" si="13"/>
        <v>107</v>
      </c>
      <c r="B109" s="77" t="s">
        <v>171</v>
      </c>
      <c r="C109" s="76" t="str">
        <f>IF($B109&lt;&gt;"",_xlfn.IFNA(VLOOKUP($B109,'Node Details'!$B:$U,C$1,0),"Check"),"")</f>
        <v>AXZ030201-AXZ030205</v>
      </c>
      <c r="D109" s="76" t="str">
        <f>IF($B109&lt;&gt;"",_xlfn.IFNA(VLOOKUP($B109,'Node Details'!$B:$U,D$1,0),"Check"),"")</f>
        <v>AXZ</v>
      </c>
      <c r="E109" s="76" t="str">
        <f>IF($B109&lt;&gt;"",_xlfn.IFNA(VLOOKUP($B109,'Node Details'!$B:$U,E$1,0),"Check"),"")</f>
        <v>Airtel</v>
      </c>
      <c r="F109" s="78">
        <v>46110</v>
      </c>
      <c r="G109" s="76"/>
      <c r="H109" s="9" t="s">
        <v>180</v>
      </c>
      <c r="I109" s="9">
        <v>2</v>
      </c>
      <c r="J109" s="9">
        <v>150</v>
      </c>
      <c r="K109" s="79">
        <f t="shared" si="7"/>
        <v>300</v>
      </c>
      <c r="L109" s="78">
        <v>46110</v>
      </c>
      <c r="N109" s="85"/>
      <c r="O109" s="86"/>
      <c r="P109" s="83">
        <f t="shared" si="8"/>
        <v>150</v>
      </c>
      <c r="Q109" s="83">
        <f t="shared" si="9"/>
        <v>300</v>
      </c>
      <c r="R109" s="83"/>
      <c r="S109" s="83"/>
      <c r="T109" s="87"/>
      <c r="U109" s="83">
        <f t="shared" si="10"/>
        <v>150</v>
      </c>
      <c r="V109" s="83">
        <f t="shared" si="11"/>
        <v>2</v>
      </c>
      <c r="W109" s="84">
        <f t="shared" si="12"/>
        <v>300</v>
      </c>
      <c r="X109" s="84" t="s">
        <v>181</v>
      </c>
      <c r="Y109" s="24" t="s">
        <v>176</v>
      </c>
    </row>
    <row r="110" spans="1:25" s="24" customFormat="1" ht="11.1" customHeight="1" x14ac:dyDescent="0.2">
      <c r="A110" s="76">
        <f t="shared" si="13"/>
        <v>108</v>
      </c>
      <c r="B110" s="77" t="s">
        <v>172</v>
      </c>
      <c r="C110" s="76" t="str">
        <f>IF($B110&lt;&gt;"",_xlfn.IFNA(VLOOKUP($B110,'Node Details'!$B:$U,C$1,0),"Check"),"")</f>
        <v>AXZ030201-AXZ030205</v>
      </c>
      <c r="D110" s="76" t="str">
        <f>IF($B110&lt;&gt;"",_xlfn.IFNA(VLOOKUP($B110,'Node Details'!$B:$U,D$1,0),"Check"),"")</f>
        <v>AXZ</v>
      </c>
      <c r="E110" s="76" t="str">
        <f>IF($B110&lt;&gt;"",_xlfn.IFNA(VLOOKUP($B110,'Node Details'!$B:$U,E$1,0),"Check"),"")</f>
        <v>Airtel</v>
      </c>
      <c r="F110" s="78">
        <v>46110</v>
      </c>
      <c r="G110" s="76"/>
      <c r="H110" s="9" t="s">
        <v>180</v>
      </c>
      <c r="I110" s="9">
        <v>2</v>
      </c>
      <c r="J110" s="9">
        <v>150</v>
      </c>
      <c r="K110" s="79">
        <f t="shared" si="7"/>
        <v>300</v>
      </c>
      <c r="L110" s="78">
        <v>46110</v>
      </c>
      <c r="N110" s="85"/>
      <c r="O110" s="86"/>
      <c r="P110" s="83">
        <f t="shared" si="8"/>
        <v>150</v>
      </c>
      <c r="Q110" s="83">
        <f t="shared" si="9"/>
        <v>300</v>
      </c>
      <c r="R110" s="83"/>
      <c r="S110" s="83"/>
      <c r="T110" s="87"/>
      <c r="U110" s="83">
        <f t="shared" si="10"/>
        <v>150</v>
      </c>
      <c r="V110" s="83">
        <f t="shared" si="11"/>
        <v>2</v>
      </c>
      <c r="W110" s="84">
        <f t="shared" si="12"/>
        <v>300</v>
      </c>
      <c r="X110" s="84" t="s">
        <v>181</v>
      </c>
      <c r="Y110" s="24" t="s">
        <v>176</v>
      </c>
    </row>
    <row r="111" spans="1:25" s="24" customFormat="1" ht="11.1" customHeight="1" x14ac:dyDescent="0.2">
      <c r="A111" s="76">
        <f t="shared" si="13"/>
        <v>109</v>
      </c>
      <c r="B111" s="77" t="s">
        <v>226</v>
      </c>
      <c r="C111" s="76" t="str">
        <f>IF($B111&lt;&gt;"",_xlfn.IFNA(VLOOKUP($B111,'Node Details'!$B:$U,C$1,0),"Check"),"")</f>
        <v>0000AXY01-AXY010101</v>
      </c>
      <c r="D111" s="76" t="str">
        <f>IF($B111&lt;&gt;"",_xlfn.IFNA(VLOOKUP($B111,'Node Details'!$B:$U,D$1,0),"Check"),"")</f>
        <v>AXY</v>
      </c>
      <c r="E111" s="76" t="str">
        <f>IF($B111&lt;&gt;"",_xlfn.IFNA(VLOOKUP($B111,'Node Details'!$B:$U,E$1,0),"Check"),"")</f>
        <v>Airtel</v>
      </c>
      <c r="F111" s="78">
        <v>46113</v>
      </c>
      <c r="G111" s="76"/>
      <c r="H111" s="9" t="s">
        <v>22</v>
      </c>
      <c r="I111" s="9">
        <v>2</v>
      </c>
      <c r="J111" s="9">
        <v>42</v>
      </c>
      <c r="K111" s="79">
        <f t="shared" si="7"/>
        <v>84</v>
      </c>
      <c r="L111" s="78">
        <v>46112</v>
      </c>
      <c r="N111" s="85"/>
      <c r="O111" s="86"/>
      <c r="P111" s="83">
        <f t="shared" ref="P111:P174" si="14">J111</f>
        <v>42</v>
      </c>
      <c r="Q111" s="83">
        <f t="shared" ref="Q111:Q174" si="15">P111*I111</f>
        <v>84</v>
      </c>
      <c r="R111" s="83"/>
      <c r="S111" s="83"/>
      <c r="T111" s="87"/>
      <c r="U111" s="83">
        <f t="shared" ref="U111:U174" si="16">J111</f>
        <v>42</v>
      </c>
      <c r="V111" s="83">
        <f t="shared" ref="V111:V174" si="17">I111</f>
        <v>2</v>
      </c>
      <c r="W111" s="84">
        <f t="shared" ref="W111:W174" si="18">IF(V111&lt;&gt;"",V111*U111,0)</f>
        <v>84</v>
      </c>
      <c r="X111" s="84" t="s">
        <v>181</v>
      </c>
      <c r="Y111" s="24" t="s">
        <v>176</v>
      </c>
    </row>
    <row r="112" spans="1:25" s="24" customFormat="1" ht="11.1" customHeight="1" x14ac:dyDescent="0.2">
      <c r="A112" s="76">
        <f t="shared" si="13"/>
        <v>110</v>
      </c>
      <c r="B112" s="77" t="s">
        <v>227</v>
      </c>
      <c r="C112" s="76" t="str">
        <f>IF($B112&lt;&gt;"",_xlfn.IFNA(VLOOKUP($B112,'Node Details'!$B:$U,C$1,0),"Check"),"")</f>
        <v>0000AXY01-AXY010104</v>
      </c>
      <c r="D112" s="76" t="str">
        <f>IF($B112&lt;&gt;"",_xlfn.IFNA(VLOOKUP($B112,'Node Details'!$B:$U,D$1,0),"Check"),"")</f>
        <v>AXY</v>
      </c>
      <c r="E112" s="76" t="str">
        <f>IF($B112&lt;&gt;"",_xlfn.IFNA(VLOOKUP($B112,'Node Details'!$B:$U,E$1,0),"Check"),"")</f>
        <v>Airtel</v>
      </c>
      <c r="F112" s="78">
        <v>46113</v>
      </c>
      <c r="G112" s="76"/>
      <c r="H112" s="9" t="s">
        <v>22</v>
      </c>
      <c r="I112" s="9">
        <v>2</v>
      </c>
      <c r="J112" s="9">
        <v>42</v>
      </c>
      <c r="K112" s="79">
        <f t="shared" ref="K112:K175" si="19">IF(I112&lt;&gt;"",J112*I112,0)</f>
        <v>84</v>
      </c>
      <c r="L112" s="78">
        <v>46112</v>
      </c>
      <c r="N112" s="85"/>
      <c r="O112" s="86"/>
      <c r="P112" s="83">
        <f t="shared" si="14"/>
        <v>42</v>
      </c>
      <c r="Q112" s="83">
        <f t="shared" si="15"/>
        <v>84</v>
      </c>
      <c r="R112" s="83"/>
      <c r="S112" s="83"/>
      <c r="T112" s="87"/>
      <c r="U112" s="83">
        <f t="shared" si="16"/>
        <v>42</v>
      </c>
      <c r="V112" s="83">
        <f t="shared" si="17"/>
        <v>2</v>
      </c>
      <c r="W112" s="84">
        <f t="shared" si="18"/>
        <v>84</v>
      </c>
      <c r="X112" s="84" t="s">
        <v>181</v>
      </c>
      <c r="Y112" s="24" t="s">
        <v>176</v>
      </c>
    </row>
    <row r="113" spans="1:25" s="24" customFormat="1" ht="11.1" customHeight="1" x14ac:dyDescent="0.2">
      <c r="A113" s="76">
        <f t="shared" si="13"/>
        <v>111</v>
      </c>
      <c r="B113" s="77" t="s">
        <v>228</v>
      </c>
      <c r="C113" s="76" t="str">
        <f>IF($B113&lt;&gt;"",_xlfn.IFNA(VLOOKUP($B113,'Node Details'!$B:$U,C$1,0),"Check"),"")</f>
        <v>0000AXY01-AXY010104</v>
      </c>
      <c r="D113" s="76" t="str">
        <f>IF($B113&lt;&gt;"",_xlfn.IFNA(VLOOKUP($B113,'Node Details'!$B:$U,D$1,0),"Check"),"")</f>
        <v>AXY</v>
      </c>
      <c r="E113" s="76" t="str">
        <f>IF($B113&lt;&gt;"",_xlfn.IFNA(VLOOKUP($B113,'Node Details'!$B:$U,E$1,0),"Check"),"")</f>
        <v>Airtel</v>
      </c>
      <c r="F113" s="78">
        <v>46113</v>
      </c>
      <c r="G113" s="76"/>
      <c r="H113" s="9" t="s">
        <v>22</v>
      </c>
      <c r="I113" s="9">
        <v>2</v>
      </c>
      <c r="J113" s="9">
        <v>42</v>
      </c>
      <c r="K113" s="79">
        <f t="shared" si="19"/>
        <v>84</v>
      </c>
      <c r="L113" s="78">
        <v>46112</v>
      </c>
      <c r="N113" s="85"/>
      <c r="O113" s="86"/>
      <c r="P113" s="83">
        <f t="shared" si="14"/>
        <v>42</v>
      </c>
      <c r="Q113" s="83">
        <f t="shared" si="15"/>
        <v>84</v>
      </c>
      <c r="R113" s="83"/>
      <c r="S113" s="83"/>
      <c r="T113" s="87"/>
      <c r="U113" s="83">
        <f t="shared" si="16"/>
        <v>42</v>
      </c>
      <c r="V113" s="83">
        <f t="shared" si="17"/>
        <v>2</v>
      </c>
      <c r="W113" s="84">
        <f t="shared" si="18"/>
        <v>84</v>
      </c>
      <c r="X113" s="84" t="s">
        <v>181</v>
      </c>
      <c r="Y113" s="24" t="s">
        <v>176</v>
      </c>
    </row>
    <row r="114" spans="1:25" s="24" customFormat="1" ht="11.1" customHeight="1" x14ac:dyDescent="0.2">
      <c r="A114" s="76">
        <f t="shared" si="13"/>
        <v>112</v>
      </c>
      <c r="B114" s="77" t="s">
        <v>229</v>
      </c>
      <c r="C114" s="76" t="str">
        <f>IF($B114&lt;&gt;"",_xlfn.IFNA(VLOOKUP($B114,'Node Details'!$B:$U,C$1,0),"Check"),"")</f>
        <v>0000AXY01-AXY010102</v>
      </c>
      <c r="D114" s="76" t="str">
        <f>IF($B114&lt;&gt;"",_xlfn.IFNA(VLOOKUP($B114,'Node Details'!$B:$U,D$1,0),"Check"),"")</f>
        <v>AXY</v>
      </c>
      <c r="E114" s="76" t="str">
        <f>IF($B114&lt;&gt;"",_xlfn.IFNA(VLOOKUP($B114,'Node Details'!$B:$U,E$1,0),"Check"),"")</f>
        <v>Airtel</v>
      </c>
      <c r="F114" s="78">
        <v>46113</v>
      </c>
      <c r="G114" s="76"/>
      <c r="H114" s="9" t="s">
        <v>22</v>
      </c>
      <c r="I114" s="9">
        <v>2</v>
      </c>
      <c r="J114" s="9">
        <v>42</v>
      </c>
      <c r="K114" s="79">
        <f t="shared" si="19"/>
        <v>84</v>
      </c>
      <c r="L114" s="78">
        <v>46112</v>
      </c>
      <c r="N114" s="85"/>
      <c r="O114" s="86"/>
      <c r="P114" s="83">
        <f t="shared" si="14"/>
        <v>42</v>
      </c>
      <c r="Q114" s="83">
        <f t="shared" si="15"/>
        <v>84</v>
      </c>
      <c r="R114" s="83"/>
      <c r="S114" s="83"/>
      <c r="T114" s="87"/>
      <c r="U114" s="83">
        <f t="shared" si="16"/>
        <v>42</v>
      </c>
      <c r="V114" s="83">
        <f t="shared" si="17"/>
        <v>2</v>
      </c>
      <c r="W114" s="84">
        <f t="shared" si="18"/>
        <v>84</v>
      </c>
      <c r="X114" s="84" t="s">
        <v>181</v>
      </c>
      <c r="Y114" s="24" t="s">
        <v>176</v>
      </c>
    </row>
    <row r="115" spans="1:25" s="24" customFormat="1" ht="11.1" customHeight="1" x14ac:dyDescent="0.2">
      <c r="A115" s="76">
        <f t="shared" si="13"/>
        <v>113</v>
      </c>
      <c r="B115" s="77" t="s">
        <v>231</v>
      </c>
      <c r="C115" s="76" t="str">
        <f>IF($B115&lt;&gt;"",_xlfn.IFNA(VLOOKUP($B115,'Node Details'!$B:$U,C$1,0),"Check"),"")</f>
        <v>0000AXY03-AXY030101</v>
      </c>
      <c r="D115" s="76" t="str">
        <f>IF($B115&lt;&gt;"",_xlfn.IFNA(VLOOKUP($B115,'Node Details'!$B:$U,D$1,0),"Check"),"")</f>
        <v>AXY</v>
      </c>
      <c r="E115" s="76" t="str">
        <f>IF($B115&lt;&gt;"",_xlfn.IFNA(VLOOKUP($B115,'Node Details'!$B:$U,E$1,0),"Check"),"")</f>
        <v>Airtel</v>
      </c>
      <c r="F115" s="78">
        <v>46113</v>
      </c>
      <c r="G115" s="76"/>
      <c r="H115" s="9" t="s">
        <v>22</v>
      </c>
      <c r="I115" s="9">
        <v>2</v>
      </c>
      <c r="J115" s="9">
        <v>42</v>
      </c>
      <c r="K115" s="79">
        <f t="shared" si="19"/>
        <v>84</v>
      </c>
      <c r="L115" s="78">
        <v>46112</v>
      </c>
      <c r="N115" s="85"/>
      <c r="O115" s="86"/>
      <c r="P115" s="83">
        <f t="shared" si="14"/>
        <v>42</v>
      </c>
      <c r="Q115" s="83">
        <f t="shared" si="15"/>
        <v>84</v>
      </c>
      <c r="R115" s="83"/>
      <c r="S115" s="83"/>
      <c r="T115" s="87"/>
      <c r="U115" s="83">
        <f t="shared" si="16"/>
        <v>42</v>
      </c>
      <c r="V115" s="83">
        <f t="shared" si="17"/>
        <v>2</v>
      </c>
      <c r="W115" s="84">
        <f t="shared" si="18"/>
        <v>84</v>
      </c>
      <c r="X115" s="84" t="s">
        <v>181</v>
      </c>
      <c r="Y115" s="24" t="s">
        <v>176</v>
      </c>
    </row>
    <row r="116" spans="1:25" s="24" customFormat="1" ht="11.1" customHeight="1" x14ac:dyDescent="0.2">
      <c r="A116" s="76">
        <f t="shared" si="13"/>
        <v>114</v>
      </c>
      <c r="B116" s="77" t="s">
        <v>232</v>
      </c>
      <c r="C116" s="76" t="str">
        <f>IF($B116&lt;&gt;"",_xlfn.IFNA(VLOOKUP($B116,'Node Details'!$B:$U,C$1,0),"Check"),"")</f>
        <v>0000AXY03-AXY030104</v>
      </c>
      <c r="D116" s="76" t="str">
        <f>IF($B116&lt;&gt;"",_xlfn.IFNA(VLOOKUP($B116,'Node Details'!$B:$U,D$1,0),"Check"),"")</f>
        <v>AXY</v>
      </c>
      <c r="E116" s="76" t="str">
        <f>IF($B116&lt;&gt;"",_xlfn.IFNA(VLOOKUP($B116,'Node Details'!$B:$U,E$1,0),"Check"),"")</f>
        <v>Airtel</v>
      </c>
      <c r="F116" s="78">
        <v>46113</v>
      </c>
      <c r="G116" s="76"/>
      <c r="H116" s="9" t="s">
        <v>22</v>
      </c>
      <c r="I116" s="9">
        <v>2</v>
      </c>
      <c r="J116" s="9">
        <v>42</v>
      </c>
      <c r="K116" s="79">
        <f t="shared" si="19"/>
        <v>84</v>
      </c>
      <c r="L116" s="78">
        <v>46112</v>
      </c>
      <c r="N116" s="85"/>
      <c r="O116" s="86"/>
      <c r="P116" s="83">
        <f t="shared" si="14"/>
        <v>42</v>
      </c>
      <c r="Q116" s="83">
        <f t="shared" si="15"/>
        <v>84</v>
      </c>
      <c r="R116" s="83"/>
      <c r="S116" s="83"/>
      <c r="T116" s="87"/>
      <c r="U116" s="83">
        <f t="shared" si="16"/>
        <v>42</v>
      </c>
      <c r="V116" s="83">
        <f t="shared" si="17"/>
        <v>2</v>
      </c>
      <c r="W116" s="84">
        <f t="shared" si="18"/>
        <v>84</v>
      </c>
      <c r="X116" s="84" t="s">
        <v>181</v>
      </c>
      <c r="Y116" s="24" t="s">
        <v>176</v>
      </c>
    </row>
    <row r="117" spans="1:25" s="24" customFormat="1" ht="11.1" customHeight="1" x14ac:dyDescent="0.2">
      <c r="A117" s="76">
        <f t="shared" si="13"/>
        <v>115</v>
      </c>
      <c r="B117" s="77" t="s">
        <v>233</v>
      </c>
      <c r="C117" s="76" t="str">
        <f>IF($B117&lt;&gt;"",_xlfn.IFNA(VLOOKUP($B117,'Node Details'!$B:$U,C$1,0),"Check"),"")</f>
        <v>0000AXY03-AXY030104</v>
      </c>
      <c r="D117" s="76" t="str">
        <f>IF($B117&lt;&gt;"",_xlfn.IFNA(VLOOKUP($B117,'Node Details'!$B:$U,D$1,0),"Check"),"")</f>
        <v>AXY</v>
      </c>
      <c r="E117" s="76" t="str">
        <f>IF($B117&lt;&gt;"",_xlfn.IFNA(VLOOKUP($B117,'Node Details'!$B:$U,E$1,0),"Check"),"")</f>
        <v>Airtel</v>
      </c>
      <c r="F117" s="78">
        <v>46113</v>
      </c>
      <c r="G117" s="76"/>
      <c r="H117" s="9" t="s">
        <v>22</v>
      </c>
      <c r="I117" s="9">
        <v>2</v>
      </c>
      <c r="J117" s="9">
        <v>42</v>
      </c>
      <c r="K117" s="79">
        <f t="shared" si="19"/>
        <v>84</v>
      </c>
      <c r="L117" s="78">
        <v>46112</v>
      </c>
      <c r="N117" s="85"/>
      <c r="O117" s="86"/>
      <c r="P117" s="83">
        <f t="shared" si="14"/>
        <v>42</v>
      </c>
      <c r="Q117" s="83">
        <f t="shared" si="15"/>
        <v>84</v>
      </c>
      <c r="R117" s="83"/>
      <c r="S117" s="83"/>
      <c r="T117" s="87"/>
      <c r="U117" s="83">
        <f t="shared" si="16"/>
        <v>42</v>
      </c>
      <c r="V117" s="83">
        <f t="shared" si="17"/>
        <v>2</v>
      </c>
      <c r="W117" s="84">
        <f t="shared" si="18"/>
        <v>84</v>
      </c>
      <c r="X117" s="84" t="s">
        <v>181</v>
      </c>
      <c r="Y117" s="24" t="s">
        <v>176</v>
      </c>
    </row>
    <row r="118" spans="1:25" s="24" customFormat="1" ht="11.1" customHeight="1" x14ac:dyDescent="0.2">
      <c r="A118" s="76">
        <f t="shared" si="13"/>
        <v>116</v>
      </c>
      <c r="B118" s="77" t="s">
        <v>234</v>
      </c>
      <c r="C118" s="76" t="str">
        <f>IF($B118&lt;&gt;"",_xlfn.IFNA(VLOOKUP($B118,'Node Details'!$B:$U,C$1,0),"Check"),"")</f>
        <v>AXY030103-AXY030105</v>
      </c>
      <c r="D118" s="76" t="str">
        <f>IF($B118&lt;&gt;"",_xlfn.IFNA(VLOOKUP($B118,'Node Details'!$B:$U,D$1,0),"Check"),"")</f>
        <v>AXY</v>
      </c>
      <c r="E118" s="76" t="str">
        <f>IF($B118&lt;&gt;"",_xlfn.IFNA(VLOOKUP($B118,'Node Details'!$B:$U,E$1,0),"Check"),"")</f>
        <v>Airtel</v>
      </c>
      <c r="F118" s="78">
        <v>46113</v>
      </c>
      <c r="G118" s="76"/>
      <c r="H118" s="9" t="s">
        <v>22</v>
      </c>
      <c r="I118" s="9">
        <v>2</v>
      </c>
      <c r="J118" s="9">
        <v>42</v>
      </c>
      <c r="K118" s="79">
        <f t="shared" si="19"/>
        <v>84</v>
      </c>
      <c r="L118" s="78">
        <v>46112</v>
      </c>
      <c r="N118" s="85"/>
      <c r="O118" s="86"/>
      <c r="P118" s="83">
        <f t="shared" si="14"/>
        <v>42</v>
      </c>
      <c r="Q118" s="83">
        <f t="shared" si="15"/>
        <v>84</v>
      </c>
      <c r="R118" s="83"/>
      <c r="S118" s="83"/>
      <c r="T118" s="87"/>
      <c r="U118" s="83">
        <f t="shared" si="16"/>
        <v>42</v>
      </c>
      <c r="V118" s="83">
        <f t="shared" si="17"/>
        <v>2</v>
      </c>
      <c r="W118" s="84">
        <f t="shared" si="18"/>
        <v>84</v>
      </c>
      <c r="X118" s="84" t="s">
        <v>181</v>
      </c>
      <c r="Y118" s="24" t="s">
        <v>176</v>
      </c>
    </row>
    <row r="119" spans="1:25" s="24" customFormat="1" ht="11.1" customHeight="1" x14ac:dyDescent="0.2">
      <c r="A119" s="76">
        <f t="shared" si="13"/>
        <v>117</v>
      </c>
      <c r="B119" s="77" t="s">
        <v>235</v>
      </c>
      <c r="C119" s="76" t="str">
        <f>IF($B119&lt;&gt;"",_xlfn.IFNA(VLOOKUP($B119,'Node Details'!$B:$U,C$1,0),"Check"),"")</f>
        <v>0000AXY03-AXY030108</v>
      </c>
      <c r="D119" s="76" t="str">
        <f>IF($B119&lt;&gt;"",_xlfn.IFNA(VLOOKUP($B119,'Node Details'!$B:$U,D$1,0),"Check"),"")</f>
        <v>AXY</v>
      </c>
      <c r="E119" s="76" t="str">
        <f>IF($B119&lt;&gt;"",_xlfn.IFNA(VLOOKUP($B119,'Node Details'!$B:$U,E$1,0),"Check"),"")</f>
        <v>Airtel</v>
      </c>
      <c r="F119" s="78">
        <v>46113</v>
      </c>
      <c r="G119" s="76"/>
      <c r="H119" s="9" t="s">
        <v>22</v>
      </c>
      <c r="I119" s="9">
        <v>2</v>
      </c>
      <c r="J119" s="9">
        <v>42</v>
      </c>
      <c r="K119" s="79">
        <f t="shared" si="19"/>
        <v>84</v>
      </c>
      <c r="L119" s="78">
        <v>46112</v>
      </c>
      <c r="N119" s="85"/>
      <c r="O119" s="86"/>
      <c r="P119" s="83">
        <f t="shared" si="14"/>
        <v>42</v>
      </c>
      <c r="Q119" s="83">
        <f t="shared" si="15"/>
        <v>84</v>
      </c>
      <c r="R119" s="83"/>
      <c r="S119" s="83"/>
      <c r="T119" s="87"/>
      <c r="U119" s="83">
        <f t="shared" si="16"/>
        <v>42</v>
      </c>
      <c r="V119" s="83">
        <f t="shared" si="17"/>
        <v>2</v>
      </c>
      <c r="W119" s="84">
        <f t="shared" si="18"/>
        <v>84</v>
      </c>
      <c r="X119" s="84" t="s">
        <v>181</v>
      </c>
      <c r="Y119" s="24" t="s">
        <v>176</v>
      </c>
    </row>
    <row r="120" spans="1:25" s="24" customFormat="1" ht="11.1" customHeight="1" x14ac:dyDescent="0.2">
      <c r="A120" s="76">
        <f t="shared" si="13"/>
        <v>118</v>
      </c>
      <c r="B120" s="77" t="s">
        <v>236</v>
      </c>
      <c r="C120" s="76" t="str">
        <f>IF($B120&lt;&gt;"",_xlfn.IFNA(VLOOKUP($B120,'Node Details'!$B:$U,C$1,0),"Check"),"")</f>
        <v>0000AXY03-AXY030108</v>
      </c>
      <c r="D120" s="76" t="str">
        <f>IF($B120&lt;&gt;"",_xlfn.IFNA(VLOOKUP($B120,'Node Details'!$B:$U,D$1,0),"Check"),"")</f>
        <v>AXY</v>
      </c>
      <c r="E120" s="76" t="str">
        <f>IF($B120&lt;&gt;"",_xlfn.IFNA(VLOOKUP($B120,'Node Details'!$B:$U,E$1,0),"Check"),"")</f>
        <v>Airtel</v>
      </c>
      <c r="F120" s="78">
        <v>46113</v>
      </c>
      <c r="G120" s="76"/>
      <c r="H120" s="9" t="s">
        <v>22</v>
      </c>
      <c r="I120" s="9">
        <v>2</v>
      </c>
      <c r="J120" s="9">
        <v>42</v>
      </c>
      <c r="K120" s="79">
        <f t="shared" si="19"/>
        <v>84</v>
      </c>
      <c r="L120" s="78">
        <v>46112</v>
      </c>
      <c r="N120" s="85"/>
      <c r="O120" s="86"/>
      <c r="P120" s="83">
        <f t="shared" si="14"/>
        <v>42</v>
      </c>
      <c r="Q120" s="83">
        <f t="shared" si="15"/>
        <v>84</v>
      </c>
      <c r="R120" s="83"/>
      <c r="S120" s="83"/>
      <c r="T120" s="87"/>
      <c r="U120" s="83">
        <f t="shared" si="16"/>
        <v>42</v>
      </c>
      <c r="V120" s="83">
        <f t="shared" si="17"/>
        <v>2</v>
      </c>
      <c r="W120" s="84">
        <f t="shared" si="18"/>
        <v>84</v>
      </c>
      <c r="X120" s="84" t="s">
        <v>181</v>
      </c>
      <c r="Y120" s="24" t="s">
        <v>176</v>
      </c>
    </row>
    <row r="121" spans="1:25" s="24" customFormat="1" ht="11.1" customHeight="1" x14ac:dyDescent="0.2">
      <c r="A121" s="76">
        <f t="shared" si="13"/>
        <v>119</v>
      </c>
      <c r="B121" s="77" t="s">
        <v>237</v>
      </c>
      <c r="C121" s="76" t="str">
        <f>IF($B121&lt;&gt;"",_xlfn.IFNA(VLOOKUP($B121,'Node Details'!$B:$U,C$1,0),"Check"),"")</f>
        <v>AXY030107-AXY030201</v>
      </c>
      <c r="D121" s="76" t="str">
        <f>IF($B121&lt;&gt;"",_xlfn.IFNA(VLOOKUP($B121,'Node Details'!$B:$U,D$1,0),"Check"),"")</f>
        <v>AXY</v>
      </c>
      <c r="E121" s="76" t="str">
        <f>IF($B121&lt;&gt;"",_xlfn.IFNA(VLOOKUP($B121,'Node Details'!$B:$U,E$1,0),"Check"),"")</f>
        <v>Airtel</v>
      </c>
      <c r="F121" s="78">
        <v>46113</v>
      </c>
      <c r="G121" s="76"/>
      <c r="H121" s="9" t="s">
        <v>22</v>
      </c>
      <c r="I121" s="9">
        <v>2</v>
      </c>
      <c r="J121" s="9">
        <v>42</v>
      </c>
      <c r="K121" s="79">
        <f t="shared" si="19"/>
        <v>84</v>
      </c>
      <c r="L121" s="78">
        <v>46112</v>
      </c>
      <c r="N121" s="85"/>
      <c r="O121" s="86"/>
      <c r="P121" s="83">
        <f t="shared" si="14"/>
        <v>42</v>
      </c>
      <c r="Q121" s="83">
        <f t="shared" si="15"/>
        <v>84</v>
      </c>
      <c r="R121" s="83"/>
      <c r="S121" s="83"/>
      <c r="T121" s="87"/>
      <c r="U121" s="83">
        <f t="shared" si="16"/>
        <v>42</v>
      </c>
      <c r="V121" s="83">
        <f t="shared" si="17"/>
        <v>2</v>
      </c>
      <c r="W121" s="84">
        <f t="shared" si="18"/>
        <v>84</v>
      </c>
      <c r="X121" s="84" t="s">
        <v>181</v>
      </c>
      <c r="Y121" s="24" t="s">
        <v>176</v>
      </c>
    </row>
    <row r="122" spans="1:25" s="24" customFormat="1" ht="11.1" customHeight="1" x14ac:dyDescent="0.2">
      <c r="A122" s="76">
        <f t="shared" si="13"/>
        <v>120</v>
      </c>
      <c r="B122" s="77" t="s">
        <v>238</v>
      </c>
      <c r="C122" s="76" t="str">
        <f>IF($B122&lt;&gt;"",_xlfn.IFNA(VLOOKUP($B122,'Node Details'!$B:$U,C$1,0),"Check"),"")</f>
        <v>AXY030201-AXY030204</v>
      </c>
      <c r="D122" s="76" t="str">
        <f>IF($B122&lt;&gt;"",_xlfn.IFNA(VLOOKUP($B122,'Node Details'!$B:$U,D$1,0),"Check"),"")</f>
        <v>AXY</v>
      </c>
      <c r="E122" s="76" t="str">
        <f>IF($B122&lt;&gt;"",_xlfn.IFNA(VLOOKUP($B122,'Node Details'!$B:$U,E$1,0),"Check"),"")</f>
        <v>Airtel</v>
      </c>
      <c r="F122" s="78">
        <v>46113</v>
      </c>
      <c r="G122" s="76"/>
      <c r="H122" s="9" t="s">
        <v>22</v>
      </c>
      <c r="I122" s="9">
        <v>2</v>
      </c>
      <c r="J122" s="9">
        <v>42</v>
      </c>
      <c r="K122" s="79">
        <f t="shared" si="19"/>
        <v>84</v>
      </c>
      <c r="L122" s="78">
        <v>46112</v>
      </c>
      <c r="N122" s="85"/>
      <c r="O122" s="86"/>
      <c r="P122" s="83">
        <f t="shared" si="14"/>
        <v>42</v>
      </c>
      <c r="Q122" s="83">
        <f t="shared" si="15"/>
        <v>84</v>
      </c>
      <c r="R122" s="83"/>
      <c r="S122" s="83"/>
      <c r="T122" s="87"/>
      <c r="U122" s="83">
        <f t="shared" si="16"/>
        <v>42</v>
      </c>
      <c r="V122" s="83">
        <f t="shared" si="17"/>
        <v>2</v>
      </c>
      <c r="W122" s="84">
        <f t="shared" si="18"/>
        <v>84</v>
      </c>
      <c r="X122" s="84" t="s">
        <v>181</v>
      </c>
      <c r="Y122" s="24" t="s">
        <v>176</v>
      </c>
    </row>
    <row r="123" spans="1:25" s="24" customFormat="1" ht="11.1" customHeight="1" x14ac:dyDescent="0.2">
      <c r="A123" s="76">
        <f t="shared" si="13"/>
        <v>121</v>
      </c>
      <c r="B123" s="77" t="s">
        <v>239</v>
      </c>
      <c r="C123" s="76" t="str">
        <f>IF($B123&lt;&gt;"",_xlfn.IFNA(VLOOKUP($B123,'Node Details'!$B:$U,C$1,0),"Check"),"")</f>
        <v>AXY030201-AXY030204</v>
      </c>
      <c r="D123" s="76" t="str">
        <f>IF($B123&lt;&gt;"",_xlfn.IFNA(VLOOKUP($B123,'Node Details'!$B:$U,D$1,0),"Check"),"")</f>
        <v>AXY</v>
      </c>
      <c r="E123" s="76" t="str">
        <f>IF($B123&lt;&gt;"",_xlfn.IFNA(VLOOKUP($B123,'Node Details'!$B:$U,E$1,0),"Check"),"")</f>
        <v>Airtel</v>
      </c>
      <c r="F123" s="78">
        <v>46113</v>
      </c>
      <c r="G123" s="76"/>
      <c r="H123" s="9" t="s">
        <v>22</v>
      </c>
      <c r="I123" s="9">
        <v>2</v>
      </c>
      <c r="J123" s="9">
        <v>42</v>
      </c>
      <c r="K123" s="79">
        <f t="shared" si="19"/>
        <v>84</v>
      </c>
      <c r="L123" s="78">
        <v>46112</v>
      </c>
      <c r="N123" s="85"/>
      <c r="O123" s="86"/>
      <c r="P123" s="83">
        <f t="shared" si="14"/>
        <v>42</v>
      </c>
      <c r="Q123" s="83">
        <f t="shared" si="15"/>
        <v>84</v>
      </c>
      <c r="R123" s="83"/>
      <c r="S123" s="83"/>
      <c r="T123" s="87"/>
      <c r="U123" s="83">
        <f t="shared" si="16"/>
        <v>42</v>
      </c>
      <c r="V123" s="83">
        <f t="shared" si="17"/>
        <v>2</v>
      </c>
      <c r="W123" s="84">
        <f t="shared" si="18"/>
        <v>84</v>
      </c>
      <c r="X123" s="84" t="s">
        <v>181</v>
      </c>
      <c r="Y123" s="24" t="s">
        <v>176</v>
      </c>
    </row>
    <row r="124" spans="1:25" s="24" customFormat="1" ht="11.1" customHeight="1" x14ac:dyDescent="0.2">
      <c r="A124" s="76">
        <f t="shared" si="13"/>
        <v>122</v>
      </c>
      <c r="B124" s="77" t="s">
        <v>241</v>
      </c>
      <c r="C124" s="76" t="str">
        <f>IF($B124&lt;&gt;"",_xlfn.IFNA(VLOOKUP($B124,'Node Details'!$B:$U,C$1,0),"Check"),"")</f>
        <v>0000AXY04-AXY040101</v>
      </c>
      <c r="D124" s="76" t="str">
        <f>IF($B124&lt;&gt;"",_xlfn.IFNA(VLOOKUP($B124,'Node Details'!$B:$U,D$1,0),"Check"),"")</f>
        <v>AXY</v>
      </c>
      <c r="E124" s="76" t="str">
        <f>IF($B124&lt;&gt;"",_xlfn.IFNA(VLOOKUP($B124,'Node Details'!$B:$U,E$1,0),"Check"),"")</f>
        <v>Airtel</v>
      </c>
      <c r="F124" s="78">
        <v>46113</v>
      </c>
      <c r="G124" s="76"/>
      <c r="H124" s="9" t="s">
        <v>22</v>
      </c>
      <c r="I124" s="9">
        <v>2</v>
      </c>
      <c r="J124" s="9">
        <v>42</v>
      </c>
      <c r="K124" s="79">
        <f t="shared" si="19"/>
        <v>84</v>
      </c>
      <c r="L124" s="78">
        <v>46112</v>
      </c>
      <c r="N124" s="85"/>
      <c r="O124" s="86"/>
      <c r="P124" s="83">
        <f t="shared" si="14"/>
        <v>42</v>
      </c>
      <c r="Q124" s="83">
        <f t="shared" si="15"/>
        <v>84</v>
      </c>
      <c r="R124" s="83"/>
      <c r="S124" s="83"/>
      <c r="T124" s="87"/>
      <c r="U124" s="83">
        <f t="shared" si="16"/>
        <v>42</v>
      </c>
      <c r="V124" s="83">
        <f t="shared" si="17"/>
        <v>2</v>
      </c>
      <c r="W124" s="84">
        <f t="shared" si="18"/>
        <v>84</v>
      </c>
      <c r="X124" s="84" t="s">
        <v>181</v>
      </c>
      <c r="Y124" s="24" t="s">
        <v>176</v>
      </c>
    </row>
    <row r="125" spans="1:25" s="24" customFormat="1" ht="11.1" customHeight="1" x14ac:dyDescent="0.2">
      <c r="A125" s="76">
        <f t="shared" si="13"/>
        <v>123</v>
      </c>
      <c r="B125" s="77" t="s">
        <v>242</v>
      </c>
      <c r="C125" s="76" t="str">
        <f>IF($B125&lt;&gt;"",_xlfn.IFNA(VLOOKUP($B125,'Node Details'!$B:$U,C$1,0),"Check"),"")</f>
        <v>0000AXY04-00AXY-FMS</v>
      </c>
      <c r="D125" s="76" t="str">
        <f>IF($B125&lt;&gt;"",_xlfn.IFNA(VLOOKUP($B125,'Node Details'!$B:$U,D$1,0),"Check"),"")</f>
        <v>AXY</v>
      </c>
      <c r="E125" s="76" t="str">
        <f>IF($B125&lt;&gt;"",_xlfn.IFNA(VLOOKUP($B125,'Node Details'!$B:$U,E$1,0),"Check"),"")</f>
        <v>Airtel</v>
      </c>
      <c r="F125" s="78">
        <v>46113</v>
      </c>
      <c r="G125" s="76"/>
      <c r="H125" s="9" t="s">
        <v>22</v>
      </c>
      <c r="I125" s="9">
        <v>2</v>
      </c>
      <c r="J125" s="9">
        <v>42</v>
      </c>
      <c r="K125" s="79">
        <f t="shared" si="19"/>
        <v>84</v>
      </c>
      <c r="L125" s="78">
        <v>46112</v>
      </c>
      <c r="N125" s="85"/>
      <c r="O125" s="86"/>
      <c r="P125" s="83">
        <f t="shared" si="14"/>
        <v>42</v>
      </c>
      <c r="Q125" s="83">
        <f t="shared" si="15"/>
        <v>84</v>
      </c>
      <c r="R125" s="83"/>
      <c r="S125" s="83"/>
      <c r="T125" s="87"/>
      <c r="U125" s="83">
        <f t="shared" si="16"/>
        <v>42</v>
      </c>
      <c r="V125" s="83">
        <f t="shared" si="17"/>
        <v>2</v>
      </c>
      <c r="W125" s="84">
        <f t="shared" si="18"/>
        <v>84</v>
      </c>
      <c r="X125" s="84" t="s">
        <v>181</v>
      </c>
      <c r="Y125" s="24" t="s">
        <v>176</v>
      </c>
    </row>
    <row r="126" spans="1:25" s="24" customFormat="1" ht="11.1" customHeight="1" x14ac:dyDescent="0.2">
      <c r="A126" s="76">
        <f t="shared" si="13"/>
        <v>124</v>
      </c>
      <c r="B126" s="77" t="s">
        <v>243</v>
      </c>
      <c r="C126" s="76" t="str">
        <f>IF($B126&lt;&gt;"",_xlfn.IFNA(VLOOKUP($B126,'Node Details'!$B:$U,C$1,0),"Check"),"")</f>
        <v>00AXY-FMS-AXY040108</v>
      </c>
      <c r="D126" s="76" t="str">
        <f>IF($B126&lt;&gt;"",_xlfn.IFNA(VLOOKUP($B126,'Node Details'!$B:$U,D$1,0),"Check"),"")</f>
        <v>AXY</v>
      </c>
      <c r="E126" s="76" t="str">
        <f>IF($B126&lt;&gt;"",_xlfn.IFNA(VLOOKUP($B126,'Node Details'!$B:$U,E$1,0),"Check"),"")</f>
        <v>Airtel</v>
      </c>
      <c r="F126" s="78">
        <v>46113</v>
      </c>
      <c r="G126" s="76"/>
      <c r="H126" s="9" t="s">
        <v>22</v>
      </c>
      <c r="I126" s="9">
        <v>2</v>
      </c>
      <c r="J126" s="9">
        <v>42</v>
      </c>
      <c r="K126" s="79">
        <f t="shared" si="19"/>
        <v>84</v>
      </c>
      <c r="L126" s="78">
        <v>46112</v>
      </c>
      <c r="N126" s="85"/>
      <c r="O126" s="86"/>
      <c r="P126" s="83">
        <f t="shared" si="14"/>
        <v>42</v>
      </c>
      <c r="Q126" s="83">
        <f t="shared" si="15"/>
        <v>84</v>
      </c>
      <c r="R126" s="83"/>
      <c r="S126" s="83"/>
      <c r="T126" s="87"/>
      <c r="U126" s="83">
        <f t="shared" si="16"/>
        <v>42</v>
      </c>
      <c r="V126" s="83">
        <f t="shared" si="17"/>
        <v>2</v>
      </c>
      <c r="W126" s="84">
        <f t="shared" si="18"/>
        <v>84</v>
      </c>
      <c r="X126" s="84" t="s">
        <v>181</v>
      </c>
      <c r="Y126" s="24" t="s">
        <v>176</v>
      </c>
    </row>
    <row r="127" spans="1:25" s="24" customFormat="1" ht="11.1" customHeight="1" x14ac:dyDescent="0.2">
      <c r="A127" s="76">
        <f t="shared" si="13"/>
        <v>125</v>
      </c>
      <c r="B127" s="77" t="s">
        <v>244</v>
      </c>
      <c r="C127" s="76" t="str">
        <f>IF($B127&lt;&gt;"",_xlfn.IFNA(VLOOKUP($B127,'Node Details'!$B:$U,C$1,0),"Check"),"")</f>
        <v>00AXY-FMS-AXY040108</v>
      </c>
      <c r="D127" s="76" t="str">
        <f>IF($B127&lt;&gt;"",_xlfn.IFNA(VLOOKUP($B127,'Node Details'!$B:$U,D$1,0),"Check"),"")</f>
        <v>AXY</v>
      </c>
      <c r="E127" s="76" t="str">
        <f>IF($B127&lt;&gt;"",_xlfn.IFNA(VLOOKUP($B127,'Node Details'!$B:$U,E$1,0),"Check"),"")</f>
        <v>Airtel</v>
      </c>
      <c r="F127" s="78">
        <v>46113</v>
      </c>
      <c r="G127" s="76"/>
      <c r="H127" s="9" t="s">
        <v>22</v>
      </c>
      <c r="I127" s="9">
        <v>2</v>
      </c>
      <c r="J127" s="9">
        <v>42</v>
      </c>
      <c r="K127" s="79">
        <f t="shared" si="19"/>
        <v>84</v>
      </c>
      <c r="L127" s="78">
        <v>46112</v>
      </c>
      <c r="N127" s="85"/>
      <c r="O127" s="86"/>
      <c r="P127" s="83">
        <f t="shared" si="14"/>
        <v>42</v>
      </c>
      <c r="Q127" s="83">
        <f t="shared" si="15"/>
        <v>84</v>
      </c>
      <c r="R127" s="83"/>
      <c r="S127" s="83"/>
      <c r="T127" s="87"/>
      <c r="U127" s="83">
        <f t="shared" si="16"/>
        <v>42</v>
      </c>
      <c r="V127" s="83">
        <f t="shared" si="17"/>
        <v>2</v>
      </c>
      <c r="W127" s="84">
        <f t="shared" si="18"/>
        <v>84</v>
      </c>
      <c r="X127" s="84" t="s">
        <v>181</v>
      </c>
      <c r="Y127" s="24" t="s">
        <v>176</v>
      </c>
    </row>
    <row r="128" spans="1:25" s="24" customFormat="1" ht="11.1" customHeight="1" x14ac:dyDescent="0.2">
      <c r="A128" s="76">
        <f t="shared" si="13"/>
        <v>126</v>
      </c>
      <c r="B128" s="77" t="s">
        <v>245</v>
      </c>
      <c r="C128" s="76" t="str">
        <f>IF($B128&lt;&gt;"",_xlfn.IFNA(VLOOKUP($B128,'Node Details'!$B:$U,C$1,0),"Check"),"")</f>
        <v>00AXY-FMS-AXY040108</v>
      </c>
      <c r="D128" s="76" t="str">
        <f>IF($B128&lt;&gt;"",_xlfn.IFNA(VLOOKUP($B128,'Node Details'!$B:$U,D$1,0),"Check"),"")</f>
        <v>AXY</v>
      </c>
      <c r="E128" s="76" t="str">
        <f>IF($B128&lt;&gt;"",_xlfn.IFNA(VLOOKUP($B128,'Node Details'!$B:$U,E$1,0),"Check"),"")</f>
        <v>Airtel</v>
      </c>
      <c r="F128" s="78">
        <v>46113</v>
      </c>
      <c r="G128" s="76"/>
      <c r="H128" s="9" t="s">
        <v>22</v>
      </c>
      <c r="I128" s="9">
        <v>2</v>
      </c>
      <c r="J128" s="9">
        <v>42</v>
      </c>
      <c r="K128" s="79">
        <f t="shared" si="19"/>
        <v>84</v>
      </c>
      <c r="L128" s="78">
        <v>46112</v>
      </c>
      <c r="N128" s="85"/>
      <c r="O128" s="86"/>
      <c r="P128" s="83">
        <f t="shared" si="14"/>
        <v>42</v>
      </c>
      <c r="Q128" s="83">
        <f t="shared" si="15"/>
        <v>84</v>
      </c>
      <c r="R128" s="83"/>
      <c r="S128" s="83"/>
      <c r="T128" s="87"/>
      <c r="U128" s="83">
        <f t="shared" si="16"/>
        <v>42</v>
      </c>
      <c r="V128" s="83">
        <f t="shared" si="17"/>
        <v>2</v>
      </c>
      <c r="W128" s="84">
        <f t="shared" si="18"/>
        <v>84</v>
      </c>
      <c r="X128" s="84" t="s">
        <v>181</v>
      </c>
      <c r="Y128" s="24" t="s">
        <v>176</v>
      </c>
    </row>
    <row r="129" spans="1:25" s="24" customFormat="1" ht="11.1" customHeight="1" x14ac:dyDescent="0.2">
      <c r="A129" s="76">
        <f t="shared" si="13"/>
        <v>127</v>
      </c>
      <c r="B129" s="77" t="s">
        <v>246</v>
      </c>
      <c r="C129" s="76" t="str">
        <f>IF($B129&lt;&gt;"",_xlfn.IFNA(VLOOKUP($B129,'Node Details'!$B:$U,C$1,0),"Check"),"")</f>
        <v>00AXY-FMS-AXY040108</v>
      </c>
      <c r="D129" s="76" t="str">
        <f>IF($B129&lt;&gt;"",_xlfn.IFNA(VLOOKUP($B129,'Node Details'!$B:$U,D$1,0),"Check"),"")</f>
        <v>AXY</v>
      </c>
      <c r="E129" s="76" t="str">
        <f>IF($B129&lt;&gt;"",_xlfn.IFNA(VLOOKUP($B129,'Node Details'!$B:$U,E$1,0),"Check"),"")</f>
        <v>Airtel</v>
      </c>
      <c r="F129" s="78">
        <v>46113</v>
      </c>
      <c r="G129" s="76"/>
      <c r="H129" s="9" t="s">
        <v>22</v>
      </c>
      <c r="I129" s="9">
        <v>2</v>
      </c>
      <c r="J129" s="9">
        <v>42</v>
      </c>
      <c r="K129" s="79">
        <f t="shared" si="19"/>
        <v>84</v>
      </c>
      <c r="L129" s="78">
        <v>46112</v>
      </c>
      <c r="N129" s="85"/>
      <c r="O129" s="86"/>
      <c r="P129" s="83">
        <f t="shared" si="14"/>
        <v>42</v>
      </c>
      <c r="Q129" s="83">
        <f t="shared" si="15"/>
        <v>84</v>
      </c>
      <c r="R129" s="83"/>
      <c r="S129" s="83"/>
      <c r="T129" s="87"/>
      <c r="U129" s="83">
        <f t="shared" si="16"/>
        <v>42</v>
      </c>
      <c r="V129" s="83">
        <f t="shared" si="17"/>
        <v>2</v>
      </c>
      <c r="W129" s="84">
        <f t="shared" si="18"/>
        <v>84</v>
      </c>
      <c r="X129" s="84" t="s">
        <v>181</v>
      </c>
      <c r="Y129" s="24" t="s">
        <v>176</v>
      </c>
    </row>
    <row r="130" spans="1:25" s="24" customFormat="1" ht="11.1" customHeight="1" x14ac:dyDescent="0.2">
      <c r="A130" s="76">
        <f t="shared" si="13"/>
        <v>128</v>
      </c>
      <c r="B130" s="77" t="s">
        <v>247</v>
      </c>
      <c r="C130" s="76" t="str">
        <f>IF($B130&lt;&gt;"",_xlfn.IFNA(VLOOKUP($B130,'Node Details'!$B:$U,C$1,0),"Check"),"")</f>
        <v>0000AXY04-AXY040201</v>
      </c>
      <c r="D130" s="76" t="str">
        <f>IF($B130&lt;&gt;"",_xlfn.IFNA(VLOOKUP($B130,'Node Details'!$B:$U,D$1,0),"Check"),"")</f>
        <v>AXY</v>
      </c>
      <c r="E130" s="76" t="str">
        <f>IF($B130&lt;&gt;"",_xlfn.IFNA(VLOOKUP($B130,'Node Details'!$B:$U,E$1,0),"Check"),"")</f>
        <v>Airtel</v>
      </c>
      <c r="F130" s="78">
        <v>46113</v>
      </c>
      <c r="G130" s="76"/>
      <c r="H130" s="9" t="s">
        <v>22</v>
      </c>
      <c r="I130" s="9">
        <v>2</v>
      </c>
      <c r="J130" s="9">
        <v>42</v>
      </c>
      <c r="K130" s="79">
        <f t="shared" si="19"/>
        <v>84</v>
      </c>
      <c r="L130" s="78">
        <v>46112</v>
      </c>
      <c r="N130" s="85"/>
      <c r="O130" s="86"/>
      <c r="P130" s="83">
        <f t="shared" si="14"/>
        <v>42</v>
      </c>
      <c r="Q130" s="83">
        <f t="shared" si="15"/>
        <v>84</v>
      </c>
      <c r="R130" s="83"/>
      <c r="S130" s="83"/>
      <c r="T130" s="87"/>
      <c r="U130" s="83">
        <f t="shared" si="16"/>
        <v>42</v>
      </c>
      <c r="V130" s="83">
        <f t="shared" si="17"/>
        <v>2</v>
      </c>
      <c r="W130" s="84">
        <f t="shared" si="18"/>
        <v>84</v>
      </c>
      <c r="X130" s="84" t="s">
        <v>181</v>
      </c>
      <c r="Y130" s="24" t="s">
        <v>176</v>
      </c>
    </row>
    <row r="131" spans="1:25" s="24" customFormat="1" ht="11.1" customHeight="1" x14ac:dyDescent="0.2">
      <c r="A131" s="76">
        <f t="shared" si="13"/>
        <v>129</v>
      </c>
      <c r="B131" s="77" t="s">
        <v>248</v>
      </c>
      <c r="C131" s="76" t="str">
        <f>IF($B131&lt;&gt;"",_xlfn.IFNA(VLOOKUP($B131,'Node Details'!$B:$U,C$1,0),"Check"),"")</f>
        <v>AXY040201-AXY040204</v>
      </c>
      <c r="D131" s="76" t="str">
        <f>IF($B131&lt;&gt;"",_xlfn.IFNA(VLOOKUP($B131,'Node Details'!$B:$U,D$1,0),"Check"),"")</f>
        <v>AXY</v>
      </c>
      <c r="E131" s="76" t="str">
        <f>IF($B131&lt;&gt;"",_xlfn.IFNA(VLOOKUP($B131,'Node Details'!$B:$U,E$1,0),"Check"),"")</f>
        <v>Airtel</v>
      </c>
      <c r="F131" s="78">
        <v>46113</v>
      </c>
      <c r="G131" s="76"/>
      <c r="H131" s="9" t="s">
        <v>22</v>
      </c>
      <c r="I131" s="9">
        <v>2</v>
      </c>
      <c r="J131" s="9">
        <v>42</v>
      </c>
      <c r="K131" s="79">
        <f t="shared" si="19"/>
        <v>84</v>
      </c>
      <c r="L131" s="78">
        <v>46112</v>
      </c>
      <c r="N131" s="85"/>
      <c r="O131" s="86"/>
      <c r="P131" s="83">
        <f t="shared" si="14"/>
        <v>42</v>
      </c>
      <c r="Q131" s="83">
        <f t="shared" si="15"/>
        <v>84</v>
      </c>
      <c r="R131" s="83"/>
      <c r="S131" s="83"/>
      <c r="T131" s="87"/>
      <c r="U131" s="83">
        <f t="shared" si="16"/>
        <v>42</v>
      </c>
      <c r="V131" s="83">
        <f t="shared" si="17"/>
        <v>2</v>
      </c>
      <c r="W131" s="84">
        <f t="shared" si="18"/>
        <v>84</v>
      </c>
      <c r="X131" s="84" t="s">
        <v>181</v>
      </c>
      <c r="Y131" s="24" t="s">
        <v>176</v>
      </c>
    </row>
    <row r="132" spans="1:25" s="24" customFormat="1" ht="11.1" customHeight="1" x14ac:dyDescent="0.2">
      <c r="A132" s="76">
        <f t="shared" ref="A132:A195" si="20">A131+1</f>
        <v>130</v>
      </c>
      <c r="B132" s="77" t="s">
        <v>249</v>
      </c>
      <c r="C132" s="76" t="str">
        <f>IF($B132&lt;&gt;"",_xlfn.IFNA(VLOOKUP($B132,'Node Details'!$B:$U,C$1,0),"Check"),"")</f>
        <v>AXY040201-AXY040204</v>
      </c>
      <c r="D132" s="76" t="str">
        <f>IF($B132&lt;&gt;"",_xlfn.IFNA(VLOOKUP($B132,'Node Details'!$B:$U,D$1,0),"Check"),"")</f>
        <v>AXY</v>
      </c>
      <c r="E132" s="76" t="str">
        <f>IF($B132&lt;&gt;"",_xlfn.IFNA(VLOOKUP($B132,'Node Details'!$B:$U,E$1,0),"Check"),"")</f>
        <v>Airtel</v>
      </c>
      <c r="F132" s="78">
        <v>46113</v>
      </c>
      <c r="G132" s="76"/>
      <c r="H132" s="9" t="s">
        <v>22</v>
      </c>
      <c r="I132" s="9">
        <v>2</v>
      </c>
      <c r="J132" s="9">
        <v>42</v>
      </c>
      <c r="K132" s="79">
        <f t="shared" si="19"/>
        <v>84</v>
      </c>
      <c r="L132" s="78">
        <v>46112</v>
      </c>
      <c r="N132" s="85"/>
      <c r="O132" s="86"/>
      <c r="P132" s="83">
        <f t="shared" si="14"/>
        <v>42</v>
      </c>
      <c r="Q132" s="83">
        <f t="shared" si="15"/>
        <v>84</v>
      </c>
      <c r="R132" s="83"/>
      <c r="S132" s="83"/>
      <c r="T132" s="87"/>
      <c r="U132" s="83">
        <f t="shared" si="16"/>
        <v>42</v>
      </c>
      <c r="V132" s="83">
        <f t="shared" si="17"/>
        <v>2</v>
      </c>
      <c r="W132" s="84">
        <f t="shared" si="18"/>
        <v>84</v>
      </c>
      <c r="X132" s="84" t="s">
        <v>181</v>
      </c>
      <c r="Y132" s="24" t="s">
        <v>176</v>
      </c>
    </row>
    <row r="133" spans="1:25" s="24" customFormat="1" ht="11.1" customHeight="1" x14ac:dyDescent="0.2">
      <c r="A133" s="76">
        <f t="shared" si="20"/>
        <v>131</v>
      </c>
      <c r="B133" s="77" t="s">
        <v>250</v>
      </c>
      <c r="C133" s="76" t="str">
        <f>IF($B133&lt;&gt;"",_xlfn.IFNA(VLOOKUP($B133,'Node Details'!$B:$U,C$1,0),"Check"),"")</f>
        <v>AXY040201-AXY040204</v>
      </c>
      <c r="D133" s="76" t="str">
        <f>IF($B133&lt;&gt;"",_xlfn.IFNA(VLOOKUP($B133,'Node Details'!$B:$U,D$1,0),"Check"),"")</f>
        <v>AXY</v>
      </c>
      <c r="E133" s="76" t="str">
        <f>IF($B133&lt;&gt;"",_xlfn.IFNA(VLOOKUP($B133,'Node Details'!$B:$U,E$1,0),"Check"),"")</f>
        <v>Airtel</v>
      </c>
      <c r="F133" s="78">
        <v>46113</v>
      </c>
      <c r="G133" s="76"/>
      <c r="H133" s="9" t="s">
        <v>22</v>
      </c>
      <c r="I133" s="9">
        <v>2</v>
      </c>
      <c r="J133" s="9">
        <v>42</v>
      </c>
      <c r="K133" s="79">
        <f t="shared" si="19"/>
        <v>84</v>
      </c>
      <c r="L133" s="78">
        <v>46112</v>
      </c>
      <c r="N133" s="85"/>
      <c r="O133" s="86"/>
      <c r="P133" s="83">
        <f t="shared" si="14"/>
        <v>42</v>
      </c>
      <c r="Q133" s="83">
        <f t="shared" si="15"/>
        <v>84</v>
      </c>
      <c r="R133" s="83"/>
      <c r="S133" s="83"/>
      <c r="T133" s="87"/>
      <c r="U133" s="83">
        <f t="shared" si="16"/>
        <v>42</v>
      </c>
      <c r="V133" s="83">
        <f t="shared" si="17"/>
        <v>2</v>
      </c>
      <c r="W133" s="84">
        <f t="shared" si="18"/>
        <v>84</v>
      </c>
      <c r="X133" s="84" t="s">
        <v>181</v>
      </c>
      <c r="Y133" s="24" t="s">
        <v>176</v>
      </c>
    </row>
    <row r="134" spans="1:25" s="24" customFormat="1" ht="11.1" customHeight="1" x14ac:dyDescent="0.2">
      <c r="A134" s="76">
        <f t="shared" si="20"/>
        <v>132</v>
      </c>
      <c r="B134" s="77" t="s">
        <v>252</v>
      </c>
      <c r="C134" s="76" t="str">
        <f>IF($B134&lt;&gt;"",_xlfn.IFNA(VLOOKUP($B134,'Node Details'!$B:$U,C$1,0),"Check"),"")</f>
        <v>0000AXY05-AXY050101</v>
      </c>
      <c r="D134" s="76" t="str">
        <f>IF($B134&lt;&gt;"",_xlfn.IFNA(VLOOKUP($B134,'Node Details'!$B:$U,D$1,0),"Check"),"")</f>
        <v>AXY</v>
      </c>
      <c r="E134" s="76" t="str">
        <f>IF($B134&lt;&gt;"",_xlfn.IFNA(VLOOKUP($B134,'Node Details'!$B:$U,E$1,0),"Check"),"")</f>
        <v>Airtel</v>
      </c>
      <c r="F134" s="78">
        <v>46113</v>
      </c>
      <c r="G134" s="76"/>
      <c r="H134" s="9" t="s">
        <v>22</v>
      </c>
      <c r="I134" s="9">
        <v>2</v>
      </c>
      <c r="J134" s="9">
        <v>42</v>
      </c>
      <c r="K134" s="79">
        <f t="shared" si="19"/>
        <v>84</v>
      </c>
      <c r="L134" s="78">
        <v>46112</v>
      </c>
      <c r="N134" s="85"/>
      <c r="O134" s="86"/>
      <c r="P134" s="83">
        <f t="shared" si="14"/>
        <v>42</v>
      </c>
      <c r="Q134" s="83">
        <f t="shared" si="15"/>
        <v>84</v>
      </c>
      <c r="R134" s="83"/>
      <c r="S134" s="83"/>
      <c r="T134" s="87"/>
      <c r="U134" s="83">
        <f t="shared" si="16"/>
        <v>42</v>
      </c>
      <c r="V134" s="83">
        <f t="shared" si="17"/>
        <v>2</v>
      </c>
      <c r="W134" s="84">
        <f t="shared" si="18"/>
        <v>84</v>
      </c>
      <c r="X134" s="84" t="s">
        <v>181</v>
      </c>
      <c r="Y134" s="24" t="s">
        <v>176</v>
      </c>
    </row>
    <row r="135" spans="1:25" s="24" customFormat="1" ht="11.1" customHeight="1" x14ac:dyDescent="0.2">
      <c r="A135" s="76">
        <f t="shared" si="20"/>
        <v>133</v>
      </c>
      <c r="B135" s="77" t="s">
        <v>253</v>
      </c>
      <c r="C135" s="76" t="str">
        <f>IF($B135&lt;&gt;"",_xlfn.IFNA(VLOOKUP($B135,'Node Details'!$B:$U,C$1,0),"Check"),"")</f>
        <v>0000AXY5 -AXY050104</v>
      </c>
      <c r="D135" s="76" t="str">
        <f>IF($B135&lt;&gt;"",_xlfn.IFNA(VLOOKUP($B135,'Node Details'!$B:$U,D$1,0),"Check"),"")</f>
        <v>AXY</v>
      </c>
      <c r="E135" s="76" t="str">
        <f>IF($B135&lt;&gt;"",_xlfn.IFNA(VLOOKUP($B135,'Node Details'!$B:$U,E$1,0),"Check"),"")</f>
        <v>Airtel</v>
      </c>
      <c r="F135" s="78">
        <v>46113</v>
      </c>
      <c r="G135" s="76"/>
      <c r="H135" s="9" t="s">
        <v>22</v>
      </c>
      <c r="I135" s="9">
        <v>2</v>
      </c>
      <c r="J135" s="9">
        <v>42</v>
      </c>
      <c r="K135" s="79">
        <f t="shared" si="19"/>
        <v>84</v>
      </c>
      <c r="L135" s="78">
        <v>46112</v>
      </c>
      <c r="N135" s="85"/>
      <c r="O135" s="86"/>
      <c r="P135" s="83">
        <f t="shared" si="14"/>
        <v>42</v>
      </c>
      <c r="Q135" s="83">
        <f t="shared" si="15"/>
        <v>84</v>
      </c>
      <c r="R135" s="83"/>
      <c r="S135" s="83"/>
      <c r="T135" s="87"/>
      <c r="U135" s="83">
        <f t="shared" si="16"/>
        <v>42</v>
      </c>
      <c r="V135" s="83">
        <f t="shared" si="17"/>
        <v>2</v>
      </c>
      <c r="W135" s="84">
        <f t="shared" si="18"/>
        <v>84</v>
      </c>
      <c r="X135" s="84" t="s">
        <v>181</v>
      </c>
      <c r="Y135" s="24" t="s">
        <v>176</v>
      </c>
    </row>
    <row r="136" spans="1:25" s="24" customFormat="1" ht="11.1" customHeight="1" x14ac:dyDescent="0.2">
      <c r="A136" s="76">
        <f t="shared" si="20"/>
        <v>134</v>
      </c>
      <c r="B136" s="77" t="s">
        <v>254</v>
      </c>
      <c r="C136" s="76" t="str">
        <f>IF($B136&lt;&gt;"",_xlfn.IFNA(VLOOKUP($B136,'Node Details'!$B:$U,C$1,0),"Check"),"")</f>
        <v>0000AXY5 -AXY050104</v>
      </c>
      <c r="D136" s="76" t="str">
        <f>IF($B136&lt;&gt;"",_xlfn.IFNA(VLOOKUP($B136,'Node Details'!$B:$U,D$1,0),"Check"),"")</f>
        <v>AXY</v>
      </c>
      <c r="E136" s="76" t="str">
        <f>IF($B136&lt;&gt;"",_xlfn.IFNA(VLOOKUP($B136,'Node Details'!$B:$U,E$1,0),"Check"),"")</f>
        <v>Airtel</v>
      </c>
      <c r="F136" s="78">
        <v>46113</v>
      </c>
      <c r="G136" s="76"/>
      <c r="H136" s="9" t="s">
        <v>22</v>
      </c>
      <c r="I136" s="9">
        <v>2</v>
      </c>
      <c r="J136" s="9">
        <v>42</v>
      </c>
      <c r="K136" s="79">
        <f t="shared" si="19"/>
        <v>84</v>
      </c>
      <c r="L136" s="78">
        <v>46112</v>
      </c>
      <c r="N136" s="85"/>
      <c r="O136" s="86"/>
      <c r="P136" s="83">
        <f t="shared" si="14"/>
        <v>42</v>
      </c>
      <c r="Q136" s="83">
        <f t="shared" si="15"/>
        <v>84</v>
      </c>
      <c r="R136" s="83"/>
      <c r="S136" s="83"/>
      <c r="T136" s="87"/>
      <c r="U136" s="83">
        <f t="shared" si="16"/>
        <v>42</v>
      </c>
      <c r="V136" s="83">
        <f t="shared" si="17"/>
        <v>2</v>
      </c>
      <c r="W136" s="84">
        <f t="shared" si="18"/>
        <v>84</v>
      </c>
      <c r="X136" s="84" t="s">
        <v>181</v>
      </c>
      <c r="Y136" s="24" t="s">
        <v>176</v>
      </c>
    </row>
    <row r="137" spans="1:25" s="24" customFormat="1" ht="11.1" customHeight="1" x14ac:dyDescent="0.2">
      <c r="A137" s="76">
        <f t="shared" si="20"/>
        <v>135</v>
      </c>
      <c r="B137" s="77" t="s">
        <v>255</v>
      </c>
      <c r="C137" s="76" t="str">
        <f>IF($B137&lt;&gt;"",_xlfn.IFNA(VLOOKUP($B137,'Node Details'!$B:$U,C$1,0),"Check"),"")</f>
        <v>0000AXY5 -AXY050104</v>
      </c>
      <c r="D137" s="76" t="str">
        <f>IF($B137&lt;&gt;"",_xlfn.IFNA(VLOOKUP($B137,'Node Details'!$B:$U,D$1,0),"Check"),"")</f>
        <v>AXY</v>
      </c>
      <c r="E137" s="76" t="str">
        <f>IF($B137&lt;&gt;"",_xlfn.IFNA(VLOOKUP($B137,'Node Details'!$B:$U,E$1,0),"Check"),"")</f>
        <v>Airtel</v>
      </c>
      <c r="F137" s="78">
        <v>46113</v>
      </c>
      <c r="G137" s="76"/>
      <c r="H137" s="9" t="s">
        <v>22</v>
      </c>
      <c r="I137" s="9">
        <v>2</v>
      </c>
      <c r="J137" s="9">
        <v>42</v>
      </c>
      <c r="K137" s="79">
        <f t="shared" si="19"/>
        <v>84</v>
      </c>
      <c r="L137" s="78">
        <v>46112</v>
      </c>
      <c r="N137" s="85"/>
      <c r="O137" s="86"/>
      <c r="P137" s="83">
        <f t="shared" si="14"/>
        <v>42</v>
      </c>
      <c r="Q137" s="83">
        <f t="shared" si="15"/>
        <v>84</v>
      </c>
      <c r="R137" s="83"/>
      <c r="S137" s="83"/>
      <c r="T137" s="87"/>
      <c r="U137" s="83">
        <f t="shared" si="16"/>
        <v>42</v>
      </c>
      <c r="V137" s="83">
        <f t="shared" si="17"/>
        <v>2</v>
      </c>
      <c r="W137" s="84">
        <f t="shared" si="18"/>
        <v>84</v>
      </c>
      <c r="X137" s="84" t="s">
        <v>181</v>
      </c>
      <c r="Y137" s="24" t="s">
        <v>176</v>
      </c>
    </row>
    <row r="138" spans="1:25" s="24" customFormat="1" ht="11.1" customHeight="1" x14ac:dyDescent="0.2">
      <c r="A138" s="76">
        <f t="shared" si="20"/>
        <v>136</v>
      </c>
      <c r="B138" s="77" t="s">
        <v>256</v>
      </c>
      <c r="C138" s="76" t="str">
        <f>IF($B138&lt;&gt;"",_xlfn.IFNA(VLOOKUP($B138,'Node Details'!$B:$U,C$1,0),"Check"),"")</f>
        <v>0000AXY05-AXY050107</v>
      </c>
      <c r="D138" s="76" t="str">
        <f>IF($B138&lt;&gt;"",_xlfn.IFNA(VLOOKUP($B138,'Node Details'!$B:$U,D$1,0),"Check"),"")</f>
        <v>AXY</v>
      </c>
      <c r="E138" s="76" t="str">
        <f>IF($B138&lt;&gt;"",_xlfn.IFNA(VLOOKUP($B138,'Node Details'!$B:$U,E$1,0),"Check"),"")</f>
        <v>Airtel</v>
      </c>
      <c r="F138" s="78">
        <v>46113</v>
      </c>
      <c r="G138" s="76"/>
      <c r="H138" s="9" t="s">
        <v>22</v>
      </c>
      <c r="I138" s="9">
        <v>2</v>
      </c>
      <c r="J138" s="9">
        <v>42</v>
      </c>
      <c r="K138" s="79">
        <f t="shared" si="19"/>
        <v>84</v>
      </c>
      <c r="L138" s="78">
        <v>46112</v>
      </c>
      <c r="N138" s="85"/>
      <c r="O138" s="86"/>
      <c r="P138" s="83">
        <f t="shared" si="14"/>
        <v>42</v>
      </c>
      <c r="Q138" s="83">
        <f t="shared" si="15"/>
        <v>84</v>
      </c>
      <c r="R138" s="83"/>
      <c r="S138" s="83"/>
      <c r="T138" s="87"/>
      <c r="U138" s="83">
        <f t="shared" si="16"/>
        <v>42</v>
      </c>
      <c r="V138" s="83">
        <f t="shared" si="17"/>
        <v>2</v>
      </c>
      <c r="W138" s="84">
        <f t="shared" si="18"/>
        <v>84</v>
      </c>
      <c r="X138" s="84" t="s">
        <v>181</v>
      </c>
      <c r="Y138" s="24" t="s">
        <v>176</v>
      </c>
    </row>
    <row r="139" spans="1:25" s="24" customFormat="1" ht="11.1" customHeight="1" x14ac:dyDescent="0.2">
      <c r="A139" s="76">
        <f t="shared" si="20"/>
        <v>137</v>
      </c>
      <c r="B139" s="77" t="s">
        <v>257</v>
      </c>
      <c r="C139" s="76" t="str">
        <f>IF($B139&lt;&gt;"",_xlfn.IFNA(VLOOKUP($B139,'Node Details'!$B:$U,C$1,0),"Check"),"")</f>
        <v>0000AXY05-AXY050107</v>
      </c>
      <c r="D139" s="76" t="str">
        <f>IF($B139&lt;&gt;"",_xlfn.IFNA(VLOOKUP($B139,'Node Details'!$B:$U,D$1,0),"Check"),"")</f>
        <v>AXY</v>
      </c>
      <c r="E139" s="76" t="str">
        <f>IF($B139&lt;&gt;"",_xlfn.IFNA(VLOOKUP($B139,'Node Details'!$B:$U,E$1,0),"Check"),"")</f>
        <v>Airtel</v>
      </c>
      <c r="F139" s="78">
        <v>46113</v>
      </c>
      <c r="G139" s="76"/>
      <c r="H139" s="9" t="s">
        <v>22</v>
      </c>
      <c r="I139" s="9">
        <v>2</v>
      </c>
      <c r="J139" s="9">
        <v>42</v>
      </c>
      <c r="K139" s="79">
        <f t="shared" si="19"/>
        <v>84</v>
      </c>
      <c r="L139" s="78">
        <v>46112</v>
      </c>
      <c r="N139" s="85"/>
      <c r="O139" s="86"/>
      <c r="P139" s="83">
        <f t="shared" si="14"/>
        <v>42</v>
      </c>
      <c r="Q139" s="83">
        <f t="shared" si="15"/>
        <v>84</v>
      </c>
      <c r="R139" s="83"/>
      <c r="S139" s="83"/>
      <c r="T139" s="87"/>
      <c r="U139" s="83">
        <f t="shared" si="16"/>
        <v>42</v>
      </c>
      <c r="V139" s="83">
        <f t="shared" si="17"/>
        <v>2</v>
      </c>
      <c r="W139" s="84">
        <f t="shared" si="18"/>
        <v>84</v>
      </c>
      <c r="X139" s="84" t="s">
        <v>181</v>
      </c>
      <c r="Y139" s="24" t="s">
        <v>176</v>
      </c>
    </row>
    <row r="140" spans="1:25" s="24" customFormat="1" ht="11.1" customHeight="1" x14ac:dyDescent="0.2">
      <c r="A140" s="76">
        <f t="shared" si="20"/>
        <v>138</v>
      </c>
      <c r="B140" s="77" t="s">
        <v>258</v>
      </c>
      <c r="C140" s="76" t="str">
        <f>IF($B140&lt;&gt;"",_xlfn.IFNA(VLOOKUP($B140,'Node Details'!$B:$U,C$1,0),"Check"),"")</f>
        <v>0000AXY05-AXY050107</v>
      </c>
      <c r="D140" s="76" t="str">
        <f>IF($B140&lt;&gt;"",_xlfn.IFNA(VLOOKUP($B140,'Node Details'!$B:$U,D$1,0),"Check"),"")</f>
        <v>AXY</v>
      </c>
      <c r="E140" s="76" t="str">
        <f>IF($B140&lt;&gt;"",_xlfn.IFNA(VLOOKUP($B140,'Node Details'!$B:$U,E$1,0),"Check"),"")</f>
        <v>Airtel</v>
      </c>
      <c r="F140" s="78">
        <v>46113</v>
      </c>
      <c r="G140" s="76"/>
      <c r="H140" s="9" t="s">
        <v>22</v>
      </c>
      <c r="I140" s="9">
        <v>2</v>
      </c>
      <c r="J140" s="9">
        <v>42</v>
      </c>
      <c r="K140" s="79">
        <f t="shared" si="19"/>
        <v>84</v>
      </c>
      <c r="L140" s="78">
        <v>46112</v>
      </c>
      <c r="N140" s="85"/>
      <c r="O140" s="86"/>
      <c r="P140" s="83">
        <f t="shared" si="14"/>
        <v>42</v>
      </c>
      <c r="Q140" s="83">
        <f t="shared" si="15"/>
        <v>84</v>
      </c>
      <c r="R140" s="83"/>
      <c r="S140" s="83"/>
      <c r="T140" s="87"/>
      <c r="U140" s="83">
        <f t="shared" si="16"/>
        <v>42</v>
      </c>
      <c r="V140" s="83">
        <f t="shared" si="17"/>
        <v>2</v>
      </c>
      <c r="W140" s="84">
        <f t="shared" si="18"/>
        <v>84</v>
      </c>
      <c r="X140" s="84" t="s">
        <v>181</v>
      </c>
      <c r="Y140" s="24" t="s">
        <v>176</v>
      </c>
    </row>
    <row r="141" spans="1:25" s="24" customFormat="1" ht="11.1" customHeight="1" x14ac:dyDescent="0.2">
      <c r="A141" s="76">
        <f t="shared" si="20"/>
        <v>139</v>
      </c>
      <c r="B141" s="77" t="s">
        <v>259</v>
      </c>
      <c r="C141" s="76" t="str">
        <f>IF($B141&lt;&gt;"",_xlfn.IFNA(VLOOKUP($B141,'Node Details'!$B:$U,C$1,0),"Check"),"")</f>
        <v>AXY050105-AXY050202</v>
      </c>
      <c r="D141" s="76" t="str">
        <f>IF($B141&lt;&gt;"",_xlfn.IFNA(VLOOKUP($B141,'Node Details'!$B:$U,D$1,0),"Check"),"")</f>
        <v>AXY</v>
      </c>
      <c r="E141" s="76" t="str">
        <f>IF($B141&lt;&gt;"",_xlfn.IFNA(VLOOKUP($B141,'Node Details'!$B:$U,E$1,0),"Check"),"")</f>
        <v>Airtel</v>
      </c>
      <c r="F141" s="78">
        <v>46113</v>
      </c>
      <c r="G141" s="76"/>
      <c r="H141" s="9" t="s">
        <v>22</v>
      </c>
      <c r="I141" s="9">
        <v>2</v>
      </c>
      <c r="J141" s="9">
        <v>42</v>
      </c>
      <c r="K141" s="79">
        <f t="shared" si="19"/>
        <v>84</v>
      </c>
      <c r="L141" s="78">
        <v>46112</v>
      </c>
      <c r="N141" s="85"/>
      <c r="O141" s="86"/>
      <c r="P141" s="83">
        <f t="shared" si="14"/>
        <v>42</v>
      </c>
      <c r="Q141" s="83">
        <f t="shared" si="15"/>
        <v>84</v>
      </c>
      <c r="R141" s="83"/>
      <c r="S141" s="83"/>
      <c r="T141" s="87"/>
      <c r="U141" s="83">
        <f t="shared" si="16"/>
        <v>42</v>
      </c>
      <c r="V141" s="83">
        <f t="shared" si="17"/>
        <v>2</v>
      </c>
      <c r="W141" s="84">
        <f t="shared" si="18"/>
        <v>84</v>
      </c>
      <c r="X141" s="84" t="s">
        <v>181</v>
      </c>
      <c r="Y141" s="24" t="s">
        <v>176</v>
      </c>
    </row>
    <row r="142" spans="1:25" s="24" customFormat="1" ht="11.1" customHeight="1" x14ac:dyDescent="0.2">
      <c r="A142" s="76">
        <f t="shared" si="20"/>
        <v>140</v>
      </c>
      <c r="B142" s="77" t="s">
        <v>260</v>
      </c>
      <c r="C142" s="76" t="str">
        <f>IF($B142&lt;&gt;"",_xlfn.IFNA(VLOOKUP($B142,'Node Details'!$B:$U,C$1,0),"Check"),"")</f>
        <v>AXY050105-AXY050202</v>
      </c>
      <c r="D142" s="76" t="str">
        <f>IF($B142&lt;&gt;"",_xlfn.IFNA(VLOOKUP($B142,'Node Details'!$B:$U,D$1,0),"Check"),"")</f>
        <v>AXY</v>
      </c>
      <c r="E142" s="76" t="str">
        <f>IF($B142&lt;&gt;"",_xlfn.IFNA(VLOOKUP($B142,'Node Details'!$B:$U,E$1,0),"Check"),"")</f>
        <v>Airtel</v>
      </c>
      <c r="F142" s="78">
        <v>46113</v>
      </c>
      <c r="G142" s="76"/>
      <c r="H142" s="9" t="s">
        <v>22</v>
      </c>
      <c r="I142" s="9">
        <v>2</v>
      </c>
      <c r="J142" s="9">
        <v>42</v>
      </c>
      <c r="K142" s="79">
        <f t="shared" si="19"/>
        <v>84</v>
      </c>
      <c r="L142" s="78">
        <v>46112</v>
      </c>
      <c r="N142" s="85"/>
      <c r="O142" s="86"/>
      <c r="P142" s="83">
        <f t="shared" si="14"/>
        <v>42</v>
      </c>
      <c r="Q142" s="83">
        <f t="shared" si="15"/>
        <v>84</v>
      </c>
      <c r="R142" s="83"/>
      <c r="S142" s="83"/>
      <c r="T142" s="87"/>
      <c r="U142" s="83">
        <f t="shared" si="16"/>
        <v>42</v>
      </c>
      <c r="V142" s="83">
        <f t="shared" si="17"/>
        <v>2</v>
      </c>
      <c r="W142" s="84">
        <f t="shared" si="18"/>
        <v>84</v>
      </c>
      <c r="X142" s="84" t="s">
        <v>181</v>
      </c>
      <c r="Y142" s="24" t="s">
        <v>176</v>
      </c>
    </row>
    <row r="143" spans="1:25" s="24" customFormat="1" ht="11.1" customHeight="1" x14ac:dyDescent="0.2">
      <c r="A143" s="76">
        <f t="shared" si="20"/>
        <v>141</v>
      </c>
      <c r="B143" s="77" t="s">
        <v>261</v>
      </c>
      <c r="C143" s="76" t="str">
        <f>IF($B143&lt;&gt;"",_xlfn.IFNA(VLOOKUP($B143,'Node Details'!$B:$U,C$1,0),"Check"),"")</f>
        <v>AXY050105-AXY050202</v>
      </c>
      <c r="D143" s="76" t="str">
        <f>IF($B143&lt;&gt;"",_xlfn.IFNA(VLOOKUP($B143,'Node Details'!$B:$U,D$1,0),"Check"),"")</f>
        <v>AXY</v>
      </c>
      <c r="E143" s="76" t="str">
        <f>IF($B143&lt;&gt;"",_xlfn.IFNA(VLOOKUP($B143,'Node Details'!$B:$U,E$1,0),"Check"),"")</f>
        <v>Airtel</v>
      </c>
      <c r="F143" s="78">
        <v>46113</v>
      </c>
      <c r="G143" s="76"/>
      <c r="H143" s="9" t="s">
        <v>22</v>
      </c>
      <c r="I143" s="9">
        <v>2</v>
      </c>
      <c r="J143" s="9">
        <v>42</v>
      </c>
      <c r="K143" s="79">
        <f t="shared" si="19"/>
        <v>84</v>
      </c>
      <c r="L143" s="78">
        <v>46112</v>
      </c>
      <c r="N143" s="85"/>
      <c r="O143" s="86"/>
      <c r="P143" s="83">
        <f t="shared" si="14"/>
        <v>42</v>
      </c>
      <c r="Q143" s="83">
        <f t="shared" si="15"/>
        <v>84</v>
      </c>
      <c r="R143" s="83"/>
      <c r="S143" s="83"/>
      <c r="T143" s="87"/>
      <c r="U143" s="83">
        <f t="shared" si="16"/>
        <v>42</v>
      </c>
      <c r="V143" s="83">
        <f t="shared" si="17"/>
        <v>2</v>
      </c>
      <c r="W143" s="84">
        <f t="shared" si="18"/>
        <v>84</v>
      </c>
      <c r="X143" s="84" t="s">
        <v>181</v>
      </c>
      <c r="Y143" s="24" t="s">
        <v>176</v>
      </c>
    </row>
    <row r="144" spans="1:25" s="24" customFormat="1" ht="11.1" customHeight="1" x14ac:dyDescent="0.2">
      <c r="A144" s="76">
        <f t="shared" si="20"/>
        <v>142</v>
      </c>
      <c r="B144" s="77" t="s">
        <v>263</v>
      </c>
      <c r="C144" s="76" t="str">
        <f>IF($B144&lt;&gt;"",_xlfn.IFNA(VLOOKUP($B144,'Node Details'!$B:$U,C$1,0),"Check"),"")</f>
        <v>0000AXY06-AXY060102</v>
      </c>
      <c r="D144" s="76" t="str">
        <f>IF($B144&lt;&gt;"",_xlfn.IFNA(VLOOKUP($B144,'Node Details'!$B:$U,D$1,0),"Check"),"")</f>
        <v>AXY</v>
      </c>
      <c r="E144" s="76" t="str">
        <f>IF($B144&lt;&gt;"",_xlfn.IFNA(VLOOKUP($B144,'Node Details'!$B:$U,E$1,0),"Check"),"")</f>
        <v>Airtel</v>
      </c>
      <c r="F144" s="78">
        <v>46113</v>
      </c>
      <c r="G144" s="76"/>
      <c r="H144" s="9" t="s">
        <v>22</v>
      </c>
      <c r="I144" s="9">
        <v>2</v>
      </c>
      <c r="J144" s="9">
        <v>42</v>
      </c>
      <c r="K144" s="79">
        <f t="shared" si="19"/>
        <v>84</v>
      </c>
      <c r="L144" s="78">
        <v>46112</v>
      </c>
      <c r="N144" s="85"/>
      <c r="O144" s="86"/>
      <c r="P144" s="83">
        <f t="shared" si="14"/>
        <v>42</v>
      </c>
      <c r="Q144" s="83">
        <f t="shared" si="15"/>
        <v>84</v>
      </c>
      <c r="R144" s="83"/>
      <c r="S144" s="83"/>
      <c r="T144" s="87"/>
      <c r="U144" s="83">
        <f t="shared" si="16"/>
        <v>42</v>
      </c>
      <c r="V144" s="83">
        <f t="shared" si="17"/>
        <v>2</v>
      </c>
      <c r="W144" s="84">
        <f t="shared" si="18"/>
        <v>84</v>
      </c>
      <c r="X144" s="84" t="s">
        <v>181</v>
      </c>
      <c r="Y144" s="24" t="s">
        <v>176</v>
      </c>
    </row>
    <row r="145" spans="1:25" s="24" customFormat="1" ht="11.1" customHeight="1" x14ac:dyDescent="0.2">
      <c r="A145" s="76">
        <f t="shared" si="20"/>
        <v>143</v>
      </c>
      <c r="B145" s="77" t="s">
        <v>264</v>
      </c>
      <c r="C145" s="76" t="str">
        <f>IF($B145&lt;&gt;"",_xlfn.IFNA(VLOOKUP($B145,'Node Details'!$B:$U,C$1,0),"Check"),"")</f>
        <v>0000AXY06-AXY060102</v>
      </c>
      <c r="D145" s="76" t="str">
        <f>IF($B145&lt;&gt;"",_xlfn.IFNA(VLOOKUP($B145,'Node Details'!$B:$U,D$1,0),"Check"),"")</f>
        <v>AXY</v>
      </c>
      <c r="E145" s="76" t="str">
        <f>IF($B145&lt;&gt;"",_xlfn.IFNA(VLOOKUP($B145,'Node Details'!$B:$U,E$1,0),"Check"),"")</f>
        <v>Airtel</v>
      </c>
      <c r="F145" s="78">
        <v>46113</v>
      </c>
      <c r="G145" s="76"/>
      <c r="H145" s="9" t="s">
        <v>22</v>
      </c>
      <c r="I145" s="9">
        <v>2</v>
      </c>
      <c r="J145" s="9">
        <v>42</v>
      </c>
      <c r="K145" s="79">
        <f t="shared" si="19"/>
        <v>84</v>
      </c>
      <c r="L145" s="78">
        <v>46112</v>
      </c>
      <c r="N145" s="85"/>
      <c r="O145" s="86"/>
      <c r="P145" s="83">
        <f t="shared" si="14"/>
        <v>42</v>
      </c>
      <c r="Q145" s="83">
        <f t="shared" si="15"/>
        <v>84</v>
      </c>
      <c r="R145" s="83"/>
      <c r="S145" s="83"/>
      <c r="T145" s="87"/>
      <c r="U145" s="83">
        <f t="shared" si="16"/>
        <v>42</v>
      </c>
      <c r="V145" s="83">
        <f t="shared" si="17"/>
        <v>2</v>
      </c>
      <c r="W145" s="84">
        <f t="shared" si="18"/>
        <v>84</v>
      </c>
      <c r="X145" s="84" t="s">
        <v>181</v>
      </c>
      <c r="Y145" s="24" t="s">
        <v>176</v>
      </c>
    </row>
    <row r="146" spans="1:25" s="24" customFormat="1" ht="11.1" customHeight="1" x14ac:dyDescent="0.2">
      <c r="A146" s="76">
        <f t="shared" si="20"/>
        <v>144</v>
      </c>
      <c r="B146" s="77" t="s">
        <v>265</v>
      </c>
      <c r="C146" s="76" t="str">
        <f>IF($B146&lt;&gt;"",_xlfn.IFNA(VLOOKUP($B146,'Node Details'!$B:$U,C$1,0),"Check"),"")</f>
        <v>0000AXY06-AXY060105</v>
      </c>
      <c r="D146" s="76" t="str">
        <f>IF($B146&lt;&gt;"",_xlfn.IFNA(VLOOKUP($B146,'Node Details'!$B:$U,D$1,0),"Check"),"")</f>
        <v>AXY</v>
      </c>
      <c r="E146" s="76" t="str">
        <f>IF($B146&lt;&gt;"",_xlfn.IFNA(VLOOKUP($B146,'Node Details'!$B:$U,E$1,0),"Check"),"")</f>
        <v>Airtel</v>
      </c>
      <c r="F146" s="78">
        <v>46113</v>
      </c>
      <c r="G146" s="76"/>
      <c r="H146" s="9" t="s">
        <v>22</v>
      </c>
      <c r="I146" s="9">
        <v>2</v>
      </c>
      <c r="J146" s="9">
        <v>42</v>
      </c>
      <c r="K146" s="79">
        <f t="shared" si="19"/>
        <v>84</v>
      </c>
      <c r="L146" s="78">
        <v>46112</v>
      </c>
      <c r="N146" s="85"/>
      <c r="O146" s="86"/>
      <c r="P146" s="83">
        <f t="shared" si="14"/>
        <v>42</v>
      </c>
      <c r="Q146" s="83">
        <f t="shared" si="15"/>
        <v>84</v>
      </c>
      <c r="R146" s="83"/>
      <c r="S146" s="83"/>
      <c r="T146" s="87"/>
      <c r="U146" s="83">
        <f t="shared" si="16"/>
        <v>42</v>
      </c>
      <c r="V146" s="83">
        <f t="shared" si="17"/>
        <v>2</v>
      </c>
      <c r="W146" s="84">
        <f t="shared" si="18"/>
        <v>84</v>
      </c>
      <c r="X146" s="84" t="s">
        <v>181</v>
      </c>
      <c r="Y146" s="24" t="s">
        <v>176</v>
      </c>
    </row>
    <row r="147" spans="1:25" s="24" customFormat="1" ht="11.1" customHeight="1" x14ac:dyDescent="0.2">
      <c r="A147" s="76">
        <f t="shared" si="20"/>
        <v>145</v>
      </c>
      <c r="B147" s="77" t="s">
        <v>266</v>
      </c>
      <c r="C147" s="76" t="str">
        <f>IF($B147&lt;&gt;"",_xlfn.IFNA(VLOOKUP($B147,'Node Details'!$B:$U,C$1,0),"Check"),"")</f>
        <v>0000AXY06-AXY060105</v>
      </c>
      <c r="D147" s="76" t="str">
        <f>IF($B147&lt;&gt;"",_xlfn.IFNA(VLOOKUP($B147,'Node Details'!$B:$U,D$1,0),"Check"),"")</f>
        <v>AXY</v>
      </c>
      <c r="E147" s="76" t="str">
        <f>IF($B147&lt;&gt;"",_xlfn.IFNA(VLOOKUP($B147,'Node Details'!$B:$U,E$1,0),"Check"),"")</f>
        <v>Airtel</v>
      </c>
      <c r="F147" s="78">
        <v>46113</v>
      </c>
      <c r="G147" s="76"/>
      <c r="H147" s="9" t="s">
        <v>22</v>
      </c>
      <c r="I147" s="9">
        <v>2</v>
      </c>
      <c r="J147" s="9">
        <v>42</v>
      </c>
      <c r="K147" s="79">
        <f t="shared" si="19"/>
        <v>84</v>
      </c>
      <c r="L147" s="78">
        <v>46112</v>
      </c>
      <c r="N147" s="85"/>
      <c r="O147" s="86"/>
      <c r="P147" s="83">
        <f t="shared" si="14"/>
        <v>42</v>
      </c>
      <c r="Q147" s="83">
        <f t="shared" si="15"/>
        <v>84</v>
      </c>
      <c r="R147" s="83"/>
      <c r="S147" s="83"/>
      <c r="T147" s="87"/>
      <c r="U147" s="83">
        <f t="shared" si="16"/>
        <v>42</v>
      </c>
      <c r="V147" s="83">
        <f t="shared" si="17"/>
        <v>2</v>
      </c>
      <c r="W147" s="84">
        <f t="shared" si="18"/>
        <v>84</v>
      </c>
      <c r="X147" s="84" t="s">
        <v>181</v>
      </c>
      <c r="Y147" s="24" t="s">
        <v>176</v>
      </c>
    </row>
    <row r="148" spans="1:25" s="24" customFormat="1" ht="11.1" customHeight="1" x14ac:dyDescent="0.2">
      <c r="A148" s="76">
        <f t="shared" si="20"/>
        <v>146</v>
      </c>
      <c r="B148" s="77" t="s">
        <v>267</v>
      </c>
      <c r="C148" s="76" t="str">
        <f>IF($B148&lt;&gt;"",_xlfn.IFNA(VLOOKUP($B148,'Node Details'!$B:$U,C$1,0),"Check"),"")</f>
        <v>0000AXY06-AXY060105</v>
      </c>
      <c r="D148" s="76" t="str">
        <f>IF($B148&lt;&gt;"",_xlfn.IFNA(VLOOKUP($B148,'Node Details'!$B:$U,D$1,0),"Check"),"")</f>
        <v>AXY</v>
      </c>
      <c r="E148" s="76" t="str">
        <f>IF($B148&lt;&gt;"",_xlfn.IFNA(VLOOKUP($B148,'Node Details'!$B:$U,E$1,0),"Check"),"")</f>
        <v>Airtel</v>
      </c>
      <c r="F148" s="78">
        <v>46113</v>
      </c>
      <c r="G148" s="76"/>
      <c r="H148" s="9" t="s">
        <v>22</v>
      </c>
      <c r="I148" s="9">
        <v>2</v>
      </c>
      <c r="J148" s="9">
        <v>42</v>
      </c>
      <c r="K148" s="79">
        <f t="shared" si="19"/>
        <v>84</v>
      </c>
      <c r="L148" s="78">
        <v>46112</v>
      </c>
      <c r="N148" s="85"/>
      <c r="O148" s="86"/>
      <c r="P148" s="83">
        <f t="shared" si="14"/>
        <v>42</v>
      </c>
      <c r="Q148" s="83">
        <f t="shared" si="15"/>
        <v>84</v>
      </c>
      <c r="R148" s="83"/>
      <c r="S148" s="83"/>
      <c r="T148" s="87"/>
      <c r="U148" s="83">
        <f t="shared" si="16"/>
        <v>42</v>
      </c>
      <c r="V148" s="83">
        <f t="shared" si="17"/>
        <v>2</v>
      </c>
      <c r="W148" s="84">
        <f t="shared" si="18"/>
        <v>84</v>
      </c>
      <c r="X148" s="84" t="s">
        <v>181</v>
      </c>
      <c r="Y148" s="24" t="s">
        <v>176</v>
      </c>
    </row>
    <row r="149" spans="1:25" s="24" customFormat="1" ht="11.1" customHeight="1" x14ac:dyDescent="0.2">
      <c r="A149" s="76">
        <f t="shared" si="20"/>
        <v>147</v>
      </c>
      <c r="B149" s="77" t="s">
        <v>268</v>
      </c>
      <c r="C149" s="76" t="str">
        <f>IF($B149&lt;&gt;"",_xlfn.IFNA(VLOOKUP($B149,'Node Details'!$B:$U,C$1,0),"Check"),"")</f>
        <v>0000AXY06-AXY060201</v>
      </c>
      <c r="D149" s="76" t="str">
        <f>IF($B149&lt;&gt;"",_xlfn.IFNA(VLOOKUP($B149,'Node Details'!$B:$U,D$1,0),"Check"),"")</f>
        <v>AXY</v>
      </c>
      <c r="E149" s="76" t="str">
        <f>IF($B149&lt;&gt;"",_xlfn.IFNA(VLOOKUP($B149,'Node Details'!$B:$U,E$1,0),"Check"),"")</f>
        <v>Airtel</v>
      </c>
      <c r="F149" s="78">
        <v>46113</v>
      </c>
      <c r="G149" s="76"/>
      <c r="H149" s="9" t="s">
        <v>22</v>
      </c>
      <c r="I149" s="9">
        <v>2</v>
      </c>
      <c r="J149" s="9">
        <v>42</v>
      </c>
      <c r="K149" s="79">
        <f t="shared" si="19"/>
        <v>84</v>
      </c>
      <c r="L149" s="78">
        <v>46112</v>
      </c>
      <c r="N149" s="85"/>
      <c r="O149" s="86"/>
      <c r="P149" s="83">
        <f t="shared" si="14"/>
        <v>42</v>
      </c>
      <c r="Q149" s="83">
        <f t="shared" si="15"/>
        <v>84</v>
      </c>
      <c r="R149" s="83"/>
      <c r="S149" s="83"/>
      <c r="T149" s="87"/>
      <c r="U149" s="83">
        <f t="shared" si="16"/>
        <v>42</v>
      </c>
      <c r="V149" s="83">
        <f t="shared" si="17"/>
        <v>2</v>
      </c>
      <c r="W149" s="84">
        <f t="shared" si="18"/>
        <v>84</v>
      </c>
      <c r="X149" s="84" t="s">
        <v>181</v>
      </c>
      <c r="Y149" s="24" t="s">
        <v>176</v>
      </c>
    </row>
    <row r="150" spans="1:25" s="24" customFormat="1" ht="11.1" customHeight="1" x14ac:dyDescent="0.2">
      <c r="A150" s="76">
        <f t="shared" si="20"/>
        <v>148</v>
      </c>
      <c r="B150" s="77" t="s">
        <v>269</v>
      </c>
      <c r="C150" s="76" t="str">
        <f>IF($B150&lt;&gt;"",_xlfn.IFNA(VLOOKUP($B150,'Node Details'!$B:$U,C$1,0),"Check"),"")</f>
        <v>0000AXY06-AXY060201</v>
      </c>
      <c r="D150" s="76" t="str">
        <f>IF($B150&lt;&gt;"",_xlfn.IFNA(VLOOKUP($B150,'Node Details'!$B:$U,D$1,0),"Check"),"")</f>
        <v>AXY</v>
      </c>
      <c r="E150" s="76" t="str">
        <f>IF($B150&lt;&gt;"",_xlfn.IFNA(VLOOKUP($B150,'Node Details'!$B:$U,E$1,0),"Check"),"")</f>
        <v>Airtel</v>
      </c>
      <c r="F150" s="78">
        <v>46113</v>
      </c>
      <c r="G150" s="76"/>
      <c r="H150" s="9" t="s">
        <v>22</v>
      </c>
      <c r="I150" s="9">
        <v>2</v>
      </c>
      <c r="J150" s="9">
        <v>42</v>
      </c>
      <c r="K150" s="79">
        <f t="shared" si="19"/>
        <v>84</v>
      </c>
      <c r="L150" s="78">
        <v>46112</v>
      </c>
      <c r="N150" s="85"/>
      <c r="O150" s="86"/>
      <c r="P150" s="83">
        <f t="shared" si="14"/>
        <v>42</v>
      </c>
      <c r="Q150" s="83">
        <f t="shared" si="15"/>
        <v>84</v>
      </c>
      <c r="R150" s="83"/>
      <c r="S150" s="83"/>
      <c r="T150" s="87"/>
      <c r="U150" s="83">
        <f t="shared" si="16"/>
        <v>42</v>
      </c>
      <c r="V150" s="83">
        <f t="shared" si="17"/>
        <v>2</v>
      </c>
      <c r="W150" s="84">
        <f t="shared" si="18"/>
        <v>84</v>
      </c>
      <c r="X150" s="84" t="s">
        <v>181</v>
      </c>
      <c r="Y150" s="24" t="s">
        <v>176</v>
      </c>
    </row>
    <row r="151" spans="1:25" s="24" customFormat="1" ht="11.1" customHeight="1" x14ac:dyDescent="0.2">
      <c r="A151" s="76">
        <f t="shared" si="20"/>
        <v>149</v>
      </c>
      <c r="B151" s="77" t="s">
        <v>270</v>
      </c>
      <c r="C151" s="76" t="str">
        <f>IF($B151&lt;&gt;"",_xlfn.IFNA(VLOOKUP($B151,'Node Details'!$B:$U,C$1,0),"Check"),"")</f>
        <v>0000AXY06-AXY060201</v>
      </c>
      <c r="D151" s="76" t="str">
        <f>IF($B151&lt;&gt;"",_xlfn.IFNA(VLOOKUP($B151,'Node Details'!$B:$U,D$1,0),"Check"),"")</f>
        <v>AXY</v>
      </c>
      <c r="E151" s="76" t="str">
        <f>IF($B151&lt;&gt;"",_xlfn.IFNA(VLOOKUP($B151,'Node Details'!$B:$U,E$1,0),"Check"),"")</f>
        <v>Airtel</v>
      </c>
      <c r="F151" s="78">
        <v>46113</v>
      </c>
      <c r="G151" s="76"/>
      <c r="H151" s="9" t="s">
        <v>22</v>
      </c>
      <c r="I151" s="9">
        <v>2</v>
      </c>
      <c r="J151" s="9">
        <v>42</v>
      </c>
      <c r="K151" s="79">
        <f t="shared" si="19"/>
        <v>84</v>
      </c>
      <c r="L151" s="78">
        <v>46112</v>
      </c>
      <c r="N151" s="85"/>
      <c r="O151" s="86"/>
      <c r="P151" s="83">
        <f t="shared" si="14"/>
        <v>42</v>
      </c>
      <c r="Q151" s="83">
        <f t="shared" si="15"/>
        <v>84</v>
      </c>
      <c r="R151" s="83"/>
      <c r="S151" s="83"/>
      <c r="T151" s="87"/>
      <c r="U151" s="83">
        <f t="shared" si="16"/>
        <v>42</v>
      </c>
      <c r="V151" s="83">
        <f t="shared" si="17"/>
        <v>2</v>
      </c>
      <c r="W151" s="84">
        <f t="shared" si="18"/>
        <v>84</v>
      </c>
      <c r="X151" s="84" t="s">
        <v>181</v>
      </c>
      <c r="Y151" s="24" t="s">
        <v>176</v>
      </c>
    </row>
    <row r="152" spans="1:25" s="24" customFormat="1" ht="11.1" customHeight="1" x14ac:dyDescent="0.2">
      <c r="A152" s="76">
        <f t="shared" si="20"/>
        <v>150</v>
      </c>
      <c r="B152" s="77" t="s">
        <v>271</v>
      </c>
      <c r="C152" s="76" t="str">
        <f>IF($B152&lt;&gt;"",_xlfn.IFNA(VLOOKUP($B152,'Node Details'!$B:$U,C$1,0),"Check"),"")</f>
        <v>0000AXY06-AXY060201</v>
      </c>
      <c r="D152" s="76" t="str">
        <f>IF($B152&lt;&gt;"",_xlfn.IFNA(VLOOKUP($B152,'Node Details'!$B:$U,D$1,0),"Check"),"")</f>
        <v>AXY</v>
      </c>
      <c r="E152" s="76" t="str">
        <f>IF($B152&lt;&gt;"",_xlfn.IFNA(VLOOKUP($B152,'Node Details'!$B:$U,E$1,0),"Check"),"")</f>
        <v>Airtel</v>
      </c>
      <c r="F152" s="78">
        <v>46113</v>
      </c>
      <c r="G152" s="76"/>
      <c r="H152" s="9" t="s">
        <v>22</v>
      </c>
      <c r="I152" s="9">
        <v>2</v>
      </c>
      <c r="J152" s="9">
        <v>42</v>
      </c>
      <c r="K152" s="79">
        <f t="shared" si="19"/>
        <v>84</v>
      </c>
      <c r="L152" s="78">
        <v>46112</v>
      </c>
      <c r="N152" s="85"/>
      <c r="O152" s="86"/>
      <c r="P152" s="83">
        <f t="shared" si="14"/>
        <v>42</v>
      </c>
      <c r="Q152" s="83">
        <f t="shared" si="15"/>
        <v>84</v>
      </c>
      <c r="R152" s="83"/>
      <c r="S152" s="83"/>
      <c r="T152" s="87"/>
      <c r="U152" s="83">
        <f t="shared" si="16"/>
        <v>42</v>
      </c>
      <c r="V152" s="83">
        <f t="shared" si="17"/>
        <v>2</v>
      </c>
      <c r="W152" s="84">
        <f t="shared" si="18"/>
        <v>84</v>
      </c>
      <c r="X152" s="84" t="s">
        <v>181</v>
      </c>
      <c r="Y152" s="24" t="s">
        <v>176</v>
      </c>
    </row>
    <row r="153" spans="1:25" s="24" customFormat="1" ht="11.1" customHeight="1" x14ac:dyDescent="0.2">
      <c r="A153" s="76">
        <f t="shared" si="20"/>
        <v>151</v>
      </c>
      <c r="B153" s="77" t="s">
        <v>273</v>
      </c>
      <c r="C153" s="76" t="str">
        <f>IF($B153&lt;&gt;"",_xlfn.IFNA(VLOOKUP($B153,'Node Details'!$B:$U,C$1,0),"Check"),"")</f>
        <v>0000AXY07-AXY070101</v>
      </c>
      <c r="D153" s="76" t="str">
        <f>IF($B153&lt;&gt;"",_xlfn.IFNA(VLOOKUP($B153,'Node Details'!$B:$U,D$1,0),"Check"),"")</f>
        <v>AXY</v>
      </c>
      <c r="E153" s="76" t="str">
        <f>IF($B153&lt;&gt;"",_xlfn.IFNA(VLOOKUP($B153,'Node Details'!$B:$U,E$1,0),"Check"),"")</f>
        <v>Airtel</v>
      </c>
      <c r="F153" s="78">
        <v>46113</v>
      </c>
      <c r="G153" s="76"/>
      <c r="H153" s="9" t="s">
        <v>22</v>
      </c>
      <c r="I153" s="9">
        <v>2</v>
      </c>
      <c r="J153" s="9">
        <v>42</v>
      </c>
      <c r="K153" s="79">
        <f t="shared" si="19"/>
        <v>84</v>
      </c>
      <c r="L153" s="78">
        <v>46112</v>
      </c>
      <c r="N153" s="85"/>
      <c r="O153" s="86"/>
      <c r="P153" s="83">
        <f t="shared" si="14"/>
        <v>42</v>
      </c>
      <c r="Q153" s="83">
        <f t="shared" si="15"/>
        <v>84</v>
      </c>
      <c r="R153" s="83"/>
      <c r="S153" s="83"/>
      <c r="T153" s="87"/>
      <c r="U153" s="83">
        <f t="shared" si="16"/>
        <v>42</v>
      </c>
      <c r="V153" s="83">
        <f t="shared" si="17"/>
        <v>2</v>
      </c>
      <c r="W153" s="84">
        <f t="shared" si="18"/>
        <v>84</v>
      </c>
      <c r="X153" s="84" t="s">
        <v>181</v>
      </c>
      <c r="Y153" s="24" t="s">
        <v>176</v>
      </c>
    </row>
    <row r="154" spans="1:25" s="24" customFormat="1" ht="11.1" customHeight="1" x14ac:dyDescent="0.2">
      <c r="A154" s="76">
        <f t="shared" si="20"/>
        <v>152</v>
      </c>
      <c r="B154" s="77" t="s">
        <v>274</v>
      </c>
      <c r="C154" s="76" t="str">
        <f>IF($B154&lt;&gt;"",_xlfn.IFNA(VLOOKUP($B154,'Node Details'!$B:$U,C$1,0),"Check"),"")</f>
        <v>0000AXY07-AXY070102</v>
      </c>
      <c r="D154" s="76" t="str">
        <f>IF($B154&lt;&gt;"",_xlfn.IFNA(VLOOKUP($B154,'Node Details'!$B:$U,D$1,0),"Check"),"")</f>
        <v>AXY</v>
      </c>
      <c r="E154" s="76" t="str">
        <f>IF($B154&lt;&gt;"",_xlfn.IFNA(VLOOKUP($B154,'Node Details'!$B:$U,E$1,0),"Check"),"")</f>
        <v>Airtel</v>
      </c>
      <c r="F154" s="78">
        <v>46113</v>
      </c>
      <c r="G154" s="76"/>
      <c r="H154" s="9" t="s">
        <v>22</v>
      </c>
      <c r="I154" s="9">
        <v>2</v>
      </c>
      <c r="J154" s="9">
        <v>42</v>
      </c>
      <c r="K154" s="79">
        <f t="shared" si="19"/>
        <v>84</v>
      </c>
      <c r="L154" s="78">
        <v>46112</v>
      </c>
      <c r="N154" s="85"/>
      <c r="O154" s="86"/>
      <c r="P154" s="83">
        <f t="shared" si="14"/>
        <v>42</v>
      </c>
      <c r="Q154" s="83">
        <f t="shared" si="15"/>
        <v>84</v>
      </c>
      <c r="R154" s="83"/>
      <c r="S154" s="83"/>
      <c r="T154" s="87"/>
      <c r="U154" s="83">
        <f t="shared" si="16"/>
        <v>42</v>
      </c>
      <c r="V154" s="83">
        <f t="shared" si="17"/>
        <v>2</v>
      </c>
      <c r="W154" s="84">
        <f t="shared" si="18"/>
        <v>84</v>
      </c>
      <c r="X154" s="84" t="s">
        <v>181</v>
      </c>
      <c r="Y154" s="24" t="s">
        <v>176</v>
      </c>
    </row>
    <row r="155" spans="1:25" s="24" customFormat="1" ht="11.1" customHeight="1" x14ac:dyDescent="0.2">
      <c r="A155" s="76">
        <f t="shared" si="20"/>
        <v>153</v>
      </c>
      <c r="B155" s="77" t="s">
        <v>275</v>
      </c>
      <c r="C155" s="76" t="str">
        <f>IF($B155&lt;&gt;"",_xlfn.IFNA(VLOOKUP($B155,'Node Details'!$B:$U,C$1,0),"Check"),"")</f>
        <v>0000AXY07-AXY070105</v>
      </c>
      <c r="D155" s="76" t="str">
        <f>IF($B155&lt;&gt;"",_xlfn.IFNA(VLOOKUP($B155,'Node Details'!$B:$U,D$1,0),"Check"),"")</f>
        <v>AXY</v>
      </c>
      <c r="E155" s="76" t="str">
        <f>IF($B155&lt;&gt;"",_xlfn.IFNA(VLOOKUP($B155,'Node Details'!$B:$U,E$1,0),"Check"),"")</f>
        <v>Airtel</v>
      </c>
      <c r="F155" s="78">
        <v>46113</v>
      </c>
      <c r="G155" s="76"/>
      <c r="H155" s="9" t="s">
        <v>22</v>
      </c>
      <c r="I155" s="9">
        <v>2</v>
      </c>
      <c r="J155" s="9">
        <v>42</v>
      </c>
      <c r="K155" s="79">
        <f t="shared" si="19"/>
        <v>84</v>
      </c>
      <c r="L155" s="78">
        <v>46112</v>
      </c>
      <c r="N155" s="85"/>
      <c r="O155" s="86"/>
      <c r="P155" s="83">
        <f t="shared" si="14"/>
        <v>42</v>
      </c>
      <c r="Q155" s="83">
        <f t="shared" si="15"/>
        <v>84</v>
      </c>
      <c r="R155" s="83"/>
      <c r="S155" s="83"/>
      <c r="T155" s="87"/>
      <c r="U155" s="83">
        <f t="shared" si="16"/>
        <v>42</v>
      </c>
      <c r="V155" s="83">
        <f t="shared" si="17"/>
        <v>2</v>
      </c>
      <c r="W155" s="84">
        <f t="shared" si="18"/>
        <v>84</v>
      </c>
      <c r="X155" s="84" t="s">
        <v>181</v>
      </c>
      <c r="Y155" s="24" t="s">
        <v>176</v>
      </c>
    </row>
    <row r="156" spans="1:25" s="24" customFormat="1" ht="11.1" customHeight="1" x14ac:dyDescent="0.2">
      <c r="A156" s="76">
        <f t="shared" si="20"/>
        <v>154</v>
      </c>
      <c r="B156" s="77" t="s">
        <v>276</v>
      </c>
      <c r="C156" s="76" t="str">
        <f>IF($B156&lt;&gt;"",_xlfn.IFNA(VLOOKUP($B156,'Node Details'!$B:$U,C$1,0),"Check"),"")</f>
        <v>0000AXY07-AXY070105</v>
      </c>
      <c r="D156" s="76" t="str">
        <f>IF($B156&lt;&gt;"",_xlfn.IFNA(VLOOKUP($B156,'Node Details'!$B:$U,D$1,0),"Check"),"")</f>
        <v>AXY</v>
      </c>
      <c r="E156" s="76" t="str">
        <f>IF($B156&lt;&gt;"",_xlfn.IFNA(VLOOKUP($B156,'Node Details'!$B:$U,E$1,0),"Check"),"")</f>
        <v>Airtel</v>
      </c>
      <c r="F156" s="78">
        <v>46113</v>
      </c>
      <c r="G156" s="76"/>
      <c r="H156" s="9" t="s">
        <v>22</v>
      </c>
      <c r="I156" s="9">
        <v>2</v>
      </c>
      <c r="J156" s="9">
        <v>42</v>
      </c>
      <c r="K156" s="79">
        <f t="shared" si="19"/>
        <v>84</v>
      </c>
      <c r="L156" s="78">
        <v>46112</v>
      </c>
      <c r="N156" s="85"/>
      <c r="O156" s="86"/>
      <c r="P156" s="83">
        <f t="shared" si="14"/>
        <v>42</v>
      </c>
      <c r="Q156" s="83">
        <f t="shared" si="15"/>
        <v>84</v>
      </c>
      <c r="R156" s="83"/>
      <c r="S156" s="83"/>
      <c r="T156" s="87"/>
      <c r="U156" s="83">
        <f t="shared" si="16"/>
        <v>42</v>
      </c>
      <c r="V156" s="83">
        <f t="shared" si="17"/>
        <v>2</v>
      </c>
      <c r="W156" s="84">
        <f t="shared" si="18"/>
        <v>84</v>
      </c>
      <c r="X156" s="84" t="s">
        <v>181</v>
      </c>
      <c r="Y156" s="24" t="s">
        <v>176</v>
      </c>
    </row>
    <row r="157" spans="1:25" s="24" customFormat="1" ht="11.1" customHeight="1" x14ac:dyDescent="0.2">
      <c r="A157" s="76">
        <f t="shared" si="20"/>
        <v>155</v>
      </c>
      <c r="B157" s="77" t="s">
        <v>277</v>
      </c>
      <c r="C157" s="76" t="str">
        <f>IF($B157&lt;&gt;"",_xlfn.IFNA(VLOOKUP($B157,'Node Details'!$B:$U,C$1,0),"Check"),"")</f>
        <v>0000AXY07-AXY070105</v>
      </c>
      <c r="D157" s="76" t="str">
        <f>IF($B157&lt;&gt;"",_xlfn.IFNA(VLOOKUP($B157,'Node Details'!$B:$U,D$1,0),"Check"),"")</f>
        <v>AXY</v>
      </c>
      <c r="E157" s="76" t="str">
        <f>IF($B157&lt;&gt;"",_xlfn.IFNA(VLOOKUP($B157,'Node Details'!$B:$U,E$1,0),"Check"),"")</f>
        <v>Airtel</v>
      </c>
      <c r="F157" s="78">
        <v>46113</v>
      </c>
      <c r="G157" s="76"/>
      <c r="H157" s="9" t="s">
        <v>22</v>
      </c>
      <c r="I157" s="9">
        <v>2</v>
      </c>
      <c r="J157" s="9">
        <v>42</v>
      </c>
      <c r="K157" s="79">
        <f t="shared" si="19"/>
        <v>84</v>
      </c>
      <c r="L157" s="78">
        <v>46112</v>
      </c>
      <c r="N157" s="85"/>
      <c r="O157" s="86"/>
      <c r="P157" s="83">
        <f t="shared" si="14"/>
        <v>42</v>
      </c>
      <c r="Q157" s="83">
        <f t="shared" si="15"/>
        <v>84</v>
      </c>
      <c r="R157" s="83"/>
      <c r="S157" s="83"/>
      <c r="T157" s="87"/>
      <c r="U157" s="83">
        <f t="shared" si="16"/>
        <v>42</v>
      </c>
      <c r="V157" s="83">
        <f t="shared" si="17"/>
        <v>2</v>
      </c>
      <c r="W157" s="84">
        <f t="shared" si="18"/>
        <v>84</v>
      </c>
      <c r="X157" s="84" t="s">
        <v>181</v>
      </c>
      <c r="Y157" s="24" t="s">
        <v>176</v>
      </c>
    </row>
    <row r="158" spans="1:25" s="24" customFormat="1" ht="11.1" customHeight="1" x14ac:dyDescent="0.2">
      <c r="A158" s="76">
        <f t="shared" si="20"/>
        <v>156</v>
      </c>
      <c r="B158" s="77" t="s">
        <v>279</v>
      </c>
      <c r="C158" s="76" t="str">
        <f>IF($B158&lt;&gt;"",_xlfn.IFNA(VLOOKUP($B158,'Node Details'!$B:$U,C$1,0),"Check"),"")</f>
        <v>0000AXY08-AXY080104</v>
      </c>
      <c r="D158" s="76" t="str">
        <f>IF($B158&lt;&gt;"",_xlfn.IFNA(VLOOKUP($B158,'Node Details'!$B:$U,D$1,0),"Check"),"")</f>
        <v>AXY</v>
      </c>
      <c r="E158" s="76" t="str">
        <f>IF($B158&lt;&gt;"",_xlfn.IFNA(VLOOKUP($B158,'Node Details'!$B:$U,E$1,0),"Check"),"")</f>
        <v>Airtel</v>
      </c>
      <c r="F158" s="78">
        <v>46113</v>
      </c>
      <c r="G158" s="76"/>
      <c r="H158" s="9" t="s">
        <v>22</v>
      </c>
      <c r="I158" s="9">
        <v>2</v>
      </c>
      <c r="J158" s="9">
        <v>42</v>
      </c>
      <c r="K158" s="79">
        <f t="shared" si="19"/>
        <v>84</v>
      </c>
      <c r="L158" s="78">
        <v>46112</v>
      </c>
      <c r="N158" s="85"/>
      <c r="O158" s="86"/>
      <c r="P158" s="83">
        <f t="shared" si="14"/>
        <v>42</v>
      </c>
      <c r="Q158" s="83">
        <f t="shared" si="15"/>
        <v>84</v>
      </c>
      <c r="R158" s="83"/>
      <c r="S158" s="83"/>
      <c r="T158" s="87"/>
      <c r="U158" s="83">
        <f t="shared" si="16"/>
        <v>42</v>
      </c>
      <c r="V158" s="83">
        <f t="shared" si="17"/>
        <v>2</v>
      </c>
      <c r="W158" s="84">
        <f t="shared" si="18"/>
        <v>84</v>
      </c>
      <c r="X158" s="84" t="s">
        <v>181</v>
      </c>
      <c r="Y158" s="24" t="s">
        <v>176</v>
      </c>
    </row>
    <row r="159" spans="1:25" s="24" customFormat="1" ht="11.1" customHeight="1" x14ac:dyDescent="0.2">
      <c r="A159" s="76">
        <f t="shared" si="20"/>
        <v>157</v>
      </c>
      <c r="B159" s="77" t="s">
        <v>280</v>
      </c>
      <c r="C159" s="76" t="str">
        <f>IF($B159&lt;&gt;"",_xlfn.IFNA(VLOOKUP($B159,'Node Details'!$B:$U,C$1,0),"Check"),"")</f>
        <v>0000AXY08-AXY080103</v>
      </c>
      <c r="D159" s="76" t="str">
        <f>IF($B159&lt;&gt;"",_xlfn.IFNA(VLOOKUP($B159,'Node Details'!$B:$U,D$1,0),"Check"),"")</f>
        <v>AXY</v>
      </c>
      <c r="E159" s="76" t="str">
        <f>IF($B159&lt;&gt;"",_xlfn.IFNA(VLOOKUP($B159,'Node Details'!$B:$U,E$1,0),"Check"),"")</f>
        <v>Airtel</v>
      </c>
      <c r="F159" s="78">
        <v>46113</v>
      </c>
      <c r="G159" s="76"/>
      <c r="H159" s="9" t="s">
        <v>22</v>
      </c>
      <c r="I159" s="9">
        <v>2</v>
      </c>
      <c r="J159" s="9">
        <v>42</v>
      </c>
      <c r="K159" s="79">
        <f t="shared" si="19"/>
        <v>84</v>
      </c>
      <c r="L159" s="78">
        <v>46112</v>
      </c>
      <c r="N159" s="85"/>
      <c r="O159" s="86"/>
      <c r="P159" s="83">
        <f t="shared" si="14"/>
        <v>42</v>
      </c>
      <c r="Q159" s="83">
        <f t="shared" si="15"/>
        <v>84</v>
      </c>
      <c r="R159" s="83"/>
      <c r="S159" s="83"/>
      <c r="T159" s="87"/>
      <c r="U159" s="83">
        <f t="shared" si="16"/>
        <v>42</v>
      </c>
      <c r="V159" s="83">
        <f t="shared" si="17"/>
        <v>2</v>
      </c>
      <c r="W159" s="84">
        <f t="shared" si="18"/>
        <v>84</v>
      </c>
      <c r="X159" s="84" t="s">
        <v>181</v>
      </c>
      <c r="Y159" s="24" t="s">
        <v>176</v>
      </c>
    </row>
    <row r="160" spans="1:25" s="24" customFormat="1" ht="11.1" customHeight="1" x14ac:dyDescent="0.2">
      <c r="A160" s="76">
        <f t="shared" si="20"/>
        <v>158</v>
      </c>
      <c r="B160" s="77" t="s">
        <v>281</v>
      </c>
      <c r="C160" s="76" t="str">
        <f>IF($B160&lt;&gt;"",_xlfn.IFNA(VLOOKUP($B160,'Node Details'!$B:$U,C$1,0),"Check"),"")</f>
        <v>0000AXY08-AXY080103</v>
      </c>
      <c r="D160" s="76" t="str">
        <f>IF($B160&lt;&gt;"",_xlfn.IFNA(VLOOKUP($B160,'Node Details'!$B:$U,D$1,0),"Check"),"")</f>
        <v>AXY</v>
      </c>
      <c r="E160" s="76" t="str">
        <f>IF($B160&lt;&gt;"",_xlfn.IFNA(VLOOKUP($B160,'Node Details'!$B:$U,E$1,0),"Check"),"")</f>
        <v>Airtel</v>
      </c>
      <c r="F160" s="78">
        <v>46113</v>
      </c>
      <c r="G160" s="76"/>
      <c r="H160" s="9" t="s">
        <v>22</v>
      </c>
      <c r="I160" s="9">
        <v>2</v>
      </c>
      <c r="J160" s="9">
        <v>42</v>
      </c>
      <c r="K160" s="79">
        <f t="shared" si="19"/>
        <v>84</v>
      </c>
      <c r="L160" s="78">
        <v>46112</v>
      </c>
      <c r="N160" s="85"/>
      <c r="O160" s="86"/>
      <c r="P160" s="83">
        <f t="shared" si="14"/>
        <v>42</v>
      </c>
      <c r="Q160" s="83">
        <f t="shared" si="15"/>
        <v>84</v>
      </c>
      <c r="R160" s="83"/>
      <c r="S160" s="83"/>
      <c r="T160" s="87"/>
      <c r="U160" s="83">
        <f t="shared" si="16"/>
        <v>42</v>
      </c>
      <c r="V160" s="83">
        <f t="shared" si="17"/>
        <v>2</v>
      </c>
      <c r="W160" s="84">
        <f t="shared" si="18"/>
        <v>84</v>
      </c>
      <c r="X160" s="84" t="s">
        <v>181</v>
      </c>
      <c r="Y160" s="24" t="s">
        <v>176</v>
      </c>
    </row>
    <row r="161" spans="1:25" s="24" customFormat="1" ht="11.1" customHeight="1" x14ac:dyDescent="0.2">
      <c r="A161" s="76">
        <f t="shared" si="20"/>
        <v>159</v>
      </c>
      <c r="B161" s="77" t="s">
        <v>282</v>
      </c>
      <c r="C161" s="76" t="str">
        <f>IF($B161&lt;&gt;"",_xlfn.IFNA(VLOOKUP($B161,'Node Details'!$B:$U,C$1,0),"Check"),"")</f>
        <v>0000AXY08-AXY080103</v>
      </c>
      <c r="D161" s="76" t="str">
        <f>IF($B161&lt;&gt;"",_xlfn.IFNA(VLOOKUP($B161,'Node Details'!$B:$U,D$1,0),"Check"),"")</f>
        <v>AXY</v>
      </c>
      <c r="E161" s="76" t="str">
        <f>IF($B161&lt;&gt;"",_xlfn.IFNA(VLOOKUP($B161,'Node Details'!$B:$U,E$1,0),"Check"),"")</f>
        <v>Airtel</v>
      </c>
      <c r="F161" s="78">
        <v>46113</v>
      </c>
      <c r="G161" s="76"/>
      <c r="H161" s="9" t="s">
        <v>22</v>
      </c>
      <c r="I161" s="9">
        <v>2</v>
      </c>
      <c r="J161" s="9">
        <v>42</v>
      </c>
      <c r="K161" s="79">
        <f t="shared" si="19"/>
        <v>84</v>
      </c>
      <c r="L161" s="78">
        <v>46112</v>
      </c>
      <c r="N161" s="85"/>
      <c r="O161" s="86"/>
      <c r="P161" s="83">
        <f t="shared" si="14"/>
        <v>42</v>
      </c>
      <c r="Q161" s="83">
        <f t="shared" si="15"/>
        <v>84</v>
      </c>
      <c r="R161" s="83"/>
      <c r="S161" s="83"/>
      <c r="T161" s="87"/>
      <c r="U161" s="83">
        <f t="shared" si="16"/>
        <v>42</v>
      </c>
      <c r="V161" s="83">
        <f t="shared" si="17"/>
        <v>2</v>
      </c>
      <c r="W161" s="84">
        <f t="shared" si="18"/>
        <v>84</v>
      </c>
      <c r="X161" s="84" t="s">
        <v>181</v>
      </c>
      <c r="Y161" s="24" t="s">
        <v>176</v>
      </c>
    </row>
    <row r="162" spans="1:25" s="24" customFormat="1" ht="11.1" customHeight="1" x14ac:dyDescent="0.2">
      <c r="A162" s="76">
        <f t="shared" si="20"/>
        <v>160</v>
      </c>
      <c r="B162" s="77" t="s">
        <v>283</v>
      </c>
      <c r="C162" s="76" t="str">
        <f>IF($B162&lt;&gt;"",_xlfn.IFNA(VLOOKUP($B162,'Node Details'!$B:$U,C$1,0),"Check"),"")</f>
        <v>0000AXY08-AXY080105</v>
      </c>
      <c r="D162" s="76" t="str">
        <f>IF($B162&lt;&gt;"",_xlfn.IFNA(VLOOKUP($B162,'Node Details'!$B:$U,D$1,0),"Check"),"")</f>
        <v>AXY</v>
      </c>
      <c r="E162" s="76" t="str">
        <f>IF($B162&lt;&gt;"",_xlfn.IFNA(VLOOKUP($B162,'Node Details'!$B:$U,E$1,0),"Check"),"")</f>
        <v>Airtel</v>
      </c>
      <c r="F162" s="78">
        <v>46113</v>
      </c>
      <c r="G162" s="76"/>
      <c r="H162" s="9" t="s">
        <v>22</v>
      </c>
      <c r="I162" s="9">
        <v>2</v>
      </c>
      <c r="J162" s="9">
        <v>42</v>
      </c>
      <c r="K162" s="79">
        <f t="shared" si="19"/>
        <v>84</v>
      </c>
      <c r="L162" s="78">
        <v>46112</v>
      </c>
      <c r="N162" s="85"/>
      <c r="O162" s="86"/>
      <c r="P162" s="83">
        <f t="shared" si="14"/>
        <v>42</v>
      </c>
      <c r="Q162" s="83">
        <f t="shared" si="15"/>
        <v>84</v>
      </c>
      <c r="R162" s="83"/>
      <c r="S162" s="83"/>
      <c r="T162" s="87"/>
      <c r="U162" s="83">
        <f t="shared" si="16"/>
        <v>42</v>
      </c>
      <c r="V162" s="83">
        <f t="shared" si="17"/>
        <v>2</v>
      </c>
      <c r="W162" s="84">
        <f t="shared" si="18"/>
        <v>84</v>
      </c>
      <c r="X162" s="84" t="s">
        <v>181</v>
      </c>
      <c r="Y162" s="24" t="s">
        <v>176</v>
      </c>
    </row>
    <row r="163" spans="1:25" s="24" customFormat="1" ht="11.1" customHeight="1" x14ac:dyDescent="0.2">
      <c r="A163" s="76">
        <f t="shared" si="20"/>
        <v>161</v>
      </c>
      <c r="B163" s="77" t="s">
        <v>284</v>
      </c>
      <c r="C163" s="76" t="str">
        <f>IF($B163&lt;&gt;"",_xlfn.IFNA(VLOOKUP($B163,'Node Details'!$B:$U,C$1,0),"Check"),"")</f>
        <v>0000AXY08-AXY080106</v>
      </c>
      <c r="D163" s="76" t="str">
        <f>IF($B163&lt;&gt;"",_xlfn.IFNA(VLOOKUP($B163,'Node Details'!$B:$U,D$1,0),"Check"),"")</f>
        <v>AXY</v>
      </c>
      <c r="E163" s="76" t="str">
        <f>IF($B163&lt;&gt;"",_xlfn.IFNA(VLOOKUP($B163,'Node Details'!$B:$U,E$1,0),"Check"),"")</f>
        <v>Airtel</v>
      </c>
      <c r="F163" s="78">
        <v>46113</v>
      </c>
      <c r="G163" s="76"/>
      <c r="H163" s="9" t="s">
        <v>22</v>
      </c>
      <c r="I163" s="9">
        <v>2</v>
      </c>
      <c r="J163" s="9">
        <v>42</v>
      </c>
      <c r="K163" s="79">
        <f t="shared" si="19"/>
        <v>84</v>
      </c>
      <c r="L163" s="78">
        <v>46112</v>
      </c>
      <c r="N163" s="85"/>
      <c r="O163" s="86"/>
      <c r="P163" s="83">
        <f t="shared" si="14"/>
        <v>42</v>
      </c>
      <c r="Q163" s="83">
        <f t="shared" si="15"/>
        <v>84</v>
      </c>
      <c r="R163" s="83"/>
      <c r="S163" s="83"/>
      <c r="T163" s="87"/>
      <c r="U163" s="83">
        <f t="shared" si="16"/>
        <v>42</v>
      </c>
      <c r="V163" s="83">
        <f t="shared" si="17"/>
        <v>2</v>
      </c>
      <c r="W163" s="84">
        <f t="shared" si="18"/>
        <v>84</v>
      </c>
      <c r="X163" s="84" t="s">
        <v>181</v>
      </c>
      <c r="Y163" s="24" t="s">
        <v>176</v>
      </c>
    </row>
    <row r="164" spans="1:25" s="24" customFormat="1" ht="11.1" customHeight="1" x14ac:dyDescent="0.2">
      <c r="A164" s="76">
        <f t="shared" si="20"/>
        <v>162</v>
      </c>
      <c r="B164" s="77" t="s">
        <v>285</v>
      </c>
      <c r="C164" s="76" t="str">
        <f>IF($B164&lt;&gt;"",_xlfn.IFNA(VLOOKUP($B164,'Node Details'!$B:$U,C$1,0),"Check"),"")</f>
        <v>AXY080106-AXY080203</v>
      </c>
      <c r="D164" s="76" t="str">
        <f>IF($B164&lt;&gt;"",_xlfn.IFNA(VLOOKUP($B164,'Node Details'!$B:$U,D$1,0),"Check"),"")</f>
        <v>AXY</v>
      </c>
      <c r="E164" s="76" t="str">
        <f>IF($B164&lt;&gt;"",_xlfn.IFNA(VLOOKUP($B164,'Node Details'!$B:$U,E$1,0),"Check"),"")</f>
        <v>Airtel</v>
      </c>
      <c r="F164" s="78">
        <v>46113</v>
      </c>
      <c r="G164" s="76"/>
      <c r="H164" s="9" t="s">
        <v>22</v>
      </c>
      <c r="I164" s="9">
        <v>2</v>
      </c>
      <c r="J164" s="9">
        <v>42</v>
      </c>
      <c r="K164" s="79">
        <f t="shared" si="19"/>
        <v>84</v>
      </c>
      <c r="L164" s="78">
        <v>46112</v>
      </c>
      <c r="N164" s="85"/>
      <c r="O164" s="86"/>
      <c r="P164" s="83">
        <f t="shared" si="14"/>
        <v>42</v>
      </c>
      <c r="Q164" s="83">
        <f t="shared" si="15"/>
        <v>84</v>
      </c>
      <c r="R164" s="83"/>
      <c r="S164" s="83"/>
      <c r="T164" s="87"/>
      <c r="U164" s="83">
        <f t="shared" si="16"/>
        <v>42</v>
      </c>
      <c r="V164" s="83">
        <f t="shared" si="17"/>
        <v>2</v>
      </c>
      <c r="W164" s="84">
        <f t="shared" si="18"/>
        <v>84</v>
      </c>
      <c r="X164" s="84" t="s">
        <v>181</v>
      </c>
      <c r="Y164" s="24" t="s">
        <v>176</v>
      </c>
    </row>
    <row r="165" spans="1:25" s="24" customFormat="1" ht="11.1" customHeight="1" x14ac:dyDescent="0.2">
      <c r="A165" s="76">
        <f t="shared" si="20"/>
        <v>163</v>
      </c>
      <c r="B165" s="77" t="s">
        <v>286</v>
      </c>
      <c r="C165" s="76" t="str">
        <f>IF($B165&lt;&gt;"",_xlfn.IFNA(VLOOKUP($B165,'Node Details'!$B:$U,C$1,0),"Check"),"")</f>
        <v>AXY080106-AXY080203</v>
      </c>
      <c r="D165" s="76" t="str">
        <f>IF($B165&lt;&gt;"",_xlfn.IFNA(VLOOKUP($B165,'Node Details'!$B:$U,D$1,0),"Check"),"")</f>
        <v>AXY</v>
      </c>
      <c r="E165" s="76" t="str">
        <f>IF($B165&lt;&gt;"",_xlfn.IFNA(VLOOKUP($B165,'Node Details'!$B:$U,E$1,0),"Check"),"")</f>
        <v>Airtel</v>
      </c>
      <c r="F165" s="78">
        <v>46113</v>
      </c>
      <c r="G165" s="76"/>
      <c r="H165" s="9" t="s">
        <v>22</v>
      </c>
      <c r="I165" s="9">
        <v>2</v>
      </c>
      <c r="J165" s="9">
        <v>42</v>
      </c>
      <c r="K165" s="79">
        <f t="shared" si="19"/>
        <v>84</v>
      </c>
      <c r="L165" s="78">
        <v>46112</v>
      </c>
      <c r="N165" s="85"/>
      <c r="O165" s="86"/>
      <c r="P165" s="83">
        <f t="shared" si="14"/>
        <v>42</v>
      </c>
      <c r="Q165" s="83">
        <f t="shared" si="15"/>
        <v>84</v>
      </c>
      <c r="R165" s="83"/>
      <c r="S165" s="83"/>
      <c r="T165" s="87"/>
      <c r="U165" s="83">
        <f t="shared" si="16"/>
        <v>42</v>
      </c>
      <c r="V165" s="83">
        <f t="shared" si="17"/>
        <v>2</v>
      </c>
      <c r="W165" s="84">
        <f t="shared" si="18"/>
        <v>84</v>
      </c>
      <c r="X165" s="84" t="s">
        <v>181</v>
      </c>
      <c r="Y165" s="24" t="s">
        <v>176</v>
      </c>
    </row>
    <row r="166" spans="1:25" s="24" customFormat="1" ht="11.1" customHeight="1" x14ac:dyDescent="0.2">
      <c r="A166" s="76">
        <f t="shared" si="20"/>
        <v>164</v>
      </c>
      <c r="B166" s="77" t="s">
        <v>287</v>
      </c>
      <c r="C166" s="76" t="str">
        <f>IF($B166&lt;&gt;"",_xlfn.IFNA(VLOOKUP($B166,'Node Details'!$B:$U,C$1,0),"Check"),"")</f>
        <v>AXY080106-AXY080201</v>
      </c>
      <c r="D166" s="76" t="str">
        <f>IF($B166&lt;&gt;"",_xlfn.IFNA(VLOOKUP($B166,'Node Details'!$B:$U,D$1,0),"Check"),"")</f>
        <v>AXY</v>
      </c>
      <c r="E166" s="76" t="str">
        <f>IF($B166&lt;&gt;"",_xlfn.IFNA(VLOOKUP($B166,'Node Details'!$B:$U,E$1,0),"Check"),"")</f>
        <v>Airtel</v>
      </c>
      <c r="F166" s="78">
        <v>46113</v>
      </c>
      <c r="G166" s="76"/>
      <c r="H166" s="9" t="s">
        <v>22</v>
      </c>
      <c r="I166" s="9">
        <v>2</v>
      </c>
      <c r="J166" s="9">
        <v>42</v>
      </c>
      <c r="K166" s="79">
        <f t="shared" si="19"/>
        <v>84</v>
      </c>
      <c r="L166" s="78">
        <v>46112</v>
      </c>
      <c r="N166" s="85"/>
      <c r="O166" s="86"/>
      <c r="P166" s="83">
        <f t="shared" si="14"/>
        <v>42</v>
      </c>
      <c r="Q166" s="83">
        <f t="shared" si="15"/>
        <v>84</v>
      </c>
      <c r="R166" s="83"/>
      <c r="S166" s="83"/>
      <c r="T166" s="87"/>
      <c r="U166" s="83">
        <f t="shared" si="16"/>
        <v>42</v>
      </c>
      <c r="V166" s="83">
        <f t="shared" si="17"/>
        <v>2</v>
      </c>
      <c r="W166" s="84">
        <f t="shared" si="18"/>
        <v>84</v>
      </c>
      <c r="X166" s="84" t="s">
        <v>181</v>
      </c>
      <c r="Y166" s="24" t="s">
        <v>176</v>
      </c>
    </row>
    <row r="167" spans="1:25" s="24" customFormat="1" ht="11.1" customHeight="1" x14ac:dyDescent="0.2">
      <c r="A167" s="76">
        <f t="shared" si="20"/>
        <v>165</v>
      </c>
      <c r="B167" s="77" t="s">
        <v>288</v>
      </c>
      <c r="C167" s="76" t="str">
        <f>IF($B167&lt;&gt;"",_xlfn.IFNA(VLOOKUP($B167,'Node Details'!$B:$U,C$1,0),"Check"),"")</f>
        <v>AXY080106-AXY080201</v>
      </c>
      <c r="D167" s="76" t="str">
        <f>IF($B167&lt;&gt;"",_xlfn.IFNA(VLOOKUP($B167,'Node Details'!$B:$U,D$1,0),"Check"),"")</f>
        <v>AXY</v>
      </c>
      <c r="E167" s="76" t="str">
        <f>IF($B167&lt;&gt;"",_xlfn.IFNA(VLOOKUP($B167,'Node Details'!$B:$U,E$1,0),"Check"),"")</f>
        <v>Airtel</v>
      </c>
      <c r="F167" s="78">
        <v>46113</v>
      </c>
      <c r="G167" s="76"/>
      <c r="H167" s="9" t="s">
        <v>22</v>
      </c>
      <c r="I167" s="9">
        <v>2</v>
      </c>
      <c r="J167" s="9">
        <v>42</v>
      </c>
      <c r="K167" s="79">
        <f t="shared" si="19"/>
        <v>84</v>
      </c>
      <c r="L167" s="78">
        <v>46112</v>
      </c>
      <c r="N167" s="85"/>
      <c r="O167" s="86"/>
      <c r="P167" s="83">
        <f t="shared" si="14"/>
        <v>42</v>
      </c>
      <c r="Q167" s="83">
        <f t="shared" si="15"/>
        <v>84</v>
      </c>
      <c r="R167" s="83"/>
      <c r="S167" s="83"/>
      <c r="T167" s="87"/>
      <c r="U167" s="83">
        <f t="shared" si="16"/>
        <v>42</v>
      </c>
      <c r="V167" s="83">
        <f t="shared" si="17"/>
        <v>2</v>
      </c>
      <c r="W167" s="84">
        <f t="shared" si="18"/>
        <v>84</v>
      </c>
      <c r="X167" s="84" t="s">
        <v>181</v>
      </c>
      <c r="Y167" s="24" t="s">
        <v>176</v>
      </c>
    </row>
    <row r="168" spans="1:25" s="24" customFormat="1" ht="11.1" customHeight="1" x14ac:dyDescent="0.2">
      <c r="A168" s="76">
        <f t="shared" si="20"/>
        <v>166</v>
      </c>
      <c r="B168" s="77" t="s">
        <v>290</v>
      </c>
      <c r="C168" s="76" t="str">
        <f>IF($B168&lt;&gt;"",_xlfn.IFNA(VLOOKUP($B168,'Node Details'!$B:$U,C$1,0),"Check"),"")</f>
        <v>0000AXY09-AXY090101</v>
      </c>
      <c r="D168" s="76" t="str">
        <f>IF($B168&lt;&gt;"",_xlfn.IFNA(VLOOKUP($B168,'Node Details'!$B:$U,D$1,0),"Check"),"")</f>
        <v>AXY</v>
      </c>
      <c r="E168" s="76" t="str">
        <f>IF($B168&lt;&gt;"",_xlfn.IFNA(VLOOKUP($B168,'Node Details'!$B:$U,E$1,0),"Check"),"")</f>
        <v>Airtel</v>
      </c>
      <c r="F168" s="78">
        <v>46113</v>
      </c>
      <c r="G168" s="76"/>
      <c r="H168" s="9" t="s">
        <v>22</v>
      </c>
      <c r="I168" s="9">
        <v>2</v>
      </c>
      <c r="J168" s="9">
        <v>42</v>
      </c>
      <c r="K168" s="79">
        <f t="shared" si="19"/>
        <v>84</v>
      </c>
      <c r="L168" s="78">
        <v>46112</v>
      </c>
      <c r="N168" s="85"/>
      <c r="O168" s="86"/>
      <c r="P168" s="83">
        <f t="shared" si="14"/>
        <v>42</v>
      </c>
      <c r="Q168" s="83">
        <f t="shared" si="15"/>
        <v>84</v>
      </c>
      <c r="R168" s="83"/>
      <c r="S168" s="83"/>
      <c r="T168" s="87"/>
      <c r="U168" s="83">
        <f t="shared" si="16"/>
        <v>42</v>
      </c>
      <c r="V168" s="83">
        <f t="shared" si="17"/>
        <v>2</v>
      </c>
      <c r="W168" s="84">
        <f t="shared" si="18"/>
        <v>84</v>
      </c>
      <c r="X168" s="84" t="s">
        <v>181</v>
      </c>
      <c r="Y168" s="24" t="s">
        <v>176</v>
      </c>
    </row>
    <row r="169" spans="1:25" s="24" customFormat="1" ht="11.1" customHeight="1" x14ac:dyDescent="0.2">
      <c r="A169" s="76">
        <f t="shared" si="20"/>
        <v>167</v>
      </c>
      <c r="B169" s="77" t="s">
        <v>291</v>
      </c>
      <c r="C169" s="76" t="str">
        <f>IF($B169&lt;&gt;"",_xlfn.IFNA(VLOOKUP($B169,'Node Details'!$B:$U,C$1,0),"Check"),"")</f>
        <v>0000AXY09-AXY090105</v>
      </c>
      <c r="D169" s="76" t="str">
        <f>IF($B169&lt;&gt;"",_xlfn.IFNA(VLOOKUP($B169,'Node Details'!$B:$U,D$1,0),"Check"),"")</f>
        <v>AXY</v>
      </c>
      <c r="E169" s="76" t="str">
        <f>IF($B169&lt;&gt;"",_xlfn.IFNA(VLOOKUP($B169,'Node Details'!$B:$U,E$1,0),"Check"),"")</f>
        <v>Airtel</v>
      </c>
      <c r="F169" s="78">
        <v>46113</v>
      </c>
      <c r="G169" s="76"/>
      <c r="H169" s="9" t="s">
        <v>22</v>
      </c>
      <c r="I169" s="9">
        <v>2</v>
      </c>
      <c r="J169" s="9">
        <v>42</v>
      </c>
      <c r="K169" s="79">
        <f t="shared" si="19"/>
        <v>84</v>
      </c>
      <c r="L169" s="78">
        <v>46112</v>
      </c>
      <c r="N169" s="85"/>
      <c r="O169" s="86"/>
      <c r="P169" s="83">
        <f t="shared" si="14"/>
        <v>42</v>
      </c>
      <c r="Q169" s="83">
        <f t="shared" si="15"/>
        <v>84</v>
      </c>
      <c r="R169" s="83"/>
      <c r="S169" s="83"/>
      <c r="T169" s="87"/>
      <c r="U169" s="83">
        <f t="shared" si="16"/>
        <v>42</v>
      </c>
      <c r="V169" s="83">
        <f t="shared" si="17"/>
        <v>2</v>
      </c>
      <c r="W169" s="84">
        <f t="shared" si="18"/>
        <v>84</v>
      </c>
      <c r="X169" s="84" t="s">
        <v>181</v>
      </c>
      <c r="Y169" s="24" t="s">
        <v>176</v>
      </c>
    </row>
    <row r="170" spans="1:25" s="24" customFormat="1" ht="11.1" customHeight="1" x14ac:dyDescent="0.2">
      <c r="A170" s="76">
        <f t="shared" si="20"/>
        <v>168</v>
      </c>
      <c r="B170" s="77" t="s">
        <v>292</v>
      </c>
      <c r="C170" s="76" t="str">
        <f>IF($B170&lt;&gt;"",_xlfn.IFNA(VLOOKUP($B170,'Node Details'!$B:$U,C$1,0),"Check"),"")</f>
        <v>0000AXY09-AXY090105</v>
      </c>
      <c r="D170" s="76" t="str">
        <f>IF($B170&lt;&gt;"",_xlfn.IFNA(VLOOKUP($B170,'Node Details'!$B:$U,D$1,0),"Check"),"")</f>
        <v>AXY</v>
      </c>
      <c r="E170" s="76" t="str">
        <f>IF($B170&lt;&gt;"",_xlfn.IFNA(VLOOKUP($B170,'Node Details'!$B:$U,E$1,0),"Check"),"")</f>
        <v>Airtel</v>
      </c>
      <c r="F170" s="78">
        <v>46113</v>
      </c>
      <c r="G170" s="76"/>
      <c r="H170" s="9" t="s">
        <v>22</v>
      </c>
      <c r="I170" s="9">
        <v>2</v>
      </c>
      <c r="J170" s="9">
        <v>42</v>
      </c>
      <c r="K170" s="79">
        <f t="shared" si="19"/>
        <v>84</v>
      </c>
      <c r="L170" s="78">
        <v>46112</v>
      </c>
      <c r="N170" s="85"/>
      <c r="O170" s="86"/>
      <c r="P170" s="83">
        <f t="shared" si="14"/>
        <v>42</v>
      </c>
      <c r="Q170" s="83">
        <f t="shared" si="15"/>
        <v>84</v>
      </c>
      <c r="R170" s="83"/>
      <c r="S170" s="83"/>
      <c r="T170" s="87"/>
      <c r="U170" s="83">
        <f t="shared" si="16"/>
        <v>42</v>
      </c>
      <c r="V170" s="83">
        <f t="shared" si="17"/>
        <v>2</v>
      </c>
      <c r="W170" s="84">
        <f t="shared" si="18"/>
        <v>84</v>
      </c>
      <c r="X170" s="84" t="s">
        <v>181</v>
      </c>
      <c r="Y170" s="24" t="s">
        <v>176</v>
      </c>
    </row>
    <row r="171" spans="1:25" s="24" customFormat="1" ht="11.1" customHeight="1" x14ac:dyDescent="0.2">
      <c r="A171" s="76">
        <f t="shared" si="20"/>
        <v>169</v>
      </c>
      <c r="B171" s="77" t="s">
        <v>293</v>
      </c>
      <c r="C171" s="76" t="str">
        <f>IF($B171&lt;&gt;"",_xlfn.IFNA(VLOOKUP($B171,'Node Details'!$B:$U,C$1,0),"Check"),"")</f>
        <v>0000AXY09-AXY090105</v>
      </c>
      <c r="D171" s="76" t="str">
        <f>IF($B171&lt;&gt;"",_xlfn.IFNA(VLOOKUP($B171,'Node Details'!$B:$U,D$1,0),"Check"),"")</f>
        <v>AXY</v>
      </c>
      <c r="E171" s="76" t="str">
        <f>IF($B171&lt;&gt;"",_xlfn.IFNA(VLOOKUP($B171,'Node Details'!$B:$U,E$1,0),"Check"),"")</f>
        <v>Airtel</v>
      </c>
      <c r="F171" s="78">
        <v>46113</v>
      </c>
      <c r="G171" s="76"/>
      <c r="H171" s="9" t="s">
        <v>22</v>
      </c>
      <c r="I171" s="9">
        <v>2</v>
      </c>
      <c r="J171" s="9">
        <v>42</v>
      </c>
      <c r="K171" s="79">
        <f t="shared" si="19"/>
        <v>84</v>
      </c>
      <c r="L171" s="78">
        <v>46112</v>
      </c>
      <c r="N171" s="85"/>
      <c r="O171" s="86"/>
      <c r="P171" s="83">
        <f t="shared" si="14"/>
        <v>42</v>
      </c>
      <c r="Q171" s="83">
        <f t="shared" si="15"/>
        <v>84</v>
      </c>
      <c r="R171" s="83"/>
      <c r="S171" s="83"/>
      <c r="T171" s="87"/>
      <c r="U171" s="83">
        <f t="shared" si="16"/>
        <v>42</v>
      </c>
      <c r="V171" s="83">
        <f t="shared" si="17"/>
        <v>2</v>
      </c>
      <c r="W171" s="84">
        <f t="shared" si="18"/>
        <v>84</v>
      </c>
      <c r="X171" s="84" t="s">
        <v>181</v>
      </c>
      <c r="Y171" s="24" t="s">
        <v>176</v>
      </c>
    </row>
    <row r="172" spans="1:25" s="24" customFormat="1" ht="11.1" customHeight="1" x14ac:dyDescent="0.2">
      <c r="A172" s="76">
        <f t="shared" si="20"/>
        <v>170</v>
      </c>
      <c r="B172" s="77" t="s">
        <v>294</v>
      </c>
      <c r="C172" s="76" t="str">
        <f>IF($B172&lt;&gt;"",_xlfn.IFNA(VLOOKUP($B172,'Node Details'!$B:$U,C$1,0),"Check"),"")</f>
        <v>0000AXY09-AXY090201</v>
      </c>
      <c r="D172" s="76" t="str">
        <f>IF($B172&lt;&gt;"",_xlfn.IFNA(VLOOKUP($B172,'Node Details'!$B:$U,D$1,0),"Check"),"")</f>
        <v>AXY</v>
      </c>
      <c r="E172" s="76" t="str">
        <f>IF($B172&lt;&gt;"",_xlfn.IFNA(VLOOKUP($B172,'Node Details'!$B:$U,E$1,0),"Check"),"")</f>
        <v>Airtel</v>
      </c>
      <c r="F172" s="78">
        <v>46113</v>
      </c>
      <c r="G172" s="76"/>
      <c r="H172" s="9" t="s">
        <v>22</v>
      </c>
      <c r="I172" s="9">
        <v>2</v>
      </c>
      <c r="J172" s="9">
        <v>42</v>
      </c>
      <c r="K172" s="79">
        <f t="shared" si="19"/>
        <v>84</v>
      </c>
      <c r="L172" s="78">
        <v>46112</v>
      </c>
      <c r="N172" s="85"/>
      <c r="O172" s="86"/>
      <c r="P172" s="83">
        <f t="shared" si="14"/>
        <v>42</v>
      </c>
      <c r="Q172" s="83">
        <f t="shared" si="15"/>
        <v>84</v>
      </c>
      <c r="R172" s="83"/>
      <c r="S172" s="83"/>
      <c r="T172" s="87"/>
      <c r="U172" s="83">
        <f t="shared" si="16"/>
        <v>42</v>
      </c>
      <c r="V172" s="83">
        <f t="shared" si="17"/>
        <v>2</v>
      </c>
      <c r="W172" s="84">
        <f t="shared" si="18"/>
        <v>84</v>
      </c>
      <c r="X172" s="84" t="s">
        <v>181</v>
      </c>
      <c r="Y172" s="24" t="s">
        <v>176</v>
      </c>
    </row>
    <row r="173" spans="1:25" s="24" customFormat="1" ht="11.1" customHeight="1" x14ac:dyDescent="0.2">
      <c r="A173" s="76">
        <f t="shared" si="20"/>
        <v>171</v>
      </c>
      <c r="B173" s="77" t="s">
        <v>295</v>
      </c>
      <c r="C173" s="76" t="str">
        <f>IF($B173&lt;&gt;"",_xlfn.IFNA(VLOOKUP($B173,'Node Details'!$B:$U,C$1,0),"Check"),"")</f>
        <v>0000AXY09-AXY090201</v>
      </c>
      <c r="D173" s="76" t="str">
        <f>IF($B173&lt;&gt;"",_xlfn.IFNA(VLOOKUP($B173,'Node Details'!$B:$U,D$1,0),"Check"),"")</f>
        <v>AXY</v>
      </c>
      <c r="E173" s="76" t="str">
        <f>IF($B173&lt;&gt;"",_xlfn.IFNA(VLOOKUP($B173,'Node Details'!$B:$U,E$1,0),"Check"),"")</f>
        <v>Airtel</v>
      </c>
      <c r="F173" s="78">
        <v>46113</v>
      </c>
      <c r="G173" s="76"/>
      <c r="H173" s="9" t="s">
        <v>22</v>
      </c>
      <c r="I173" s="9">
        <v>2</v>
      </c>
      <c r="J173" s="9">
        <v>42</v>
      </c>
      <c r="K173" s="79">
        <f t="shared" si="19"/>
        <v>84</v>
      </c>
      <c r="L173" s="78">
        <v>46112</v>
      </c>
      <c r="N173" s="85"/>
      <c r="O173" s="86"/>
      <c r="P173" s="83">
        <f t="shared" si="14"/>
        <v>42</v>
      </c>
      <c r="Q173" s="83">
        <f t="shared" si="15"/>
        <v>84</v>
      </c>
      <c r="R173" s="83"/>
      <c r="S173" s="83"/>
      <c r="T173" s="87"/>
      <c r="U173" s="83">
        <f t="shared" si="16"/>
        <v>42</v>
      </c>
      <c r="V173" s="83">
        <f t="shared" si="17"/>
        <v>2</v>
      </c>
      <c r="W173" s="84">
        <f t="shared" si="18"/>
        <v>84</v>
      </c>
      <c r="X173" s="84" t="s">
        <v>181</v>
      </c>
      <c r="Y173" s="24" t="s">
        <v>176</v>
      </c>
    </row>
    <row r="174" spans="1:25" s="24" customFormat="1" ht="11.1" customHeight="1" x14ac:dyDescent="0.2">
      <c r="A174" s="76">
        <f t="shared" si="20"/>
        <v>172</v>
      </c>
      <c r="B174" s="77" t="s">
        <v>296</v>
      </c>
      <c r="C174" s="76" t="str">
        <f>IF($B174&lt;&gt;"",_xlfn.IFNA(VLOOKUP($B174,'Node Details'!$B:$U,C$1,0),"Check"),"")</f>
        <v>0000AXY09-AXY090201</v>
      </c>
      <c r="D174" s="76" t="str">
        <f>IF($B174&lt;&gt;"",_xlfn.IFNA(VLOOKUP($B174,'Node Details'!$B:$U,D$1,0),"Check"),"")</f>
        <v>AXY</v>
      </c>
      <c r="E174" s="76" t="str">
        <f>IF($B174&lt;&gt;"",_xlfn.IFNA(VLOOKUP($B174,'Node Details'!$B:$U,E$1,0),"Check"),"")</f>
        <v>Airtel</v>
      </c>
      <c r="F174" s="78">
        <v>46113</v>
      </c>
      <c r="G174" s="76"/>
      <c r="H174" s="9" t="s">
        <v>22</v>
      </c>
      <c r="I174" s="9">
        <v>2</v>
      </c>
      <c r="J174" s="9">
        <v>42</v>
      </c>
      <c r="K174" s="79">
        <f t="shared" si="19"/>
        <v>84</v>
      </c>
      <c r="L174" s="78">
        <v>46112</v>
      </c>
      <c r="N174" s="85"/>
      <c r="O174" s="86"/>
      <c r="P174" s="83">
        <f t="shared" si="14"/>
        <v>42</v>
      </c>
      <c r="Q174" s="83">
        <f t="shared" si="15"/>
        <v>84</v>
      </c>
      <c r="R174" s="83"/>
      <c r="S174" s="83"/>
      <c r="T174" s="87"/>
      <c r="U174" s="83">
        <f t="shared" si="16"/>
        <v>42</v>
      </c>
      <c r="V174" s="83">
        <f t="shared" si="17"/>
        <v>2</v>
      </c>
      <c r="W174" s="84">
        <f t="shared" si="18"/>
        <v>84</v>
      </c>
      <c r="X174" s="84" t="s">
        <v>181</v>
      </c>
      <c r="Y174" s="24" t="s">
        <v>176</v>
      </c>
    </row>
    <row r="175" spans="1:25" s="24" customFormat="1" ht="11.1" customHeight="1" x14ac:dyDescent="0.2">
      <c r="A175" s="76">
        <f t="shared" si="20"/>
        <v>173</v>
      </c>
      <c r="B175" s="77" t="s">
        <v>297</v>
      </c>
      <c r="C175" s="76" t="str">
        <f>IF($B175&lt;&gt;"",_xlfn.IFNA(VLOOKUP($B175,'Node Details'!$B:$U,C$1,0),"Check"),"")</f>
        <v>0000AXY09-AXY090201</v>
      </c>
      <c r="D175" s="76" t="str">
        <f>IF($B175&lt;&gt;"",_xlfn.IFNA(VLOOKUP($B175,'Node Details'!$B:$U,D$1,0),"Check"),"")</f>
        <v>AXY</v>
      </c>
      <c r="E175" s="76" t="str">
        <f>IF($B175&lt;&gt;"",_xlfn.IFNA(VLOOKUP($B175,'Node Details'!$B:$U,E$1,0),"Check"),"")</f>
        <v>Airtel</v>
      </c>
      <c r="F175" s="78">
        <v>46113</v>
      </c>
      <c r="G175" s="76"/>
      <c r="H175" s="9" t="s">
        <v>22</v>
      </c>
      <c r="I175" s="9">
        <v>2</v>
      </c>
      <c r="J175" s="9">
        <v>42</v>
      </c>
      <c r="K175" s="79">
        <f t="shared" si="19"/>
        <v>84</v>
      </c>
      <c r="L175" s="78">
        <v>46112</v>
      </c>
      <c r="N175" s="85"/>
      <c r="O175" s="86"/>
      <c r="P175" s="83">
        <f t="shared" ref="P175:P238" si="21">J175</f>
        <v>42</v>
      </c>
      <c r="Q175" s="83">
        <f t="shared" ref="Q175:Q238" si="22">P175*I175</f>
        <v>84</v>
      </c>
      <c r="R175" s="83"/>
      <c r="S175" s="83"/>
      <c r="T175" s="87"/>
      <c r="U175" s="83">
        <f t="shared" ref="U175:U238" si="23">J175</f>
        <v>42</v>
      </c>
      <c r="V175" s="83">
        <f t="shared" ref="V175:V238" si="24">I175</f>
        <v>2</v>
      </c>
      <c r="W175" s="84">
        <f t="shared" ref="W175:W238" si="25">IF(V175&lt;&gt;"",V175*U175,0)</f>
        <v>84</v>
      </c>
      <c r="X175" s="84" t="s">
        <v>181</v>
      </c>
      <c r="Y175" s="24" t="s">
        <v>176</v>
      </c>
    </row>
    <row r="176" spans="1:25" s="24" customFormat="1" ht="11.1" customHeight="1" x14ac:dyDescent="0.2">
      <c r="A176" s="76">
        <f t="shared" si="20"/>
        <v>174</v>
      </c>
      <c r="B176" s="77" t="s">
        <v>298</v>
      </c>
      <c r="C176" s="76" t="str">
        <f>IF($B176&lt;&gt;"",_xlfn.IFNA(VLOOKUP($B176,'Node Details'!$B:$U,C$1,0),"Check"),"")</f>
        <v>AXY090201-AXY090204</v>
      </c>
      <c r="D176" s="76" t="str">
        <f>IF($B176&lt;&gt;"",_xlfn.IFNA(VLOOKUP($B176,'Node Details'!$B:$U,D$1,0),"Check"),"")</f>
        <v>AXY</v>
      </c>
      <c r="E176" s="76" t="str">
        <f>IF($B176&lt;&gt;"",_xlfn.IFNA(VLOOKUP($B176,'Node Details'!$B:$U,E$1,0),"Check"),"")</f>
        <v>Airtel</v>
      </c>
      <c r="F176" s="78">
        <v>46113</v>
      </c>
      <c r="G176" s="76"/>
      <c r="H176" s="9" t="s">
        <v>22</v>
      </c>
      <c r="I176" s="9">
        <v>2</v>
      </c>
      <c r="J176" s="9">
        <v>42</v>
      </c>
      <c r="K176" s="79">
        <f t="shared" ref="K176:K239" si="26">IF(I176&lt;&gt;"",J176*I176,0)</f>
        <v>84</v>
      </c>
      <c r="L176" s="78">
        <v>46112</v>
      </c>
      <c r="N176" s="85"/>
      <c r="O176" s="86"/>
      <c r="P176" s="83">
        <f t="shared" si="21"/>
        <v>42</v>
      </c>
      <c r="Q176" s="83">
        <f t="shared" si="22"/>
        <v>84</v>
      </c>
      <c r="R176" s="83"/>
      <c r="S176" s="83"/>
      <c r="T176" s="87"/>
      <c r="U176" s="83">
        <f t="shared" si="23"/>
        <v>42</v>
      </c>
      <c r="V176" s="83">
        <f t="shared" si="24"/>
        <v>2</v>
      </c>
      <c r="W176" s="84">
        <f t="shared" si="25"/>
        <v>84</v>
      </c>
      <c r="X176" s="84" t="s">
        <v>181</v>
      </c>
      <c r="Y176" s="24" t="s">
        <v>176</v>
      </c>
    </row>
    <row r="177" spans="1:25" s="24" customFormat="1" ht="11.1" customHeight="1" x14ac:dyDescent="0.2">
      <c r="A177" s="76">
        <f t="shared" si="20"/>
        <v>175</v>
      </c>
      <c r="B177" s="77" t="s">
        <v>299</v>
      </c>
      <c r="C177" s="76" t="str">
        <f>IF($B177&lt;&gt;"",_xlfn.IFNA(VLOOKUP($B177,'Node Details'!$B:$U,C$1,0),"Check"),"")</f>
        <v>AXY090201-AXY090204</v>
      </c>
      <c r="D177" s="76" t="str">
        <f>IF($B177&lt;&gt;"",_xlfn.IFNA(VLOOKUP($B177,'Node Details'!$B:$U,D$1,0),"Check"),"")</f>
        <v>AXY</v>
      </c>
      <c r="E177" s="76" t="str">
        <f>IF($B177&lt;&gt;"",_xlfn.IFNA(VLOOKUP($B177,'Node Details'!$B:$U,E$1,0),"Check"),"")</f>
        <v>Airtel</v>
      </c>
      <c r="F177" s="78">
        <v>46113</v>
      </c>
      <c r="G177" s="76"/>
      <c r="H177" s="9" t="s">
        <v>22</v>
      </c>
      <c r="I177" s="9">
        <v>2</v>
      </c>
      <c r="J177" s="9">
        <v>42</v>
      </c>
      <c r="K177" s="79">
        <f t="shared" si="26"/>
        <v>84</v>
      </c>
      <c r="L177" s="78">
        <v>46112</v>
      </c>
      <c r="N177" s="85"/>
      <c r="O177" s="86"/>
      <c r="P177" s="83">
        <f t="shared" si="21"/>
        <v>42</v>
      </c>
      <c r="Q177" s="83">
        <f t="shared" si="22"/>
        <v>84</v>
      </c>
      <c r="R177" s="83"/>
      <c r="S177" s="83"/>
      <c r="T177" s="87"/>
      <c r="U177" s="83">
        <f t="shared" si="23"/>
        <v>42</v>
      </c>
      <c r="V177" s="83">
        <f t="shared" si="24"/>
        <v>2</v>
      </c>
      <c r="W177" s="84">
        <f t="shared" si="25"/>
        <v>84</v>
      </c>
      <c r="X177" s="84" t="s">
        <v>181</v>
      </c>
      <c r="Y177" s="24" t="s">
        <v>176</v>
      </c>
    </row>
    <row r="178" spans="1:25" s="24" customFormat="1" ht="11.1" customHeight="1" x14ac:dyDescent="0.2">
      <c r="A178" s="76">
        <f t="shared" si="20"/>
        <v>176</v>
      </c>
      <c r="B178" s="77" t="s">
        <v>300</v>
      </c>
      <c r="C178" s="76" t="str">
        <f>IF($B178&lt;&gt;"",_xlfn.IFNA(VLOOKUP($B178,'Node Details'!$B:$U,C$1,0),"Check"),"")</f>
        <v>AXY090201-AXY090204</v>
      </c>
      <c r="D178" s="76" t="str">
        <f>IF($B178&lt;&gt;"",_xlfn.IFNA(VLOOKUP($B178,'Node Details'!$B:$U,D$1,0),"Check"),"")</f>
        <v>AXY</v>
      </c>
      <c r="E178" s="76" t="str">
        <f>IF($B178&lt;&gt;"",_xlfn.IFNA(VLOOKUP($B178,'Node Details'!$B:$U,E$1,0),"Check"),"")</f>
        <v>Airtel</v>
      </c>
      <c r="F178" s="78">
        <v>46113</v>
      </c>
      <c r="G178" s="76"/>
      <c r="H178" s="9" t="s">
        <v>22</v>
      </c>
      <c r="I178" s="9">
        <v>2</v>
      </c>
      <c r="J178" s="9">
        <v>42</v>
      </c>
      <c r="K178" s="79">
        <f t="shared" si="26"/>
        <v>84</v>
      </c>
      <c r="L178" s="78">
        <v>46112</v>
      </c>
      <c r="N178" s="85"/>
      <c r="O178" s="86"/>
      <c r="P178" s="83">
        <f t="shared" si="21"/>
        <v>42</v>
      </c>
      <c r="Q178" s="83">
        <f t="shared" si="22"/>
        <v>84</v>
      </c>
      <c r="R178" s="83"/>
      <c r="S178" s="83"/>
      <c r="T178" s="87"/>
      <c r="U178" s="83">
        <f t="shared" si="23"/>
        <v>42</v>
      </c>
      <c r="V178" s="83">
        <f t="shared" si="24"/>
        <v>2</v>
      </c>
      <c r="W178" s="84">
        <f t="shared" si="25"/>
        <v>84</v>
      </c>
      <c r="X178" s="84" t="s">
        <v>181</v>
      </c>
      <c r="Y178" s="24" t="s">
        <v>176</v>
      </c>
    </row>
    <row r="179" spans="1:25" s="24" customFormat="1" ht="11.1" customHeight="1" x14ac:dyDescent="0.2">
      <c r="A179" s="76">
        <f t="shared" si="20"/>
        <v>177</v>
      </c>
      <c r="B179" s="77" t="s">
        <v>302</v>
      </c>
      <c r="C179" s="76" t="str">
        <f>IF($B179&lt;&gt;"",_xlfn.IFNA(VLOOKUP($B179,'Node Details'!$B:$U,C$1,0),"Check"),"")</f>
        <v>0000AXY10-AXY100104</v>
      </c>
      <c r="D179" s="76" t="str">
        <f>IF($B179&lt;&gt;"",_xlfn.IFNA(VLOOKUP($B179,'Node Details'!$B:$U,D$1,0),"Check"),"")</f>
        <v>AXY</v>
      </c>
      <c r="E179" s="76" t="str">
        <f>IF($B179&lt;&gt;"",_xlfn.IFNA(VLOOKUP($B179,'Node Details'!$B:$U,E$1,0),"Check"),"")</f>
        <v>Airtel</v>
      </c>
      <c r="F179" s="78">
        <v>46113</v>
      </c>
      <c r="G179" s="76"/>
      <c r="H179" s="9" t="s">
        <v>22</v>
      </c>
      <c r="I179" s="9">
        <v>2</v>
      </c>
      <c r="J179" s="9">
        <v>42</v>
      </c>
      <c r="K179" s="79">
        <f t="shared" si="26"/>
        <v>84</v>
      </c>
      <c r="L179" s="78">
        <v>46112</v>
      </c>
      <c r="N179" s="85"/>
      <c r="O179" s="86"/>
      <c r="P179" s="83">
        <f t="shared" si="21"/>
        <v>42</v>
      </c>
      <c r="Q179" s="83">
        <f t="shared" si="22"/>
        <v>84</v>
      </c>
      <c r="R179" s="83"/>
      <c r="S179" s="83"/>
      <c r="T179" s="87"/>
      <c r="U179" s="83">
        <f t="shared" si="23"/>
        <v>42</v>
      </c>
      <c r="V179" s="83">
        <f t="shared" si="24"/>
        <v>2</v>
      </c>
      <c r="W179" s="84">
        <f t="shared" si="25"/>
        <v>84</v>
      </c>
      <c r="X179" s="84" t="s">
        <v>181</v>
      </c>
      <c r="Y179" s="24" t="s">
        <v>176</v>
      </c>
    </row>
    <row r="180" spans="1:25" s="24" customFormat="1" ht="11.1" customHeight="1" x14ac:dyDescent="0.2">
      <c r="A180" s="76">
        <f t="shared" si="20"/>
        <v>178</v>
      </c>
      <c r="B180" s="77" t="s">
        <v>303</v>
      </c>
      <c r="C180" s="76" t="str">
        <f>IF($B180&lt;&gt;"",_xlfn.IFNA(VLOOKUP($B180,'Node Details'!$B:$U,C$1,0),"Check"),"")</f>
        <v>0000AXY10-AXY100104</v>
      </c>
      <c r="D180" s="76" t="str">
        <f>IF($B180&lt;&gt;"",_xlfn.IFNA(VLOOKUP($B180,'Node Details'!$B:$U,D$1,0),"Check"),"")</f>
        <v>AXY</v>
      </c>
      <c r="E180" s="76" t="str">
        <f>IF($B180&lt;&gt;"",_xlfn.IFNA(VLOOKUP($B180,'Node Details'!$B:$U,E$1,0),"Check"),"")</f>
        <v>Airtel</v>
      </c>
      <c r="F180" s="78">
        <v>46113</v>
      </c>
      <c r="G180" s="76"/>
      <c r="H180" s="9" t="s">
        <v>22</v>
      </c>
      <c r="I180" s="9">
        <v>2</v>
      </c>
      <c r="J180" s="9">
        <v>42</v>
      </c>
      <c r="K180" s="79">
        <f t="shared" si="26"/>
        <v>84</v>
      </c>
      <c r="L180" s="78">
        <v>46112</v>
      </c>
      <c r="N180" s="85"/>
      <c r="O180" s="86"/>
      <c r="P180" s="83">
        <f t="shared" si="21"/>
        <v>42</v>
      </c>
      <c r="Q180" s="83">
        <f t="shared" si="22"/>
        <v>84</v>
      </c>
      <c r="R180" s="83"/>
      <c r="S180" s="83"/>
      <c r="T180" s="87"/>
      <c r="U180" s="83">
        <f t="shared" si="23"/>
        <v>42</v>
      </c>
      <c r="V180" s="83">
        <f t="shared" si="24"/>
        <v>2</v>
      </c>
      <c r="W180" s="84">
        <f t="shared" si="25"/>
        <v>84</v>
      </c>
      <c r="X180" s="84" t="s">
        <v>181</v>
      </c>
      <c r="Y180" s="24" t="s">
        <v>176</v>
      </c>
    </row>
    <row r="181" spans="1:25" s="24" customFormat="1" ht="11.1" customHeight="1" x14ac:dyDescent="0.2">
      <c r="A181" s="76">
        <f t="shared" si="20"/>
        <v>179</v>
      </c>
      <c r="B181" s="77" t="s">
        <v>304</v>
      </c>
      <c r="C181" s="76" t="str">
        <f>IF($B181&lt;&gt;"",_xlfn.IFNA(VLOOKUP($B181,'Node Details'!$B:$U,C$1,0),"Check"),"")</f>
        <v>0000AXY10-AXY100104</v>
      </c>
      <c r="D181" s="76" t="str">
        <f>IF($B181&lt;&gt;"",_xlfn.IFNA(VLOOKUP($B181,'Node Details'!$B:$U,D$1,0),"Check"),"")</f>
        <v>AXY</v>
      </c>
      <c r="E181" s="76" t="str">
        <f>IF($B181&lt;&gt;"",_xlfn.IFNA(VLOOKUP($B181,'Node Details'!$B:$U,E$1,0),"Check"),"")</f>
        <v>Airtel</v>
      </c>
      <c r="F181" s="78">
        <v>46113</v>
      </c>
      <c r="G181" s="76"/>
      <c r="H181" s="9" t="s">
        <v>22</v>
      </c>
      <c r="I181" s="9">
        <v>2</v>
      </c>
      <c r="J181" s="9">
        <v>42</v>
      </c>
      <c r="K181" s="79">
        <f t="shared" si="26"/>
        <v>84</v>
      </c>
      <c r="L181" s="78">
        <v>46112</v>
      </c>
      <c r="N181" s="85"/>
      <c r="O181" s="86"/>
      <c r="P181" s="83">
        <f t="shared" si="21"/>
        <v>42</v>
      </c>
      <c r="Q181" s="83">
        <f t="shared" si="22"/>
        <v>84</v>
      </c>
      <c r="R181" s="83"/>
      <c r="S181" s="83"/>
      <c r="T181" s="87"/>
      <c r="U181" s="83">
        <f t="shared" si="23"/>
        <v>42</v>
      </c>
      <c r="V181" s="83">
        <f t="shared" si="24"/>
        <v>2</v>
      </c>
      <c r="W181" s="84">
        <f t="shared" si="25"/>
        <v>84</v>
      </c>
      <c r="X181" s="84" t="s">
        <v>181</v>
      </c>
      <c r="Y181" s="24" t="s">
        <v>176</v>
      </c>
    </row>
    <row r="182" spans="1:25" s="24" customFormat="1" ht="11.1" customHeight="1" x14ac:dyDescent="0.2">
      <c r="A182" s="76">
        <f t="shared" si="20"/>
        <v>180</v>
      </c>
      <c r="B182" s="77" t="s">
        <v>305</v>
      </c>
      <c r="C182" s="76" t="str">
        <f>IF($B182&lt;&gt;"",_xlfn.IFNA(VLOOKUP($B182,'Node Details'!$B:$U,C$1,0),"Check"),"")</f>
        <v>0000AXY10-AXY100105</v>
      </c>
      <c r="D182" s="76" t="str">
        <f>IF($B182&lt;&gt;"",_xlfn.IFNA(VLOOKUP($B182,'Node Details'!$B:$U,D$1,0),"Check"),"")</f>
        <v>AXY</v>
      </c>
      <c r="E182" s="76" t="str">
        <f>IF($B182&lt;&gt;"",_xlfn.IFNA(VLOOKUP($B182,'Node Details'!$B:$U,E$1,0),"Check"),"")</f>
        <v>Airtel</v>
      </c>
      <c r="F182" s="78">
        <v>46113</v>
      </c>
      <c r="G182" s="76"/>
      <c r="H182" s="9" t="s">
        <v>22</v>
      </c>
      <c r="I182" s="9">
        <v>2</v>
      </c>
      <c r="J182" s="9">
        <v>42</v>
      </c>
      <c r="K182" s="79">
        <f t="shared" si="26"/>
        <v>84</v>
      </c>
      <c r="L182" s="78">
        <v>46112</v>
      </c>
      <c r="N182" s="85"/>
      <c r="O182" s="86"/>
      <c r="P182" s="83">
        <f t="shared" si="21"/>
        <v>42</v>
      </c>
      <c r="Q182" s="83">
        <f t="shared" si="22"/>
        <v>84</v>
      </c>
      <c r="R182" s="83"/>
      <c r="S182" s="83"/>
      <c r="T182" s="87"/>
      <c r="U182" s="83">
        <f t="shared" si="23"/>
        <v>42</v>
      </c>
      <c r="V182" s="83">
        <f t="shared" si="24"/>
        <v>2</v>
      </c>
      <c r="W182" s="84">
        <f t="shared" si="25"/>
        <v>84</v>
      </c>
      <c r="X182" s="84" t="s">
        <v>181</v>
      </c>
      <c r="Y182" s="24" t="s">
        <v>176</v>
      </c>
    </row>
    <row r="183" spans="1:25" s="24" customFormat="1" ht="11.1" customHeight="1" x14ac:dyDescent="0.2">
      <c r="A183" s="76">
        <f t="shared" si="20"/>
        <v>181</v>
      </c>
      <c r="B183" s="77" t="s">
        <v>306</v>
      </c>
      <c r="C183" s="76" t="str">
        <f>IF($B183&lt;&gt;"",_xlfn.IFNA(VLOOKUP($B183,'Node Details'!$B:$U,C$1,0),"Check"),"")</f>
        <v>0000AXY10-AXY100105</v>
      </c>
      <c r="D183" s="76" t="str">
        <f>IF($B183&lt;&gt;"",_xlfn.IFNA(VLOOKUP($B183,'Node Details'!$B:$U,D$1,0),"Check"),"")</f>
        <v>AXY</v>
      </c>
      <c r="E183" s="76" t="str">
        <f>IF($B183&lt;&gt;"",_xlfn.IFNA(VLOOKUP($B183,'Node Details'!$B:$U,E$1,0),"Check"),"")</f>
        <v>Airtel</v>
      </c>
      <c r="F183" s="78">
        <v>46113</v>
      </c>
      <c r="G183" s="76"/>
      <c r="H183" s="9" t="s">
        <v>22</v>
      </c>
      <c r="I183" s="9">
        <v>2</v>
      </c>
      <c r="J183" s="9">
        <v>42</v>
      </c>
      <c r="K183" s="79">
        <f t="shared" si="26"/>
        <v>84</v>
      </c>
      <c r="L183" s="78">
        <v>46112</v>
      </c>
      <c r="N183" s="85"/>
      <c r="O183" s="86"/>
      <c r="P183" s="83">
        <f t="shared" si="21"/>
        <v>42</v>
      </c>
      <c r="Q183" s="83">
        <f t="shared" si="22"/>
        <v>84</v>
      </c>
      <c r="R183" s="83"/>
      <c r="S183" s="83"/>
      <c r="T183" s="87"/>
      <c r="U183" s="83">
        <f t="shared" si="23"/>
        <v>42</v>
      </c>
      <c r="V183" s="83">
        <f t="shared" si="24"/>
        <v>2</v>
      </c>
      <c r="W183" s="84">
        <f t="shared" si="25"/>
        <v>84</v>
      </c>
      <c r="X183" s="84" t="s">
        <v>181</v>
      </c>
      <c r="Y183" s="24" t="s">
        <v>176</v>
      </c>
    </row>
    <row r="184" spans="1:25" s="24" customFormat="1" ht="11.1" customHeight="1" x14ac:dyDescent="0.2">
      <c r="A184" s="76">
        <f t="shared" si="20"/>
        <v>182</v>
      </c>
      <c r="B184" s="77" t="s">
        <v>307</v>
      </c>
      <c r="C184" s="76" t="str">
        <f>IF($B184&lt;&gt;"",_xlfn.IFNA(VLOOKUP($B184,'Node Details'!$B:$U,C$1,0),"Check"),"")</f>
        <v>AXY100106-AXY100201</v>
      </c>
      <c r="D184" s="76" t="str">
        <f>IF($B184&lt;&gt;"",_xlfn.IFNA(VLOOKUP($B184,'Node Details'!$B:$U,D$1,0),"Check"),"")</f>
        <v>AXY</v>
      </c>
      <c r="E184" s="76" t="str">
        <f>IF($B184&lt;&gt;"",_xlfn.IFNA(VLOOKUP($B184,'Node Details'!$B:$U,E$1,0),"Check"),"")</f>
        <v>Airtel</v>
      </c>
      <c r="F184" s="78">
        <v>46113</v>
      </c>
      <c r="G184" s="76"/>
      <c r="H184" s="9" t="s">
        <v>22</v>
      </c>
      <c r="I184" s="9">
        <v>2</v>
      </c>
      <c r="J184" s="9">
        <v>42</v>
      </c>
      <c r="K184" s="79">
        <f t="shared" si="26"/>
        <v>84</v>
      </c>
      <c r="L184" s="78">
        <v>46112</v>
      </c>
      <c r="N184" s="85"/>
      <c r="O184" s="86"/>
      <c r="P184" s="83">
        <f t="shared" si="21"/>
        <v>42</v>
      </c>
      <c r="Q184" s="83">
        <f t="shared" si="22"/>
        <v>84</v>
      </c>
      <c r="R184" s="83"/>
      <c r="S184" s="83"/>
      <c r="T184" s="87"/>
      <c r="U184" s="83">
        <f t="shared" si="23"/>
        <v>42</v>
      </c>
      <c r="V184" s="83">
        <f t="shared" si="24"/>
        <v>2</v>
      </c>
      <c r="W184" s="84">
        <f t="shared" si="25"/>
        <v>84</v>
      </c>
      <c r="X184" s="84" t="s">
        <v>181</v>
      </c>
      <c r="Y184" s="24" t="s">
        <v>176</v>
      </c>
    </row>
    <row r="185" spans="1:25" s="24" customFormat="1" ht="11.1" customHeight="1" x14ac:dyDescent="0.2">
      <c r="A185" s="76">
        <f t="shared" si="20"/>
        <v>183</v>
      </c>
      <c r="B185" s="77" t="s">
        <v>308</v>
      </c>
      <c r="C185" s="76" t="str">
        <f>IF($B185&lt;&gt;"",_xlfn.IFNA(VLOOKUP($B185,'Node Details'!$B:$U,C$1,0),"Check"),"")</f>
        <v>AXY100106-AXY100201</v>
      </c>
      <c r="D185" s="76" t="str">
        <f>IF($B185&lt;&gt;"",_xlfn.IFNA(VLOOKUP($B185,'Node Details'!$B:$U,D$1,0),"Check"),"")</f>
        <v>AXY</v>
      </c>
      <c r="E185" s="76" t="str">
        <f>IF($B185&lt;&gt;"",_xlfn.IFNA(VLOOKUP($B185,'Node Details'!$B:$U,E$1,0),"Check"),"")</f>
        <v>Airtel</v>
      </c>
      <c r="F185" s="78">
        <v>46113</v>
      </c>
      <c r="G185" s="76"/>
      <c r="H185" s="9" t="s">
        <v>22</v>
      </c>
      <c r="I185" s="9">
        <v>2</v>
      </c>
      <c r="J185" s="9">
        <v>42</v>
      </c>
      <c r="K185" s="79">
        <f t="shared" si="26"/>
        <v>84</v>
      </c>
      <c r="L185" s="78">
        <v>46112</v>
      </c>
      <c r="N185" s="85"/>
      <c r="O185" s="86"/>
      <c r="P185" s="83">
        <f t="shared" si="21"/>
        <v>42</v>
      </c>
      <c r="Q185" s="83">
        <f t="shared" si="22"/>
        <v>84</v>
      </c>
      <c r="R185" s="83"/>
      <c r="S185" s="83"/>
      <c r="T185" s="87"/>
      <c r="U185" s="83">
        <f t="shared" si="23"/>
        <v>42</v>
      </c>
      <c r="V185" s="83">
        <f t="shared" si="24"/>
        <v>2</v>
      </c>
      <c r="W185" s="84">
        <f t="shared" si="25"/>
        <v>84</v>
      </c>
      <c r="X185" s="84" t="s">
        <v>181</v>
      </c>
      <c r="Y185" s="24" t="s">
        <v>176</v>
      </c>
    </row>
    <row r="186" spans="1:25" s="24" customFormat="1" ht="11.1" customHeight="1" x14ac:dyDescent="0.2">
      <c r="A186" s="76">
        <f t="shared" si="20"/>
        <v>184</v>
      </c>
      <c r="B186" s="77" t="s">
        <v>310</v>
      </c>
      <c r="C186" s="76" t="str">
        <f>IF($B186&lt;&gt;"",_xlfn.IFNA(VLOOKUP($B186,'Node Details'!$B:$U,C$1,0),"Check"),"")</f>
        <v>0000AXY11-AXY110102</v>
      </c>
      <c r="D186" s="76" t="str">
        <f>IF($B186&lt;&gt;"",_xlfn.IFNA(VLOOKUP($B186,'Node Details'!$B:$U,D$1,0),"Check"),"")</f>
        <v>AXY</v>
      </c>
      <c r="E186" s="76" t="str">
        <f>IF($B186&lt;&gt;"",_xlfn.IFNA(VLOOKUP($B186,'Node Details'!$B:$U,E$1,0),"Check"),"")</f>
        <v>Airtel</v>
      </c>
      <c r="F186" s="78">
        <v>46113</v>
      </c>
      <c r="G186" s="76"/>
      <c r="H186" s="9" t="s">
        <v>22</v>
      </c>
      <c r="I186" s="9">
        <v>2</v>
      </c>
      <c r="J186" s="9">
        <v>42</v>
      </c>
      <c r="K186" s="79">
        <f t="shared" si="26"/>
        <v>84</v>
      </c>
      <c r="L186" s="78">
        <v>46112</v>
      </c>
      <c r="N186" s="85"/>
      <c r="O186" s="86"/>
      <c r="P186" s="83">
        <f t="shared" si="21"/>
        <v>42</v>
      </c>
      <c r="Q186" s="83">
        <f t="shared" si="22"/>
        <v>84</v>
      </c>
      <c r="R186" s="83"/>
      <c r="S186" s="83"/>
      <c r="T186" s="87"/>
      <c r="U186" s="83">
        <f t="shared" si="23"/>
        <v>42</v>
      </c>
      <c r="V186" s="83">
        <f t="shared" si="24"/>
        <v>2</v>
      </c>
      <c r="W186" s="84">
        <f t="shared" si="25"/>
        <v>84</v>
      </c>
      <c r="X186" s="84" t="s">
        <v>181</v>
      </c>
      <c r="Y186" s="24" t="s">
        <v>176</v>
      </c>
    </row>
    <row r="187" spans="1:25" s="24" customFormat="1" ht="11.1" customHeight="1" x14ac:dyDescent="0.2">
      <c r="A187" s="76">
        <f t="shared" si="20"/>
        <v>185</v>
      </c>
      <c r="B187" s="77" t="s">
        <v>311</v>
      </c>
      <c r="C187" s="76" t="str">
        <f>IF($B187&lt;&gt;"",_xlfn.IFNA(VLOOKUP($B187,'Node Details'!$B:$U,C$1,0),"Check"),"")</f>
        <v>0000AXY11-AXY110102</v>
      </c>
      <c r="D187" s="76" t="str">
        <f>IF($B187&lt;&gt;"",_xlfn.IFNA(VLOOKUP($B187,'Node Details'!$B:$U,D$1,0),"Check"),"")</f>
        <v>AXY</v>
      </c>
      <c r="E187" s="76" t="str">
        <f>IF($B187&lt;&gt;"",_xlfn.IFNA(VLOOKUP($B187,'Node Details'!$B:$U,E$1,0),"Check"),"")</f>
        <v>Airtel</v>
      </c>
      <c r="F187" s="78">
        <v>46113</v>
      </c>
      <c r="G187" s="76"/>
      <c r="H187" s="9" t="s">
        <v>22</v>
      </c>
      <c r="I187" s="9">
        <v>2</v>
      </c>
      <c r="J187" s="9">
        <v>42</v>
      </c>
      <c r="K187" s="79">
        <f t="shared" si="26"/>
        <v>84</v>
      </c>
      <c r="L187" s="78">
        <v>46112</v>
      </c>
      <c r="N187" s="85"/>
      <c r="O187" s="86"/>
      <c r="P187" s="83">
        <f t="shared" si="21"/>
        <v>42</v>
      </c>
      <c r="Q187" s="83">
        <f t="shared" si="22"/>
        <v>84</v>
      </c>
      <c r="R187" s="83"/>
      <c r="S187" s="83"/>
      <c r="T187" s="87"/>
      <c r="U187" s="83">
        <f t="shared" si="23"/>
        <v>42</v>
      </c>
      <c r="V187" s="83">
        <f t="shared" si="24"/>
        <v>2</v>
      </c>
      <c r="W187" s="84">
        <f t="shared" si="25"/>
        <v>84</v>
      </c>
      <c r="X187" s="84" t="s">
        <v>181</v>
      </c>
      <c r="Y187" s="24" t="s">
        <v>176</v>
      </c>
    </row>
    <row r="188" spans="1:25" s="24" customFormat="1" ht="11.1" customHeight="1" x14ac:dyDescent="0.2">
      <c r="A188" s="76">
        <f t="shared" si="20"/>
        <v>186</v>
      </c>
      <c r="B188" s="77" t="s">
        <v>312</v>
      </c>
      <c r="C188" s="76" t="str">
        <f>IF($B188&lt;&gt;"",_xlfn.IFNA(VLOOKUP($B188,'Node Details'!$B:$U,C$1,0),"Check"),"")</f>
        <v>0000AXY11-AXY110107</v>
      </c>
      <c r="D188" s="76" t="str">
        <f>IF($B188&lt;&gt;"",_xlfn.IFNA(VLOOKUP($B188,'Node Details'!$B:$U,D$1,0),"Check"),"")</f>
        <v>AXY</v>
      </c>
      <c r="E188" s="76" t="str">
        <f>IF($B188&lt;&gt;"",_xlfn.IFNA(VLOOKUP($B188,'Node Details'!$B:$U,E$1,0),"Check"),"")</f>
        <v>Airtel</v>
      </c>
      <c r="F188" s="78">
        <v>46113</v>
      </c>
      <c r="G188" s="76"/>
      <c r="H188" s="9" t="s">
        <v>22</v>
      </c>
      <c r="I188" s="9">
        <v>2</v>
      </c>
      <c r="J188" s="9">
        <v>42</v>
      </c>
      <c r="K188" s="79">
        <f t="shared" si="26"/>
        <v>84</v>
      </c>
      <c r="L188" s="78">
        <v>46112</v>
      </c>
      <c r="N188" s="85"/>
      <c r="O188" s="86"/>
      <c r="P188" s="83">
        <f t="shared" si="21"/>
        <v>42</v>
      </c>
      <c r="Q188" s="83">
        <f t="shared" si="22"/>
        <v>84</v>
      </c>
      <c r="R188" s="83"/>
      <c r="S188" s="83"/>
      <c r="T188" s="87"/>
      <c r="U188" s="83">
        <f t="shared" si="23"/>
        <v>42</v>
      </c>
      <c r="V188" s="83">
        <f t="shared" si="24"/>
        <v>2</v>
      </c>
      <c r="W188" s="84">
        <f t="shared" si="25"/>
        <v>84</v>
      </c>
      <c r="X188" s="84" t="s">
        <v>181</v>
      </c>
      <c r="Y188" s="24" t="s">
        <v>176</v>
      </c>
    </row>
    <row r="189" spans="1:25" s="24" customFormat="1" ht="11.1" customHeight="1" x14ac:dyDescent="0.2">
      <c r="A189" s="76">
        <f t="shared" si="20"/>
        <v>187</v>
      </c>
      <c r="B189" s="77" t="s">
        <v>313</v>
      </c>
      <c r="C189" s="76" t="str">
        <f>IF($B189&lt;&gt;"",_xlfn.IFNA(VLOOKUP($B189,'Node Details'!$B:$U,C$1,0),"Check"),"")</f>
        <v>0000AXY11-AXY110107</v>
      </c>
      <c r="D189" s="76" t="str">
        <f>IF($B189&lt;&gt;"",_xlfn.IFNA(VLOOKUP($B189,'Node Details'!$B:$U,D$1,0),"Check"),"")</f>
        <v>AXY</v>
      </c>
      <c r="E189" s="76" t="str">
        <f>IF($B189&lt;&gt;"",_xlfn.IFNA(VLOOKUP($B189,'Node Details'!$B:$U,E$1,0),"Check"),"")</f>
        <v>Airtel</v>
      </c>
      <c r="F189" s="78">
        <v>46113</v>
      </c>
      <c r="G189" s="76"/>
      <c r="H189" s="9" t="s">
        <v>22</v>
      </c>
      <c r="I189" s="9">
        <v>2</v>
      </c>
      <c r="J189" s="9">
        <v>42</v>
      </c>
      <c r="K189" s="79">
        <f t="shared" si="26"/>
        <v>84</v>
      </c>
      <c r="L189" s="78">
        <v>46112</v>
      </c>
      <c r="N189" s="85"/>
      <c r="O189" s="86"/>
      <c r="P189" s="83">
        <f t="shared" si="21"/>
        <v>42</v>
      </c>
      <c r="Q189" s="83">
        <f t="shared" si="22"/>
        <v>84</v>
      </c>
      <c r="R189" s="83"/>
      <c r="S189" s="83"/>
      <c r="T189" s="87"/>
      <c r="U189" s="83">
        <f t="shared" si="23"/>
        <v>42</v>
      </c>
      <c r="V189" s="83">
        <f t="shared" si="24"/>
        <v>2</v>
      </c>
      <c r="W189" s="84">
        <f t="shared" si="25"/>
        <v>84</v>
      </c>
      <c r="X189" s="84" t="s">
        <v>181</v>
      </c>
      <c r="Y189" s="24" t="s">
        <v>176</v>
      </c>
    </row>
    <row r="190" spans="1:25" s="24" customFormat="1" ht="11.1" customHeight="1" x14ac:dyDescent="0.2">
      <c r="A190" s="76">
        <f t="shared" si="20"/>
        <v>188</v>
      </c>
      <c r="B190" s="77" t="s">
        <v>314</v>
      </c>
      <c r="C190" s="76" t="str">
        <f>IF($B190&lt;&gt;"",_xlfn.IFNA(VLOOKUP($B190,'Node Details'!$B:$U,C$1,0),"Check"),"")</f>
        <v>AXY110103-AXY110106</v>
      </c>
      <c r="D190" s="76" t="str">
        <f>IF($B190&lt;&gt;"",_xlfn.IFNA(VLOOKUP($B190,'Node Details'!$B:$U,D$1,0),"Check"),"")</f>
        <v>AXY</v>
      </c>
      <c r="E190" s="76" t="str">
        <f>IF($B190&lt;&gt;"",_xlfn.IFNA(VLOOKUP($B190,'Node Details'!$B:$U,E$1,0),"Check"),"")</f>
        <v>Airtel</v>
      </c>
      <c r="F190" s="78">
        <v>46113</v>
      </c>
      <c r="G190" s="76"/>
      <c r="H190" s="9" t="s">
        <v>22</v>
      </c>
      <c r="I190" s="9">
        <v>2</v>
      </c>
      <c r="J190" s="9">
        <v>42</v>
      </c>
      <c r="K190" s="79">
        <f t="shared" si="26"/>
        <v>84</v>
      </c>
      <c r="L190" s="78">
        <v>46112</v>
      </c>
      <c r="N190" s="85"/>
      <c r="O190" s="86"/>
      <c r="P190" s="83">
        <f t="shared" si="21"/>
        <v>42</v>
      </c>
      <c r="Q190" s="83">
        <f t="shared" si="22"/>
        <v>84</v>
      </c>
      <c r="R190" s="83"/>
      <c r="S190" s="83"/>
      <c r="T190" s="87"/>
      <c r="U190" s="83">
        <f t="shared" si="23"/>
        <v>42</v>
      </c>
      <c r="V190" s="83">
        <f t="shared" si="24"/>
        <v>2</v>
      </c>
      <c r="W190" s="84">
        <f t="shared" si="25"/>
        <v>84</v>
      </c>
      <c r="X190" s="84" t="s">
        <v>181</v>
      </c>
      <c r="Y190" s="24" t="s">
        <v>176</v>
      </c>
    </row>
    <row r="191" spans="1:25" s="24" customFormat="1" ht="11.1" customHeight="1" x14ac:dyDescent="0.2">
      <c r="A191" s="76">
        <f t="shared" si="20"/>
        <v>189</v>
      </c>
      <c r="B191" s="77" t="s">
        <v>315</v>
      </c>
      <c r="C191" s="76" t="str">
        <f>IF($B191&lt;&gt;"",_xlfn.IFNA(VLOOKUP($B191,'Node Details'!$B:$U,C$1,0),"Check"),"")</f>
        <v>AXY110103-AXY110106</v>
      </c>
      <c r="D191" s="76" t="str">
        <f>IF($B191&lt;&gt;"",_xlfn.IFNA(VLOOKUP($B191,'Node Details'!$B:$U,D$1,0),"Check"),"")</f>
        <v>AXY</v>
      </c>
      <c r="E191" s="76" t="str">
        <f>IF($B191&lt;&gt;"",_xlfn.IFNA(VLOOKUP($B191,'Node Details'!$B:$U,E$1,0),"Check"),"")</f>
        <v>Airtel</v>
      </c>
      <c r="F191" s="78">
        <v>46113</v>
      </c>
      <c r="G191" s="76"/>
      <c r="H191" s="9" t="s">
        <v>22</v>
      </c>
      <c r="I191" s="9">
        <v>2</v>
      </c>
      <c r="J191" s="9">
        <v>42</v>
      </c>
      <c r="K191" s="79">
        <f t="shared" si="26"/>
        <v>84</v>
      </c>
      <c r="L191" s="78">
        <v>46112</v>
      </c>
      <c r="N191" s="85"/>
      <c r="O191" s="86"/>
      <c r="P191" s="83">
        <f t="shared" si="21"/>
        <v>42</v>
      </c>
      <c r="Q191" s="83">
        <f t="shared" si="22"/>
        <v>84</v>
      </c>
      <c r="R191" s="83"/>
      <c r="S191" s="83"/>
      <c r="T191" s="87"/>
      <c r="U191" s="83">
        <f t="shared" si="23"/>
        <v>42</v>
      </c>
      <c r="V191" s="83">
        <f t="shared" si="24"/>
        <v>2</v>
      </c>
      <c r="W191" s="84">
        <f t="shared" si="25"/>
        <v>84</v>
      </c>
      <c r="X191" s="84" t="s">
        <v>181</v>
      </c>
      <c r="Y191" s="24" t="s">
        <v>176</v>
      </c>
    </row>
    <row r="192" spans="1:25" s="24" customFormat="1" ht="11.1" customHeight="1" x14ac:dyDescent="0.2">
      <c r="A192" s="76">
        <f t="shared" si="20"/>
        <v>190</v>
      </c>
      <c r="B192" s="77" t="s">
        <v>316</v>
      </c>
      <c r="C192" s="76" t="str">
        <f>IF($B192&lt;&gt;"",_xlfn.IFNA(VLOOKUP($B192,'Node Details'!$B:$U,C$1,0),"Check"),"")</f>
        <v>AXY110107-AXY110202</v>
      </c>
      <c r="D192" s="76" t="str">
        <f>IF($B192&lt;&gt;"",_xlfn.IFNA(VLOOKUP($B192,'Node Details'!$B:$U,D$1,0),"Check"),"")</f>
        <v>AXY</v>
      </c>
      <c r="E192" s="76" t="str">
        <f>IF($B192&lt;&gt;"",_xlfn.IFNA(VLOOKUP($B192,'Node Details'!$B:$U,E$1,0),"Check"),"")</f>
        <v>Airtel</v>
      </c>
      <c r="F192" s="78">
        <v>46113</v>
      </c>
      <c r="G192" s="76"/>
      <c r="H192" s="9" t="s">
        <v>22</v>
      </c>
      <c r="I192" s="9">
        <v>2</v>
      </c>
      <c r="J192" s="9">
        <v>42</v>
      </c>
      <c r="K192" s="79">
        <f t="shared" si="26"/>
        <v>84</v>
      </c>
      <c r="L192" s="78">
        <v>46112</v>
      </c>
      <c r="N192" s="85"/>
      <c r="O192" s="86"/>
      <c r="P192" s="83">
        <f t="shared" si="21"/>
        <v>42</v>
      </c>
      <c r="Q192" s="83">
        <f t="shared" si="22"/>
        <v>84</v>
      </c>
      <c r="R192" s="83"/>
      <c r="S192" s="83"/>
      <c r="T192" s="87"/>
      <c r="U192" s="83">
        <f t="shared" si="23"/>
        <v>42</v>
      </c>
      <c r="V192" s="83">
        <f t="shared" si="24"/>
        <v>2</v>
      </c>
      <c r="W192" s="84">
        <f t="shared" si="25"/>
        <v>84</v>
      </c>
      <c r="X192" s="84" t="s">
        <v>181</v>
      </c>
      <c r="Y192" s="24" t="s">
        <v>176</v>
      </c>
    </row>
    <row r="193" spans="1:25" s="24" customFormat="1" ht="11.1" customHeight="1" x14ac:dyDescent="0.2">
      <c r="A193" s="76">
        <f t="shared" si="20"/>
        <v>191</v>
      </c>
      <c r="B193" s="77" t="s">
        <v>317</v>
      </c>
      <c r="C193" s="76" t="str">
        <f>IF($B193&lt;&gt;"",_xlfn.IFNA(VLOOKUP($B193,'Node Details'!$B:$U,C$1,0),"Check"),"")</f>
        <v>AXY110107-AXY110202</v>
      </c>
      <c r="D193" s="76" t="str">
        <f>IF($B193&lt;&gt;"",_xlfn.IFNA(VLOOKUP($B193,'Node Details'!$B:$U,D$1,0),"Check"),"")</f>
        <v>AXY</v>
      </c>
      <c r="E193" s="76" t="str">
        <f>IF($B193&lt;&gt;"",_xlfn.IFNA(VLOOKUP($B193,'Node Details'!$B:$U,E$1,0),"Check"),"")</f>
        <v>Airtel</v>
      </c>
      <c r="F193" s="78">
        <v>46113</v>
      </c>
      <c r="G193" s="76"/>
      <c r="H193" s="9" t="s">
        <v>22</v>
      </c>
      <c r="I193" s="9">
        <v>2</v>
      </c>
      <c r="J193" s="9">
        <v>42</v>
      </c>
      <c r="K193" s="79">
        <f t="shared" si="26"/>
        <v>84</v>
      </c>
      <c r="L193" s="78">
        <v>46112</v>
      </c>
      <c r="N193" s="85"/>
      <c r="O193" s="86"/>
      <c r="P193" s="83">
        <f t="shared" si="21"/>
        <v>42</v>
      </c>
      <c r="Q193" s="83">
        <f t="shared" si="22"/>
        <v>84</v>
      </c>
      <c r="R193" s="83"/>
      <c r="S193" s="83"/>
      <c r="T193" s="87"/>
      <c r="U193" s="83">
        <f t="shared" si="23"/>
        <v>42</v>
      </c>
      <c r="V193" s="83">
        <f t="shared" si="24"/>
        <v>2</v>
      </c>
      <c r="W193" s="84">
        <f t="shared" si="25"/>
        <v>84</v>
      </c>
      <c r="X193" s="84" t="s">
        <v>181</v>
      </c>
      <c r="Y193" s="24" t="s">
        <v>176</v>
      </c>
    </row>
    <row r="194" spans="1:25" s="24" customFormat="1" ht="11.1" customHeight="1" x14ac:dyDescent="0.2">
      <c r="A194" s="76">
        <f t="shared" si="20"/>
        <v>192</v>
      </c>
      <c r="B194" s="77" t="s">
        <v>318</v>
      </c>
      <c r="C194" s="76" t="str">
        <f>IF($B194&lt;&gt;"",_xlfn.IFNA(VLOOKUP($B194,'Node Details'!$B:$U,C$1,0),"Check"),"")</f>
        <v>AXY110108-AXY110201</v>
      </c>
      <c r="D194" s="76" t="str">
        <f>IF($B194&lt;&gt;"",_xlfn.IFNA(VLOOKUP($B194,'Node Details'!$B:$U,D$1,0),"Check"),"")</f>
        <v>AXY</v>
      </c>
      <c r="E194" s="76" t="str">
        <f>IF($B194&lt;&gt;"",_xlfn.IFNA(VLOOKUP($B194,'Node Details'!$B:$U,E$1,0),"Check"),"")</f>
        <v>Airtel</v>
      </c>
      <c r="F194" s="78">
        <v>46113</v>
      </c>
      <c r="G194" s="76"/>
      <c r="H194" s="9" t="s">
        <v>22</v>
      </c>
      <c r="I194" s="9">
        <v>2</v>
      </c>
      <c r="J194" s="9">
        <v>42</v>
      </c>
      <c r="K194" s="79">
        <f t="shared" si="26"/>
        <v>84</v>
      </c>
      <c r="L194" s="78">
        <v>46112</v>
      </c>
      <c r="N194" s="85"/>
      <c r="O194" s="86"/>
      <c r="P194" s="83">
        <f t="shared" si="21"/>
        <v>42</v>
      </c>
      <c r="Q194" s="83">
        <f t="shared" si="22"/>
        <v>84</v>
      </c>
      <c r="R194" s="83"/>
      <c r="S194" s="83"/>
      <c r="T194" s="87"/>
      <c r="U194" s="83">
        <f t="shared" si="23"/>
        <v>42</v>
      </c>
      <c r="V194" s="83">
        <f t="shared" si="24"/>
        <v>2</v>
      </c>
      <c r="W194" s="84">
        <f t="shared" si="25"/>
        <v>84</v>
      </c>
      <c r="X194" s="84" t="s">
        <v>181</v>
      </c>
      <c r="Y194" s="24" t="s">
        <v>176</v>
      </c>
    </row>
    <row r="195" spans="1:25" s="24" customFormat="1" ht="11.1" customHeight="1" x14ac:dyDescent="0.2">
      <c r="A195" s="76">
        <f t="shared" si="20"/>
        <v>193</v>
      </c>
      <c r="B195" s="77" t="s">
        <v>320</v>
      </c>
      <c r="C195" s="76" t="str">
        <f>IF($B195&lt;&gt;"",_xlfn.IFNA(VLOOKUP($B195,'Node Details'!$B:$U,C$1,0),"Check"),"")</f>
        <v>0000AXY12-AXY120101</v>
      </c>
      <c r="D195" s="76" t="str">
        <f>IF($B195&lt;&gt;"",_xlfn.IFNA(VLOOKUP($B195,'Node Details'!$B:$U,D$1,0),"Check"),"")</f>
        <v>AXY</v>
      </c>
      <c r="E195" s="76" t="str">
        <f>IF($B195&lt;&gt;"",_xlfn.IFNA(VLOOKUP($B195,'Node Details'!$B:$U,E$1,0),"Check"),"")</f>
        <v>Airtel</v>
      </c>
      <c r="F195" s="78">
        <v>46113</v>
      </c>
      <c r="G195" s="76"/>
      <c r="H195" s="9" t="s">
        <v>22</v>
      </c>
      <c r="I195" s="9">
        <v>2</v>
      </c>
      <c r="J195" s="9">
        <v>42</v>
      </c>
      <c r="K195" s="79">
        <f t="shared" si="26"/>
        <v>84</v>
      </c>
      <c r="L195" s="78">
        <v>46112</v>
      </c>
      <c r="N195" s="85"/>
      <c r="O195" s="86"/>
      <c r="P195" s="83">
        <f t="shared" si="21"/>
        <v>42</v>
      </c>
      <c r="Q195" s="83">
        <f t="shared" si="22"/>
        <v>84</v>
      </c>
      <c r="R195" s="83"/>
      <c r="S195" s="83"/>
      <c r="T195" s="87"/>
      <c r="U195" s="83">
        <f t="shared" si="23"/>
        <v>42</v>
      </c>
      <c r="V195" s="83">
        <f t="shared" si="24"/>
        <v>2</v>
      </c>
      <c r="W195" s="84">
        <f t="shared" si="25"/>
        <v>84</v>
      </c>
      <c r="X195" s="84" t="s">
        <v>181</v>
      </c>
      <c r="Y195" s="24" t="s">
        <v>176</v>
      </c>
    </row>
    <row r="196" spans="1:25" s="24" customFormat="1" ht="11.1" customHeight="1" x14ac:dyDescent="0.2">
      <c r="A196" s="76">
        <f t="shared" ref="A196:A259" si="27">A195+1</f>
        <v>194</v>
      </c>
      <c r="B196" s="77" t="s">
        <v>321</v>
      </c>
      <c r="C196" s="76" t="str">
        <f>IF($B196&lt;&gt;"",_xlfn.IFNA(VLOOKUP($B196,'Node Details'!$B:$U,C$1,0),"Check"),"")</f>
        <v>0000AXY12-AXY120102</v>
      </c>
      <c r="D196" s="76" t="str">
        <f>IF($B196&lt;&gt;"",_xlfn.IFNA(VLOOKUP($B196,'Node Details'!$B:$U,D$1,0),"Check"),"")</f>
        <v>AXY</v>
      </c>
      <c r="E196" s="76" t="str">
        <f>IF($B196&lt;&gt;"",_xlfn.IFNA(VLOOKUP($B196,'Node Details'!$B:$U,E$1,0),"Check"),"")</f>
        <v>Airtel</v>
      </c>
      <c r="F196" s="78">
        <v>46113</v>
      </c>
      <c r="G196" s="76"/>
      <c r="H196" s="9" t="s">
        <v>22</v>
      </c>
      <c r="I196" s="9">
        <v>2</v>
      </c>
      <c r="J196" s="9">
        <v>42</v>
      </c>
      <c r="K196" s="79">
        <f t="shared" si="26"/>
        <v>84</v>
      </c>
      <c r="L196" s="78">
        <v>46112</v>
      </c>
      <c r="N196" s="85"/>
      <c r="O196" s="86"/>
      <c r="P196" s="83">
        <f t="shared" si="21"/>
        <v>42</v>
      </c>
      <c r="Q196" s="83">
        <f t="shared" si="22"/>
        <v>84</v>
      </c>
      <c r="R196" s="83"/>
      <c r="S196" s="83"/>
      <c r="T196" s="87"/>
      <c r="U196" s="83">
        <f t="shared" si="23"/>
        <v>42</v>
      </c>
      <c r="V196" s="83">
        <f t="shared" si="24"/>
        <v>2</v>
      </c>
      <c r="W196" s="84">
        <f t="shared" si="25"/>
        <v>84</v>
      </c>
      <c r="X196" s="84" t="s">
        <v>181</v>
      </c>
      <c r="Y196" s="24" t="s">
        <v>176</v>
      </c>
    </row>
    <row r="197" spans="1:25" s="24" customFormat="1" ht="11.1" customHeight="1" x14ac:dyDescent="0.2">
      <c r="A197" s="76">
        <f t="shared" si="27"/>
        <v>195</v>
      </c>
      <c r="B197" s="77" t="s">
        <v>322</v>
      </c>
      <c r="C197" s="76" t="str">
        <f>IF($B197&lt;&gt;"",_xlfn.IFNA(VLOOKUP($B197,'Node Details'!$B:$U,C$1,0),"Check"),"")</f>
        <v>0000AXY12-AXY120105</v>
      </c>
      <c r="D197" s="76" t="str">
        <f>IF($B197&lt;&gt;"",_xlfn.IFNA(VLOOKUP($B197,'Node Details'!$B:$U,D$1,0),"Check"),"")</f>
        <v>AXY</v>
      </c>
      <c r="E197" s="76" t="str">
        <f>IF($B197&lt;&gt;"",_xlfn.IFNA(VLOOKUP($B197,'Node Details'!$B:$U,E$1,0),"Check"),"")</f>
        <v>Airtel</v>
      </c>
      <c r="F197" s="78">
        <v>46113</v>
      </c>
      <c r="G197" s="76"/>
      <c r="H197" s="9" t="s">
        <v>22</v>
      </c>
      <c r="I197" s="9">
        <v>2</v>
      </c>
      <c r="J197" s="9">
        <v>42</v>
      </c>
      <c r="K197" s="79">
        <f t="shared" si="26"/>
        <v>84</v>
      </c>
      <c r="L197" s="78">
        <v>46112</v>
      </c>
      <c r="N197" s="85"/>
      <c r="O197" s="86"/>
      <c r="P197" s="83">
        <f t="shared" si="21"/>
        <v>42</v>
      </c>
      <c r="Q197" s="83">
        <f t="shared" si="22"/>
        <v>84</v>
      </c>
      <c r="R197" s="83"/>
      <c r="S197" s="83"/>
      <c r="T197" s="87"/>
      <c r="U197" s="83">
        <f t="shared" si="23"/>
        <v>42</v>
      </c>
      <c r="V197" s="83">
        <f t="shared" si="24"/>
        <v>2</v>
      </c>
      <c r="W197" s="84">
        <f t="shared" si="25"/>
        <v>84</v>
      </c>
      <c r="X197" s="84" t="s">
        <v>181</v>
      </c>
      <c r="Y197" s="24" t="s">
        <v>176</v>
      </c>
    </row>
    <row r="198" spans="1:25" s="24" customFormat="1" ht="11.1" customHeight="1" x14ac:dyDescent="0.2">
      <c r="A198" s="76">
        <f t="shared" si="27"/>
        <v>196</v>
      </c>
      <c r="B198" s="77" t="s">
        <v>323</v>
      </c>
      <c r="C198" s="76" t="str">
        <f>IF($B198&lt;&gt;"",_xlfn.IFNA(VLOOKUP($B198,'Node Details'!$B:$U,C$1,0),"Check"),"")</f>
        <v>0000AXY12-AXY120105</v>
      </c>
      <c r="D198" s="76" t="str">
        <f>IF($B198&lt;&gt;"",_xlfn.IFNA(VLOOKUP($B198,'Node Details'!$B:$U,D$1,0),"Check"),"")</f>
        <v>AXY</v>
      </c>
      <c r="E198" s="76" t="str">
        <f>IF($B198&lt;&gt;"",_xlfn.IFNA(VLOOKUP($B198,'Node Details'!$B:$U,E$1,0),"Check"),"")</f>
        <v>Airtel</v>
      </c>
      <c r="F198" s="78">
        <v>46113</v>
      </c>
      <c r="G198" s="76"/>
      <c r="H198" s="9" t="s">
        <v>22</v>
      </c>
      <c r="I198" s="9">
        <v>2</v>
      </c>
      <c r="J198" s="9">
        <v>42</v>
      </c>
      <c r="K198" s="79">
        <f t="shared" si="26"/>
        <v>84</v>
      </c>
      <c r="L198" s="78">
        <v>46112</v>
      </c>
      <c r="N198" s="85"/>
      <c r="O198" s="86"/>
      <c r="P198" s="83">
        <f t="shared" si="21"/>
        <v>42</v>
      </c>
      <c r="Q198" s="83">
        <f t="shared" si="22"/>
        <v>84</v>
      </c>
      <c r="R198" s="83"/>
      <c r="S198" s="83"/>
      <c r="T198" s="87"/>
      <c r="U198" s="83">
        <f t="shared" si="23"/>
        <v>42</v>
      </c>
      <c r="V198" s="83">
        <f t="shared" si="24"/>
        <v>2</v>
      </c>
      <c r="W198" s="84">
        <f t="shared" si="25"/>
        <v>84</v>
      </c>
      <c r="X198" s="84" t="s">
        <v>181</v>
      </c>
      <c r="Y198" s="24" t="s">
        <v>176</v>
      </c>
    </row>
    <row r="199" spans="1:25" s="24" customFormat="1" ht="11.1" customHeight="1" x14ac:dyDescent="0.2">
      <c r="A199" s="76">
        <f t="shared" si="27"/>
        <v>197</v>
      </c>
      <c r="B199" s="77" t="s">
        <v>325</v>
      </c>
      <c r="C199" s="76" t="str">
        <f>IF($B199&lt;&gt;"",_xlfn.IFNA(VLOOKUP($B199,'Node Details'!$B:$U,C$1,0),"Check"),"")</f>
        <v>0000AXY13-AXY130101</v>
      </c>
      <c r="D199" s="76" t="str">
        <f>IF($B199&lt;&gt;"",_xlfn.IFNA(VLOOKUP($B199,'Node Details'!$B:$U,D$1,0),"Check"),"")</f>
        <v>AXY</v>
      </c>
      <c r="E199" s="76" t="str">
        <f>IF($B199&lt;&gt;"",_xlfn.IFNA(VLOOKUP($B199,'Node Details'!$B:$U,E$1,0),"Check"),"")</f>
        <v>Airtel</v>
      </c>
      <c r="F199" s="78">
        <v>46113</v>
      </c>
      <c r="G199" s="76"/>
      <c r="H199" s="9" t="s">
        <v>22</v>
      </c>
      <c r="I199" s="9">
        <v>2</v>
      </c>
      <c r="J199" s="9">
        <v>42</v>
      </c>
      <c r="K199" s="79">
        <f t="shared" si="26"/>
        <v>84</v>
      </c>
      <c r="L199" s="78">
        <v>46112</v>
      </c>
      <c r="N199" s="85"/>
      <c r="O199" s="86"/>
      <c r="P199" s="83">
        <f t="shared" si="21"/>
        <v>42</v>
      </c>
      <c r="Q199" s="83">
        <f t="shared" si="22"/>
        <v>84</v>
      </c>
      <c r="R199" s="83"/>
      <c r="S199" s="83"/>
      <c r="T199" s="87"/>
      <c r="U199" s="83">
        <f t="shared" si="23"/>
        <v>42</v>
      </c>
      <c r="V199" s="83">
        <f t="shared" si="24"/>
        <v>2</v>
      </c>
      <c r="W199" s="84">
        <f t="shared" si="25"/>
        <v>84</v>
      </c>
      <c r="X199" s="84" t="s">
        <v>181</v>
      </c>
      <c r="Y199" s="24" t="s">
        <v>176</v>
      </c>
    </row>
    <row r="200" spans="1:25" s="24" customFormat="1" ht="11.1" customHeight="1" x14ac:dyDescent="0.2">
      <c r="A200" s="76">
        <f t="shared" si="27"/>
        <v>198</v>
      </c>
      <c r="B200" s="77" t="s">
        <v>326</v>
      </c>
      <c r="C200" s="76" t="str">
        <f>IF($B200&lt;&gt;"",_xlfn.IFNA(VLOOKUP($B200,'Node Details'!$B:$U,C$1,0),"Check"),"")</f>
        <v>0000AXY13-AXY130104</v>
      </c>
      <c r="D200" s="76" t="str">
        <f>IF($B200&lt;&gt;"",_xlfn.IFNA(VLOOKUP($B200,'Node Details'!$B:$U,D$1,0),"Check"),"")</f>
        <v>AXY</v>
      </c>
      <c r="E200" s="76" t="str">
        <f>IF($B200&lt;&gt;"",_xlfn.IFNA(VLOOKUP($B200,'Node Details'!$B:$U,E$1,0),"Check"),"")</f>
        <v>Airtel</v>
      </c>
      <c r="F200" s="78">
        <v>46113</v>
      </c>
      <c r="G200" s="76"/>
      <c r="H200" s="9" t="s">
        <v>22</v>
      </c>
      <c r="I200" s="9">
        <v>2</v>
      </c>
      <c r="J200" s="9">
        <v>42</v>
      </c>
      <c r="K200" s="79">
        <f t="shared" si="26"/>
        <v>84</v>
      </c>
      <c r="L200" s="78">
        <v>46112</v>
      </c>
      <c r="N200" s="85"/>
      <c r="O200" s="86"/>
      <c r="P200" s="83">
        <f t="shared" si="21"/>
        <v>42</v>
      </c>
      <c r="Q200" s="83">
        <f t="shared" si="22"/>
        <v>84</v>
      </c>
      <c r="R200" s="83"/>
      <c r="S200" s="83"/>
      <c r="T200" s="87"/>
      <c r="U200" s="83">
        <f t="shared" si="23"/>
        <v>42</v>
      </c>
      <c r="V200" s="83">
        <f t="shared" si="24"/>
        <v>2</v>
      </c>
      <c r="W200" s="84">
        <f t="shared" si="25"/>
        <v>84</v>
      </c>
      <c r="X200" s="84" t="s">
        <v>181</v>
      </c>
      <c r="Y200" s="24" t="s">
        <v>176</v>
      </c>
    </row>
    <row r="201" spans="1:25" s="24" customFormat="1" ht="11.1" customHeight="1" x14ac:dyDescent="0.2">
      <c r="A201" s="76">
        <f t="shared" si="27"/>
        <v>199</v>
      </c>
      <c r="B201" s="77" t="s">
        <v>327</v>
      </c>
      <c r="C201" s="76" t="str">
        <f>IF($B201&lt;&gt;"",_xlfn.IFNA(VLOOKUP($B201,'Node Details'!$B:$U,C$1,0),"Check"),"")</f>
        <v>0000AXY13-AXY130104</v>
      </c>
      <c r="D201" s="76" t="str">
        <f>IF($B201&lt;&gt;"",_xlfn.IFNA(VLOOKUP($B201,'Node Details'!$B:$U,D$1,0),"Check"),"")</f>
        <v>AXY</v>
      </c>
      <c r="E201" s="76" t="str">
        <f>IF($B201&lt;&gt;"",_xlfn.IFNA(VLOOKUP($B201,'Node Details'!$B:$U,E$1,0),"Check"),"")</f>
        <v>Airtel</v>
      </c>
      <c r="F201" s="78">
        <v>46113</v>
      </c>
      <c r="G201" s="76"/>
      <c r="H201" s="9" t="s">
        <v>22</v>
      </c>
      <c r="I201" s="9">
        <v>2</v>
      </c>
      <c r="J201" s="9">
        <v>42</v>
      </c>
      <c r="K201" s="79">
        <f t="shared" si="26"/>
        <v>84</v>
      </c>
      <c r="L201" s="78">
        <v>46112</v>
      </c>
      <c r="N201" s="85"/>
      <c r="O201" s="86"/>
      <c r="P201" s="83">
        <f t="shared" si="21"/>
        <v>42</v>
      </c>
      <c r="Q201" s="83">
        <f t="shared" si="22"/>
        <v>84</v>
      </c>
      <c r="R201" s="83"/>
      <c r="S201" s="83"/>
      <c r="T201" s="87"/>
      <c r="U201" s="83">
        <f t="shared" si="23"/>
        <v>42</v>
      </c>
      <c r="V201" s="83">
        <f t="shared" si="24"/>
        <v>2</v>
      </c>
      <c r="W201" s="84">
        <f t="shared" si="25"/>
        <v>84</v>
      </c>
      <c r="X201" s="84" t="s">
        <v>181</v>
      </c>
      <c r="Y201" s="24" t="s">
        <v>176</v>
      </c>
    </row>
    <row r="202" spans="1:25" s="24" customFormat="1" ht="11.1" customHeight="1" x14ac:dyDescent="0.2">
      <c r="A202" s="76">
        <f t="shared" si="27"/>
        <v>200</v>
      </c>
      <c r="B202" s="77" t="s">
        <v>328</v>
      </c>
      <c r="C202" s="76" t="str">
        <f>IF($B202&lt;&gt;"",_xlfn.IFNA(VLOOKUP($B202,'Node Details'!$B:$U,C$1,0),"Check"),"")</f>
        <v>0000AXY13-AXY130104</v>
      </c>
      <c r="D202" s="76" t="str">
        <f>IF($B202&lt;&gt;"",_xlfn.IFNA(VLOOKUP($B202,'Node Details'!$B:$U,D$1,0),"Check"),"")</f>
        <v>AXY</v>
      </c>
      <c r="E202" s="76" t="str">
        <f>IF($B202&lt;&gt;"",_xlfn.IFNA(VLOOKUP($B202,'Node Details'!$B:$U,E$1,0),"Check"),"")</f>
        <v>Airtel</v>
      </c>
      <c r="F202" s="78">
        <v>46113</v>
      </c>
      <c r="G202" s="76"/>
      <c r="H202" s="9" t="s">
        <v>22</v>
      </c>
      <c r="I202" s="9">
        <v>2</v>
      </c>
      <c r="J202" s="9">
        <v>42</v>
      </c>
      <c r="K202" s="79">
        <f t="shared" si="26"/>
        <v>84</v>
      </c>
      <c r="L202" s="78">
        <v>46112</v>
      </c>
      <c r="N202" s="85"/>
      <c r="O202" s="86"/>
      <c r="P202" s="83">
        <f t="shared" si="21"/>
        <v>42</v>
      </c>
      <c r="Q202" s="83">
        <f t="shared" si="22"/>
        <v>84</v>
      </c>
      <c r="R202" s="83"/>
      <c r="S202" s="83"/>
      <c r="T202" s="87"/>
      <c r="U202" s="83">
        <f t="shared" si="23"/>
        <v>42</v>
      </c>
      <c r="V202" s="83">
        <f t="shared" si="24"/>
        <v>2</v>
      </c>
      <c r="W202" s="84">
        <f t="shared" si="25"/>
        <v>84</v>
      </c>
      <c r="X202" s="84" t="s">
        <v>181</v>
      </c>
      <c r="Y202" s="24" t="s">
        <v>176</v>
      </c>
    </row>
    <row r="203" spans="1:25" s="24" customFormat="1" ht="11.1" customHeight="1" x14ac:dyDescent="0.2">
      <c r="A203" s="76">
        <f t="shared" si="27"/>
        <v>201</v>
      </c>
      <c r="B203" s="77" t="s">
        <v>329</v>
      </c>
      <c r="C203" s="76" t="str">
        <f>IF($B203&lt;&gt;"",_xlfn.IFNA(VLOOKUP($B203,'Node Details'!$B:$U,C$1,0),"Check"),"")</f>
        <v>0000AXY13-AXY130108</v>
      </c>
      <c r="D203" s="76" t="str">
        <f>IF($B203&lt;&gt;"",_xlfn.IFNA(VLOOKUP($B203,'Node Details'!$B:$U,D$1,0),"Check"),"")</f>
        <v>AXY</v>
      </c>
      <c r="E203" s="76" t="str">
        <f>IF($B203&lt;&gt;"",_xlfn.IFNA(VLOOKUP($B203,'Node Details'!$B:$U,E$1,0),"Check"),"")</f>
        <v>Airtel</v>
      </c>
      <c r="F203" s="78">
        <v>46113</v>
      </c>
      <c r="G203" s="76"/>
      <c r="H203" s="9" t="s">
        <v>22</v>
      </c>
      <c r="I203" s="9">
        <v>2</v>
      </c>
      <c r="J203" s="9">
        <v>42</v>
      </c>
      <c r="K203" s="79">
        <f t="shared" si="26"/>
        <v>84</v>
      </c>
      <c r="L203" s="78">
        <v>46112</v>
      </c>
      <c r="N203" s="85"/>
      <c r="O203" s="86"/>
      <c r="P203" s="83">
        <f t="shared" si="21"/>
        <v>42</v>
      </c>
      <c r="Q203" s="83">
        <f t="shared" si="22"/>
        <v>84</v>
      </c>
      <c r="R203" s="83"/>
      <c r="S203" s="83"/>
      <c r="T203" s="87"/>
      <c r="U203" s="83">
        <f t="shared" si="23"/>
        <v>42</v>
      </c>
      <c r="V203" s="83">
        <f t="shared" si="24"/>
        <v>2</v>
      </c>
      <c r="W203" s="84">
        <f t="shared" si="25"/>
        <v>84</v>
      </c>
      <c r="X203" s="84" t="s">
        <v>181</v>
      </c>
      <c r="Y203" s="24" t="s">
        <v>176</v>
      </c>
    </row>
    <row r="204" spans="1:25" s="24" customFormat="1" ht="11.1" customHeight="1" x14ac:dyDescent="0.2">
      <c r="A204" s="76">
        <f t="shared" si="27"/>
        <v>202</v>
      </c>
      <c r="B204" s="77" t="s">
        <v>330</v>
      </c>
      <c r="C204" s="76" t="str">
        <f>IF($B204&lt;&gt;"",_xlfn.IFNA(VLOOKUP($B204,'Node Details'!$B:$U,C$1,0),"Check"),"")</f>
        <v>0000AXY13-AXY130108</v>
      </c>
      <c r="D204" s="76" t="str">
        <f>IF($B204&lt;&gt;"",_xlfn.IFNA(VLOOKUP($B204,'Node Details'!$B:$U,D$1,0),"Check"),"")</f>
        <v>AXY</v>
      </c>
      <c r="E204" s="76" t="str">
        <f>IF($B204&lt;&gt;"",_xlfn.IFNA(VLOOKUP($B204,'Node Details'!$B:$U,E$1,0),"Check"),"")</f>
        <v>Airtel</v>
      </c>
      <c r="F204" s="78">
        <v>46113</v>
      </c>
      <c r="G204" s="76"/>
      <c r="H204" s="9" t="s">
        <v>22</v>
      </c>
      <c r="I204" s="9">
        <v>2</v>
      </c>
      <c r="J204" s="9">
        <v>42</v>
      </c>
      <c r="K204" s="79">
        <f t="shared" si="26"/>
        <v>84</v>
      </c>
      <c r="L204" s="78">
        <v>46112</v>
      </c>
      <c r="N204" s="85"/>
      <c r="O204" s="86"/>
      <c r="P204" s="83">
        <f t="shared" si="21"/>
        <v>42</v>
      </c>
      <c r="Q204" s="83">
        <f t="shared" si="22"/>
        <v>84</v>
      </c>
      <c r="R204" s="83"/>
      <c r="S204" s="83"/>
      <c r="T204" s="87"/>
      <c r="U204" s="83">
        <f t="shared" si="23"/>
        <v>42</v>
      </c>
      <c r="V204" s="83">
        <f t="shared" si="24"/>
        <v>2</v>
      </c>
      <c r="W204" s="84">
        <f t="shared" si="25"/>
        <v>84</v>
      </c>
      <c r="X204" s="84" t="s">
        <v>181</v>
      </c>
      <c r="Y204" s="24" t="s">
        <v>176</v>
      </c>
    </row>
    <row r="205" spans="1:25" s="24" customFormat="1" ht="11.1" customHeight="1" x14ac:dyDescent="0.2">
      <c r="A205" s="76">
        <f t="shared" si="27"/>
        <v>203</v>
      </c>
      <c r="B205" s="77" t="s">
        <v>331</v>
      </c>
      <c r="C205" s="76" t="str">
        <f>IF($B205&lt;&gt;"",_xlfn.IFNA(VLOOKUP($B205,'Node Details'!$B:$U,C$1,0),"Check"),"")</f>
        <v>0000AXY13-AXY130108</v>
      </c>
      <c r="D205" s="76" t="str">
        <f>IF($B205&lt;&gt;"",_xlfn.IFNA(VLOOKUP($B205,'Node Details'!$B:$U,D$1,0),"Check"),"")</f>
        <v>AXY</v>
      </c>
      <c r="E205" s="76" t="str">
        <f>IF($B205&lt;&gt;"",_xlfn.IFNA(VLOOKUP($B205,'Node Details'!$B:$U,E$1,0),"Check"),"")</f>
        <v>Airtel</v>
      </c>
      <c r="F205" s="78">
        <v>46113</v>
      </c>
      <c r="G205" s="76"/>
      <c r="H205" s="9" t="s">
        <v>22</v>
      </c>
      <c r="I205" s="9">
        <v>2</v>
      </c>
      <c r="J205" s="9">
        <v>42</v>
      </c>
      <c r="K205" s="79">
        <f t="shared" si="26"/>
        <v>84</v>
      </c>
      <c r="L205" s="78">
        <v>46112</v>
      </c>
      <c r="N205" s="85"/>
      <c r="O205" s="86"/>
      <c r="P205" s="83">
        <f t="shared" si="21"/>
        <v>42</v>
      </c>
      <c r="Q205" s="83">
        <f t="shared" si="22"/>
        <v>84</v>
      </c>
      <c r="R205" s="83"/>
      <c r="S205" s="83"/>
      <c r="T205" s="87"/>
      <c r="U205" s="83">
        <f t="shared" si="23"/>
        <v>42</v>
      </c>
      <c r="V205" s="83">
        <f t="shared" si="24"/>
        <v>2</v>
      </c>
      <c r="W205" s="84">
        <f t="shared" si="25"/>
        <v>84</v>
      </c>
      <c r="X205" s="84" t="s">
        <v>181</v>
      </c>
      <c r="Y205" s="24" t="s">
        <v>176</v>
      </c>
    </row>
    <row r="206" spans="1:25" s="24" customFormat="1" ht="11.1" customHeight="1" x14ac:dyDescent="0.2">
      <c r="A206" s="76">
        <f t="shared" si="27"/>
        <v>204</v>
      </c>
      <c r="B206" s="77" t="s">
        <v>332</v>
      </c>
      <c r="C206" s="76" t="str">
        <f>IF($B206&lt;&gt;"",_xlfn.IFNA(VLOOKUP($B206,'Node Details'!$B:$U,C$1,0),"Check"),"")</f>
        <v>0000AXY13-AXY130108</v>
      </c>
      <c r="D206" s="76" t="str">
        <f>IF($B206&lt;&gt;"",_xlfn.IFNA(VLOOKUP($B206,'Node Details'!$B:$U,D$1,0),"Check"),"")</f>
        <v>AXY</v>
      </c>
      <c r="E206" s="76" t="str">
        <f>IF($B206&lt;&gt;"",_xlfn.IFNA(VLOOKUP($B206,'Node Details'!$B:$U,E$1,0),"Check"),"")</f>
        <v>Airtel</v>
      </c>
      <c r="F206" s="78">
        <v>46113</v>
      </c>
      <c r="G206" s="76"/>
      <c r="H206" s="9" t="s">
        <v>22</v>
      </c>
      <c r="I206" s="9">
        <v>2</v>
      </c>
      <c r="J206" s="9">
        <v>42</v>
      </c>
      <c r="K206" s="79">
        <f t="shared" si="26"/>
        <v>84</v>
      </c>
      <c r="L206" s="78">
        <v>46112</v>
      </c>
      <c r="N206" s="85"/>
      <c r="O206" s="86"/>
      <c r="P206" s="83">
        <f t="shared" si="21"/>
        <v>42</v>
      </c>
      <c r="Q206" s="83">
        <f t="shared" si="22"/>
        <v>84</v>
      </c>
      <c r="R206" s="83"/>
      <c r="S206" s="83"/>
      <c r="T206" s="87"/>
      <c r="U206" s="83">
        <f t="shared" si="23"/>
        <v>42</v>
      </c>
      <c r="V206" s="83">
        <f t="shared" si="24"/>
        <v>2</v>
      </c>
      <c r="W206" s="84">
        <f t="shared" si="25"/>
        <v>84</v>
      </c>
      <c r="X206" s="84" t="s">
        <v>181</v>
      </c>
      <c r="Y206" s="24" t="s">
        <v>176</v>
      </c>
    </row>
    <row r="207" spans="1:25" s="24" customFormat="1" ht="11.1" customHeight="1" x14ac:dyDescent="0.2">
      <c r="A207" s="76">
        <f t="shared" si="27"/>
        <v>205</v>
      </c>
      <c r="B207" s="77" t="s">
        <v>334</v>
      </c>
      <c r="C207" s="76" t="str">
        <f>IF($B207&lt;&gt;"",_xlfn.IFNA(VLOOKUP($B207,'Node Details'!$B:$U,C$1,0),"Check"),"")</f>
        <v>0000AXY14-AXY140102</v>
      </c>
      <c r="D207" s="76" t="str">
        <f>IF($B207&lt;&gt;"",_xlfn.IFNA(VLOOKUP($B207,'Node Details'!$B:$U,D$1,0),"Check"),"")</f>
        <v>AXY</v>
      </c>
      <c r="E207" s="76" t="str">
        <f>IF($B207&lt;&gt;"",_xlfn.IFNA(VLOOKUP($B207,'Node Details'!$B:$U,E$1,0),"Check"),"")</f>
        <v>Airtel</v>
      </c>
      <c r="F207" s="78">
        <v>46113</v>
      </c>
      <c r="G207" s="76"/>
      <c r="H207" s="9" t="s">
        <v>22</v>
      </c>
      <c r="I207" s="9">
        <v>2</v>
      </c>
      <c r="J207" s="9">
        <v>42</v>
      </c>
      <c r="K207" s="79">
        <f t="shared" si="26"/>
        <v>84</v>
      </c>
      <c r="L207" s="78">
        <v>46112</v>
      </c>
      <c r="N207" s="85"/>
      <c r="O207" s="86"/>
      <c r="P207" s="83">
        <f t="shared" si="21"/>
        <v>42</v>
      </c>
      <c r="Q207" s="83">
        <f t="shared" si="22"/>
        <v>84</v>
      </c>
      <c r="R207" s="83"/>
      <c r="S207" s="83"/>
      <c r="T207" s="87"/>
      <c r="U207" s="83">
        <f t="shared" si="23"/>
        <v>42</v>
      </c>
      <c r="V207" s="83">
        <f t="shared" si="24"/>
        <v>2</v>
      </c>
      <c r="W207" s="84">
        <f t="shared" si="25"/>
        <v>84</v>
      </c>
      <c r="X207" s="84" t="s">
        <v>181</v>
      </c>
      <c r="Y207" s="24" t="s">
        <v>176</v>
      </c>
    </row>
    <row r="208" spans="1:25" s="24" customFormat="1" ht="11.1" customHeight="1" x14ac:dyDescent="0.2">
      <c r="A208" s="76">
        <f t="shared" si="27"/>
        <v>206</v>
      </c>
      <c r="B208" s="77" t="s">
        <v>335</v>
      </c>
      <c r="C208" s="76" t="str">
        <f>IF($B208&lt;&gt;"",_xlfn.IFNA(VLOOKUP($B208,'Node Details'!$B:$U,C$1,0),"Check"),"")</f>
        <v>0000AXY14-AXY140101</v>
      </c>
      <c r="D208" s="76" t="str">
        <f>IF($B208&lt;&gt;"",_xlfn.IFNA(VLOOKUP($B208,'Node Details'!$B:$U,D$1,0),"Check"),"")</f>
        <v>AXY</v>
      </c>
      <c r="E208" s="76" t="str">
        <f>IF($B208&lt;&gt;"",_xlfn.IFNA(VLOOKUP($B208,'Node Details'!$B:$U,E$1,0),"Check"),"")</f>
        <v>Airtel</v>
      </c>
      <c r="F208" s="78">
        <v>46113</v>
      </c>
      <c r="G208" s="76"/>
      <c r="H208" s="9" t="s">
        <v>22</v>
      </c>
      <c r="I208" s="9">
        <v>2</v>
      </c>
      <c r="J208" s="9">
        <v>42</v>
      </c>
      <c r="K208" s="79">
        <f t="shared" si="26"/>
        <v>84</v>
      </c>
      <c r="L208" s="78">
        <v>46112</v>
      </c>
      <c r="N208" s="85"/>
      <c r="O208" s="86"/>
      <c r="P208" s="83">
        <f t="shared" si="21"/>
        <v>42</v>
      </c>
      <c r="Q208" s="83">
        <f t="shared" si="22"/>
        <v>84</v>
      </c>
      <c r="R208" s="83"/>
      <c r="S208" s="83"/>
      <c r="T208" s="87"/>
      <c r="U208" s="83">
        <f t="shared" si="23"/>
        <v>42</v>
      </c>
      <c r="V208" s="83">
        <f t="shared" si="24"/>
        <v>2</v>
      </c>
      <c r="W208" s="84">
        <f t="shared" si="25"/>
        <v>84</v>
      </c>
      <c r="X208" s="84" t="s">
        <v>181</v>
      </c>
      <c r="Y208" s="24" t="s">
        <v>176</v>
      </c>
    </row>
    <row r="209" spans="1:25" s="24" customFormat="1" ht="11.1" customHeight="1" x14ac:dyDescent="0.2">
      <c r="A209" s="76">
        <f t="shared" si="27"/>
        <v>207</v>
      </c>
      <c r="B209" s="77" t="s">
        <v>336</v>
      </c>
      <c r="C209" s="76" t="str">
        <f>IF($B209&lt;&gt;"",_xlfn.IFNA(VLOOKUP($B209,'Node Details'!$B:$U,C$1,0),"Check"),"")</f>
        <v>0000AXY14-AXY140202</v>
      </c>
      <c r="D209" s="76" t="str">
        <f>IF($B209&lt;&gt;"",_xlfn.IFNA(VLOOKUP($B209,'Node Details'!$B:$U,D$1,0),"Check"),"")</f>
        <v>AXY</v>
      </c>
      <c r="E209" s="76" t="str">
        <f>IF($B209&lt;&gt;"",_xlfn.IFNA(VLOOKUP($B209,'Node Details'!$B:$U,E$1,0),"Check"),"")</f>
        <v>Airtel</v>
      </c>
      <c r="F209" s="78">
        <v>46113</v>
      </c>
      <c r="G209" s="76"/>
      <c r="H209" s="9" t="s">
        <v>22</v>
      </c>
      <c r="I209" s="9">
        <v>2</v>
      </c>
      <c r="J209" s="9">
        <v>42</v>
      </c>
      <c r="K209" s="79">
        <f t="shared" si="26"/>
        <v>84</v>
      </c>
      <c r="L209" s="78">
        <v>46112</v>
      </c>
      <c r="N209" s="85"/>
      <c r="O209" s="86"/>
      <c r="P209" s="83">
        <f t="shared" si="21"/>
        <v>42</v>
      </c>
      <c r="Q209" s="83">
        <f t="shared" si="22"/>
        <v>84</v>
      </c>
      <c r="R209" s="83"/>
      <c r="S209" s="83"/>
      <c r="T209" s="87"/>
      <c r="U209" s="83">
        <f t="shared" si="23"/>
        <v>42</v>
      </c>
      <c r="V209" s="83">
        <f t="shared" si="24"/>
        <v>2</v>
      </c>
      <c r="W209" s="84">
        <f t="shared" si="25"/>
        <v>84</v>
      </c>
      <c r="X209" s="84" t="s">
        <v>181</v>
      </c>
      <c r="Y209" s="24" t="s">
        <v>176</v>
      </c>
    </row>
    <row r="210" spans="1:25" s="24" customFormat="1" ht="11.1" customHeight="1" x14ac:dyDescent="0.2">
      <c r="A210" s="76">
        <f t="shared" si="27"/>
        <v>208</v>
      </c>
      <c r="B210" s="77" t="s">
        <v>337</v>
      </c>
      <c r="C210" s="76" t="str">
        <f>IF($B210&lt;&gt;"",_xlfn.IFNA(VLOOKUP($B210,'Node Details'!$B:$U,C$1,0),"Check"),"")</f>
        <v>0000AXY14-AXY140202</v>
      </c>
      <c r="D210" s="76" t="str">
        <f>IF($B210&lt;&gt;"",_xlfn.IFNA(VLOOKUP($B210,'Node Details'!$B:$U,D$1,0),"Check"),"")</f>
        <v>AXY</v>
      </c>
      <c r="E210" s="76" t="str">
        <f>IF($B210&lt;&gt;"",_xlfn.IFNA(VLOOKUP($B210,'Node Details'!$B:$U,E$1,0),"Check"),"")</f>
        <v>Airtel</v>
      </c>
      <c r="F210" s="78">
        <v>46113</v>
      </c>
      <c r="G210" s="76"/>
      <c r="H210" s="9" t="s">
        <v>22</v>
      </c>
      <c r="I210" s="9">
        <v>2</v>
      </c>
      <c r="J210" s="9">
        <v>42</v>
      </c>
      <c r="K210" s="79">
        <f t="shared" si="26"/>
        <v>84</v>
      </c>
      <c r="L210" s="78">
        <v>46112</v>
      </c>
      <c r="N210" s="85"/>
      <c r="O210" s="86"/>
      <c r="P210" s="83">
        <f t="shared" si="21"/>
        <v>42</v>
      </c>
      <c r="Q210" s="83">
        <f t="shared" si="22"/>
        <v>84</v>
      </c>
      <c r="R210" s="83"/>
      <c r="S210" s="83"/>
      <c r="T210" s="87"/>
      <c r="U210" s="83">
        <f t="shared" si="23"/>
        <v>42</v>
      </c>
      <c r="V210" s="83">
        <f t="shared" si="24"/>
        <v>2</v>
      </c>
      <c r="W210" s="84">
        <f t="shared" si="25"/>
        <v>84</v>
      </c>
      <c r="X210" s="84" t="s">
        <v>181</v>
      </c>
      <c r="Y210" s="24" t="s">
        <v>176</v>
      </c>
    </row>
    <row r="211" spans="1:25" s="24" customFormat="1" ht="11.1" customHeight="1" x14ac:dyDescent="0.2">
      <c r="A211" s="76">
        <f t="shared" si="27"/>
        <v>209</v>
      </c>
      <c r="B211" s="77" t="s">
        <v>338</v>
      </c>
      <c r="C211" s="76" t="str">
        <f>IF($B211&lt;&gt;"",_xlfn.IFNA(VLOOKUP($B211,'Node Details'!$B:$U,C$1,0),"Check"),"")</f>
        <v>0000AXY14-AXY140202</v>
      </c>
      <c r="D211" s="76" t="str">
        <f>IF($B211&lt;&gt;"",_xlfn.IFNA(VLOOKUP($B211,'Node Details'!$B:$U,D$1,0),"Check"),"")</f>
        <v>AXY</v>
      </c>
      <c r="E211" s="76" t="str">
        <f>IF($B211&lt;&gt;"",_xlfn.IFNA(VLOOKUP($B211,'Node Details'!$B:$U,E$1,0),"Check"),"")</f>
        <v>Airtel</v>
      </c>
      <c r="F211" s="78">
        <v>46113</v>
      </c>
      <c r="G211" s="76"/>
      <c r="H211" s="9" t="s">
        <v>22</v>
      </c>
      <c r="I211" s="9">
        <v>2</v>
      </c>
      <c r="J211" s="9">
        <v>42</v>
      </c>
      <c r="K211" s="79">
        <f t="shared" si="26"/>
        <v>84</v>
      </c>
      <c r="L211" s="78">
        <v>46112</v>
      </c>
      <c r="N211" s="85"/>
      <c r="O211" s="86"/>
      <c r="P211" s="83">
        <f t="shared" si="21"/>
        <v>42</v>
      </c>
      <c r="Q211" s="83">
        <f t="shared" si="22"/>
        <v>84</v>
      </c>
      <c r="R211" s="83"/>
      <c r="S211" s="83"/>
      <c r="T211" s="87"/>
      <c r="U211" s="83">
        <f t="shared" si="23"/>
        <v>42</v>
      </c>
      <c r="V211" s="83">
        <f t="shared" si="24"/>
        <v>2</v>
      </c>
      <c r="W211" s="84">
        <f t="shared" si="25"/>
        <v>84</v>
      </c>
      <c r="X211" s="84" t="s">
        <v>181</v>
      </c>
      <c r="Y211" s="24" t="s">
        <v>176</v>
      </c>
    </row>
    <row r="212" spans="1:25" s="24" customFormat="1" ht="11.1" customHeight="1" x14ac:dyDescent="0.2">
      <c r="A212" s="76">
        <f t="shared" si="27"/>
        <v>210</v>
      </c>
      <c r="B212" s="77" t="s">
        <v>339</v>
      </c>
      <c r="C212" s="76" t="str">
        <f>IF($B212&lt;&gt;"",_xlfn.IFNA(VLOOKUP($B212,'Node Details'!$B:$U,C$1,0),"Check"),"")</f>
        <v>AXY140202-AXY140203</v>
      </c>
      <c r="D212" s="76" t="str">
        <f>IF($B212&lt;&gt;"",_xlfn.IFNA(VLOOKUP($B212,'Node Details'!$B:$U,D$1,0),"Check"),"")</f>
        <v>AXY</v>
      </c>
      <c r="E212" s="76" t="str">
        <f>IF($B212&lt;&gt;"",_xlfn.IFNA(VLOOKUP($B212,'Node Details'!$B:$U,E$1,0),"Check"),"")</f>
        <v>Airtel</v>
      </c>
      <c r="F212" s="78">
        <v>46113</v>
      </c>
      <c r="G212" s="76"/>
      <c r="H212" s="9" t="s">
        <v>22</v>
      </c>
      <c r="I212" s="9">
        <v>2</v>
      </c>
      <c r="J212" s="9">
        <v>42</v>
      </c>
      <c r="K212" s="79">
        <f t="shared" si="26"/>
        <v>84</v>
      </c>
      <c r="L212" s="78">
        <v>46112</v>
      </c>
      <c r="N212" s="85"/>
      <c r="O212" s="86"/>
      <c r="P212" s="83">
        <f t="shared" si="21"/>
        <v>42</v>
      </c>
      <c r="Q212" s="83">
        <f t="shared" si="22"/>
        <v>84</v>
      </c>
      <c r="R212" s="83"/>
      <c r="S212" s="83"/>
      <c r="T212" s="87"/>
      <c r="U212" s="83">
        <f t="shared" si="23"/>
        <v>42</v>
      </c>
      <c r="V212" s="83">
        <f t="shared" si="24"/>
        <v>2</v>
      </c>
      <c r="W212" s="84">
        <f t="shared" si="25"/>
        <v>84</v>
      </c>
      <c r="X212" s="84" t="s">
        <v>181</v>
      </c>
      <c r="Y212" s="24" t="s">
        <v>176</v>
      </c>
    </row>
    <row r="213" spans="1:25" s="24" customFormat="1" ht="11.1" customHeight="1" x14ac:dyDescent="0.2">
      <c r="A213" s="76">
        <f t="shared" si="27"/>
        <v>211</v>
      </c>
      <c r="B213" s="77" t="s">
        <v>340</v>
      </c>
      <c r="C213" s="76" t="str">
        <f>IF($B213&lt;&gt;"",_xlfn.IFNA(VLOOKUP($B213,'Node Details'!$B:$U,C$1,0),"Check"),"")</f>
        <v>AXY140108-AXY140104</v>
      </c>
      <c r="D213" s="76" t="str">
        <f>IF($B213&lt;&gt;"",_xlfn.IFNA(VLOOKUP($B213,'Node Details'!$B:$U,D$1,0),"Check"),"")</f>
        <v>AXY</v>
      </c>
      <c r="E213" s="76" t="str">
        <f>IF($B213&lt;&gt;"",_xlfn.IFNA(VLOOKUP($B213,'Node Details'!$B:$U,E$1,0),"Check"),"")</f>
        <v>Airtel</v>
      </c>
      <c r="F213" s="78">
        <v>46113</v>
      </c>
      <c r="G213" s="76"/>
      <c r="H213" s="9" t="s">
        <v>22</v>
      </c>
      <c r="I213" s="9">
        <v>2</v>
      </c>
      <c r="J213" s="9">
        <v>42</v>
      </c>
      <c r="K213" s="79">
        <f t="shared" si="26"/>
        <v>84</v>
      </c>
      <c r="L213" s="78">
        <v>46112</v>
      </c>
      <c r="N213" s="85"/>
      <c r="O213" s="86"/>
      <c r="P213" s="83">
        <f t="shared" si="21"/>
        <v>42</v>
      </c>
      <c r="Q213" s="83">
        <f t="shared" si="22"/>
        <v>84</v>
      </c>
      <c r="R213" s="83"/>
      <c r="S213" s="83"/>
      <c r="T213" s="87"/>
      <c r="U213" s="83">
        <f t="shared" si="23"/>
        <v>42</v>
      </c>
      <c r="V213" s="83">
        <f t="shared" si="24"/>
        <v>2</v>
      </c>
      <c r="W213" s="84">
        <f t="shared" si="25"/>
        <v>84</v>
      </c>
      <c r="X213" s="84" t="s">
        <v>181</v>
      </c>
      <c r="Y213" s="24" t="s">
        <v>176</v>
      </c>
    </row>
    <row r="214" spans="1:25" s="24" customFormat="1" ht="11.1" customHeight="1" x14ac:dyDescent="0.2">
      <c r="A214" s="76">
        <f t="shared" si="27"/>
        <v>212</v>
      </c>
      <c r="B214" s="77" t="s">
        <v>341</v>
      </c>
      <c r="C214" s="76" t="str">
        <f>IF($B214&lt;&gt;"",_xlfn.IFNA(VLOOKUP($B214,'Node Details'!$B:$U,C$1,0),"Check"),"")</f>
        <v>AXY140108-AXY140104</v>
      </c>
      <c r="D214" s="76" t="str">
        <f>IF($B214&lt;&gt;"",_xlfn.IFNA(VLOOKUP($B214,'Node Details'!$B:$U,D$1,0),"Check"),"")</f>
        <v>AXY</v>
      </c>
      <c r="E214" s="76" t="str">
        <f>IF($B214&lt;&gt;"",_xlfn.IFNA(VLOOKUP($B214,'Node Details'!$B:$U,E$1,0),"Check"),"")</f>
        <v>Airtel</v>
      </c>
      <c r="F214" s="78">
        <v>46113</v>
      </c>
      <c r="G214" s="76"/>
      <c r="H214" s="9" t="s">
        <v>22</v>
      </c>
      <c r="I214" s="9">
        <v>2</v>
      </c>
      <c r="J214" s="9">
        <v>42</v>
      </c>
      <c r="K214" s="79">
        <f t="shared" si="26"/>
        <v>84</v>
      </c>
      <c r="L214" s="78">
        <v>46112</v>
      </c>
      <c r="N214" s="85"/>
      <c r="O214" s="86"/>
      <c r="P214" s="83">
        <f t="shared" si="21"/>
        <v>42</v>
      </c>
      <c r="Q214" s="83">
        <f t="shared" si="22"/>
        <v>84</v>
      </c>
      <c r="R214" s="83"/>
      <c r="S214" s="83"/>
      <c r="T214" s="87"/>
      <c r="U214" s="83">
        <f t="shared" si="23"/>
        <v>42</v>
      </c>
      <c r="V214" s="83">
        <f t="shared" si="24"/>
        <v>2</v>
      </c>
      <c r="W214" s="84">
        <f t="shared" si="25"/>
        <v>84</v>
      </c>
      <c r="X214" s="84" t="s">
        <v>181</v>
      </c>
      <c r="Y214" s="24" t="s">
        <v>176</v>
      </c>
    </row>
    <row r="215" spans="1:25" s="24" customFormat="1" ht="11.1" customHeight="1" x14ac:dyDescent="0.2">
      <c r="A215" s="76">
        <f t="shared" si="27"/>
        <v>213</v>
      </c>
      <c r="B215" s="77" t="s">
        <v>342</v>
      </c>
      <c r="C215" s="76" t="str">
        <f>IF($B215&lt;&gt;"",_xlfn.IFNA(VLOOKUP($B215,'Node Details'!$B:$U,C$1,0),"Check"),"")</f>
        <v>AXY140108-AXY140104</v>
      </c>
      <c r="D215" s="76" t="str">
        <f>IF($B215&lt;&gt;"",_xlfn.IFNA(VLOOKUP($B215,'Node Details'!$B:$U,D$1,0),"Check"),"")</f>
        <v>AXY</v>
      </c>
      <c r="E215" s="76" t="str">
        <f>IF($B215&lt;&gt;"",_xlfn.IFNA(VLOOKUP($B215,'Node Details'!$B:$U,E$1,0),"Check"),"")</f>
        <v>Airtel</v>
      </c>
      <c r="F215" s="78">
        <v>46113</v>
      </c>
      <c r="G215" s="76"/>
      <c r="H215" s="9" t="s">
        <v>22</v>
      </c>
      <c r="I215" s="9">
        <v>2</v>
      </c>
      <c r="J215" s="9">
        <v>42</v>
      </c>
      <c r="K215" s="79">
        <f t="shared" si="26"/>
        <v>84</v>
      </c>
      <c r="L215" s="78">
        <v>46112</v>
      </c>
      <c r="N215" s="85"/>
      <c r="O215" s="86"/>
      <c r="P215" s="83">
        <f t="shared" si="21"/>
        <v>42</v>
      </c>
      <c r="Q215" s="83">
        <f t="shared" si="22"/>
        <v>84</v>
      </c>
      <c r="R215" s="83"/>
      <c r="S215" s="83"/>
      <c r="T215" s="87"/>
      <c r="U215" s="83">
        <f t="shared" si="23"/>
        <v>42</v>
      </c>
      <c r="V215" s="83">
        <f t="shared" si="24"/>
        <v>2</v>
      </c>
      <c r="W215" s="84">
        <f t="shared" si="25"/>
        <v>84</v>
      </c>
      <c r="X215" s="84" t="s">
        <v>181</v>
      </c>
      <c r="Y215" s="24" t="s">
        <v>176</v>
      </c>
    </row>
    <row r="216" spans="1:25" s="24" customFormat="1" ht="11.1" customHeight="1" x14ac:dyDescent="0.2">
      <c r="A216" s="76">
        <f t="shared" si="27"/>
        <v>214</v>
      </c>
      <c r="B216" s="77" t="s">
        <v>343</v>
      </c>
      <c r="C216" s="76" t="str">
        <f>IF($B216&lt;&gt;"",_xlfn.IFNA(VLOOKUP($B216,'Node Details'!$B:$U,C$1,0),"Check"),"")</f>
        <v>AXY140108-AXY140104</v>
      </c>
      <c r="D216" s="76" t="str">
        <f>IF($B216&lt;&gt;"",_xlfn.IFNA(VLOOKUP($B216,'Node Details'!$B:$U,D$1,0),"Check"),"")</f>
        <v>AXY</v>
      </c>
      <c r="E216" s="76" t="str">
        <f>IF($B216&lt;&gt;"",_xlfn.IFNA(VLOOKUP($B216,'Node Details'!$B:$U,E$1,0),"Check"),"")</f>
        <v>Airtel</v>
      </c>
      <c r="F216" s="78">
        <v>46113</v>
      </c>
      <c r="G216" s="76"/>
      <c r="H216" s="9" t="s">
        <v>22</v>
      </c>
      <c r="I216" s="9">
        <v>2</v>
      </c>
      <c r="J216" s="9">
        <v>42</v>
      </c>
      <c r="K216" s="79">
        <f t="shared" si="26"/>
        <v>84</v>
      </c>
      <c r="L216" s="78">
        <v>46112</v>
      </c>
      <c r="N216" s="85"/>
      <c r="O216" s="86"/>
      <c r="P216" s="83">
        <f t="shared" si="21"/>
        <v>42</v>
      </c>
      <c r="Q216" s="83">
        <f t="shared" si="22"/>
        <v>84</v>
      </c>
      <c r="R216" s="83"/>
      <c r="S216" s="83"/>
      <c r="T216" s="87"/>
      <c r="U216" s="83">
        <f t="shared" si="23"/>
        <v>42</v>
      </c>
      <c r="V216" s="83">
        <f t="shared" si="24"/>
        <v>2</v>
      </c>
      <c r="W216" s="84">
        <f t="shared" si="25"/>
        <v>84</v>
      </c>
      <c r="X216" s="84" t="s">
        <v>181</v>
      </c>
      <c r="Y216" s="24" t="s">
        <v>176</v>
      </c>
    </row>
    <row r="217" spans="1:25" s="24" customFormat="1" ht="11.1" customHeight="1" x14ac:dyDescent="0.2">
      <c r="A217" s="76">
        <f t="shared" si="27"/>
        <v>215</v>
      </c>
      <c r="B217" s="77" t="s">
        <v>345</v>
      </c>
      <c r="C217" s="76" t="str">
        <f>IF($B217&lt;&gt;"",_xlfn.IFNA(VLOOKUP($B217,'Node Details'!$B:$U,C$1,0),"Check"),"")</f>
        <v>0000AXY15-AXY150103</v>
      </c>
      <c r="D217" s="76" t="str">
        <f>IF($B217&lt;&gt;"",_xlfn.IFNA(VLOOKUP($B217,'Node Details'!$B:$U,D$1,0),"Check"),"")</f>
        <v>AXY</v>
      </c>
      <c r="E217" s="76" t="str">
        <f>IF($B217&lt;&gt;"",_xlfn.IFNA(VLOOKUP($B217,'Node Details'!$B:$U,E$1,0),"Check"),"")</f>
        <v>Airtel</v>
      </c>
      <c r="F217" s="78">
        <v>46113</v>
      </c>
      <c r="G217" s="76"/>
      <c r="H217" s="9" t="s">
        <v>22</v>
      </c>
      <c r="I217" s="9">
        <v>2</v>
      </c>
      <c r="J217" s="9">
        <v>42</v>
      </c>
      <c r="K217" s="79">
        <f t="shared" si="26"/>
        <v>84</v>
      </c>
      <c r="L217" s="78">
        <v>46112</v>
      </c>
      <c r="N217" s="85"/>
      <c r="O217" s="86"/>
      <c r="P217" s="83">
        <f t="shared" si="21"/>
        <v>42</v>
      </c>
      <c r="Q217" s="83">
        <f t="shared" si="22"/>
        <v>84</v>
      </c>
      <c r="R217" s="83"/>
      <c r="S217" s="83"/>
      <c r="T217" s="87"/>
      <c r="U217" s="83">
        <f t="shared" si="23"/>
        <v>42</v>
      </c>
      <c r="V217" s="83">
        <f t="shared" si="24"/>
        <v>2</v>
      </c>
      <c r="W217" s="84">
        <f t="shared" si="25"/>
        <v>84</v>
      </c>
      <c r="X217" s="84" t="s">
        <v>181</v>
      </c>
      <c r="Y217" s="24" t="s">
        <v>176</v>
      </c>
    </row>
    <row r="218" spans="1:25" s="24" customFormat="1" ht="11.1" customHeight="1" x14ac:dyDescent="0.2">
      <c r="A218" s="76">
        <f t="shared" si="27"/>
        <v>216</v>
      </c>
      <c r="B218" s="77" t="s">
        <v>346</v>
      </c>
      <c r="C218" s="76" t="str">
        <f>IF($B218&lt;&gt;"",_xlfn.IFNA(VLOOKUP($B218,'Node Details'!$B:$U,C$1,0),"Check"),"")</f>
        <v>0000AXY15-AXY150103</v>
      </c>
      <c r="D218" s="76" t="str">
        <f>IF($B218&lt;&gt;"",_xlfn.IFNA(VLOOKUP($B218,'Node Details'!$B:$U,D$1,0),"Check"),"")</f>
        <v>AXY</v>
      </c>
      <c r="E218" s="76" t="str">
        <f>IF($B218&lt;&gt;"",_xlfn.IFNA(VLOOKUP($B218,'Node Details'!$B:$U,E$1,0),"Check"),"")</f>
        <v>Airtel</v>
      </c>
      <c r="F218" s="78">
        <v>46113</v>
      </c>
      <c r="G218" s="76"/>
      <c r="H218" s="9" t="s">
        <v>22</v>
      </c>
      <c r="I218" s="9">
        <v>2</v>
      </c>
      <c r="J218" s="9">
        <v>42</v>
      </c>
      <c r="K218" s="79">
        <f t="shared" si="26"/>
        <v>84</v>
      </c>
      <c r="L218" s="78">
        <v>46112</v>
      </c>
      <c r="N218" s="85"/>
      <c r="O218" s="86"/>
      <c r="P218" s="83">
        <f t="shared" si="21"/>
        <v>42</v>
      </c>
      <c r="Q218" s="83">
        <f t="shared" si="22"/>
        <v>84</v>
      </c>
      <c r="R218" s="83"/>
      <c r="S218" s="83"/>
      <c r="T218" s="87"/>
      <c r="U218" s="83">
        <f t="shared" si="23"/>
        <v>42</v>
      </c>
      <c r="V218" s="83">
        <f t="shared" si="24"/>
        <v>2</v>
      </c>
      <c r="W218" s="84">
        <f t="shared" si="25"/>
        <v>84</v>
      </c>
      <c r="X218" s="84" t="s">
        <v>181</v>
      </c>
      <c r="Y218" s="24" t="s">
        <v>176</v>
      </c>
    </row>
    <row r="219" spans="1:25" s="24" customFormat="1" ht="11.1" customHeight="1" x14ac:dyDescent="0.2">
      <c r="A219" s="76">
        <f t="shared" si="27"/>
        <v>217</v>
      </c>
      <c r="B219" s="77" t="s">
        <v>347</v>
      </c>
      <c r="C219" s="76" t="str">
        <f>IF($B219&lt;&gt;"",_xlfn.IFNA(VLOOKUP($B219,'Node Details'!$B:$U,C$1,0),"Check"),"")</f>
        <v>0000AXY15-AXY150103</v>
      </c>
      <c r="D219" s="76" t="str">
        <f>IF($B219&lt;&gt;"",_xlfn.IFNA(VLOOKUP($B219,'Node Details'!$B:$U,D$1,0),"Check"),"")</f>
        <v>AXY</v>
      </c>
      <c r="E219" s="76" t="str">
        <f>IF($B219&lt;&gt;"",_xlfn.IFNA(VLOOKUP($B219,'Node Details'!$B:$U,E$1,0),"Check"),"")</f>
        <v>Airtel</v>
      </c>
      <c r="F219" s="78">
        <v>46113</v>
      </c>
      <c r="G219" s="76"/>
      <c r="H219" s="9" t="s">
        <v>22</v>
      </c>
      <c r="I219" s="9">
        <v>2</v>
      </c>
      <c r="J219" s="9">
        <v>42</v>
      </c>
      <c r="K219" s="79">
        <f t="shared" si="26"/>
        <v>84</v>
      </c>
      <c r="L219" s="78">
        <v>46112</v>
      </c>
      <c r="N219" s="85"/>
      <c r="O219" s="86"/>
      <c r="P219" s="83">
        <f t="shared" si="21"/>
        <v>42</v>
      </c>
      <c r="Q219" s="83">
        <f t="shared" si="22"/>
        <v>84</v>
      </c>
      <c r="R219" s="83"/>
      <c r="S219" s="83"/>
      <c r="T219" s="87"/>
      <c r="U219" s="83">
        <f t="shared" si="23"/>
        <v>42</v>
      </c>
      <c r="V219" s="83">
        <f t="shared" si="24"/>
        <v>2</v>
      </c>
      <c r="W219" s="84">
        <f t="shared" si="25"/>
        <v>84</v>
      </c>
      <c r="X219" s="84" t="s">
        <v>181</v>
      </c>
      <c r="Y219" s="24" t="s">
        <v>176</v>
      </c>
    </row>
    <row r="220" spans="1:25" s="24" customFormat="1" ht="11.1" customHeight="1" x14ac:dyDescent="0.2">
      <c r="A220" s="76">
        <f t="shared" si="27"/>
        <v>218</v>
      </c>
      <c r="B220" s="77" t="s">
        <v>348</v>
      </c>
      <c r="C220" s="76" t="str">
        <f>IF($B220&lt;&gt;"",_xlfn.IFNA(VLOOKUP($B220,'Node Details'!$B:$U,C$1,0),"Check"),"")</f>
        <v>0000AXY15-AXY150104</v>
      </c>
      <c r="D220" s="76" t="str">
        <f>IF($B220&lt;&gt;"",_xlfn.IFNA(VLOOKUP($B220,'Node Details'!$B:$U,D$1,0),"Check"),"")</f>
        <v>AXY</v>
      </c>
      <c r="E220" s="76" t="str">
        <f>IF($B220&lt;&gt;"",_xlfn.IFNA(VLOOKUP($B220,'Node Details'!$B:$U,E$1,0),"Check"),"")</f>
        <v>Airtel</v>
      </c>
      <c r="F220" s="78">
        <v>46113</v>
      </c>
      <c r="G220" s="76"/>
      <c r="H220" s="9" t="s">
        <v>22</v>
      </c>
      <c r="I220" s="9">
        <v>2</v>
      </c>
      <c r="J220" s="9">
        <v>42</v>
      </c>
      <c r="K220" s="79">
        <f t="shared" si="26"/>
        <v>84</v>
      </c>
      <c r="L220" s="78">
        <v>46112</v>
      </c>
      <c r="N220" s="85"/>
      <c r="O220" s="86"/>
      <c r="P220" s="83">
        <f t="shared" si="21"/>
        <v>42</v>
      </c>
      <c r="Q220" s="83">
        <f t="shared" si="22"/>
        <v>84</v>
      </c>
      <c r="R220" s="83"/>
      <c r="S220" s="83"/>
      <c r="T220" s="87"/>
      <c r="U220" s="83">
        <f t="shared" si="23"/>
        <v>42</v>
      </c>
      <c r="V220" s="83">
        <f t="shared" si="24"/>
        <v>2</v>
      </c>
      <c r="W220" s="84">
        <f t="shared" si="25"/>
        <v>84</v>
      </c>
      <c r="X220" s="84" t="s">
        <v>181</v>
      </c>
      <c r="Y220" s="24" t="s">
        <v>176</v>
      </c>
    </row>
    <row r="221" spans="1:25" s="24" customFormat="1" ht="11.1" customHeight="1" x14ac:dyDescent="0.2">
      <c r="A221" s="76">
        <f t="shared" si="27"/>
        <v>219</v>
      </c>
      <c r="B221" s="77" t="s">
        <v>349</v>
      </c>
      <c r="C221" s="76" t="str">
        <f>IF($B221&lt;&gt;"",_xlfn.IFNA(VLOOKUP($B221,'Node Details'!$B:$U,C$1,0),"Check"),"")</f>
        <v>0000AXY15-AXY150108</v>
      </c>
      <c r="D221" s="76" t="str">
        <f>IF($B221&lt;&gt;"",_xlfn.IFNA(VLOOKUP($B221,'Node Details'!$B:$U,D$1,0),"Check"),"")</f>
        <v>AXY</v>
      </c>
      <c r="E221" s="76" t="str">
        <f>IF($B221&lt;&gt;"",_xlfn.IFNA(VLOOKUP($B221,'Node Details'!$B:$U,E$1,0),"Check"),"")</f>
        <v>Airtel</v>
      </c>
      <c r="F221" s="78">
        <v>46113</v>
      </c>
      <c r="G221" s="76"/>
      <c r="H221" s="9" t="s">
        <v>22</v>
      </c>
      <c r="I221" s="9">
        <v>2</v>
      </c>
      <c r="J221" s="9">
        <v>42</v>
      </c>
      <c r="K221" s="79">
        <f t="shared" si="26"/>
        <v>84</v>
      </c>
      <c r="L221" s="78">
        <v>46112</v>
      </c>
      <c r="N221" s="85"/>
      <c r="O221" s="86"/>
      <c r="P221" s="83">
        <f t="shared" si="21"/>
        <v>42</v>
      </c>
      <c r="Q221" s="83">
        <f t="shared" si="22"/>
        <v>84</v>
      </c>
      <c r="R221" s="83"/>
      <c r="S221" s="83"/>
      <c r="T221" s="87"/>
      <c r="U221" s="83">
        <f t="shared" si="23"/>
        <v>42</v>
      </c>
      <c r="V221" s="83">
        <f t="shared" si="24"/>
        <v>2</v>
      </c>
      <c r="W221" s="84">
        <f t="shared" si="25"/>
        <v>84</v>
      </c>
      <c r="X221" s="84" t="s">
        <v>181</v>
      </c>
      <c r="Y221" s="24" t="s">
        <v>176</v>
      </c>
    </row>
    <row r="222" spans="1:25" s="24" customFormat="1" ht="11.1" customHeight="1" x14ac:dyDescent="0.2">
      <c r="A222" s="76">
        <f t="shared" si="27"/>
        <v>220</v>
      </c>
      <c r="B222" s="77" t="s">
        <v>350</v>
      </c>
      <c r="C222" s="76" t="str">
        <f>IF($B222&lt;&gt;"",_xlfn.IFNA(VLOOKUP($B222,'Node Details'!$B:$U,C$1,0),"Check"),"")</f>
        <v>0000AXY15-AXY150108</v>
      </c>
      <c r="D222" s="76" t="str">
        <f>IF($B222&lt;&gt;"",_xlfn.IFNA(VLOOKUP($B222,'Node Details'!$B:$U,D$1,0),"Check"),"")</f>
        <v>AXY</v>
      </c>
      <c r="E222" s="76" t="str">
        <f>IF($B222&lt;&gt;"",_xlfn.IFNA(VLOOKUP($B222,'Node Details'!$B:$U,E$1,0),"Check"),"")</f>
        <v>Airtel</v>
      </c>
      <c r="F222" s="78">
        <v>46113</v>
      </c>
      <c r="G222" s="76"/>
      <c r="H222" s="9" t="s">
        <v>22</v>
      </c>
      <c r="I222" s="9">
        <v>2</v>
      </c>
      <c r="J222" s="9">
        <v>42</v>
      </c>
      <c r="K222" s="79">
        <f t="shared" si="26"/>
        <v>84</v>
      </c>
      <c r="L222" s="78">
        <v>46112</v>
      </c>
      <c r="N222" s="85"/>
      <c r="O222" s="86"/>
      <c r="P222" s="83">
        <f t="shared" si="21"/>
        <v>42</v>
      </c>
      <c r="Q222" s="83">
        <f t="shared" si="22"/>
        <v>84</v>
      </c>
      <c r="R222" s="83"/>
      <c r="S222" s="83"/>
      <c r="T222" s="87"/>
      <c r="U222" s="83">
        <f t="shared" si="23"/>
        <v>42</v>
      </c>
      <c r="V222" s="83">
        <f t="shared" si="24"/>
        <v>2</v>
      </c>
      <c r="W222" s="84">
        <f t="shared" si="25"/>
        <v>84</v>
      </c>
      <c r="X222" s="84" t="s">
        <v>181</v>
      </c>
      <c r="Y222" s="24" t="s">
        <v>176</v>
      </c>
    </row>
    <row r="223" spans="1:25" s="24" customFormat="1" ht="11.1" customHeight="1" x14ac:dyDescent="0.2">
      <c r="A223" s="76">
        <f t="shared" si="27"/>
        <v>221</v>
      </c>
      <c r="B223" s="77" t="s">
        <v>351</v>
      </c>
      <c r="C223" s="76" t="str">
        <f>IF($B223&lt;&gt;"",_xlfn.IFNA(VLOOKUP($B223,'Node Details'!$B:$U,C$1,0),"Check"),"")</f>
        <v>0000AXY15-AXY150108</v>
      </c>
      <c r="D223" s="76" t="str">
        <f>IF($B223&lt;&gt;"",_xlfn.IFNA(VLOOKUP($B223,'Node Details'!$B:$U,D$1,0),"Check"),"")</f>
        <v>AXY</v>
      </c>
      <c r="E223" s="76" t="str">
        <f>IF($B223&lt;&gt;"",_xlfn.IFNA(VLOOKUP($B223,'Node Details'!$B:$U,E$1,0),"Check"),"")</f>
        <v>Airtel</v>
      </c>
      <c r="F223" s="78">
        <v>46113</v>
      </c>
      <c r="G223" s="76"/>
      <c r="H223" s="9" t="s">
        <v>22</v>
      </c>
      <c r="I223" s="9">
        <v>2</v>
      </c>
      <c r="J223" s="9">
        <v>42</v>
      </c>
      <c r="K223" s="79">
        <f t="shared" si="26"/>
        <v>84</v>
      </c>
      <c r="L223" s="78">
        <v>46112</v>
      </c>
      <c r="N223" s="85"/>
      <c r="O223" s="86"/>
      <c r="P223" s="83">
        <f t="shared" si="21"/>
        <v>42</v>
      </c>
      <c r="Q223" s="83">
        <f t="shared" si="22"/>
        <v>84</v>
      </c>
      <c r="R223" s="83"/>
      <c r="S223" s="83"/>
      <c r="T223" s="87"/>
      <c r="U223" s="83">
        <f t="shared" si="23"/>
        <v>42</v>
      </c>
      <c r="V223" s="83">
        <f t="shared" si="24"/>
        <v>2</v>
      </c>
      <c r="W223" s="84">
        <f t="shared" si="25"/>
        <v>84</v>
      </c>
      <c r="X223" s="84" t="s">
        <v>181</v>
      </c>
      <c r="Y223" s="24" t="s">
        <v>176</v>
      </c>
    </row>
    <row r="224" spans="1:25" s="24" customFormat="1" ht="11.1" customHeight="1" x14ac:dyDescent="0.2">
      <c r="A224" s="76">
        <f t="shared" si="27"/>
        <v>222</v>
      </c>
      <c r="B224" s="77" t="s">
        <v>353</v>
      </c>
      <c r="C224" s="76" t="str">
        <f>IF($B224&lt;&gt;"",_xlfn.IFNA(VLOOKUP($B224,'Node Details'!$B:$U,C$1,0),"Check"),"")</f>
        <v>0000AXY16-AXY160104</v>
      </c>
      <c r="D224" s="76" t="str">
        <f>IF($B224&lt;&gt;"",_xlfn.IFNA(VLOOKUP($B224,'Node Details'!$B:$U,D$1,0),"Check"),"")</f>
        <v>AXY</v>
      </c>
      <c r="E224" s="76" t="str">
        <f>IF($B224&lt;&gt;"",_xlfn.IFNA(VLOOKUP($B224,'Node Details'!$B:$U,E$1,0),"Check"),"")</f>
        <v>Airtel</v>
      </c>
      <c r="F224" s="78">
        <v>46113</v>
      </c>
      <c r="G224" s="76"/>
      <c r="H224" s="9" t="s">
        <v>22</v>
      </c>
      <c r="I224" s="9">
        <v>2</v>
      </c>
      <c r="J224" s="9">
        <v>42</v>
      </c>
      <c r="K224" s="79">
        <f t="shared" si="26"/>
        <v>84</v>
      </c>
      <c r="L224" s="78">
        <v>46112</v>
      </c>
      <c r="N224" s="85"/>
      <c r="O224" s="86"/>
      <c r="P224" s="83">
        <f t="shared" si="21"/>
        <v>42</v>
      </c>
      <c r="Q224" s="83">
        <f t="shared" si="22"/>
        <v>84</v>
      </c>
      <c r="R224" s="83"/>
      <c r="S224" s="83"/>
      <c r="T224" s="87"/>
      <c r="U224" s="83">
        <f t="shared" si="23"/>
        <v>42</v>
      </c>
      <c r="V224" s="83">
        <f t="shared" si="24"/>
        <v>2</v>
      </c>
      <c r="W224" s="84">
        <f t="shared" si="25"/>
        <v>84</v>
      </c>
      <c r="X224" s="84" t="s">
        <v>181</v>
      </c>
      <c r="Y224" s="24" t="s">
        <v>176</v>
      </c>
    </row>
    <row r="225" spans="1:25" s="24" customFormat="1" ht="11.1" customHeight="1" x14ac:dyDescent="0.2">
      <c r="A225" s="76">
        <f t="shared" si="27"/>
        <v>223</v>
      </c>
      <c r="B225" s="77" t="s">
        <v>354</v>
      </c>
      <c r="C225" s="76" t="str">
        <f>IF($B225&lt;&gt;"",_xlfn.IFNA(VLOOKUP($B225,'Node Details'!$B:$U,C$1,0),"Check"),"")</f>
        <v>0000AXY16-AXY160103</v>
      </c>
      <c r="D225" s="76" t="str">
        <f>IF($B225&lt;&gt;"",_xlfn.IFNA(VLOOKUP($B225,'Node Details'!$B:$U,D$1,0),"Check"),"")</f>
        <v>AXY</v>
      </c>
      <c r="E225" s="76" t="str">
        <f>IF($B225&lt;&gt;"",_xlfn.IFNA(VLOOKUP($B225,'Node Details'!$B:$U,E$1,0),"Check"),"")</f>
        <v>Airtel</v>
      </c>
      <c r="F225" s="78">
        <v>46113</v>
      </c>
      <c r="G225" s="76"/>
      <c r="H225" s="9" t="s">
        <v>22</v>
      </c>
      <c r="I225" s="9">
        <v>2</v>
      </c>
      <c r="J225" s="9">
        <v>42</v>
      </c>
      <c r="K225" s="79">
        <f t="shared" si="26"/>
        <v>84</v>
      </c>
      <c r="L225" s="78">
        <v>46112</v>
      </c>
      <c r="N225" s="85"/>
      <c r="O225" s="86"/>
      <c r="P225" s="83">
        <f t="shared" si="21"/>
        <v>42</v>
      </c>
      <c r="Q225" s="83">
        <f t="shared" si="22"/>
        <v>84</v>
      </c>
      <c r="R225" s="83"/>
      <c r="S225" s="83"/>
      <c r="T225" s="87"/>
      <c r="U225" s="83">
        <f t="shared" si="23"/>
        <v>42</v>
      </c>
      <c r="V225" s="83">
        <f t="shared" si="24"/>
        <v>2</v>
      </c>
      <c r="W225" s="84">
        <f t="shared" si="25"/>
        <v>84</v>
      </c>
      <c r="X225" s="84" t="s">
        <v>181</v>
      </c>
      <c r="Y225" s="24" t="s">
        <v>176</v>
      </c>
    </row>
    <row r="226" spans="1:25" s="24" customFormat="1" ht="11.1" customHeight="1" x14ac:dyDescent="0.2">
      <c r="A226" s="76">
        <f t="shared" si="27"/>
        <v>224</v>
      </c>
      <c r="B226" s="77" t="s">
        <v>355</v>
      </c>
      <c r="C226" s="76" t="str">
        <f>IF($B226&lt;&gt;"",_xlfn.IFNA(VLOOKUP($B226,'Node Details'!$B:$U,C$1,0),"Check"),"")</f>
        <v>0000AXY16-AXY160103</v>
      </c>
      <c r="D226" s="76" t="str">
        <f>IF($B226&lt;&gt;"",_xlfn.IFNA(VLOOKUP($B226,'Node Details'!$B:$U,D$1,0),"Check"),"")</f>
        <v>AXY</v>
      </c>
      <c r="E226" s="76" t="str">
        <f>IF($B226&lt;&gt;"",_xlfn.IFNA(VLOOKUP($B226,'Node Details'!$B:$U,E$1,0),"Check"),"")</f>
        <v>Airtel</v>
      </c>
      <c r="F226" s="78">
        <v>46113</v>
      </c>
      <c r="G226" s="76"/>
      <c r="H226" s="9" t="s">
        <v>22</v>
      </c>
      <c r="I226" s="9">
        <v>2</v>
      </c>
      <c r="J226" s="9">
        <v>42</v>
      </c>
      <c r="K226" s="79">
        <f t="shared" si="26"/>
        <v>84</v>
      </c>
      <c r="L226" s="78">
        <v>46112</v>
      </c>
      <c r="N226" s="85"/>
      <c r="O226" s="86"/>
      <c r="P226" s="83">
        <f t="shared" si="21"/>
        <v>42</v>
      </c>
      <c r="Q226" s="83">
        <f t="shared" si="22"/>
        <v>84</v>
      </c>
      <c r="R226" s="83"/>
      <c r="S226" s="83"/>
      <c r="T226" s="87"/>
      <c r="U226" s="83">
        <f t="shared" si="23"/>
        <v>42</v>
      </c>
      <c r="V226" s="83">
        <f t="shared" si="24"/>
        <v>2</v>
      </c>
      <c r="W226" s="84">
        <f t="shared" si="25"/>
        <v>84</v>
      </c>
      <c r="X226" s="84" t="s">
        <v>181</v>
      </c>
      <c r="Y226" s="24" t="s">
        <v>176</v>
      </c>
    </row>
    <row r="227" spans="1:25" s="24" customFormat="1" ht="11.1" customHeight="1" x14ac:dyDescent="0.2">
      <c r="A227" s="76">
        <f t="shared" si="27"/>
        <v>225</v>
      </c>
      <c r="B227" s="77" t="s">
        <v>356</v>
      </c>
      <c r="C227" s="76" t="str">
        <f>IF($B227&lt;&gt;"",_xlfn.IFNA(VLOOKUP($B227,'Node Details'!$B:$U,C$1,0),"Check"),"")</f>
        <v>0000AXY16-AXY160103</v>
      </c>
      <c r="D227" s="76" t="str">
        <f>IF($B227&lt;&gt;"",_xlfn.IFNA(VLOOKUP($B227,'Node Details'!$B:$U,D$1,0),"Check"),"")</f>
        <v>AXY</v>
      </c>
      <c r="E227" s="76" t="str">
        <f>IF($B227&lt;&gt;"",_xlfn.IFNA(VLOOKUP($B227,'Node Details'!$B:$U,E$1,0),"Check"),"")</f>
        <v>Airtel</v>
      </c>
      <c r="F227" s="78">
        <v>46113</v>
      </c>
      <c r="G227" s="76"/>
      <c r="H227" s="9" t="s">
        <v>22</v>
      </c>
      <c r="I227" s="9">
        <v>2</v>
      </c>
      <c r="J227" s="9">
        <v>42</v>
      </c>
      <c r="K227" s="79">
        <f t="shared" si="26"/>
        <v>84</v>
      </c>
      <c r="L227" s="78">
        <v>46112</v>
      </c>
      <c r="N227" s="85"/>
      <c r="O227" s="86"/>
      <c r="P227" s="83">
        <f t="shared" si="21"/>
        <v>42</v>
      </c>
      <c r="Q227" s="83">
        <f t="shared" si="22"/>
        <v>84</v>
      </c>
      <c r="R227" s="83"/>
      <c r="S227" s="83"/>
      <c r="T227" s="87"/>
      <c r="U227" s="83">
        <f t="shared" si="23"/>
        <v>42</v>
      </c>
      <c r="V227" s="83">
        <f t="shared" si="24"/>
        <v>2</v>
      </c>
      <c r="W227" s="84">
        <f t="shared" si="25"/>
        <v>84</v>
      </c>
      <c r="X227" s="84" t="s">
        <v>181</v>
      </c>
      <c r="Y227" s="24" t="s">
        <v>176</v>
      </c>
    </row>
    <row r="228" spans="1:25" s="24" customFormat="1" ht="11.1" customHeight="1" x14ac:dyDescent="0.2">
      <c r="A228" s="76">
        <f t="shared" si="27"/>
        <v>226</v>
      </c>
      <c r="B228" s="77" t="s">
        <v>357</v>
      </c>
      <c r="C228" s="76" t="str">
        <f>IF($B228&lt;&gt;"",_xlfn.IFNA(VLOOKUP($B228,'Node Details'!$B:$U,C$1,0),"Check"),"")</f>
        <v>0000AXY16-AXY160107</v>
      </c>
      <c r="D228" s="76" t="str">
        <f>IF($B228&lt;&gt;"",_xlfn.IFNA(VLOOKUP($B228,'Node Details'!$B:$U,D$1,0),"Check"),"")</f>
        <v>AXY</v>
      </c>
      <c r="E228" s="76" t="str">
        <f>IF($B228&lt;&gt;"",_xlfn.IFNA(VLOOKUP($B228,'Node Details'!$B:$U,E$1,0),"Check"),"")</f>
        <v>Airtel</v>
      </c>
      <c r="F228" s="78">
        <v>46113</v>
      </c>
      <c r="G228" s="76"/>
      <c r="H228" s="9" t="s">
        <v>22</v>
      </c>
      <c r="I228" s="9">
        <v>2</v>
      </c>
      <c r="J228" s="9">
        <v>42</v>
      </c>
      <c r="K228" s="79">
        <f t="shared" si="26"/>
        <v>84</v>
      </c>
      <c r="L228" s="78">
        <v>46112</v>
      </c>
      <c r="N228" s="85"/>
      <c r="O228" s="86"/>
      <c r="P228" s="83">
        <f t="shared" si="21"/>
        <v>42</v>
      </c>
      <c r="Q228" s="83">
        <f t="shared" si="22"/>
        <v>84</v>
      </c>
      <c r="R228" s="83"/>
      <c r="S228" s="83"/>
      <c r="T228" s="87"/>
      <c r="U228" s="83">
        <f t="shared" si="23"/>
        <v>42</v>
      </c>
      <c r="V228" s="83">
        <f t="shared" si="24"/>
        <v>2</v>
      </c>
      <c r="W228" s="84">
        <f t="shared" si="25"/>
        <v>84</v>
      </c>
      <c r="X228" s="84" t="s">
        <v>181</v>
      </c>
      <c r="Y228" s="24" t="s">
        <v>176</v>
      </c>
    </row>
    <row r="229" spans="1:25" s="24" customFormat="1" ht="11.1" customHeight="1" x14ac:dyDescent="0.2">
      <c r="A229" s="76">
        <f t="shared" si="27"/>
        <v>227</v>
      </c>
      <c r="B229" s="77" t="s">
        <v>358</v>
      </c>
      <c r="C229" s="76" t="str">
        <f>IF($B229&lt;&gt;"",_xlfn.IFNA(VLOOKUP($B229,'Node Details'!$B:$U,C$1,0),"Check"),"")</f>
        <v>0000AXY16-AXY160107</v>
      </c>
      <c r="D229" s="76" t="str">
        <f>IF($B229&lt;&gt;"",_xlfn.IFNA(VLOOKUP($B229,'Node Details'!$B:$U,D$1,0),"Check"),"")</f>
        <v>AXY</v>
      </c>
      <c r="E229" s="76" t="str">
        <f>IF($B229&lt;&gt;"",_xlfn.IFNA(VLOOKUP($B229,'Node Details'!$B:$U,E$1,0),"Check"),"")</f>
        <v>Airtel</v>
      </c>
      <c r="F229" s="78">
        <v>46113</v>
      </c>
      <c r="G229" s="76"/>
      <c r="H229" s="9" t="s">
        <v>22</v>
      </c>
      <c r="I229" s="9">
        <v>2</v>
      </c>
      <c r="J229" s="9">
        <v>42</v>
      </c>
      <c r="K229" s="79">
        <f t="shared" si="26"/>
        <v>84</v>
      </c>
      <c r="L229" s="78">
        <v>46112</v>
      </c>
      <c r="N229" s="85"/>
      <c r="O229" s="86"/>
      <c r="P229" s="83">
        <f t="shared" si="21"/>
        <v>42</v>
      </c>
      <c r="Q229" s="83">
        <f t="shared" si="22"/>
        <v>84</v>
      </c>
      <c r="R229" s="83"/>
      <c r="S229" s="83"/>
      <c r="T229" s="87"/>
      <c r="U229" s="83">
        <f t="shared" si="23"/>
        <v>42</v>
      </c>
      <c r="V229" s="83">
        <f t="shared" si="24"/>
        <v>2</v>
      </c>
      <c r="W229" s="84">
        <f t="shared" si="25"/>
        <v>84</v>
      </c>
      <c r="X229" s="84" t="s">
        <v>181</v>
      </c>
      <c r="Y229" s="24" t="s">
        <v>176</v>
      </c>
    </row>
    <row r="230" spans="1:25" s="24" customFormat="1" ht="11.1" customHeight="1" x14ac:dyDescent="0.2">
      <c r="A230" s="76">
        <f t="shared" si="27"/>
        <v>228</v>
      </c>
      <c r="B230" s="77" t="s">
        <v>359</v>
      </c>
      <c r="C230" s="76" t="str">
        <f>IF($B230&lt;&gt;"",_xlfn.IFNA(VLOOKUP($B230,'Node Details'!$B:$U,C$1,0),"Check"),"")</f>
        <v>0000AXY16-AXY160107</v>
      </c>
      <c r="D230" s="76" t="str">
        <f>IF($B230&lt;&gt;"",_xlfn.IFNA(VLOOKUP($B230,'Node Details'!$B:$U,D$1,0),"Check"),"")</f>
        <v>AXY</v>
      </c>
      <c r="E230" s="76" t="str">
        <f>IF($B230&lt;&gt;"",_xlfn.IFNA(VLOOKUP($B230,'Node Details'!$B:$U,E$1,0),"Check"),"")</f>
        <v>Airtel</v>
      </c>
      <c r="F230" s="78">
        <v>46113</v>
      </c>
      <c r="G230" s="76"/>
      <c r="H230" s="9" t="s">
        <v>22</v>
      </c>
      <c r="I230" s="9">
        <v>2</v>
      </c>
      <c r="J230" s="9">
        <v>42</v>
      </c>
      <c r="K230" s="79">
        <f t="shared" si="26"/>
        <v>84</v>
      </c>
      <c r="L230" s="78">
        <v>46112</v>
      </c>
      <c r="N230" s="85"/>
      <c r="O230" s="86"/>
      <c r="P230" s="83">
        <f t="shared" si="21"/>
        <v>42</v>
      </c>
      <c r="Q230" s="83">
        <f t="shared" si="22"/>
        <v>84</v>
      </c>
      <c r="R230" s="83"/>
      <c r="S230" s="83"/>
      <c r="T230" s="87"/>
      <c r="U230" s="83">
        <f t="shared" si="23"/>
        <v>42</v>
      </c>
      <c r="V230" s="83">
        <f t="shared" si="24"/>
        <v>2</v>
      </c>
      <c r="W230" s="84">
        <f t="shared" si="25"/>
        <v>84</v>
      </c>
      <c r="X230" s="84" t="s">
        <v>181</v>
      </c>
      <c r="Y230" s="24" t="s">
        <v>176</v>
      </c>
    </row>
    <row r="231" spans="1:25" s="24" customFormat="1" ht="11.1" customHeight="1" x14ac:dyDescent="0.2">
      <c r="A231" s="76">
        <f t="shared" si="27"/>
        <v>229</v>
      </c>
      <c r="B231" s="77" t="s">
        <v>360</v>
      </c>
      <c r="C231" s="76" t="str">
        <f>IF($B231&lt;&gt;"",_xlfn.IFNA(VLOOKUP($B231,'Node Details'!$B:$U,C$1,0),"Check"),"")</f>
        <v>0000AXY16-AXY160108</v>
      </c>
      <c r="D231" s="76" t="str">
        <f>IF($B231&lt;&gt;"",_xlfn.IFNA(VLOOKUP($B231,'Node Details'!$B:$U,D$1,0),"Check"),"")</f>
        <v>AXY</v>
      </c>
      <c r="E231" s="76" t="str">
        <f>IF($B231&lt;&gt;"",_xlfn.IFNA(VLOOKUP($B231,'Node Details'!$B:$U,E$1,0),"Check"),"")</f>
        <v>Airtel</v>
      </c>
      <c r="F231" s="78">
        <v>46113</v>
      </c>
      <c r="G231" s="76"/>
      <c r="H231" s="9" t="s">
        <v>22</v>
      </c>
      <c r="I231" s="9">
        <v>2</v>
      </c>
      <c r="J231" s="9">
        <v>42</v>
      </c>
      <c r="K231" s="79">
        <f t="shared" si="26"/>
        <v>84</v>
      </c>
      <c r="L231" s="78">
        <v>46112</v>
      </c>
      <c r="N231" s="85"/>
      <c r="O231" s="86"/>
      <c r="P231" s="83">
        <f t="shared" si="21"/>
        <v>42</v>
      </c>
      <c r="Q231" s="83">
        <f t="shared" si="22"/>
        <v>84</v>
      </c>
      <c r="R231" s="83"/>
      <c r="S231" s="83"/>
      <c r="T231" s="87"/>
      <c r="U231" s="83">
        <f t="shared" si="23"/>
        <v>42</v>
      </c>
      <c r="V231" s="83">
        <f t="shared" si="24"/>
        <v>2</v>
      </c>
      <c r="W231" s="84">
        <f t="shared" si="25"/>
        <v>84</v>
      </c>
      <c r="X231" s="84" t="s">
        <v>181</v>
      </c>
      <c r="Y231" s="24" t="s">
        <v>176</v>
      </c>
    </row>
    <row r="232" spans="1:25" s="24" customFormat="1" ht="11.1" customHeight="1" x14ac:dyDescent="0.2">
      <c r="A232" s="76">
        <f t="shared" si="27"/>
        <v>230</v>
      </c>
      <c r="B232" s="77" t="s">
        <v>362</v>
      </c>
      <c r="C232" s="76" t="str">
        <f>IF($B232&lt;&gt;"",_xlfn.IFNA(VLOOKUP($B232,'Node Details'!$B:$U,C$1,0),"Check"),"")</f>
        <v>0000AXY17-AXY170101</v>
      </c>
      <c r="D232" s="76" t="str">
        <f>IF($B232&lt;&gt;"",_xlfn.IFNA(VLOOKUP($B232,'Node Details'!$B:$U,D$1,0),"Check"),"")</f>
        <v>AXY</v>
      </c>
      <c r="E232" s="76" t="str">
        <f>IF($B232&lt;&gt;"",_xlfn.IFNA(VLOOKUP($B232,'Node Details'!$B:$U,E$1,0),"Check"),"")</f>
        <v>Airtel</v>
      </c>
      <c r="F232" s="78">
        <v>46113</v>
      </c>
      <c r="G232" s="76"/>
      <c r="H232" s="9" t="s">
        <v>22</v>
      </c>
      <c r="I232" s="9">
        <v>2</v>
      </c>
      <c r="J232" s="9">
        <v>42</v>
      </c>
      <c r="K232" s="79">
        <f t="shared" si="26"/>
        <v>84</v>
      </c>
      <c r="L232" s="78">
        <v>46112</v>
      </c>
      <c r="N232" s="85"/>
      <c r="O232" s="86"/>
      <c r="P232" s="83">
        <f t="shared" si="21"/>
        <v>42</v>
      </c>
      <c r="Q232" s="83">
        <f t="shared" si="22"/>
        <v>84</v>
      </c>
      <c r="R232" s="83"/>
      <c r="S232" s="83"/>
      <c r="T232" s="87"/>
      <c r="U232" s="83">
        <f t="shared" si="23"/>
        <v>42</v>
      </c>
      <c r="V232" s="83">
        <f t="shared" si="24"/>
        <v>2</v>
      </c>
      <c r="W232" s="84">
        <f t="shared" si="25"/>
        <v>84</v>
      </c>
      <c r="X232" s="84" t="s">
        <v>181</v>
      </c>
      <c r="Y232" s="24" t="s">
        <v>176</v>
      </c>
    </row>
    <row r="233" spans="1:25" s="24" customFormat="1" ht="11.1" customHeight="1" x14ac:dyDescent="0.2">
      <c r="A233" s="76">
        <f t="shared" si="27"/>
        <v>231</v>
      </c>
      <c r="B233" s="77" t="s">
        <v>363</v>
      </c>
      <c r="C233" s="76" t="str">
        <f>IF($B233&lt;&gt;"",_xlfn.IFNA(VLOOKUP($B233,'Node Details'!$B:$U,C$1,0),"Check"),"")</f>
        <v>0000AXY17-AXY170107</v>
      </c>
      <c r="D233" s="76" t="str">
        <f>IF($B233&lt;&gt;"",_xlfn.IFNA(VLOOKUP($B233,'Node Details'!$B:$U,D$1,0),"Check"),"")</f>
        <v>AXY</v>
      </c>
      <c r="E233" s="76" t="str">
        <f>IF($B233&lt;&gt;"",_xlfn.IFNA(VLOOKUP($B233,'Node Details'!$B:$U,E$1,0),"Check"),"")</f>
        <v>Airtel</v>
      </c>
      <c r="F233" s="78">
        <v>46113</v>
      </c>
      <c r="G233" s="76"/>
      <c r="H233" s="9" t="s">
        <v>22</v>
      </c>
      <c r="I233" s="9">
        <v>2</v>
      </c>
      <c r="J233" s="9">
        <v>42</v>
      </c>
      <c r="K233" s="79">
        <f t="shared" si="26"/>
        <v>84</v>
      </c>
      <c r="L233" s="78">
        <v>46112</v>
      </c>
      <c r="N233" s="85"/>
      <c r="O233" s="86"/>
      <c r="P233" s="83">
        <f t="shared" si="21"/>
        <v>42</v>
      </c>
      <c r="Q233" s="83">
        <f t="shared" si="22"/>
        <v>84</v>
      </c>
      <c r="R233" s="83"/>
      <c r="S233" s="83"/>
      <c r="T233" s="87"/>
      <c r="U233" s="83">
        <f t="shared" si="23"/>
        <v>42</v>
      </c>
      <c r="V233" s="83">
        <f t="shared" si="24"/>
        <v>2</v>
      </c>
      <c r="W233" s="84">
        <f t="shared" si="25"/>
        <v>84</v>
      </c>
      <c r="X233" s="84" t="s">
        <v>181</v>
      </c>
      <c r="Y233" s="24" t="s">
        <v>176</v>
      </c>
    </row>
    <row r="234" spans="1:25" s="24" customFormat="1" ht="11.1" customHeight="1" x14ac:dyDescent="0.2">
      <c r="A234" s="76">
        <f t="shared" si="27"/>
        <v>232</v>
      </c>
      <c r="B234" s="77" t="s">
        <v>364</v>
      </c>
      <c r="C234" s="76" t="str">
        <f>IF($B234&lt;&gt;"",_xlfn.IFNA(VLOOKUP($B234,'Node Details'!$B:$U,C$1,0),"Check"),"")</f>
        <v>0000AXY17-AXY170107</v>
      </c>
      <c r="D234" s="76" t="str">
        <f>IF($B234&lt;&gt;"",_xlfn.IFNA(VLOOKUP($B234,'Node Details'!$B:$U,D$1,0),"Check"),"")</f>
        <v>AXY</v>
      </c>
      <c r="E234" s="76" t="str">
        <f>IF($B234&lt;&gt;"",_xlfn.IFNA(VLOOKUP($B234,'Node Details'!$B:$U,E$1,0),"Check"),"")</f>
        <v>Airtel</v>
      </c>
      <c r="F234" s="78">
        <v>46113</v>
      </c>
      <c r="G234" s="76"/>
      <c r="H234" s="9" t="s">
        <v>22</v>
      </c>
      <c r="I234" s="9">
        <v>2</v>
      </c>
      <c r="J234" s="9">
        <v>42</v>
      </c>
      <c r="K234" s="79">
        <f t="shared" si="26"/>
        <v>84</v>
      </c>
      <c r="L234" s="78">
        <v>46112</v>
      </c>
      <c r="N234" s="85"/>
      <c r="O234" s="86"/>
      <c r="P234" s="83">
        <f t="shared" si="21"/>
        <v>42</v>
      </c>
      <c r="Q234" s="83">
        <f t="shared" si="22"/>
        <v>84</v>
      </c>
      <c r="R234" s="83"/>
      <c r="S234" s="83"/>
      <c r="T234" s="87"/>
      <c r="U234" s="83">
        <f t="shared" si="23"/>
        <v>42</v>
      </c>
      <c r="V234" s="83">
        <f t="shared" si="24"/>
        <v>2</v>
      </c>
      <c r="W234" s="84">
        <f t="shared" si="25"/>
        <v>84</v>
      </c>
      <c r="X234" s="84" t="s">
        <v>181</v>
      </c>
      <c r="Y234" s="24" t="s">
        <v>176</v>
      </c>
    </row>
    <row r="235" spans="1:25" s="24" customFormat="1" ht="11.1" customHeight="1" x14ac:dyDescent="0.2">
      <c r="A235" s="76">
        <f t="shared" si="27"/>
        <v>233</v>
      </c>
      <c r="B235" s="77" t="s">
        <v>365</v>
      </c>
      <c r="C235" s="76" t="str">
        <f>IF($B235&lt;&gt;"",_xlfn.IFNA(VLOOKUP($B235,'Node Details'!$B:$U,C$1,0),"Check"),"")</f>
        <v>0000AXY17-AXY170201</v>
      </c>
      <c r="D235" s="76" t="str">
        <f>IF($B235&lt;&gt;"",_xlfn.IFNA(VLOOKUP($B235,'Node Details'!$B:$U,D$1,0),"Check"),"")</f>
        <v>AXY</v>
      </c>
      <c r="E235" s="76" t="str">
        <f>IF($B235&lt;&gt;"",_xlfn.IFNA(VLOOKUP($B235,'Node Details'!$B:$U,E$1,0),"Check"),"")</f>
        <v>Airtel</v>
      </c>
      <c r="F235" s="78">
        <v>46113</v>
      </c>
      <c r="G235" s="76"/>
      <c r="H235" s="9" t="s">
        <v>22</v>
      </c>
      <c r="I235" s="9">
        <v>2</v>
      </c>
      <c r="J235" s="9">
        <v>42</v>
      </c>
      <c r="K235" s="79">
        <f t="shared" si="26"/>
        <v>84</v>
      </c>
      <c r="L235" s="78">
        <v>46112</v>
      </c>
      <c r="N235" s="85"/>
      <c r="O235" s="86"/>
      <c r="P235" s="83">
        <f t="shared" si="21"/>
        <v>42</v>
      </c>
      <c r="Q235" s="83">
        <f t="shared" si="22"/>
        <v>84</v>
      </c>
      <c r="R235" s="83"/>
      <c r="S235" s="83"/>
      <c r="T235" s="87"/>
      <c r="U235" s="83">
        <f t="shared" si="23"/>
        <v>42</v>
      </c>
      <c r="V235" s="83">
        <f t="shared" si="24"/>
        <v>2</v>
      </c>
      <c r="W235" s="84">
        <f t="shared" si="25"/>
        <v>84</v>
      </c>
      <c r="X235" s="84" t="s">
        <v>181</v>
      </c>
      <c r="Y235" s="24" t="s">
        <v>176</v>
      </c>
    </row>
    <row r="236" spans="1:25" s="24" customFormat="1" ht="11.1" customHeight="1" x14ac:dyDescent="0.2">
      <c r="A236" s="76">
        <f t="shared" si="27"/>
        <v>234</v>
      </c>
      <c r="B236" s="77" t="s">
        <v>366</v>
      </c>
      <c r="C236" s="76" t="str">
        <f>IF($B236&lt;&gt;"",_xlfn.IFNA(VLOOKUP($B236,'Node Details'!$B:$U,C$1,0),"Check"),"")</f>
        <v>0000AXY17-AXY170201</v>
      </c>
      <c r="D236" s="76" t="str">
        <f>IF($B236&lt;&gt;"",_xlfn.IFNA(VLOOKUP($B236,'Node Details'!$B:$U,D$1,0),"Check"),"")</f>
        <v>AXY</v>
      </c>
      <c r="E236" s="76" t="str">
        <f>IF($B236&lt;&gt;"",_xlfn.IFNA(VLOOKUP($B236,'Node Details'!$B:$U,E$1,0),"Check"),"")</f>
        <v>Airtel</v>
      </c>
      <c r="F236" s="78">
        <v>46113</v>
      </c>
      <c r="G236" s="76"/>
      <c r="H236" s="9" t="s">
        <v>22</v>
      </c>
      <c r="I236" s="9">
        <v>2</v>
      </c>
      <c r="J236" s="9">
        <v>42</v>
      </c>
      <c r="K236" s="79">
        <f t="shared" si="26"/>
        <v>84</v>
      </c>
      <c r="L236" s="78">
        <v>46112</v>
      </c>
      <c r="N236" s="85"/>
      <c r="O236" s="86"/>
      <c r="P236" s="83">
        <f t="shared" si="21"/>
        <v>42</v>
      </c>
      <c r="Q236" s="83">
        <f t="shared" si="22"/>
        <v>84</v>
      </c>
      <c r="R236" s="83"/>
      <c r="S236" s="83"/>
      <c r="T236" s="87"/>
      <c r="U236" s="83">
        <f t="shared" si="23"/>
        <v>42</v>
      </c>
      <c r="V236" s="83">
        <f t="shared" si="24"/>
        <v>2</v>
      </c>
      <c r="W236" s="84">
        <f t="shared" si="25"/>
        <v>84</v>
      </c>
      <c r="X236" s="84" t="s">
        <v>181</v>
      </c>
      <c r="Y236" s="24" t="s">
        <v>176</v>
      </c>
    </row>
    <row r="237" spans="1:25" s="24" customFormat="1" ht="11.1" customHeight="1" x14ac:dyDescent="0.2">
      <c r="A237" s="76">
        <f t="shared" si="27"/>
        <v>235</v>
      </c>
      <c r="B237" s="77" t="s">
        <v>367</v>
      </c>
      <c r="C237" s="76" t="str">
        <f>IF($B237&lt;&gt;"",_xlfn.IFNA(VLOOKUP($B237,'Node Details'!$B:$U,C$1,0),"Check"),"")</f>
        <v>AXY170103-AXY170107</v>
      </c>
      <c r="D237" s="76" t="str">
        <f>IF($B237&lt;&gt;"",_xlfn.IFNA(VLOOKUP($B237,'Node Details'!$B:$U,D$1,0),"Check"),"")</f>
        <v>AXY</v>
      </c>
      <c r="E237" s="76" t="str">
        <f>IF($B237&lt;&gt;"",_xlfn.IFNA(VLOOKUP($B237,'Node Details'!$B:$U,E$1,0),"Check"),"")</f>
        <v>Airtel</v>
      </c>
      <c r="F237" s="78">
        <v>46113</v>
      </c>
      <c r="G237" s="76"/>
      <c r="H237" s="9" t="s">
        <v>22</v>
      </c>
      <c r="I237" s="9">
        <v>2</v>
      </c>
      <c r="J237" s="9">
        <v>42</v>
      </c>
      <c r="K237" s="79">
        <f t="shared" si="26"/>
        <v>84</v>
      </c>
      <c r="L237" s="78">
        <v>46112</v>
      </c>
      <c r="N237" s="85"/>
      <c r="O237" s="86"/>
      <c r="P237" s="83">
        <f t="shared" si="21"/>
        <v>42</v>
      </c>
      <c r="Q237" s="83">
        <f t="shared" si="22"/>
        <v>84</v>
      </c>
      <c r="R237" s="83"/>
      <c r="S237" s="83"/>
      <c r="T237" s="87"/>
      <c r="U237" s="83">
        <f t="shared" si="23"/>
        <v>42</v>
      </c>
      <c r="V237" s="83">
        <f t="shared" si="24"/>
        <v>2</v>
      </c>
      <c r="W237" s="84">
        <f t="shared" si="25"/>
        <v>84</v>
      </c>
      <c r="X237" s="84" t="s">
        <v>181</v>
      </c>
      <c r="Y237" s="24" t="s">
        <v>176</v>
      </c>
    </row>
    <row r="238" spans="1:25" s="24" customFormat="1" ht="11.1" customHeight="1" x14ac:dyDescent="0.2">
      <c r="A238" s="76">
        <f t="shared" si="27"/>
        <v>236</v>
      </c>
      <c r="B238" s="77" t="s">
        <v>368</v>
      </c>
      <c r="C238" s="76" t="str">
        <f>IF($B238&lt;&gt;"",_xlfn.IFNA(VLOOKUP($B238,'Node Details'!$B:$U,C$1,0),"Check"),"")</f>
        <v>AXY170103-AXY170107</v>
      </c>
      <c r="D238" s="76" t="str">
        <f>IF($B238&lt;&gt;"",_xlfn.IFNA(VLOOKUP($B238,'Node Details'!$B:$U,D$1,0),"Check"),"")</f>
        <v>AXY</v>
      </c>
      <c r="E238" s="76" t="str">
        <f>IF($B238&lt;&gt;"",_xlfn.IFNA(VLOOKUP($B238,'Node Details'!$B:$U,E$1,0),"Check"),"")</f>
        <v>Airtel</v>
      </c>
      <c r="F238" s="78">
        <v>46113</v>
      </c>
      <c r="G238" s="76"/>
      <c r="H238" s="9" t="s">
        <v>22</v>
      </c>
      <c r="I238" s="9">
        <v>2</v>
      </c>
      <c r="J238" s="9">
        <v>42</v>
      </c>
      <c r="K238" s="79">
        <f t="shared" si="26"/>
        <v>84</v>
      </c>
      <c r="L238" s="78">
        <v>46112</v>
      </c>
      <c r="N238" s="85"/>
      <c r="O238" s="86"/>
      <c r="P238" s="83">
        <f t="shared" si="21"/>
        <v>42</v>
      </c>
      <c r="Q238" s="83">
        <f t="shared" si="22"/>
        <v>84</v>
      </c>
      <c r="R238" s="83"/>
      <c r="S238" s="83"/>
      <c r="T238" s="87"/>
      <c r="U238" s="83">
        <f t="shared" si="23"/>
        <v>42</v>
      </c>
      <c r="V238" s="83">
        <f t="shared" si="24"/>
        <v>2</v>
      </c>
      <c r="W238" s="84">
        <f t="shared" si="25"/>
        <v>84</v>
      </c>
      <c r="X238" s="84" t="s">
        <v>181</v>
      </c>
      <c r="Y238" s="24" t="s">
        <v>176</v>
      </c>
    </row>
    <row r="239" spans="1:25" s="24" customFormat="1" ht="11.1" customHeight="1" x14ac:dyDescent="0.2">
      <c r="A239" s="76">
        <f t="shared" si="27"/>
        <v>237</v>
      </c>
      <c r="B239" s="77" t="s">
        <v>225</v>
      </c>
      <c r="C239" s="76" t="str">
        <f>IF($B239&lt;&gt;"",_xlfn.IFNA(VLOOKUP($B239,'Node Details'!$B:$U,C$1,0),"Check"),"")</f>
        <v>000000AXY-0000AXY01</v>
      </c>
      <c r="D239" s="76" t="str">
        <f>IF($B239&lt;&gt;"",_xlfn.IFNA(VLOOKUP($B239,'Node Details'!$B:$U,D$1,0),"Check"),"")</f>
        <v>AXY</v>
      </c>
      <c r="E239" s="76" t="str">
        <f>IF($B239&lt;&gt;"",_xlfn.IFNA(VLOOKUP($B239,'Node Details'!$B:$U,E$1,0),"Check"),"")</f>
        <v>Airtel</v>
      </c>
      <c r="F239" s="78">
        <v>46113</v>
      </c>
      <c r="G239" s="76"/>
      <c r="H239" s="9" t="s">
        <v>177</v>
      </c>
      <c r="I239" s="9">
        <v>1</v>
      </c>
      <c r="J239" s="9">
        <v>650</v>
      </c>
      <c r="K239" s="79">
        <f t="shared" si="26"/>
        <v>650</v>
      </c>
      <c r="L239" s="78">
        <v>46112</v>
      </c>
      <c r="N239" s="85"/>
      <c r="O239" s="86"/>
      <c r="P239" s="83">
        <f t="shared" ref="P239:P302" si="28">J239</f>
        <v>650</v>
      </c>
      <c r="Q239" s="83">
        <f t="shared" ref="Q239:Q302" si="29">P239*I239</f>
        <v>650</v>
      </c>
      <c r="R239" s="83"/>
      <c r="S239" s="83"/>
      <c r="T239" s="87"/>
      <c r="U239" s="83">
        <f t="shared" ref="U239:U302" si="30">J239</f>
        <v>650</v>
      </c>
      <c r="V239" s="83">
        <f t="shared" ref="V239:V302" si="31">I239</f>
        <v>1</v>
      </c>
      <c r="W239" s="84">
        <f t="shared" ref="W239:W302" si="32">IF(V239&lt;&gt;"",V239*U239,0)</f>
        <v>650</v>
      </c>
      <c r="X239" s="84" t="s">
        <v>181</v>
      </c>
      <c r="Y239" s="24" t="s">
        <v>176</v>
      </c>
    </row>
    <row r="240" spans="1:25" s="24" customFormat="1" ht="11.1" customHeight="1" x14ac:dyDescent="0.2">
      <c r="A240" s="76">
        <f t="shared" si="27"/>
        <v>238</v>
      </c>
      <c r="B240" s="77" t="s">
        <v>230</v>
      </c>
      <c r="C240" s="76" t="str">
        <f>IF($B240&lt;&gt;"",_xlfn.IFNA(VLOOKUP($B240,'Node Details'!$B:$U,C$1,0),"Check"),"")</f>
        <v>0000AXY02-0000AXY03</v>
      </c>
      <c r="D240" s="76" t="str">
        <f>IF($B240&lt;&gt;"",_xlfn.IFNA(VLOOKUP($B240,'Node Details'!$B:$U,D$1,0),"Check"),"")</f>
        <v>AXY</v>
      </c>
      <c r="E240" s="76" t="str">
        <f>IF($B240&lt;&gt;"",_xlfn.IFNA(VLOOKUP($B240,'Node Details'!$B:$U,E$1,0),"Check"),"")</f>
        <v>Airtel</v>
      </c>
      <c r="F240" s="78">
        <v>46113</v>
      </c>
      <c r="G240" s="76"/>
      <c r="H240" s="9" t="s">
        <v>177</v>
      </c>
      <c r="I240" s="9">
        <v>1</v>
      </c>
      <c r="J240" s="9">
        <v>650</v>
      </c>
      <c r="K240" s="79">
        <f t="shared" ref="K240:K303" si="33">IF(I240&lt;&gt;"",J240*I240,0)</f>
        <v>650</v>
      </c>
      <c r="L240" s="78">
        <v>46112</v>
      </c>
      <c r="N240" s="85"/>
      <c r="O240" s="86"/>
      <c r="P240" s="83">
        <f t="shared" si="28"/>
        <v>650</v>
      </c>
      <c r="Q240" s="83">
        <f t="shared" si="29"/>
        <v>650</v>
      </c>
      <c r="R240" s="83"/>
      <c r="S240" s="83"/>
      <c r="T240" s="87"/>
      <c r="U240" s="83">
        <f t="shared" si="30"/>
        <v>650</v>
      </c>
      <c r="V240" s="83">
        <f t="shared" si="31"/>
        <v>1</v>
      </c>
      <c r="W240" s="84">
        <f t="shared" si="32"/>
        <v>650</v>
      </c>
      <c r="X240" s="84" t="s">
        <v>181</v>
      </c>
      <c r="Y240" s="24" t="s">
        <v>176</v>
      </c>
    </row>
    <row r="241" spans="1:25" s="24" customFormat="1" ht="11.1" customHeight="1" x14ac:dyDescent="0.2">
      <c r="A241" s="76">
        <f t="shared" si="27"/>
        <v>239</v>
      </c>
      <c r="B241" s="77" t="s">
        <v>240</v>
      </c>
      <c r="C241" s="76" t="str">
        <f>IF($B241&lt;&gt;"",_xlfn.IFNA(VLOOKUP($B241,'Node Details'!$B:$U,C$1,0),"Check"),"")</f>
        <v>000000AXY-0000AXY12</v>
      </c>
      <c r="D241" s="76" t="str">
        <f>IF($B241&lt;&gt;"",_xlfn.IFNA(VLOOKUP($B241,'Node Details'!$B:$U,D$1,0),"Check"),"")</f>
        <v>AXY</v>
      </c>
      <c r="E241" s="76" t="str">
        <f>IF($B241&lt;&gt;"",_xlfn.IFNA(VLOOKUP($B241,'Node Details'!$B:$U,E$1,0),"Check"),"")</f>
        <v>Airtel</v>
      </c>
      <c r="F241" s="78">
        <v>46113</v>
      </c>
      <c r="G241" s="76"/>
      <c r="H241" s="9" t="s">
        <v>177</v>
      </c>
      <c r="I241" s="9">
        <v>1</v>
      </c>
      <c r="J241" s="9">
        <v>650</v>
      </c>
      <c r="K241" s="79">
        <f t="shared" si="33"/>
        <v>650</v>
      </c>
      <c r="L241" s="78">
        <v>46112</v>
      </c>
      <c r="N241" s="85"/>
      <c r="O241" s="86"/>
      <c r="P241" s="83">
        <f t="shared" si="28"/>
        <v>650</v>
      </c>
      <c r="Q241" s="83">
        <f t="shared" si="29"/>
        <v>650</v>
      </c>
      <c r="R241" s="83"/>
      <c r="S241" s="83"/>
      <c r="T241" s="87"/>
      <c r="U241" s="83">
        <f t="shared" si="30"/>
        <v>650</v>
      </c>
      <c r="V241" s="83">
        <f t="shared" si="31"/>
        <v>1</v>
      </c>
      <c r="W241" s="84">
        <f t="shared" si="32"/>
        <v>650</v>
      </c>
      <c r="X241" s="84" t="s">
        <v>181</v>
      </c>
      <c r="Y241" s="24" t="s">
        <v>176</v>
      </c>
    </row>
    <row r="242" spans="1:25" s="24" customFormat="1" ht="11.1" customHeight="1" x14ac:dyDescent="0.2">
      <c r="A242" s="76">
        <f t="shared" si="27"/>
        <v>240</v>
      </c>
      <c r="B242" s="77" t="s">
        <v>251</v>
      </c>
      <c r="C242" s="76" t="str">
        <f>IF($B242&lt;&gt;"",_xlfn.IFNA(VLOOKUP($B242,'Node Details'!$B:$U,C$1,0),"Check"),"")</f>
        <v>0000AXY04-0000AXY05</v>
      </c>
      <c r="D242" s="76" t="str">
        <f>IF($B242&lt;&gt;"",_xlfn.IFNA(VLOOKUP($B242,'Node Details'!$B:$U,D$1,0),"Check"),"")</f>
        <v>AXY</v>
      </c>
      <c r="E242" s="76" t="str">
        <f>IF($B242&lt;&gt;"",_xlfn.IFNA(VLOOKUP($B242,'Node Details'!$B:$U,E$1,0),"Check"),"")</f>
        <v>Airtel</v>
      </c>
      <c r="F242" s="78">
        <v>46113</v>
      </c>
      <c r="G242" s="76"/>
      <c r="H242" s="9" t="s">
        <v>177</v>
      </c>
      <c r="I242" s="9">
        <v>1</v>
      </c>
      <c r="J242" s="9">
        <v>650</v>
      </c>
      <c r="K242" s="79">
        <f t="shared" si="33"/>
        <v>650</v>
      </c>
      <c r="L242" s="78">
        <v>46112</v>
      </c>
      <c r="N242" s="85"/>
      <c r="O242" s="86"/>
      <c r="P242" s="83">
        <f t="shared" si="28"/>
        <v>650</v>
      </c>
      <c r="Q242" s="83">
        <f t="shared" si="29"/>
        <v>650</v>
      </c>
      <c r="R242" s="83"/>
      <c r="S242" s="83"/>
      <c r="T242" s="87"/>
      <c r="U242" s="83">
        <f t="shared" si="30"/>
        <v>650</v>
      </c>
      <c r="V242" s="83">
        <f t="shared" si="31"/>
        <v>1</v>
      </c>
      <c r="W242" s="84">
        <f t="shared" si="32"/>
        <v>650</v>
      </c>
      <c r="X242" s="84" t="s">
        <v>181</v>
      </c>
      <c r="Y242" s="24" t="s">
        <v>176</v>
      </c>
    </row>
    <row r="243" spans="1:25" s="24" customFormat="1" ht="11.1" customHeight="1" x14ac:dyDescent="0.2">
      <c r="A243" s="76">
        <f t="shared" si="27"/>
        <v>241</v>
      </c>
      <c r="B243" s="77" t="s">
        <v>262</v>
      </c>
      <c r="C243" s="76" t="str">
        <f>IF($B243&lt;&gt;"",_xlfn.IFNA(VLOOKUP($B243,'Node Details'!$B:$U,C$1,0),"Check"),"")</f>
        <v>000000AXY-0000AXY12</v>
      </c>
      <c r="D243" s="76" t="str">
        <f>IF($B243&lt;&gt;"",_xlfn.IFNA(VLOOKUP($B243,'Node Details'!$B:$U,D$1,0),"Check"),"")</f>
        <v>AXY</v>
      </c>
      <c r="E243" s="76" t="str">
        <f>IF($B243&lt;&gt;"",_xlfn.IFNA(VLOOKUP($B243,'Node Details'!$B:$U,E$1,0),"Check"),"")</f>
        <v>Airtel</v>
      </c>
      <c r="F243" s="78">
        <v>46113</v>
      </c>
      <c r="G243" s="76"/>
      <c r="H243" s="9" t="s">
        <v>177</v>
      </c>
      <c r="I243" s="9">
        <v>1</v>
      </c>
      <c r="J243" s="9">
        <v>650</v>
      </c>
      <c r="K243" s="79">
        <f t="shared" si="33"/>
        <v>650</v>
      </c>
      <c r="L243" s="78">
        <v>46112</v>
      </c>
      <c r="N243" s="85"/>
      <c r="O243" s="86"/>
      <c r="P243" s="83">
        <f t="shared" si="28"/>
        <v>650</v>
      </c>
      <c r="Q243" s="83">
        <f t="shared" si="29"/>
        <v>650</v>
      </c>
      <c r="R243" s="83"/>
      <c r="S243" s="83"/>
      <c r="T243" s="87"/>
      <c r="U243" s="83">
        <f t="shared" si="30"/>
        <v>650</v>
      </c>
      <c r="V243" s="83">
        <f t="shared" si="31"/>
        <v>1</v>
      </c>
      <c r="W243" s="84">
        <f t="shared" si="32"/>
        <v>650</v>
      </c>
      <c r="X243" s="84" t="s">
        <v>181</v>
      </c>
      <c r="Y243" s="24" t="s">
        <v>176</v>
      </c>
    </row>
    <row r="244" spans="1:25" s="24" customFormat="1" ht="11.1" customHeight="1" x14ac:dyDescent="0.2">
      <c r="A244" s="76">
        <f t="shared" si="27"/>
        <v>242</v>
      </c>
      <c r="B244" s="77" t="s">
        <v>272</v>
      </c>
      <c r="C244" s="76" t="str">
        <f>IF($B244&lt;&gt;"",_xlfn.IFNA(VLOOKUP($B244,'Node Details'!$B:$U,C$1,0),"Check"),"")</f>
        <v>000000AXY-0000AXY12</v>
      </c>
      <c r="D244" s="76" t="str">
        <f>IF($B244&lt;&gt;"",_xlfn.IFNA(VLOOKUP($B244,'Node Details'!$B:$U,D$1,0),"Check"),"")</f>
        <v>AXY</v>
      </c>
      <c r="E244" s="76" t="str">
        <f>IF($B244&lt;&gt;"",_xlfn.IFNA(VLOOKUP($B244,'Node Details'!$B:$U,E$1,0),"Check"),"")</f>
        <v>Airtel</v>
      </c>
      <c r="F244" s="78">
        <v>46113</v>
      </c>
      <c r="G244" s="76"/>
      <c r="H244" s="9" t="s">
        <v>177</v>
      </c>
      <c r="I244" s="9">
        <v>1</v>
      </c>
      <c r="J244" s="9">
        <v>650</v>
      </c>
      <c r="K244" s="79">
        <f t="shared" si="33"/>
        <v>650</v>
      </c>
      <c r="L244" s="78">
        <v>46112</v>
      </c>
      <c r="N244" s="85"/>
      <c r="O244" s="86"/>
      <c r="P244" s="83">
        <f t="shared" si="28"/>
        <v>650</v>
      </c>
      <c r="Q244" s="83">
        <f t="shared" si="29"/>
        <v>650</v>
      </c>
      <c r="R244" s="83"/>
      <c r="S244" s="83"/>
      <c r="T244" s="87"/>
      <c r="U244" s="83">
        <f t="shared" si="30"/>
        <v>650</v>
      </c>
      <c r="V244" s="83">
        <f t="shared" si="31"/>
        <v>1</v>
      </c>
      <c r="W244" s="84">
        <f t="shared" si="32"/>
        <v>650</v>
      </c>
      <c r="X244" s="84" t="s">
        <v>181</v>
      </c>
      <c r="Y244" s="24" t="s">
        <v>176</v>
      </c>
    </row>
    <row r="245" spans="1:25" s="24" customFormat="1" ht="11.1" customHeight="1" x14ac:dyDescent="0.2">
      <c r="A245" s="76">
        <f t="shared" si="27"/>
        <v>243</v>
      </c>
      <c r="B245" s="77" t="s">
        <v>278</v>
      </c>
      <c r="C245" s="76" t="str">
        <f>IF($B245&lt;&gt;"",_xlfn.IFNA(VLOOKUP($B245,'Node Details'!$B:$U,C$1,0),"Check"),"")</f>
        <v>000000AXY-0000AXY12</v>
      </c>
      <c r="D245" s="76" t="str">
        <f>IF($B245&lt;&gt;"",_xlfn.IFNA(VLOOKUP($B245,'Node Details'!$B:$U,D$1,0),"Check"),"")</f>
        <v>AXY</v>
      </c>
      <c r="E245" s="76" t="str">
        <f>IF($B245&lt;&gt;"",_xlfn.IFNA(VLOOKUP($B245,'Node Details'!$B:$U,E$1,0),"Check"),"")</f>
        <v>Airtel</v>
      </c>
      <c r="F245" s="78">
        <v>46113</v>
      </c>
      <c r="G245" s="76"/>
      <c r="H245" s="9" t="s">
        <v>177</v>
      </c>
      <c r="I245" s="9">
        <v>2</v>
      </c>
      <c r="J245" s="9">
        <v>650</v>
      </c>
      <c r="K245" s="79">
        <f t="shared" si="33"/>
        <v>1300</v>
      </c>
      <c r="L245" s="78">
        <v>46112</v>
      </c>
      <c r="N245" s="85"/>
      <c r="O245" s="86"/>
      <c r="P245" s="83">
        <f t="shared" si="28"/>
        <v>650</v>
      </c>
      <c r="Q245" s="83">
        <f t="shared" si="29"/>
        <v>1300</v>
      </c>
      <c r="R245" s="83"/>
      <c r="S245" s="83"/>
      <c r="T245" s="87"/>
      <c r="U245" s="83">
        <f t="shared" si="30"/>
        <v>650</v>
      </c>
      <c r="V245" s="83">
        <f t="shared" si="31"/>
        <v>2</v>
      </c>
      <c r="W245" s="84">
        <f t="shared" si="32"/>
        <v>1300</v>
      </c>
      <c r="X245" s="84" t="s">
        <v>181</v>
      </c>
      <c r="Y245" s="24" t="s">
        <v>176</v>
      </c>
    </row>
    <row r="246" spans="1:25" s="24" customFormat="1" ht="11.1" customHeight="1" x14ac:dyDescent="0.2">
      <c r="A246" s="76">
        <f t="shared" si="27"/>
        <v>244</v>
      </c>
      <c r="B246" s="77" t="s">
        <v>289</v>
      </c>
      <c r="C246" s="76" t="str">
        <f>IF($B246&lt;&gt;"",_xlfn.IFNA(VLOOKUP($B246,'Node Details'!$B:$U,C$1,0),"Check"),"")</f>
        <v>000000AXY-0000AXY12</v>
      </c>
      <c r="D246" s="76" t="str">
        <f>IF($B246&lt;&gt;"",_xlfn.IFNA(VLOOKUP($B246,'Node Details'!$B:$U,D$1,0),"Check"),"")</f>
        <v>AXY</v>
      </c>
      <c r="E246" s="76" t="str">
        <f>IF($B246&lt;&gt;"",_xlfn.IFNA(VLOOKUP($B246,'Node Details'!$B:$U,E$1,0),"Check"),"")</f>
        <v>Airtel</v>
      </c>
      <c r="F246" s="78">
        <v>46113</v>
      </c>
      <c r="G246" s="76"/>
      <c r="H246" s="9" t="s">
        <v>177</v>
      </c>
      <c r="I246" s="9">
        <v>2</v>
      </c>
      <c r="J246" s="9">
        <v>650</v>
      </c>
      <c r="K246" s="79">
        <f t="shared" si="33"/>
        <v>1300</v>
      </c>
      <c r="L246" s="78">
        <v>46112</v>
      </c>
      <c r="N246" s="85"/>
      <c r="O246" s="86"/>
      <c r="P246" s="83">
        <f t="shared" si="28"/>
        <v>650</v>
      </c>
      <c r="Q246" s="83">
        <f t="shared" si="29"/>
        <v>1300</v>
      </c>
      <c r="R246" s="83"/>
      <c r="S246" s="83"/>
      <c r="T246" s="87"/>
      <c r="U246" s="83">
        <f t="shared" si="30"/>
        <v>650</v>
      </c>
      <c r="V246" s="83">
        <f t="shared" si="31"/>
        <v>2</v>
      </c>
      <c r="W246" s="84">
        <f t="shared" si="32"/>
        <v>1300</v>
      </c>
      <c r="X246" s="84" t="s">
        <v>181</v>
      </c>
      <c r="Y246" s="24" t="s">
        <v>176</v>
      </c>
    </row>
    <row r="247" spans="1:25" s="24" customFormat="1" ht="11.1" customHeight="1" x14ac:dyDescent="0.2">
      <c r="A247" s="76">
        <f t="shared" si="27"/>
        <v>245</v>
      </c>
      <c r="B247" s="77" t="s">
        <v>301</v>
      </c>
      <c r="C247" s="76" t="str">
        <f>IF($B247&lt;&gt;"",_xlfn.IFNA(VLOOKUP($B247,'Node Details'!$B:$U,C$1,0),"Check"),"")</f>
        <v>000000AXY-0000AXY12</v>
      </c>
      <c r="D247" s="76" t="str">
        <f>IF($B247&lt;&gt;"",_xlfn.IFNA(VLOOKUP($B247,'Node Details'!$B:$U,D$1,0),"Check"),"")</f>
        <v>AXY</v>
      </c>
      <c r="E247" s="76" t="str">
        <f>IF($B247&lt;&gt;"",_xlfn.IFNA(VLOOKUP($B247,'Node Details'!$B:$U,E$1,0),"Check"),"")</f>
        <v>Airtel</v>
      </c>
      <c r="F247" s="78">
        <v>46113</v>
      </c>
      <c r="G247" s="76"/>
      <c r="H247" s="9" t="s">
        <v>177</v>
      </c>
      <c r="I247" s="9">
        <v>2</v>
      </c>
      <c r="J247" s="9">
        <v>650</v>
      </c>
      <c r="K247" s="79">
        <f t="shared" si="33"/>
        <v>1300</v>
      </c>
      <c r="L247" s="78">
        <v>46112</v>
      </c>
      <c r="N247" s="85"/>
      <c r="O247" s="86"/>
      <c r="P247" s="83">
        <f t="shared" si="28"/>
        <v>650</v>
      </c>
      <c r="Q247" s="83">
        <f t="shared" si="29"/>
        <v>1300</v>
      </c>
      <c r="R247" s="83"/>
      <c r="S247" s="83"/>
      <c r="T247" s="87"/>
      <c r="U247" s="83">
        <f t="shared" si="30"/>
        <v>650</v>
      </c>
      <c r="V247" s="83">
        <f t="shared" si="31"/>
        <v>2</v>
      </c>
      <c r="W247" s="84">
        <f t="shared" si="32"/>
        <v>1300</v>
      </c>
      <c r="X247" s="84" t="s">
        <v>181</v>
      </c>
      <c r="Y247" s="24" t="s">
        <v>176</v>
      </c>
    </row>
    <row r="248" spans="1:25" s="24" customFormat="1" ht="11.1" customHeight="1" x14ac:dyDescent="0.2">
      <c r="A248" s="76">
        <f t="shared" si="27"/>
        <v>246</v>
      </c>
      <c r="B248" s="77" t="s">
        <v>309</v>
      </c>
      <c r="C248" s="76" t="str">
        <f>IF($B248&lt;&gt;"",_xlfn.IFNA(VLOOKUP($B248,'Node Details'!$B:$U,C$1,0),"Check"),"")</f>
        <v>000000AXY-0000AXY12</v>
      </c>
      <c r="D248" s="76" t="str">
        <f>IF($B248&lt;&gt;"",_xlfn.IFNA(VLOOKUP($B248,'Node Details'!$B:$U,D$1,0),"Check"),"")</f>
        <v>AXY</v>
      </c>
      <c r="E248" s="76" t="str">
        <f>IF($B248&lt;&gt;"",_xlfn.IFNA(VLOOKUP($B248,'Node Details'!$B:$U,E$1,0),"Check"),"")</f>
        <v>Airtel</v>
      </c>
      <c r="F248" s="78">
        <v>46113</v>
      </c>
      <c r="G248" s="76"/>
      <c r="H248" s="9" t="s">
        <v>177</v>
      </c>
      <c r="I248" s="9">
        <v>2</v>
      </c>
      <c r="J248" s="9">
        <v>650</v>
      </c>
      <c r="K248" s="79">
        <f t="shared" si="33"/>
        <v>1300</v>
      </c>
      <c r="L248" s="78">
        <v>46112</v>
      </c>
      <c r="N248" s="85"/>
      <c r="O248" s="86"/>
      <c r="P248" s="83">
        <f t="shared" si="28"/>
        <v>650</v>
      </c>
      <c r="Q248" s="83">
        <f t="shared" si="29"/>
        <v>1300</v>
      </c>
      <c r="R248" s="83"/>
      <c r="S248" s="83"/>
      <c r="T248" s="87"/>
      <c r="U248" s="83">
        <f t="shared" si="30"/>
        <v>650</v>
      </c>
      <c r="V248" s="83">
        <f t="shared" si="31"/>
        <v>2</v>
      </c>
      <c r="W248" s="84">
        <f t="shared" si="32"/>
        <v>1300</v>
      </c>
      <c r="X248" s="84" t="s">
        <v>181</v>
      </c>
      <c r="Y248" s="24" t="s">
        <v>176</v>
      </c>
    </row>
    <row r="249" spans="1:25" s="24" customFormat="1" ht="11.1" customHeight="1" x14ac:dyDescent="0.2">
      <c r="A249" s="76">
        <f t="shared" si="27"/>
        <v>247</v>
      </c>
      <c r="B249" s="77" t="s">
        <v>319</v>
      </c>
      <c r="C249" s="76" t="str">
        <f>IF($B249&lt;&gt;"",_xlfn.IFNA(VLOOKUP($B249,'Node Details'!$B:$U,C$1,0),"Check"),"")</f>
        <v>000000AXY-0000AXY12</v>
      </c>
      <c r="D249" s="76" t="str">
        <f>IF($B249&lt;&gt;"",_xlfn.IFNA(VLOOKUP($B249,'Node Details'!$B:$U,D$1,0),"Check"),"")</f>
        <v>AXY</v>
      </c>
      <c r="E249" s="76" t="str">
        <f>IF($B249&lt;&gt;"",_xlfn.IFNA(VLOOKUP($B249,'Node Details'!$B:$U,E$1,0),"Check"),"")</f>
        <v>Airtel</v>
      </c>
      <c r="F249" s="78">
        <v>46113</v>
      </c>
      <c r="G249" s="76"/>
      <c r="H249" s="9" t="s">
        <v>177</v>
      </c>
      <c r="I249" s="9">
        <v>2</v>
      </c>
      <c r="J249" s="9">
        <v>650</v>
      </c>
      <c r="K249" s="79">
        <f t="shared" si="33"/>
        <v>1300</v>
      </c>
      <c r="L249" s="78">
        <v>46112</v>
      </c>
      <c r="N249" s="85"/>
      <c r="O249" s="86"/>
      <c r="P249" s="83">
        <f t="shared" si="28"/>
        <v>650</v>
      </c>
      <c r="Q249" s="83">
        <f t="shared" si="29"/>
        <v>1300</v>
      </c>
      <c r="R249" s="83"/>
      <c r="S249" s="83"/>
      <c r="T249" s="87"/>
      <c r="U249" s="83">
        <f t="shared" si="30"/>
        <v>650</v>
      </c>
      <c r="V249" s="83">
        <f t="shared" si="31"/>
        <v>2</v>
      </c>
      <c r="W249" s="84">
        <f t="shared" si="32"/>
        <v>1300</v>
      </c>
      <c r="X249" s="84" t="s">
        <v>181</v>
      </c>
      <c r="Y249" s="24" t="s">
        <v>176</v>
      </c>
    </row>
    <row r="250" spans="1:25" s="24" customFormat="1" ht="11.1" customHeight="1" x14ac:dyDescent="0.2">
      <c r="A250" s="76">
        <f t="shared" si="27"/>
        <v>248</v>
      </c>
      <c r="B250" s="77" t="s">
        <v>324</v>
      </c>
      <c r="C250" s="76" t="str">
        <f>IF($B250&lt;&gt;"",_xlfn.IFNA(VLOOKUP($B250,'Node Details'!$B:$U,C$1,0),"Check"),"")</f>
        <v>000000AXY-0000AXY17</v>
      </c>
      <c r="D250" s="76" t="str">
        <f>IF($B250&lt;&gt;"",_xlfn.IFNA(VLOOKUP($B250,'Node Details'!$B:$U,D$1,0),"Check"),"")</f>
        <v>AXY</v>
      </c>
      <c r="E250" s="76" t="str">
        <f>IF($B250&lt;&gt;"",_xlfn.IFNA(VLOOKUP($B250,'Node Details'!$B:$U,E$1,0),"Check"),"")</f>
        <v>Airtel</v>
      </c>
      <c r="F250" s="78">
        <v>46113</v>
      </c>
      <c r="G250" s="76"/>
      <c r="H250" s="9" t="s">
        <v>177</v>
      </c>
      <c r="I250" s="9">
        <v>2</v>
      </c>
      <c r="J250" s="9">
        <v>650</v>
      </c>
      <c r="K250" s="79">
        <f t="shared" si="33"/>
        <v>1300</v>
      </c>
      <c r="L250" s="78">
        <v>46112</v>
      </c>
      <c r="N250" s="85"/>
      <c r="O250" s="86"/>
      <c r="P250" s="83">
        <f t="shared" si="28"/>
        <v>650</v>
      </c>
      <c r="Q250" s="83">
        <f t="shared" si="29"/>
        <v>1300</v>
      </c>
      <c r="R250" s="83"/>
      <c r="S250" s="83"/>
      <c r="T250" s="87"/>
      <c r="U250" s="83">
        <f t="shared" si="30"/>
        <v>650</v>
      </c>
      <c r="V250" s="83">
        <f t="shared" si="31"/>
        <v>2</v>
      </c>
      <c r="W250" s="84">
        <f t="shared" si="32"/>
        <v>1300</v>
      </c>
      <c r="X250" s="84" t="s">
        <v>181</v>
      </c>
      <c r="Y250" s="24" t="s">
        <v>176</v>
      </c>
    </row>
    <row r="251" spans="1:25" s="24" customFormat="1" ht="11.1" customHeight="1" x14ac:dyDescent="0.2">
      <c r="A251" s="76">
        <f t="shared" si="27"/>
        <v>249</v>
      </c>
      <c r="B251" s="77" t="s">
        <v>333</v>
      </c>
      <c r="C251" s="76" t="str">
        <f>IF($B251&lt;&gt;"",_xlfn.IFNA(VLOOKUP($B251,'Node Details'!$B:$U,C$1,0),"Check"),"")</f>
        <v>000000AXY-0000AXY17</v>
      </c>
      <c r="D251" s="76" t="str">
        <f>IF($B251&lt;&gt;"",_xlfn.IFNA(VLOOKUP($B251,'Node Details'!$B:$U,D$1,0),"Check"),"")</f>
        <v>AXY</v>
      </c>
      <c r="E251" s="76" t="str">
        <f>IF($B251&lt;&gt;"",_xlfn.IFNA(VLOOKUP($B251,'Node Details'!$B:$U,E$1,0),"Check"),"")</f>
        <v>Airtel</v>
      </c>
      <c r="F251" s="78">
        <v>46113</v>
      </c>
      <c r="G251" s="76"/>
      <c r="H251" s="9" t="s">
        <v>177</v>
      </c>
      <c r="I251" s="9">
        <v>2</v>
      </c>
      <c r="J251" s="9">
        <v>650</v>
      </c>
      <c r="K251" s="79">
        <f t="shared" si="33"/>
        <v>1300</v>
      </c>
      <c r="L251" s="78">
        <v>46112</v>
      </c>
      <c r="N251" s="85"/>
      <c r="O251" s="86"/>
      <c r="P251" s="83">
        <f t="shared" si="28"/>
        <v>650</v>
      </c>
      <c r="Q251" s="83">
        <f t="shared" si="29"/>
        <v>1300</v>
      </c>
      <c r="R251" s="83"/>
      <c r="S251" s="83"/>
      <c r="T251" s="87"/>
      <c r="U251" s="83">
        <f t="shared" si="30"/>
        <v>650</v>
      </c>
      <c r="V251" s="83">
        <f t="shared" si="31"/>
        <v>2</v>
      </c>
      <c r="W251" s="84">
        <f t="shared" si="32"/>
        <v>1300</v>
      </c>
      <c r="X251" s="84" t="s">
        <v>181</v>
      </c>
      <c r="Y251" s="24" t="s">
        <v>176</v>
      </c>
    </row>
    <row r="252" spans="1:25" s="24" customFormat="1" ht="11.1" customHeight="1" x14ac:dyDescent="0.2">
      <c r="A252" s="76">
        <f t="shared" si="27"/>
        <v>250</v>
      </c>
      <c r="B252" s="77" t="s">
        <v>344</v>
      </c>
      <c r="C252" s="76" t="str">
        <f>IF($B252&lt;&gt;"",_xlfn.IFNA(VLOOKUP($B252,'Node Details'!$B:$U,C$1,0),"Check"),"")</f>
        <v>000000AXY-0000AXY17</v>
      </c>
      <c r="D252" s="76" t="str">
        <f>IF($B252&lt;&gt;"",_xlfn.IFNA(VLOOKUP($B252,'Node Details'!$B:$U,D$1,0),"Check"),"")</f>
        <v>AXY</v>
      </c>
      <c r="E252" s="76" t="str">
        <f>IF($B252&lt;&gt;"",_xlfn.IFNA(VLOOKUP($B252,'Node Details'!$B:$U,E$1,0),"Check"),"")</f>
        <v>Airtel</v>
      </c>
      <c r="F252" s="78">
        <v>46113</v>
      </c>
      <c r="G252" s="76"/>
      <c r="H252" s="9" t="s">
        <v>177</v>
      </c>
      <c r="I252" s="9">
        <v>2</v>
      </c>
      <c r="J252" s="9">
        <v>650</v>
      </c>
      <c r="K252" s="79">
        <f t="shared" si="33"/>
        <v>1300</v>
      </c>
      <c r="L252" s="78">
        <v>46112</v>
      </c>
      <c r="N252" s="85"/>
      <c r="O252" s="86"/>
      <c r="P252" s="83">
        <f t="shared" si="28"/>
        <v>650</v>
      </c>
      <c r="Q252" s="83">
        <f t="shared" si="29"/>
        <v>1300</v>
      </c>
      <c r="R252" s="83"/>
      <c r="S252" s="83"/>
      <c r="T252" s="87"/>
      <c r="U252" s="83">
        <f t="shared" si="30"/>
        <v>650</v>
      </c>
      <c r="V252" s="83">
        <f t="shared" si="31"/>
        <v>2</v>
      </c>
      <c r="W252" s="84">
        <f t="shared" si="32"/>
        <v>1300</v>
      </c>
      <c r="X252" s="84" t="s">
        <v>181</v>
      </c>
      <c r="Y252" s="24" t="s">
        <v>176</v>
      </c>
    </row>
    <row r="253" spans="1:25" s="24" customFormat="1" ht="11.1" customHeight="1" x14ac:dyDescent="0.2">
      <c r="A253" s="76">
        <f t="shared" si="27"/>
        <v>251</v>
      </c>
      <c r="B253" s="77" t="s">
        <v>352</v>
      </c>
      <c r="C253" s="76" t="str">
        <f>IF($B253&lt;&gt;"",_xlfn.IFNA(VLOOKUP($B253,'Node Details'!$B:$U,C$1,0),"Check"),"")</f>
        <v>000000AXY-0000AXY17</v>
      </c>
      <c r="D253" s="76" t="str">
        <f>IF($B253&lt;&gt;"",_xlfn.IFNA(VLOOKUP($B253,'Node Details'!$B:$U,D$1,0),"Check"),"")</f>
        <v>AXY</v>
      </c>
      <c r="E253" s="76" t="str">
        <f>IF($B253&lt;&gt;"",_xlfn.IFNA(VLOOKUP($B253,'Node Details'!$B:$U,E$1,0),"Check"),"")</f>
        <v>Airtel</v>
      </c>
      <c r="F253" s="78">
        <v>46113</v>
      </c>
      <c r="G253" s="76"/>
      <c r="H253" s="9" t="s">
        <v>177</v>
      </c>
      <c r="I253" s="9">
        <v>2</v>
      </c>
      <c r="J253" s="9">
        <v>650</v>
      </c>
      <c r="K253" s="79">
        <f t="shared" si="33"/>
        <v>1300</v>
      </c>
      <c r="L253" s="78">
        <v>46112</v>
      </c>
      <c r="N253" s="85"/>
      <c r="O253" s="86"/>
      <c r="P253" s="83">
        <f t="shared" si="28"/>
        <v>650</v>
      </c>
      <c r="Q253" s="83">
        <f t="shared" si="29"/>
        <v>1300</v>
      </c>
      <c r="R253" s="83"/>
      <c r="S253" s="83"/>
      <c r="T253" s="87"/>
      <c r="U253" s="83">
        <f t="shared" si="30"/>
        <v>650</v>
      </c>
      <c r="V253" s="83">
        <f t="shared" si="31"/>
        <v>2</v>
      </c>
      <c r="W253" s="84">
        <f t="shared" si="32"/>
        <v>1300</v>
      </c>
      <c r="X253" s="84" t="s">
        <v>181</v>
      </c>
      <c r="Y253" s="24" t="s">
        <v>176</v>
      </c>
    </row>
    <row r="254" spans="1:25" s="24" customFormat="1" ht="11.1" customHeight="1" x14ac:dyDescent="0.2">
      <c r="A254" s="76">
        <f t="shared" si="27"/>
        <v>252</v>
      </c>
      <c r="B254" s="77" t="s">
        <v>361</v>
      </c>
      <c r="C254" s="76" t="str">
        <f>IF($B254&lt;&gt;"",_xlfn.IFNA(VLOOKUP($B254,'Node Details'!$B:$U,C$1,0),"Check"),"")</f>
        <v>000000AXY-0000AXY17</v>
      </c>
      <c r="D254" s="76" t="str">
        <f>IF($B254&lt;&gt;"",_xlfn.IFNA(VLOOKUP($B254,'Node Details'!$B:$U,D$1,0),"Check"),"")</f>
        <v>AXY</v>
      </c>
      <c r="E254" s="76" t="str">
        <f>IF($B254&lt;&gt;"",_xlfn.IFNA(VLOOKUP($B254,'Node Details'!$B:$U,E$1,0),"Check"),"")</f>
        <v>Airtel</v>
      </c>
      <c r="F254" s="78">
        <v>46113</v>
      </c>
      <c r="G254" s="76"/>
      <c r="H254" s="9" t="s">
        <v>177</v>
      </c>
      <c r="I254" s="9">
        <v>2</v>
      </c>
      <c r="J254" s="9">
        <v>650</v>
      </c>
      <c r="K254" s="79">
        <f t="shared" si="33"/>
        <v>1300</v>
      </c>
      <c r="L254" s="78">
        <v>46112</v>
      </c>
      <c r="N254" s="85"/>
      <c r="O254" s="86"/>
      <c r="P254" s="83">
        <f t="shared" si="28"/>
        <v>650</v>
      </c>
      <c r="Q254" s="83">
        <f t="shared" si="29"/>
        <v>1300</v>
      </c>
      <c r="R254" s="83"/>
      <c r="S254" s="83"/>
      <c r="T254" s="87"/>
      <c r="U254" s="83">
        <f t="shared" si="30"/>
        <v>650</v>
      </c>
      <c r="V254" s="83">
        <f t="shared" si="31"/>
        <v>2</v>
      </c>
      <c r="W254" s="84">
        <f t="shared" si="32"/>
        <v>1300</v>
      </c>
      <c r="X254" s="84" t="s">
        <v>181</v>
      </c>
      <c r="Y254" s="24" t="s">
        <v>176</v>
      </c>
    </row>
    <row r="255" spans="1:25" s="24" customFormat="1" ht="11.1" customHeight="1" x14ac:dyDescent="0.2">
      <c r="A255" s="76">
        <f t="shared" si="27"/>
        <v>253</v>
      </c>
      <c r="B255" s="77" t="s">
        <v>226</v>
      </c>
      <c r="C255" s="76" t="str">
        <f>IF($B255&lt;&gt;"",_xlfn.IFNA(VLOOKUP($B255,'Node Details'!$B:$U,C$1,0),"Check"),"")</f>
        <v>0000AXY01-AXY010101</v>
      </c>
      <c r="D255" s="76" t="str">
        <f>IF($B255&lt;&gt;"",_xlfn.IFNA(VLOOKUP($B255,'Node Details'!$B:$U,D$1,0),"Check"),"")</f>
        <v>AXY</v>
      </c>
      <c r="E255" s="76" t="str">
        <f>IF($B255&lt;&gt;"",_xlfn.IFNA(VLOOKUP($B255,'Node Details'!$B:$U,E$1,0),"Check"),"")</f>
        <v>Airtel</v>
      </c>
      <c r="F255" s="78">
        <v>46113</v>
      </c>
      <c r="G255" s="76"/>
      <c r="H255" s="9" t="s">
        <v>179</v>
      </c>
      <c r="I255" s="9">
        <v>1</v>
      </c>
      <c r="J255" s="9">
        <v>375</v>
      </c>
      <c r="K255" s="79">
        <f t="shared" si="33"/>
        <v>375</v>
      </c>
      <c r="L255" s="78">
        <v>46112</v>
      </c>
      <c r="N255" s="85"/>
      <c r="O255" s="86"/>
      <c r="P255" s="83">
        <f t="shared" si="28"/>
        <v>375</v>
      </c>
      <c r="Q255" s="83">
        <f t="shared" si="29"/>
        <v>375</v>
      </c>
      <c r="R255" s="83"/>
      <c r="S255" s="83"/>
      <c r="T255" s="87"/>
      <c r="U255" s="83">
        <f t="shared" si="30"/>
        <v>375</v>
      </c>
      <c r="V255" s="83">
        <f t="shared" si="31"/>
        <v>1</v>
      </c>
      <c r="W255" s="84">
        <f t="shared" si="32"/>
        <v>375</v>
      </c>
      <c r="X255" s="84" t="s">
        <v>181</v>
      </c>
      <c r="Y255" s="24" t="s">
        <v>176</v>
      </c>
    </row>
    <row r="256" spans="1:25" s="24" customFormat="1" ht="11.1" customHeight="1" x14ac:dyDescent="0.2">
      <c r="A256" s="76">
        <f t="shared" si="27"/>
        <v>254</v>
      </c>
      <c r="B256" s="77" t="s">
        <v>227</v>
      </c>
      <c r="C256" s="76" t="str">
        <f>IF($B256&lt;&gt;"",_xlfn.IFNA(VLOOKUP($B256,'Node Details'!$B:$U,C$1,0),"Check"),"")</f>
        <v>0000AXY01-AXY010104</v>
      </c>
      <c r="D256" s="76" t="str">
        <f>IF($B256&lt;&gt;"",_xlfn.IFNA(VLOOKUP($B256,'Node Details'!$B:$U,D$1,0),"Check"),"")</f>
        <v>AXY</v>
      </c>
      <c r="E256" s="76" t="str">
        <f>IF($B256&lt;&gt;"",_xlfn.IFNA(VLOOKUP($B256,'Node Details'!$B:$U,E$1,0),"Check"),"")</f>
        <v>Airtel</v>
      </c>
      <c r="F256" s="78">
        <v>46113</v>
      </c>
      <c r="G256" s="76"/>
      <c r="H256" s="9" t="s">
        <v>179</v>
      </c>
      <c r="I256" s="9">
        <v>1</v>
      </c>
      <c r="J256" s="9">
        <v>375</v>
      </c>
      <c r="K256" s="79">
        <f t="shared" si="33"/>
        <v>375</v>
      </c>
      <c r="L256" s="78">
        <v>46112</v>
      </c>
      <c r="N256" s="85"/>
      <c r="O256" s="86"/>
      <c r="P256" s="83">
        <f t="shared" si="28"/>
        <v>375</v>
      </c>
      <c r="Q256" s="83">
        <f t="shared" si="29"/>
        <v>375</v>
      </c>
      <c r="R256" s="83"/>
      <c r="S256" s="83"/>
      <c r="T256" s="87"/>
      <c r="U256" s="83">
        <f t="shared" si="30"/>
        <v>375</v>
      </c>
      <c r="V256" s="83">
        <f t="shared" si="31"/>
        <v>1</v>
      </c>
      <c r="W256" s="84">
        <f t="shared" si="32"/>
        <v>375</v>
      </c>
      <c r="X256" s="84" t="s">
        <v>181</v>
      </c>
      <c r="Y256" s="24" t="s">
        <v>176</v>
      </c>
    </row>
    <row r="257" spans="1:25" s="24" customFormat="1" ht="11.1" customHeight="1" x14ac:dyDescent="0.2">
      <c r="A257" s="76">
        <f t="shared" si="27"/>
        <v>255</v>
      </c>
      <c r="B257" s="77" t="s">
        <v>228</v>
      </c>
      <c r="C257" s="76" t="str">
        <f>IF($B257&lt;&gt;"",_xlfn.IFNA(VLOOKUP($B257,'Node Details'!$B:$U,C$1,0),"Check"),"")</f>
        <v>0000AXY01-AXY010104</v>
      </c>
      <c r="D257" s="76" t="str">
        <f>IF($B257&lt;&gt;"",_xlfn.IFNA(VLOOKUP($B257,'Node Details'!$B:$U,D$1,0),"Check"),"")</f>
        <v>AXY</v>
      </c>
      <c r="E257" s="76" t="str">
        <f>IF($B257&lt;&gt;"",_xlfn.IFNA(VLOOKUP($B257,'Node Details'!$B:$U,E$1,0),"Check"),"")</f>
        <v>Airtel</v>
      </c>
      <c r="F257" s="78">
        <v>46113</v>
      </c>
      <c r="G257" s="76"/>
      <c r="H257" s="9" t="s">
        <v>179</v>
      </c>
      <c r="I257" s="9">
        <v>1</v>
      </c>
      <c r="J257" s="9">
        <v>375</v>
      </c>
      <c r="K257" s="79">
        <f t="shared" si="33"/>
        <v>375</v>
      </c>
      <c r="L257" s="78">
        <v>46112</v>
      </c>
      <c r="N257" s="85"/>
      <c r="O257" s="86"/>
      <c r="P257" s="83">
        <f t="shared" si="28"/>
        <v>375</v>
      </c>
      <c r="Q257" s="83">
        <f t="shared" si="29"/>
        <v>375</v>
      </c>
      <c r="R257" s="83"/>
      <c r="S257" s="83"/>
      <c r="T257" s="87"/>
      <c r="U257" s="83">
        <f t="shared" si="30"/>
        <v>375</v>
      </c>
      <c r="V257" s="83">
        <f t="shared" si="31"/>
        <v>1</v>
      </c>
      <c r="W257" s="84">
        <f t="shared" si="32"/>
        <v>375</v>
      </c>
      <c r="X257" s="84" t="s">
        <v>181</v>
      </c>
      <c r="Y257" s="24" t="s">
        <v>176</v>
      </c>
    </row>
    <row r="258" spans="1:25" s="24" customFormat="1" ht="11.1" customHeight="1" x14ac:dyDescent="0.2">
      <c r="A258" s="76">
        <f t="shared" si="27"/>
        <v>256</v>
      </c>
      <c r="B258" s="77" t="s">
        <v>229</v>
      </c>
      <c r="C258" s="76" t="str">
        <f>IF($B258&lt;&gt;"",_xlfn.IFNA(VLOOKUP($B258,'Node Details'!$B:$U,C$1,0),"Check"),"")</f>
        <v>0000AXY01-AXY010102</v>
      </c>
      <c r="D258" s="76" t="str">
        <f>IF($B258&lt;&gt;"",_xlfn.IFNA(VLOOKUP($B258,'Node Details'!$B:$U,D$1,0),"Check"),"")</f>
        <v>AXY</v>
      </c>
      <c r="E258" s="76" t="str">
        <f>IF($B258&lt;&gt;"",_xlfn.IFNA(VLOOKUP($B258,'Node Details'!$B:$U,E$1,0),"Check"),"")</f>
        <v>Airtel</v>
      </c>
      <c r="F258" s="78">
        <v>46113</v>
      </c>
      <c r="G258" s="76"/>
      <c r="H258" s="9" t="s">
        <v>178</v>
      </c>
      <c r="I258" s="9">
        <v>1</v>
      </c>
      <c r="J258" s="9">
        <v>950</v>
      </c>
      <c r="K258" s="79">
        <f t="shared" si="33"/>
        <v>950</v>
      </c>
      <c r="L258" s="78">
        <v>46112</v>
      </c>
      <c r="N258" s="85"/>
      <c r="O258" s="86"/>
      <c r="P258" s="83">
        <f t="shared" si="28"/>
        <v>950</v>
      </c>
      <c r="Q258" s="83">
        <f t="shared" si="29"/>
        <v>950</v>
      </c>
      <c r="R258" s="83"/>
      <c r="S258" s="83"/>
      <c r="T258" s="87"/>
      <c r="U258" s="83">
        <f t="shared" si="30"/>
        <v>950</v>
      </c>
      <c r="V258" s="83">
        <f t="shared" si="31"/>
        <v>1</v>
      </c>
      <c r="W258" s="84">
        <f t="shared" si="32"/>
        <v>950</v>
      </c>
      <c r="X258" s="84" t="s">
        <v>181</v>
      </c>
      <c r="Y258" s="24" t="s">
        <v>176</v>
      </c>
    </row>
    <row r="259" spans="1:25" s="24" customFormat="1" ht="11.1" customHeight="1" x14ac:dyDescent="0.2">
      <c r="A259" s="76">
        <f t="shared" si="27"/>
        <v>257</v>
      </c>
      <c r="B259" s="77" t="s">
        <v>231</v>
      </c>
      <c r="C259" s="76" t="str">
        <f>IF($B259&lt;&gt;"",_xlfn.IFNA(VLOOKUP($B259,'Node Details'!$B:$U,C$1,0),"Check"),"")</f>
        <v>0000AXY03-AXY030101</v>
      </c>
      <c r="D259" s="76" t="str">
        <f>IF($B259&lt;&gt;"",_xlfn.IFNA(VLOOKUP($B259,'Node Details'!$B:$U,D$1,0),"Check"),"")</f>
        <v>AXY</v>
      </c>
      <c r="E259" s="76" t="str">
        <f>IF($B259&lt;&gt;"",_xlfn.IFNA(VLOOKUP($B259,'Node Details'!$B:$U,E$1,0),"Check"),"")</f>
        <v>Airtel</v>
      </c>
      <c r="F259" s="78">
        <v>46113</v>
      </c>
      <c r="G259" s="76"/>
      <c r="H259" s="9" t="s">
        <v>179</v>
      </c>
      <c r="I259" s="9">
        <v>1</v>
      </c>
      <c r="J259" s="9">
        <v>375</v>
      </c>
      <c r="K259" s="79">
        <f t="shared" si="33"/>
        <v>375</v>
      </c>
      <c r="L259" s="78">
        <v>46112</v>
      </c>
      <c r="N259" s="85"/>
      <c r="O259" s="86"/>
      <c r="P259" s="83">
        <f t="shared" si="28"/>
        <v>375</v>
      </c>
      <c r="Q259" s="83">
        <f t="shared" si="29"/>
        <v>375</v>
      </c>
      <c r="R259" s="83"/>
      <c r="S259" s="83"/>
      <c r="T259" s="87"/>
      <c r="U259" s="83">
        <f t="shared" si="30"/>
        <v>375</v>
      </c>
      <c r="V259" s="83">
        <f t="shared" si="31"/>
        <v>1</v>
      </c>
      <c r="W259" s="84">
        <f t="shared" si="32"/>
        <v>375</v>
      </c>
      <c r="X259" s="84" t="s">
        <v>181</v>
      </c>
      <c r="Y259" s="24" t="s">
        <v>176</v>
      </c>
    </row>
    <row r="260" spans="1:25" s="24" customFormat="1" ht="11.1" customHeight="1" x14ac:dyDescent="0.2">
      <c r="A260" s="76">
        <f t="shared" ref="A260:A323" si="34">A259+1</f>
        <v>258</v>
      </c>
      <c r="B260" s="77" t="s">
        <v>232</v>
      </c>
      <c r="C260" s="76" t="str">
        <f>IF($B260&lt;&gt;"",_xlfn.IFNA(VLOOKUP($B260,'Node Details'!$B:$U,C$1,0),"Check"),"")</f>
        <v>0000AXY03-AXY030104</v>
      </c>
      <c r="D260" s="76" t="str">
        <f>IF($B260&lt;&gt;"",_xlfn.IFNA(VLOOKUP($B260,'Node Details'!$B:$U,D$1,0),"Check"),"")</f>
        <v>AXY</v>
      </c>
      <c r="E260" s="76" t="str">
        <f>IF($B260&lt;&gt;"",_xlfn.IFNA(VLOOKUP($B260,'Node Details'!$B:$U,E$1,0),"Check"),"")</f>
        <v>Airtel</v>
      </c>
      <c r="F260" s="78">
        <v>46113</v>
      </c>
      <c r="G260" s="76"/>
      <c r="H260" s="9" t="s">
        <v>178</v>
      </c>
      <c r="I260" s="9">
        <v>1</v>
      </c>
      <c r="J260" s="9">
        <v>950</v>
      </c>
      <c r="K260" s="79">
        <f t="shared" si="33"/>
        <v>950</v>
      </c>
      <c r="L260" s="78">
        <v>46112</v>
      </c>
      <c r="N260" s="85"/>
      <c r="O260" s="86"/>
      <c r="P260" s="83">
        <f t="shared" si="28"/>
        <v>950</v>
      </c>
      <c r="Q260" s="83">
        <f t="shared" si="29"/>
        <v>950</v>
      </c>
      <c r="R260" s="83"/>
      <c r="S260" s="83"/>
      <c r="T260" s="87"/>
      <c r="U260" s="83">
        <f t="shared" si="30"/>
        <v>950</v>
      </c>
      <c r="V260" s="83">
        <f t="shared" si="31"/>
        <v>1</v>
      </c>
      <c r="W260" s="84">
        <f t="shared" si="32"/>
        <v>950</v>
      </c>
      <c r="X260" s="84" t="s">
        <v>181</v>
      </c>
      <c r="Y260" s="24" t="s">
        <v>176</v>
      </c>
    </row>
    <row r="261" spans="1:25" s="24" customFormat="1" ht="11.1" customHeight="1" x14ac:dyDescent="0.2">
      <c r="A261" s="76">
        <f t="shared" si="34"/>
        <v>259</v>
      </c>
      <c r="B261" s="77" t="s">
        <v>233</v>
      </c>
      <c r="C261" s="76" t="str">
        <f>IF($B261&lt;&gt;"",_xlfn.IFNA(VLOOKUP($B261,'Node Details'!$B:$U,C$1,0),"Check"),"")</f>
        <v>0000AXY03-AXY030104</v>
      </c>
      <c r="D261" s="76" t="str">
        <f>IF($B261&lt;&gt;"",_xlfn.IFNA(VLOOKUP($B261,'Node Details'!$B:$U,D$1,0),"Check"),"")</f>
        <v>AXY</v>
      </c>
      <c r="E261" s="76" t="str">
        <f>IF($B261&lt;&gt;"",_xlfn.IFNA(VLOOKUP($B261,'Node Details'!$B:$U,E$1,0),"Check"),"")</f>
        <v>Airtel</v>
      </c>
      <c r="F261" s="78">
        <v>46113</v>
      </c>
      <c r="G261" s="76"/>
      <c r="H261" s="9" t="s">
        <v>178</v>
      </c>
      <c r="I261" s="9">
        <v>1</v>
      </c>
      <c r="J261" s="9">
        <v>950</v>
      </c>
      <c r="K261" s="79">
        <f t="shared" si="33"/>
        <v>950</v>
      </c>
      <c r="L261" s="78">
        <v>46112</v>
      </c>
      <c r="N261" s="85"/>
      <c r="O261" s="86"/>
      <c r="P261" s="83">
        <f t="shared" si="28"/>
        <v>950</v>
      </c>
      <c r="Q261" s="83">
        <f t="shared" si="29"/>
        <v>950</v>
      </c>
      <c r="R261" s="83"/>
      <c r="S261" s="83"/>
      <c r="T261" s="87"/>
      <c r="U261" s="83">
        <f t="shared" si="30"/>
        <v>950</v>
      </c>
      <c r="V261" s="83">
        <f t="shared" si="31"/>
        <v>1</v>
      </c>
      <c r="W261" s="84">
        <f t="shared" si="32"/>
        <v>950</v>
      </c>
      <c r="X261" s="84" t="s">
        <v>181</v>
      </c>
      <c r="Y261" s="24" t="s">
        <v>176</v>
      </c>
    </row>
    <row r="262" spans="1:25" s="24" customFormat="1" ht="11.1" customHeight="1" x14ac:dyDescent="0.2">
      <c r="A262" s="76">
        <f t="shared" si="34"/>
        <v>260</v>
      </c>
      <c r="B262" s="77" t="s">
        <v>234</v>
      </c>
      <c r="C262" s="76" t="str">
        <f>IF($B262&lt;&gt;"",_xlfn.IFNA(VLOOKUP($B262,'Node Details'!$B:$U,C$1,0),"Check"),"")</f>
        <v>AXY030103-AXY030105</v>
      </c>
      <c r="D262" s="76" t="str">
        <f>IF($B262&lt;&gt;"",_xlfn.IFNA(VLOOKUP($B262,'Node Details'!$B:$U,D$1,0),"Check"),"")</f>
        <v>AXY</v>
      </c>
      <c r="E262" s="76" t="str">
        <f>IF($B262&lt;&gt;"",_xlfn.IFNA(VLOOKUP($B262,'Node Details'!$B:$U,E$1,0),"Check"),"")</f>
        <v>Airtel</v>
      </c>
      <c r="F262" s="78">
        <v>46113</v>
      </c>
      <c r="G262" s="76"/>
      <c r="H262" s="9" t="s">
        <v>179</v>
      </c>
      <c r="I262" s="9">
        <v>1</v>
      </c>
      <c r="J262" s="9">
        <v>375</v>
      </c>
      <c r="K262" s="79">
        <f t="shared" si="33"/>
        <v>375</v>
      </c>
      <c r="L262" s="78">
        <v>46112</v>
      </c>
      <c r="N262" s="85"/>
      <c r="O262" s="86"/>
      <c r="P262" s="83">
        <f t="shared" si="28"/>
        <v>375</v>
      </c>
      <c r="Q262" s="83">
        <f t="shared" si="29"/>
        <v>375</v>
      </c>
      <c r="R262" s="83"/>
      <c r="S262" s="83"/>
      <c r="T262" s="87"/>
      <c r="U262" s="83">
        <f t="shared" si="30"/>
        <v>375</v>
      </c>
      <c r="V262" s="83">
        <f t="shared" si="31"/>
        <v>1</v>
      </c>
      <c r="W262" s="84">
        <f t="shared" si="32"/>
        <v>375</v>
      </c>
      <c r="X262" s="84" t="s">
        <v>181</v>
      </c>
      <c r="Y262" s="24" t="s">
        <v>176</v>
      </c>
    </row>
    <row r="263" spans="1:25" s="24" customFormat="1" ht="11.1" customHeight="1" x14ac:dyDescent="0.2">
      <c r="A263" s="76">
        <f t="shared" si="34"/>
        <v>261</v>
      </c>
      <c r="B263" s="77" t="s">
        <v>235</v>
      </c>
      <c r="C263" s="76" t="str">
        <f>IF($B263&lt;&gt;"",_xlfn.IFNA(VLOOKUP($B263,'Node Details'!$B:$U,C$1,0),"Check"),"")</f>
        <v>0000AXY03-AXY030108</v>
      </c>
      <c r="D263" s="76" t="str">
        <f>IF($B263&lt;&gt;"",_xlfn.IFNA(VLOOKUP($B263,'Node Details'!$B:$U,D$1,0),"Check"),"")</f>
        <v>AXY</v>
      </c>
      <c r="E263" s="76" t="str">
        <f>IF($B263&lt;&gt;"",_xlfn.IFNA(VLOOKUP($B263,'Node Details'!$B:$U,E$1,0),"Check"),"")</f>
        <v>Airtel</v>
      </c>
      <c r="F263" s="78">
        <v>46113</v>
      </c>
      <c r="G263" s="76"/>
      <c r="H263" s="9" t="s">
        <v>179</v>
      </c>
      <c r="I263" s="9">
        <v>1</v>
      </c>
      <c r="J263" s="9">
        <v>375</v>
      </c>
      <c r="K263" s="79">
        <f t="shared" si="33"/>
        <v>375</v>
      </c>
      <c r="L263" s="78">
        <v>46112</v>
      </c>
      <c r="N263" s="85"/>
      <c r="O263" s="86"/>
      <c r="P263" s="83">
        <f t="shared" si="28"/>
        <v>375</v>
      </c>
      <c r="Q263" s="83">
        <f t="shared" si="29"/>
        <v>375</v>
      </c>
      <c r="R263" s="83"/>
      <c r="S263" s="83"/>
      <c r="T263" s="87"/>
      <c r="U263" s="83">
        <f t="shared" si="30"/>
        <v>375</v>
      </c>
      <c r="V263" s="83">
        <f t="shared" si="31"/>
        <v>1</v>
      </c>
      <c r="W263" s="84">
        <f t="shared" si="32"/>
        <v>375</v>
      </c>
      <c r="X263" s="84" t="s">
        <v>181</v>
      </c>
      <c r="Y263" s="24" t="s">
        <v>176</v>
      </c>
    </row>
    <row r="264" spans="1:25" s="24" customFormat="1" ht="11.1" customHeight="1" x14ac:dyDescent="0.2">
      <c r="A264" s="76">
        <f t="shared" si="34"/>
        <v>262</v>
      </c>
      <c r="B264" s="77" t="s">
        <v>236</v>
      </c>
      <c r="C264" s="76" t="str">
        <f>IF($B264&lt;&gt;"",_xlfn.IFNA(VLOOKUP($B264,'Node Details'!$B:$U,C$1,0),"Check"),"")</f>
        <v>0000AXY03-AXY030108</v>
      </c>
      <c r="D264" s="76" t="str">
        <f>IF($B264&lt;&gt;"",_xlfn.IFNA(VLOOKUP($B264,'Node Details'!$B:$U,D$1,0),"Check"),"")</f>
        <v>AXY</v>
      </c>
      <c r="E264" s="76" t="str">
        <f>IF($B264&lt;&gt;"",_xlfn.IFNA(VLOOKUP($B264,'Node Details'!$B:$U,E$1,0),"Check"),"")</f>
        <v>Airtel</v>
      </c>
      <c r="F264" s="78">
        <v>46113</v>
      </c>
      <c r="G264" s="76"/>
      <c r="H264" s="9" t="s">
        <v>179</v>
      </c>
      <c r="I264" s="9">
        <v>1</v>
      </c>
      <c r="J264" s="9">
        <v>375</v>
      </c>
      <c r="K264" s="79">
        <f t="shared" si="33"/>
        <v>375</v>
      </c>
      <c r="L264" s="78">
        <v>46112</v>
      </c>
      <c r="N264" s="85"/>
      <c r="O264" s="86"/>
      <c r="P264" s="83">
        <f t="shared" si="28"/>
        <v>375</v>
      </c>
      <c r="Q264" s="83">
        <f t="shared" si="29"/>
        <v>375</v>
      </c>
      <c r="R264" s="83"/>
      <c r="S264" s="83"/>
      <c r="T264" s="87"/>
      <c r="U264" s="83">
        <f t="shared" si="30"/>
        <v>375</v>
      </c>
      <c r="V264" s="83">
        <f t="shared" si="31"/>
        <v>1</v>
      </c>
      <c r="W264" s="84">
        <f t="shared" si="32"/>
        <v>375</v>
      </c>
      <c r="X264" s="84" t="s">
        <v>181</v>
      </c>
      <c r="Y264" s="24" t="s">
        <v>176</v>
      </c>
    </row>
    <row r="265" spans="1:25" s="24" customFormat="1" ht="11.1" customHeight="1" x14ac:dyDescent="0.2">
      <c r="A265" s="76">
        <f t="shared" si="34"/>
        <v>263</v>
      </c>
      <c r="B265" s="77" t="s">
        <v>237</v>
      </c>
      <c r="C265" s="76" t="str">
        <f>IF($B265&lt;&gt;"",_xlfn.IFNA(VLOOKUP($B265,'Node Details'!$B:$U,C$1,0),"Check"),"")</f>
        <v>AXY030107-AXY030201</v>
      </c>
      <c r="D265" s="76" t="str">
        <f>IF($B265&lt;&gt;"",_xlfn.IFNA(VLOOKUP($B265,'Node Details'!$B:$U,D$1,0),"Check"),"")</f>
        <v>AXY</v>
      </c>
      <c r="E265" s="76" t="str">
        <f>IF($B265&lt;&gt;"",_xlfn.IFNA(VLOOKUP($B265,'Node Details'!$B:$U,E$1,0),"Check"),"")</f>
        <v>Airtel</v>
      </c>
      <c r="F265" s="78">
        <v>46113</v>
      </c>
      <c r="G265" s="76"/>
      <c r="H265" s="9" t="s">
        <v>179</v>
      </c>
      <c r="I265" s="9">
        <v>1</v>
      </c>
      <c r="J265" s="9">
        <v>375</v>
      </c>
      <c r="K265" s="79">
        <f t="shared" si="33"/>
        <v>375</v>
      </c>
      <c r="L265" s="78">
        <v>46112</v>
      </c>
      <c r="N265" s="85"/>
      <c r="O265" s="86"/>
      <c r="P265" s="83">
        <f t="shared" si="28"/>
        <v>375</v>
      </c>
      <c r="Q265" s="83">
        <f t="shared" si="29"/>
        <v>375</v>
      </c>
      <c r="R265" s="83"/>
      <c r="S265" s="83"/>
      <c r="T265" s="87"/>
      <c r="U265" s="83">
        <f t="shared" si="30"/>
        <v>375</v>
      </c>
      <c r="V265" s="83">
        <f t="shared" si="31"/>
        <v>1</v>
      </c>
      <c r="W265" s="84">
        <f t="shared" si="32"/>
        <v>375</v>
      </c>
      <c r="X265" s="84" t="s">
        <v>181</v>
      </c>
      <c r="Y265" s="24" t="s">
        <v>176</v>
      </c>
    </row>
    <row r="266" spans="1:25" s="24" customFormat="1" ht="11.1" customHeight="1" x14ac:dyDescent="0.2">
      <c r="A266" s="76">
        <f t="shared" si="34"/>
        <v>264</v>
      </c>
      <c r="B266" s="77" t="s">
        <v>238</v>
      </c>
      <c r="C266" s="76" t="str">
        <f>IF($B266&lt;&gt;"",_xlfn.IFNA(VLOOKUP($B266,'Node Details'!$B:$U,C$1,0),"Check"),"")</f>
        <v>AXY030201-AXY030204</v>
      </c>
      <c r="D266" s="76" t="str">
        <f>IF($B266&lt;&gt;"",_xlfn.IFNA(VLOOKUP($B266,'Node Details'!$B:$U,D$1,0),"Check"),"")</f>
        <v>AXY</v>
      </c>
      <c r="E266" s="76" t="str">
        <f>IF($B266&lt;&gt;"",_xlfn.IFNA(VLOOKUP($B266,'Node Details'!$B:$U,E$1,0),"Check"),"")</f>
        <v>Airtel</v>
      </c>
      <c r="F266" s="78">
        <v>46113</v>
      </c>
      <c r="G266" s="76"/>
      <c r="H266" s="9" t="s">
        <v>179</v>
      </c>
      <c r="I266" s="9">
        <v>1</v>
      </c>
      <c r="J266" s="9">
        <v>375</v>
      </c>
      <c r="K266" s="79">
        <f t="shared" si="33"/>
        <v>375</v>
      </c>
      <c r="L266" s="78">
        <v>46112</v>
      </c>
      <c r="N266" s="85"/>
      <c r="O266" s="86"/>
      <c r="P266" s="83">
        <f t="shared" si="28"/>
        <v>375</v>
      </c>
      <c r="Q266" s="83">
        <f t="shared" si="29"/>
        <v>375</v>
      </c>
      <c r="R266" s="83"/>
      <c r="S266" s="83"/>
      <c r="T266" s="87"/>
      <c r="U266" s="83">
        <f t="shared" si="30"/>
        <v>375</v>
      </c>
      <c r="V266" s="83">
        <f t="shared" si="31"/>
        <v>1</v>
      </c>
      <c r="W266" s="84">
        <f t="shared" si="32"/>
        <v>375</v>
      </c>
      <c r="X266" s="84" t="s">
        <v>181</v>
      </c>
      <c r="Y266" s="24" t="s">
        <v>176</v>
      </c>
    </row>
    <row r="267" spans="1:25" s="24" customFormat="1" ht="11.1" customHeight="1" x14ac:dyDescent="0.2">
      <c r="A267" s="76">
        <f t="shared" si="34"/>
        <v>265</v>
      </c>
      <c r="B267" s="77" t="s">
        <v>239</v>
      </c>
      <c r="C267" s="76" t="str">
        <f>IF($B267&lt;&gt;"",_xlfn.IFNA(VLOOKUP($B267,'Node Details'!$B:$U,C$1,0),"Check"),"")</f>
        <v>AXY030201-AXY030204</v>
      </c>
      <c r="D267" s="76" t="str">
        <f>IF($B267&lt;&gt;"",_xlfn.IFNA(VLOOKUP($B267,'Node Details'!$B:$U,D$1,0),"Check"),"")</f>
        <v>AXY</v>
      </c>
      <c r="E267" s="76" t="str">
        <f>IF($B267&lt;&gt;"",_xlfn.IFNA(VLOOKUP($B267,'Node Details'!$B:$U,E$1,0),"Check"),"")</f>
        <v>Airtel</v>
      </c>
      <c r="F267" s="78">
        <v>46113</v>
      </c>
      <c r="G267" s="76"/>
      <c r="H267" s="9" t="s">
        <v>179</v>
      </c>
      <c r="I267" s="9">
        <v>1</v>
      </c>
      <c r="J267" s="9">
        <v>375</v>
      </c>
      <c r="K267" s="79">
        <f t="shared" si="33"/>
        <v>375</v>
      </c>
      <c r="L267" s="78">
        <v>46112</v>
      </c>
      <c r="N267" s="85"/>
      <c r="O267" s="86"/>
      <c r="P267" s="83">
        <f t="shared" si="28"/>
        <v>375</v>
      </c>
      <c r="Q267" s="83">
        <f t="shared" si="29"/>
        <v>375</v>
      </c>
      <c r="R267" s="83"/>
      <c r="S267" s="83"/>
      <c r="T267" s="87"/>
      <c r="U267" s="83">
        <f t="shared" si="30"/>
        <v>375</v>
      </c>
      <c r="V267" s="83">
        <f t="shared" si="31"/>
        <v>1</v>
      </c>
      <c r="W267" s="84">
        <f t="shared" si="32"/>
        <v>375</v>
      </c>
      <c r="X267" s="84" t="s">
        <v>181</v>
      </c>
      <c r="Y267" s="24" t="s">
        <v>176</v>
      </c>
    </row>
    <row r="268" spans="1:25" s="24" customFormat="1" ht="11.1" customHeight="1" x14ac:dyDescent="0.2">
      <c r="A268" s="76">
        <f t="shared" si="34"/>
        <v>266</v>
      </c>
      <c r="B268" s="77" t="s">
        <v>241</v>
      </c>
      <c r="C268" s="76" t="str">
        <f>IF($B268&lt;&gt;"",_xlfn.IFNA(VLOOKUP($B268,'Node Details'!$B:$U,C$1,0),"Check"),"")</f>
        <v>0000AXY04-AXY040101</v>
      </c>
      <c r="D268" s="76" t="str">
        <f>IF($B268&lt;&gt;"",_xlfn.IFNA(VLOOKUP($B268,'Node Details'!$B:$U,D$1,0),"Check"),"")</f>
        <v>AXY</v>
      </c>
      <c r="E268" s="76" t="str">
        <f>IF($B268&lt;&gt;"",_xlfn.IFNA(VLOOKUP($B268,'Node Details'!$B:$U,E$1,0),"Check"),"")</f>
        <v>Airtel</v>
      </c>
      <c r="F268" s="78">
        <v>46113</v>
      </c>
      <c r="G268" s="76"/>
      <c r="H268" s="9" t="s">
        <v>178</v>
      </c>
      <c r="I268" s="9">
        <v>1</v>
      </c>
      <c r="J268" s="9">
        <v>950</v>
      </c>
      <c r="K268" s="79">
        <f t="shared" si="33"/>
        <v>950</v>
      </c>
      <c r="L268" s="78">
        <v>46112</v>
      </c>
      <c r="N268" s="85"/>
      <c r="O268" s="86"/>
      <c r="P268" s="83">
        <f t="shared" si="28"/>
        <v>950</v>
      </c>
      <c r="Q268" s="83">
        <f t="shared" si="29"/>
        <v>950</v>
      </c>
      <c r="R268" s="83"/>
      <c r="S268" s="83"/>
      <c r="T268" s="87"/>
      <c r="U268" s="83">
        <f t="shared" si="30"/>
        <v>950</v>
      </c>
      <c r="V268" s="83">
        <f t="shared" si="31"/>
        <v>1</v>
      </c>
      <c r="W268" s="84">
        <f t="shared" si="32"/>
        <v>950</v>
      </c>
      <c r="X268" s="84" t="s">
        <v>181</v>
      </c>
      <c r="Y268" s="24" t="s">
        <v>176</v>
      </c>
    </row>
    <row r="269" spans="1:25" s="24" customFormat="1" ht="11.1" customHeight="1" x14ac:dyDescent="0.2">
      <c r="A269" s="76">
        <f t="shared" si="34"/>
        <v>267</v>
      </c>
      <c r="B269" s="77" t="s">
        <v>242</v>
      </c>
      <c r="C269" s="76" t="str">
        <f>IF($B269&lt;&gt;"",_xlfn.IFNA(VLOOKUP($B269,'Node Details'!$B:$U,C$1,0),"Check"),"")</f>
        <v>0000AXY04-00AXY-FMS</v>
      </c>
      <c r="D269" s="76" t="str">
        <f>IF($B269&lt;&gt;"",_xlfn.IFNA(VLOOKUP($B269,'Node Details'!$B:$U,D$1,0),"Check"),"")</f>
        <v>AXY</v>
      </c>
      <c r="E269" s="76" t="str">
        <f>IF($B269&lt;&gt;"",_xlfn.IFNA(VLOOKUP($B269,'Node Details'!$B:$U,E$1,0),"Check"),"")</f>
        <v>Airtel</v>
      </c>
      <c r="F269" s="78">
        <v>46113</v>
      </c>
      <c r="G269" s="76"/>
      <c r="H269" s="9" t="s">
        <v>179</v>
      </c>
      <c r="I269" s="9">
        <v>1</v>
      </c>
      <c r="J269" s="9">
        <v>375</v>
      </c>
      <c r="K269" s="79">
        <f t="shared" si="33"/>
        <v>375</v>
      </c>
      <c r="L269" s="78">
        <v>46112</v>
      </c>
      <c r="N269" s="85"/>
      <c r="O269" s="86"/>
      <c r="P269" s="83">
        <f t="shared" si="28"/>
        <v>375</v>
      </c>
      <c r="Q269" s="83">
        <f t="shared" si="29"/>
        <v>375</v>
      </c>
      <c r="R269" s="83"/>
      <c r="S269" s="83"/>
      <c r="T269" s="87"/>
      <c r="U269" s="83">
        <f t="shared" si="30"/>
        <v>375</v>
      </c>
      <c r="V269" s="83">
        <f t="shared" si="31"/>
        <v>1</v>
      </c>
      <c r="W269" s="84">
        <f t="shared" si="32"/>
        <v>375</v>
      </c>
      <c r="X269" s="84" t="s">
        <v>181</v>
      </c>
      <c r="Y269" s="24" t="s">
        <v>176</v>
      </c>
    </row>
    <row r="270" spans="1:25" s="24" customFormat="1" ht="11.1" customHeight="1" x14ac:dyDescent="0.2">
      <c r="A270" s="76">
        <f t="shared" si="34"/>
        <v>268</v>
      </c>
      <c r="B270" s="77" t="s">
        <v>243</v>
      </c>
      <c r="C270" s="76" t="str">
        <f>IF($B270&lt;&gt;"",_xlfn.IFNA(VLOOKUP($B270,'Node Details'!$B:$U,C$1,0),"Check"),"")</f>
        <v>00AXY-FMS-AXY040108</v>
      </c>
      <c r="D270" s="76" t="str">
        <f>IF($B270&lt;&gt;"",_xlfn.IFNA(VLOOKUP($B270,'Node Details'!$B:$U,D$1,0),"Check"),"")</f>
        <v>AXY</v>
      </c>
      <c r="E270" s="76" t="str">
        <f>IF($B270&lt;&gt;"",_xlfn.IFNA(VLOOKUP($B270,'Node Details'!$B:$U,E$1,0),"Check"),"")</f>
        <v>Airtel</v>
      </c>
      <c r="F270" s="78">
        <v>46113</v>
      </c>
      <c r="G270" s="76"/>
      <c r="H270" s="9" t="s">
        <v>179</v>
      </c>
      <c r="I270" s="9">
        <v>1</v>
      </c>
      <c r="J270" s="9">
        <v>375</v>
      </c>
      <c r="K270" s="79">
        <f t="shared" si="33"/>
        <v>375</v>
      </c>
      <c r="L270" s="78">
        <v>46112</v>
      </c>
      <c r="N270" s="85"/>
      <c r="O270" s="86"/>
      <c r="P270" s="83">
        <f t="shared" si="28"/>
        <v>375</v>
      </c>
      <c r="Q270" s="83">
        <f t="shared" si="29"/>
        <v>375</v>
      </c>
      <c r="R270" s="83"/>
      <c r="S270" s="83"/>
      <c r="T270" s="87"/>
      <c r="U270" s="83">
        <f t="shared" si="30"/>
        <v>375</v>
      </c>
      <c r="V270" s="83">
        <f t="shared" si="31"/>
        <v>1</v>
      </c>
      <c r="W270" s="84">
        <f t="shared" si="32"/>
        <v>375</v>
      </c>
      <c r="X270" s="84" t="s">
        <v>181</v>
      </c>
      <c r="Y270" s="24" t="s">
        <v>176</v>
      </c>
    </row>
    <row r="271" spans="1:25" s="24" customFormat="1" ht="11.1" customHeight="1" x14ac:dyDescent="0.2">
      <c r="A271" s="76">
        <f t="shared" si="34"/>
        <v>269</v>
      </c>
      <c r="B271" s="77" t="s">
        <v>244</v>
      </c>
      <c r="C271" s="76" t="str">
        <f>IF($B271&lt;&gt;"",_xlfn.IFNA(VLOOKUP($B271,'Node Details'!$B:$U,C$1,0),"Check"),"")</f>
        <v>00AXY-FMS-AXY040108</v>
      </c>
      <c r="D271" s="76" t="str">
        <f>IF($B271&lt;&gt;"",_xlfn.IFNA(VLOOKUP($B271,'Node Details'!$B:$U,D$1,0),"Check"),"")</f>
        <v>AXY</v>
      </c>
      <c r="E271" s="76" t="str">
        <f>IF($B271&lt;&gt;"",_xlfn.IFNA(VLOOKUP($B271,'Node Details'!$B:$U,E$1,0),"Check"),"")</f>
        <v>Airtel</v>
      </c>
      <c r="F271" s="78">
        <v>46113</v>
      </c>
      <c r="G271" s="76"/>
      <c r="H271" s="9" t="s">
        <v>179</v>
      </c>
      <c r="I271" s="9">
        <v>1</v>
      </c>
      <c r="J271" s="9">
        <v>375</v>
      </c>
      <c r="K271" s="79">
        <f t="shared" si="33"/>
        <v>375</v>
      </c>
      <c r="L271" s="78">
        <v>46112</v>
      </c>
      <c r="N271" s="85"/>
      <c r="O271" s="86"/>
      <c r="P271" s="83">
        <f t="shared" si="28"/>
        <v>375</v>
      </c>
      <c r="Q271" s="83">
        <f t="shared" si="29"/>
        <v>375</v>
      </c>
      <c r="R271" s="83"/>
      <c r="S271" s="83"/>
      <c r="T271" s="87"/>
      <c r="U271" s="83">
        <f t="shared" si="30"/>
        <v>375</v>
      </c>
      <c r="V271" s="83">
        <f t="shared" si="31"/>
        <v>1</v>
      </c>
      <c r="W271" s="84">
        <f t="shared" si="32"/>
        <v>375</v>
      </c>
      <c r="X271" s="84" t="s">
        <v>181</v>
      </c>
      <c r="Y271" s="24" t="s">
        <v>176</v>
      </c>
    </row>
    <row r="272" spans="1:25" s="24" customFormat="1" ht="11.1" customHeight="1" x14ac:dyDescent="0.2">
      <c r="A272" s="76">
        <f t="shared" si="34"/>
        <v>270</v>
      </c>
      <c r="B272" s="77" t="s">
        <v>245</v>
      </c>
      <c r="C272" s="76" t="str">
        <f>IF($B272&lt;&gt;"",_xlfn.IFNA(VLOOKUP($B272,'Node Details'!$B:$U,C$1,0),"Check"),"")</f>
        <v>00AXY-FMS-AXY040108</v>
      </c>
      <c r="D272" s="76" t="str">
        <f>IF($B272&lt;&gt;"",_xlfn.IFNA(VLOOKUP($B272,'Node Details'!$B:$U,D$1,0),"Check"),"")</f>
        <v>AXY</v>
      </c>
      <c r="E272" s="76" t="str">
        <f>IF($B272&lt;&gt;"",_xlfn.IFNA(VLOOKUP($B272,'Node Details'!$B:$U,E$1,0),"Check"),"")</f>
        <v>Airtel</v>
      </c>
      <c r="F272" s="78">
        <v>46113</v>
      </c>
      <c r="G272" s="76"/>
      <c r="H272" s="9" t="s">
        <v>179</v>
      </c>
      <c r="I272" s="9">
        <v>1</v>
      </c>
      <c r="J272" s="9">
        <v>375</v>
      </c>
      <c r="K272" s="79">
        <f t="shared" si="33"/>
        <v>375</v>
      </c>
      <c r="L272" s="78">
        <v>46112</v>
      </c>
      <c r="N272" s="85"/>
      <c r="O272" s="86"/>
      <c r="P272" s="83">
        <f t="shared" si="28"/>
        <v>375</v>
      </c>
      <c r="Q272" s="83">
        <f t="shared" si="29"/>
        <v>375</v>
      </c>
      <c r="R272" s="83"/>
      <c r="S272" s="83"/>
      <c r="T272" s="87"/>
      <c r="U272" s="83">
        <f t="shared" si="30"/>
        <v>375</v>
      </c>
      <c r="V272" s="83">
        <f t="shared" si="31"/>
        <v>1</v>
      </c>
      <c r="W272" s="84">
        <f t="shared" si="32"/>
        <v>375</v>
      </c>
      <c r="X272" s="84" t="s">
        <v>181</v>
      </c>
      <c r="Y272" s="24" t="s">
        <v>176</v>
      </c>
    </row>
    <row r="273" spans="1:25" s="24" customFormat="1" ht="11.1" customHeight="1" x14ac:dyDescent="0.2">
      <c r="A273" s="76">
        <f t="shared" si="34"/>
        <v>271</v>
      </c>
      <c r="B273" s="77" t="s">
        <v>246</v>
      </c>
      <c r="C273" s="76" t="str">
        <f>IF($B273&lt;&gt;"",_xlfn.IFNA(VLOOKUP($B273,'Node Details'!$B:$U,C$1,0),"Check"),"")</f>
        <v>00AXY-FMS-AXY040108</v>
      </c>
      <c r="D273" s="76" t="str">
        <f>IF($B273&lt;&gt;"",_xlfn.IFNA(VLOOKUP($B273,'Node Details'!$B:$U,D$1,0),"Check"),"")</f>
        <v>AXY</v>
      </c>
      <c r="E273" s="76" t="str">
        <f>IF($B273&lt;&gt;"",_xlfn.IFNA(VLOOKUP($B273,'Node Details'!$B:$U,E$1,0),"Check"),"")</f>
        <v>Airtel</v>
      </c>
      <c r="F273" s="78">
        <v>46113</v>
      </c>
      <c r="G273" s="76"/>
      <c r="H273" s="9" t="s">
        <v>179</v>
      </c>
      <c r="I273" s="9">
        <v>1</v>
      </c>
      <c r="J273" s="9">
        <v>375</v>
      </c>
      <c r="K273" s="79">
        <f t="shared" si="33"/>
        <v>375</v>
      </c>
      <c r="L273" s="78">
        <v>46112</v>
      </c>
      <c r="N273" s="85"/>
      <c r="O273" s="86"/>
      <c r="P273" s="83">
        <f t="shared" si="28"/>
        <v>375</v>
      </c>
      <c r="Q273" s="83">
        <f t="shared" si="29"/>
        <v>375</v>
      </c>
      <c r="R273" s="83"/>
      <c r="S273" s="83"/>
      <c r="T273" s="87"/>
      <c r="U273" s="83">
        <f t="shared" si="30"/>
        <v>375</v>
      </c>
      <c r="V273" s="83">
        <f t="shared" si="31"/>
        <v>1</v>
      </c>
      <c r="W273" s="84">
        <f t="shared" si="32"/>
        <v>375</v>
      </c>
      <c r="X273" s="84" t="s">
        <v>181</v>
      </c>
      <c r="Y273" s="24" t="s">
        <v>176</v>
      </c>
    </row>
    <row r="274" spans="1:25" s="24" customFormat="1" ht="11.1" customHeight="1" x14ac:dyDescent="0.2">
      <c r="A274" s="76">
        <f t="shared" si="34"/>
        <v>272</v>
      </c>
      <c r="B274" s="77" t="s">
        <v>247</v>
      </c>
      <c r="C274" s="76" t="str">
        <f>IF($B274&lt;&gt;"",_xlfn.IFNA(VLOOKUP($B274,'Node Details'!$B:$U,C$1,0),"Check"),"")</f>
        <v>0000AXY04-AXY040201</v>
      </c>
      <c r="D274" s="76" t="str">
        <f>IF($B274&lt;&gt;"",_xlfn.IFNA(VLOOKUP($B274,'Node Details'!$B:$U,D$1,0),"Check"),"")</f>
        <v>AXY</v>
      </c>
      <c r="E274" s="76" t="str">
        <f>IF($B274&lt;&gt;"",_xlfn.IFNA(VLOOKUP($B274,'Node Details'!$B:$U,E$1,0),"Check"),"")</f>
        <v>Airtel</v>
      </c>
      <c r="F274" s="78">
        <v>46113</v>
      </c>
      <c r="G274" s="76"/>
      <c r="H274" s="9" t="s">
        <v>178</v>
      </c>
      <c r="I274" s="9">
        <v>1</v>
      </c>
      <c r="J274" s="9">
        <v>950</v>
      </c>
      <c r="K274" s="79">
        <f t="shared" si="33"/>
        <v>950</v>
      </c>
      <c r="L274" s="78">
        <v>46112</v>
      </c>
      <c r="N274" s="85"/>
      <c r="O274" s="86"/>
      <c r="P274" s="83">
        <f t="shared" si="28"/>
        <v>950</v>
      </c>
      <c r="Q274" s="83">
        <f t="shared" si="29"/>
        <v>950</v>
      </c>
      <c r="R274" s="83"/>
      <c r="S274" s="83"/>
      <c r="T274" s="87"/>
      <c r="U274" s="83">
        <f t="shared" si="30"/>
        <v>950</v>
      </c>
      <c r="V274" s="83">
        <f t="shared" si="31"/>
        <v>1</v>
      </c>
      <c r="W274" s="84">
        <f t="shared" si="32"/>
        <v>950</v>
      </c>
      <c r="X274" s="84" t="s">
        <v>181</v>
      </c>
      <c r="Y274" s="24" t="s">
        <v>176</v>
      </c>
    </row>
    <row r="275" spans="1:25" s="24" customFormat="1" ht="11.1" customHeight="1" x14ac:dyDescent="0.2">
      <c r="A275" s="76">
        <f t="shared" si="34"/>
        <v>273</v>
      </c>
      <c r="B275" s="77" t="s">
        <v>248</v>
      </c>
      <c r="C275" s="76" t="str">
        <f>IF($B275&lt;&gt;"",_xlfn.IFNA(VLOOKUP($B275,'Node Details'!$B:$U,C$1,0),"Check"),"")</f>
        <v>AXY040201-AXY040204</v>
      </c>
      <c r="D275" s="76" t="str">
        <f>IF($B275&lt;&gt;"",_xlfn.IFNA(VLOOKUP($B275,'Node Details'!$B:$U,D$1,0),"Check"),"")</f>
        <v>AXY</v>
      </c>
      <c r="E275" s="76" t="str">
        <f>IF($B275&lt;&gt;"",_xlfn.IFNA(VLOOKUP($B275,'Node Details'!$B:$U,E$1,0),"Check"),"")</f>
        <v>Airtel</v>
      </c>
      <c r="F275" s="78">
        <v>46113</v>
      </c>
      <c r="G275" s="76"/>
      <c r="H275" s="9" t="s">
        <v>178</v>
      </c>
      <c r="I275" s="9">
        <v>1</v>
      </c>
      <c r="J275" s="9">
        <v>950</v>
      </c>
      <c r="K275" s="79">
        <f t="shared" si="33"/>
        <v>950</v>
      </c>
      <c r="L275" s="78">
        <v>46112</v>
      </c>
      <c r="N275" s="85"/>
      <c r="O275" s="86"/>
      <c r="P275" s="83">
        <f t="shared" si="28"/>
        <v>950</v>
      </c>
      <c r="Q275" s="83">
        <f t="shared" si="29"/>
        <v>950</v>
      </c>
      <c r="R275" s="83"/>
      <c r="S275" s="83"/>
      <c r="T275" s="87"/>
      <c r="U275" s="83">
        <f t="shared" si="30"/>
        <v>950</v>
      </c>
      <c r="V275" s="83">
        <f t="shared" si="31"/>
        <v>1</v>
      </c>
      <c r="W275" s="84">
        <f t="shared" si="32"/>
        <v>950</v>
      </c>
      <c r="X275" s="84" t="s">
        <v>181</v>
      </c>
      <c r="Y275" s="24" t="s">
        <v>176</v>
      </c>
    </row>
    <row r="276" spans="1:25" s="24" customFormat="1" ht="11.1" customHeight="1" x14ac:dyDescent="0.2">
      <c r="A276" s="76">
        <f t="shared" si="34"/>
        <v>274</v>
      </c>
      <c r="B276" s="77" t="s">
        <v>249</v>
      </c>
      <c r="C276" s="76" t="str">
        <f>IF($B276&lt;&gt;"",_xlfn.IFNA(VLOOKUP($B276,'Node Details'!$B:$U,C$1,0),"Check"),"")</f>
        <v>AXY040201-AXY040204</v>
      </c>
      <c r="D276" s="76" t="str">
        <f>IF($B276&lt;&gt;"",_xlfn.IFNA(VLOOKUP($B276,'Node Details'!$B:$U,D$1,0),"Check"),"")</f>
        <v>AXY</v>
      </c>
      <c r="E276" s="76" t="str">
        <f>IF($B276&lt;&gt;"",_xlfn.IFNA(VLOOKUP($B276,'Node Details'!$B:$U,E$1,0),"Check"),"")</f>
        <v>Airtel</v>
      </c>
      <c r="F276" s="78">
        <v>46113</v>
      </c>
      <c r="G276" s="76"/>
      <c r="H276" s="9" t="s">
        <v>179</v>
      </c>
      <c r="I276" s="9">
        <v>1</v>
      </c>
      <c r="J276" s="9">
        <v>375</v>
      </c>
      <c r="K276" s="79">
        <f t="shared" si="33"/>
        <v>375</v>
      </c>
      <c r="L276" s="78">
        <v>46112</v>
      </c>
      <c r="N276" s="85"/>
      <c r="O276" s="86"/>
      <c r="P276" s="83">
        <f t="shared" si="28"/>
        <v>375</v>
      </c>
      <c r="Q276" s="83">
        <f t="shared" si="29"/>
        <v>375</v>
      </c>
      <c r="R276" s="83"/>
      <c r="S276" s="83"/>
      <c r="T276" s="87"/>
      <c r="U276" s="83">
        <f t="shared" si="30"/>
        <v>375</v>
      </c>
      <c r="V276" s="83">
        <f t="shared" si="31"/>
        <v>1</v>
      </c>
      <c r="W276" s="84">
        <f t="shared" si="32"/>
        <v>375</v>
      </c>
      <c r="X276" s="84" t="s">
        <v>181</v>
      </c>
      <c r="Y276" s="24" t="s">
        <v>176</v>
      </c>
    </row>
    <row r="277" spans="1:25" s="24" customFormat="1" ht="11.1" customHeight="1" x14ac:dyDescent="0.2">
      <c r="A277" s="76">
        <f t="shared" si="34"/>
        <v>275</v>
      </c>
      <c r="B277" s="77" t="s">
        <v>250</v>
      </c>
      <c r="C277" s="76" t="str">
        <f>IF($B277&lt;&gt;"",_xlfn.IFNA(VLOOKUP($B277,'Node Details'!$B:$U,C$1,0),"Check"),"")</f>
        <v>AXY040201-AXY040204</v>
      </c>
      <c r="D277" s="76" t="str">
        <f>IF($B277&lt;&gt;"",_xlfn.IFNA(VLOOKUP($B277,'Node Details'!$B:$U,D$1,0),"Check"),"")</f>
        <v>AXY</v>
      </c>
      <c r="E277" s="76" t="str">
        <f>IF($B277&lt;&gt;"",_xlfn.IFNA(VLOOKUP($B277,'Node Details'!$B:$U,E$1,0),"Check"),"")</f>
        <v>Airtel</v>
      </c>
      <c r="F277" s="78">
        <v>46113</v>
      </c>
      <c r="G277" s="76"/>
      <c r="H277" s="9" t="s">
        <v>178</v>
      </c>
      <c r="I277" s="9">
        <v>1</v>
      </c>
      <c r="J277" s="9">
        <v>950</v>
      </c>
      <c r="K277" s="79">
        <f t="shared" si="33"/>
        <v>950</v>
      </c>
      <c r="L277" s="78">
        <v>46112</v>
      </c>
      <c r="N277" s="85"/>
      <c r="O277" s="86"/>
      <c r="P277" s="83">
        <f t="shared" si="28"/>
        <v>950</v>
      </c>
      <c r="Q277" s="83">
        <f t="shared" si="29"/>
        <v>950</v>
      </c>
      <c r="R277" s="83"/>
      <c r="S277" s="83"/>
      <c r="T277" s="87"/>
      <c r="U277" s="83">
        <f t="shared" si="30"/>
        <v>950</v>
      </c>
      <c r="V277" s="83">
        <f t="shared" si="31"/>
        <v>1</v>
      </c>
      <c r="W277" s="84">
        <f t="shared" si="32"/>
        <v>950</v>
      </c>
      <c r="X277" s="84" t="s">
        <v>181</v>
      </c>
      <c r="Y277" s="24" t="s">
        <v>176</v>
      </c>
    </row>
    <row r="278" spans="1:25" s="24" customFormat="1" ht="11.1" customHeight="1" x14ac:dyDescent="0.2">
      <c r="A278" s="76">
        <f t="shared" si="34"/>
        <v>276</v>
      </c>
      <c r="B278" s="77" t="s">
        <v>252</v>
      </c>
      <c r="C278" s="76" t="str">
        <f>IF($B278&lt;&gt;"",_xlfn.IFNA(VLOOKUP($B278,'Node Details'!$B:$U,C$1,0),"Check"),"")</f>
        <v>0000AXY05-AXY050101</v>
      </c>
      <c r="D278" s="76" t="str">
        <f>IF($B278&lt;&gt;"",_xlfn.IFNA(VLOOKUP($B278,'Node Details'!$B:$U,D$1,0),"Check"),"")</f>
        <v>AXY</v>
      </c>
      <c r="E278" s="76" t="str">
        <f>IF($B278&lt;&gt;"",_xlfn.IFNA(VLOOKUP($B278,'Node Details'!$B:$U,E$1,0),"Check"),"")</f>
        <v>Airtel</v>
      </c>
      <c r="F278" s="78">
        <v>46113</v>
      </c>
      <c r="G278" s="76"/>
      <c r="H278" s="9" t="s">
        <v>179</v>
      </c>
      <c r="I278" s="9">
        <v>1</v>
      </c>
      <c r="J278" s="9">
        <v>375</v>
      </c>
      <c r="K278" s="79">
        <f t="shared" si="33"/>
        <v>375</v>
      </c>
      <c r="L278" s="78">
        <v>46112</v>
      </c>
      <c r="N278" s="85"/>
      <c r="O278" s="86"/>
      <c r="P278" s="83">
        <f t="shared" si="28"/>
        <v>375</v>
      </c>
      <c r="Q278" s="83">
        <f t="shared" si="29"/>
        <v>375</v>
      </c>
      <c r="R278" s="83"/>
      <c r="S278" s="83"/>
      <c r="T278" s="87"/>
      <c r="U278" s="83">
        <f t="shared" si="30"/>
        <v>375</v>
      </c>
      <c r="V278" s="83">
        <f t="shared" si="31"/>
        <v>1</v>
      </c>
      <c r="W278" s="84">
        <f t="shared" si="32"/>
        <v>375</v>
      </c>
      <c r="X278" s="84" t="s">
        <v>181</v>
      </c>
      <c r="Y278" s="24" t="s">
        <v>176</v>
      </c>
    </row>
    <row r="279" spans="1:25" s="24" customFormat="1" ht="11.1" customHeight="1" x14ac:dyDescent="0.2">
      <c r="A279" s="76">
        <f t="shared" si="34"/>
        <v>277</v>
      </c>
      <c r="B279" s="77" t="s">
        <v>253</v>
      </c>
      <c r="C279" s="76" t="str">
        <f>IF($B279&lt;&gt;"",_xlfn.IFNA(VLOOKUP($B279,'Node Details'!$B:$U,C$1,0),"Check"),"")</f>
        <v>0000AXY5 -AXY050104</v>
      </c>
      <c r="D279" s="76" t="str">
        <f>IF($B279&lt;&gt;"",_xlfn.IFNA(VLOOKUP($B279,'Node Details'!$B:$U,D$1,0),"Check"),"")</f>
        <v>AXY</v>
      </c>
      <c r="E279" s="76" t="str">
        <f>IF($B279&lt;&gt;"",_xlfn.IFNA(VLOOKUP($B279,'Node Details'!$B:$U,E$1,0),"Check"),"")</f>
        <v>Airtel</v>
      </c>
      <c r="F279" s="78">
        <v>46113</v>
      </c>
      <c r="G279" s="76"/>
      <c r="H279" s="9" t="s">
        <v>178</v>
      </c>
      <c r="I279" s="9">
        <v>1</v>
      </c>
      <c r="J279" s="9">
        <v>950</v>
      </c>
      <c r="K279" s="79">
        <f t="shared" si="33"/>
        <v>950</v>
      </c>
      <c r="L279" s="78">
        <v>46112</v>
      </c>
      <c r="N279" s="85"/>
      <c r="O279" s="86"/>
      <c r="P279" s="83">
        <f t="shared" si="28"/>
        <v>950</v>
      </c>
      <c r="Q279" s="83">
        <f t="shared" si="29"/>
        <v>950</v>
      </c>
      <c r="R279" s="83"/>
      <c r="S279" s="83"/>
      <c r="T279" s="87"/>
      <c r="U279" s="83">
        <f t="shared" si="30"/>
        <v>950</v>
      </c>
      <c r="V279" s="83">
        <f t="shared" si="31"/>
        <v>1</v>
      </c>
      <c r="W279" s="84">
        <f t="shared" si="32"/>
        <v>950</v>
      </c>
      <c r="X279" s="84" t="s">
        <v>181</v>
      </c>
      <c r="Y279" s="24" t="s">
        <v>176</v>
      </c>
    </row>
    <row r="280" spans="1:25" s="24" customFormat="1" ht="11.1" customHeight="1" x14ac:dyDescent="0.2">
      <c r="A280" s="76">
        <f t="shared" si="34"/>
        <v>278</v>
      </c>
      <c r="B280" s="77" t="s">
        <v>254</v>
      </c>
      <c r="C280" s="76" t="str">
        <f>IF($B280&lt;&gt;"",_xlfn.IFNA(VLOOKUP($B280,'Node Details'!$B:$U,C$1,0),"Check"),"")</f>
        <v>0000AXY5 -AXY050104</v>
      </c>
      <c r="D280" s="76" t="str">
        <f>IF($B280&lt;&gt;"",_xlfn.IFNA(VLOOKUP($B280,'Node Details'!$B:$U,D$1,0),"Check"),"")</f>
        <v>AXY</v>
      </c>
      <c r="E280" s="76" t="str">
        <f>IF($B280&lt;&gt;"",_xlfn.IFNA(VLOOKUP($B280,'Node Details'!$B:$U,E$1,0),"Check"),"")</f>
        <v>Airtel</v>
      </c>
      <c r="F280" s="78">
        <v>46113</v>
      </c>
      <c r="G280" s="76"/>
      <c r="H280" s="9" t="s">
        <v>178</v>
      </c>
      <c r="I280" s="9">
        <v>1</v>
      </c>
      <c r="J280" s="9">
        <v>950</v>
      </c>
      <c r="K280" s="79">
        <f t="shared" si="33"/>
        <v>950</v>
      </c>
      <c r="L280" s="78">
        <v>46112</v>
      </c>
      <c r="N280" s="85"/>
      <c r="O280" s="86"/>
      <c r="P280" s="83">
        <f t="shared" si="28"/>
        <v>950</v>
      </c>
      <c r="Q280" s="83">
        <f t="shared" si="29"/>
        <v>950</v>
      </c>
      <c r="R280" s="83"/>
      <c r="S280" s="83"/>
      <c r="T280" s="87"/>
      <c r="U280" s="83">
        <f t="shared" si="30"/>
        <v>950</v>
      </c>
      <c r="V280" s="83">
        <f t="shared" si="31"/>
        <v>1</v>
      </c>
      <c r="W280" s="84">
        <f t="shared" si="32"/>
        <v>950</v>
      </c>
      <c r="X280" s="84" t="s">
        <v>181</v>
      </c>
      <c r="Y280" s="24" t="s">
        <v>176</v>
      </c>
    </row>
    <row r="281" spans="1:25" s="24" customFormat="1" ht="11.1" customHeight="1" x14ac:dyDescent="0.2">
      <c r="A281" s="76">
        <f t="shared" si="34"/>
        <v>279</v>
      </c>
      <c r="B281" s="77" t="s">
        <v>255</v>
      </c>
      <c r="C281" s="76" t="str">
        <f>IF($B281&lt;&gt;"",_xlfn.IFNA(VLOOKUP($B281,'Node Details'!$B:$U,C$1,0),"Check"),"")</f>
        <v>0000AXY5 -AXY050104</v>
      </c>
      <c r="D281" s="76" t="str">
        <f>IF($B281&lt;&gt;"",_xlfn.IFNA(VLOOKUP($B281,'Node Details'!$B:$U,D$1,0),"Check"),"")</f>
        <v>AXY</v>
      </c>
      <c r="E281" s="76" t="str">
        <f>IF($B281&lt;&gt;"",_xlfn.IFNA(VLOOKUP($B281,'Node Details'!$B:$U,E$1,0),"Check"),"")</f>
        <v>Airtel</v>
      </c>
      <c r="F281" s="78">
        <v>46113</v>
      </c>
      <c r="G281" s="76"/>
      <c r="H281" s="9" t="s">
        <v>178</v>
      </c>
      <c r="I281" s="9">
        <v>1</v>
      </c>
      <c r="J281" s="9">
        <v>950</v>
      </c>
      <c r="K281" s="79">
        <f t="shared" si="33"/>
        <v>950</v>
      </c>
      <c r="L281" s="78">
        <v>46112</v>
      </c>
      <c r="N281" s="85"/>
      <c r="O281" s="86"/>
      <c r="P281" s="83">
        <f t="shared" si="28"/>
        <v>950</v>
      </c>
      <c r="Q281" s="83">
        <f t="shared" si="29"/>
        <v>950</v>
      </c>
      <c r="R281" s="83"/>
      <c r="S281" s="83"/>
      <c r="T281" s="87"/>
      <c r="U281" s="83">
        <f t="shared" si="30"/>
        <v>950</v>
      </c>
      <c r="V281" s="83">
        <f t="shared" si="31"/>
        <v>1</v>
      </c>
      <c r="W281" s="84">
        <f t="shared" si="32"/>
        <v>950</v>
      </c>
      <c r="X281" s="84" t="s">
        <v>181</v>
      </c>
      <c r="Y281" s="24" t="s">
        <v>176</v>
      </c>
    </row>
    <row r="282" spans="1:25" s="24" customFormat="1" ht="11.1" customHeight="1" x14ac:dyDescent="0.2">
      <c r="A282" s="76">
        <f t="shared" si="34"/>
        <v>280</v>
      </c>
      <c r="B282" s="77" t="s">
        <v>256</v>
      </c>
      <c r="C282" s="76" t="str">
        <f>IF($B282&lt;&gt;"",_xlfn.IFNA(VLOOKUP($B282,'Node Details'!$B:$U,C$1,0),"Check"),"")</f>
        <v>0000AXY05-AXY050107</v>
      </c>
      <c r="D282" s="76" t="str">
        <f>IF($B282&lt;&gt;"",_xlfn.IFNA(VLOOKUP($B282,'Node Details'!$B:$U,D$1,0),"Check"),"")</f>
        <v>AXY</v>
      </c>
      <c r="E282" s="76" t="str">
        <f>IF($B282&lt;&gt;"",_xlfn.IFNA(VLOOKUP($B282,'Node Details'!$B:$U,E$1,0),"Check"),"")</f>
        <v>Airtel</v>
      </c>
      <c r="F282" s="78">
        <v>46113</v>
      </c>
      <c r="G282" s="76"/>
      <c r="H282" s="9" t="s">
        <v>178</v>
      </c>
      <c r="I282" s="9">
        <v>1</v>
      </c>
      <c r="J282" s="9">
        <v>950</v>
      </c>
      <c r="K282" s="79">
        <f t="shared" si="33"/>
        <v>950</v>
      </c>
      <c r="L282" s="78">
        <v>46112</v>
      </c>
      <c r="N282" s="85"/>
      <c r="O282" s="86"/>
      <c r="P282" s="83">
        <f t="shared" si="28"/>
        <v>950</v>
      </c>
      <c r="Q282" s="83">
        <f t="shared" si="29"/>
        <v>950</v>
      </c>
      <c r="R282" s="83"/>
      <c r="S282" s="83"/>
      <c r="T282" s="87"/>
      <c r="U282" s="83">
        <f t="shared" si="30"/>
        <v>950</v>
      </c>
      <c r="V282" s="83">
        <f t="shared" si="31"/>
        <v>1</v>
      </c>
      <c r="W282" s="84">
        <f t="shared" si="32"/>
        <v>950</v>
      </c>
      <c r="X282" s="84" t="s">
        <v>181</v>
      </c>
      <c r="Y282" s="24" t="s">
        <v>176</v>
      </c>
    </row>
    <row r="283" spans="1:25" s="24" customFormat="1" ht="11.1" customHeight="1" x14ac:dyDescent="0.2">
      <c r="A283" s="76">
        <f t="shared" si="34"/>
        <v>281</v>
      </c>
      <c r="B283" s="77" t="s">
        <v>257</v>
      </c>
      <c r="C283" s="76" t="str">
        <f>IF($B283&lt;&gt;"",_xlfn.IFNA(VLOOKUP($B283,'Node Details'!$B:$U,C$1,0),"Check"),"")</f>
        <v>0000AXY05-AXY050107</v>
      </c>
      <c r="D283" s="76" t="str">
        <f>IF($B283&lt;&gt;"",_xlfn.IFNA(VLOOKUP($B283,'Node Details'!$B:$U,D$1,0),"Check"),"")</f>
        <v>AXY</v>
      </c>
      <c r="E283" s="76" t="str">
        <f>IF($B283&lt;&gt;"",_xlfn.IFNA(VLOOKUP($B283,'Node Details'!$B:$U,E$1,0),"Check"),"")</f>
        <v>Airtel</v>
      </c>
      <c r="F283" s="78">
        <v>46113</v>
      </c>
      <c r="G283" s="76"/>
      <c r="H283" s="9" t="s">
        <v>179</v>
      </c>
      <c r="I283" s="9">
        <v>1</v>
      </c>
      <c r="J283" s="9">
        <v>375</v>
      </c>
      <c r="K283" s="79">
        <f t="shared" si="33"/>
        <v>375</v>
      </c>
      <c r="L283" s="78">
        <v>46112</v>
      </c>
      <c r="N283" s="85"/>
      <c r="O283" s="86"/>
      <c r="P283" s="83">
        <f t="shared" si="28"/>
        <v>375</v>
      </c>
      <c r="Q283" s="83">
        <f t="shared" si="29"/>
        <v>375</v>
      </c>
      <c r="R283" s="83"/>
      <c r="S283" s="83"/>
      <c r="T283" s="87"/>
      <c r="U283" s="83">
        <f t="shared" si="30"/>
        <v>375</v>
      </c>
      <c r="V283" s="83">
        <f t="shared" si="31"/>
        <v>1</v>
      </c>
      <c r="W283" s="84">
        <f t="shared" si="32"/>
        <v>375</v>
      </c>
      <c r="X283" s="84" t="s">
        <v>181</v>
      </c>
      <c r="Y283" s="24" t="s">
        <v>176</v>
      </c>
    </row>
    <row r="284" spans="1:25" s="24" customFormat="1" ht="11.1" customHeight="1" x14ac:dyDescent="0.2">
      <c r="A284" s="76">
        <f t="shared" si="34"/>
        <v>282</v>
      </c>
      <c r="B284" s="77" t="s">
        <v>258</v>
      </c>
      <c r="C284" s="76" t="str">
        <f>IF($B284&lt;&gt;"",_xlfn.IFNA(VLOOKUP($B284,'Node Details'!$B:$U,C$1,0),"Check"),"")</f>
        <v>0000AXY05-AXY050107</v>
      </c>
      <c r="D284" s="76" t="str">
        <f>IF($B284&lt;&gt;"",_xlfn.IFNA(VLOOKUP($B284,'Node Details'!$B:$U,D$1,0),"Check"),"")</f>
        <v>AXY</v>
      </c>
      <c r="E284" s="76" t="str">
        <f>IF($B284&lt;&gt;"",_xlfn.IFNA(VLOOKUP($B284,'Node Details'!$B:$U,E$1,0),"Check"),"")</f>
        <v>Airtel</v>
      </c>
      <c r="F284" s="78">
        <v>46113</v>
      </c>
      <c r="G284" s="76"/>
      <c r="H284" s="9" t="s">
        <v>178</v>
      </c>
      <c r="I284" s="9">
        <v>1</v>
      </c>
      <c r="J284" s="9">
        <v>950</v>
      </c>
      <c r="K284" s="79">
        <f t="shared" si="33"/>
        <v>950</v>
      </c>
      <c r="L284" s="78">
        <v>46112</v>
      </c>
      <c r="N284" s="85"/>
      <c r="O284" s="86"/>
      <c r="P284" s="83">
        <f t="shared" si="28"/>
        <v>950</v>
      </c>
      <c r="Q284" s="83">
        <f t="shared" si="29"/>
        <v>950</v>
      </c>
      <c r="R284" s="83"/>
      <c r="S284" s="83"/>
      <c r="T284" s="87"/>
      <c r="U284" s="83">
        <f t="shared" si="30"/>
        <v>950</v>
      </c>
      <c r="V284" s="83">
        <f t="shared" si="31"/>
        <v>1</v>
      </c>
      <c r="W284" s="84">
        <f t="shared" si="32"/>
        <v>950</v>
      </c>
      <c r="X284" s="84" t="s">
        <v>181</v>
      </c>
      <c r="Y284" s="24" t="s">
        <v>176</v>
      </c>
    </row>
    <row r="285" spans="1:25" s="24" customFormat="1" ht="11.1" customHeight="1" x14ac:dyDescent="0.2">
      <c r="A285" s="76">
        <f t="shared" si="34"/>
        <v>283</v>
      </c>
      <c r="B285" s="77" t="s">
        <v>259</v>
      </c>
      <c r="C285" s="76" t="str">
        <f>IF($B285&lt;&gt;"",_xlfn.IFNA(VLOOKUP($B285,'Node Details'!$B:$U,C$1,0),"Check"),"")</f>
        <v>AXY050105-AXY050202</v>
      </c>
      <c r="D285" s="76" t="str">
        <f>IF($B285&lt;&gt;"",_xlfn.IFNA(VLOOKUP($B285,'Node Details'!$B:$U,D$1,0),"Check"),"")</f>
        <v>AXY</v>
      </c>
      <c r="E285" s="76" t="str">
        <f>IF($B285&lt;&gt;"",_xlfn.IFNA(VLOOKUP($B285,'Node Details'!$B:$U,E$1,0),"Check"),"")</f>
        <v>Airtel</v>
      </c>
      <c r="F285" s="78">
        <v>46113</v>
      </c>
      <c r="G285" s="76"/>
      <c r="H285" s="9" t="s">
        <v>179</v>
      </c>
      <c r="I285" s="9">
        <v>1</v>
      </c>
      <c r="J285" s="9">
        <v>375</v>
      </c>
      <c r="K285" s="79">
        <f t="shared" si="33"/>
        <v>375</v>
      </c>
      <c r="L285" s="78">
        <v>46112</v>
      </c>
      <c r="N285" s="85"/>
      <c r="O285" s="86"/>
      <c r="P285" s="83">
        <f t="shared" si="28"/>
        <v>375</v>
      </c>
      <c r="Q285" s="83">
        <f t="shared" si="29"/>
        <v>375</v>
      </c>
      <c r="R285" s="83"/>
      <c r="S285" s="83"/>
      <c r="T285" s="87"/>
      <c r="U285" s="83">
        <f t="shared" si="30"/>
        <v>375</v>
      </c>
      <c r="V285" s="83">
        <f t="shared" si="31"/>
        <v>1</v>
      </c>
      <c r="W285" s="84">
        <f t="shared" si="32"/>
        <v>375</v>
      </c>
      <c r="X285" s="84" t="s">
        <v>181</v>
      </c>
      <c r="Y285" s="24" t="s">
        <v>176</v>
      </c>
    </row>
    <row r="286" spans="1:25" s="24" customFormat="1" ht="11.1" customHeight="1" x14ac:dyDescent="0.2">
      <c r="A286" s="76">
        <f t="shared" si="34"/>
        <v>284</v>
      </c>
      <c r="B286" s="77" t="s">
        <v>260</v>
      </c>
      <c r="C286" s="76" t="str">
        <f>IF($B286&lt;&gt;"",_xlfn.IFNA(VLOOKUP($B286,'Node Details'!$B:$U,C$1,0),"Check"),"")</f>
        <v>AXY050105-AXY050202</v>
      </c>
      <c r="D286" s="76" t="str">
        <f>IF($B286&lt;&gt;"",_xlfn.IFNA(VLOOKUP($B286,'Node Details'!$B:$U,D$1,0),"Check"),"")</f>
        <v>AXY</v>
      </c>
      <c r="E286" s="76" t="str">
        <f>IF($B286&lt;&gt;"",_xlfn.IFNA(VLOOKUP($B286,'Node Details'!$B:$U,E$1,0),"Check"),"")</f>
        <v>Airtel</v>
      </c>
      <c r="F286" s="78">
        <v>46113</v>
      </c>
      <c r="G286" s="76"/>
      <c r="H286" s="9" t="s">
        <v>179</v>
      </c>
      <c r="I286" s="9">
        <v>1</v>
      </c>
      <c r="J286" s="9">
        <v>375</v>
      </c>
      <c r="K286" s="79">
        <f t="shared" si="33"/>
        <v>375</v>
      </c>
      <c r="L286" s="78">
        <v>46112</v>
      </c>
      <c r="N286" s="85"/>
      <c r="O286" s="86"/>
      <c r="P286" s="83">
        <f t="shared" si="28"/>
        <v>375</v>
      </c>
      <c r="Q286" s="83">
        <f t="shared" si="29"/>
        <v>375</v>
      </c>
      <c r="R286" s="83"/>
      <c r="S286" s="83"/>
      <c r="T286" s="87"/>
      <c r="U286" s="83">
        <f t="shared" si="30"/>
        <v>375</v>
      </c>
      <c r="V286" s="83">
        <f t="shared" si="31"/>
        <v>1</v>
      </c>
      <c r="W286" s="84">
        <f t="shared" si="32"/>
        <v>375</v>
      </c>
      <c r="X286" s="84" t="s">
        <v>181</v>
      </c>
      <c r="Y286" s="24" t="s">
        <v>176</v>
      </c>
    </row>
    <row r="287" spans="1:25" s="24" customFormat="1" ht="11.1" customHeight="1" x14ac:dyDescent="0.2">
      <c r="A287" s="76">
        <f t="shared" si="34"/>
        <v>285</v>
      </c>
      <c r="B287" s="77" t="s">
        <v>261</v>
      </c>
      <c r="C287" s="76" t="str">
        <f>IF($B287&lt;&gt;"",_xlfn.IFNA(VLOOKUP($B287,'Node Details'!$B:$U,C$1,0),"Check"),"")</f>
        <v>AXY050105-AXY050202</v>
      </c>
      <c r="D287" s="76" t="str">
        <f>IF($B287&lt;&gt;"",_xlfn.IFNA(VLOOKUP($B287,'Node Details'!$B:$U,D$1,0),"Check"),"")</f>
        <v>AXY</v>
      </c>
      <c r="E287" s="76" t="str">
        <f>IF($B287&lt;&gt;"",_xlfn.IFNA(VLOOKUP($B287,'Node Details'!$B:$U,E$1,0),"Check"),"")</f>
        <v>Airtel</v>
      </c>
      <c r="F287" s="78">
        <v>46113</v>
      </c>
      <c r="G287" s="76"/>
      <c r="H287" s="9" t="s">
        <v>178</v>
      </c>
      <c r="I287" s="9">
        <v>1</v>
      </c>
      <c r="J287" s="9">
        <v>950</v>
      </c>
      <c r="K287" s="79">
        <f t="shared" si="33"/>
        <v>950</v>
      </c>
      <c r="L287" s="78">
        <v>46112</v>
      </c>
      <c r="N287" s="85"/>
      <c r="O287" s="86"/>
      <c r="P287" s="83">
        <f t="shared" si="28"/>
        <v>950</v>
      </c>
      <c r="Q287" s="83">
        <f t="shared" si="29"/>
        <v>950</v>
      </c>
      <c r="R287" s="83"/>
      <c r="S287" s="83"/>
      <c r="T287" s="87"/>
      <c r="U287" s="83">
        <f t="shared" si="30"/>
        <v>950</v>
      </c>
      <c r="V287" s="83">
        <f t="shared" si="31"/>
        <v>1</v>
      </c>
      <c r="W287" s="84">
        <f t="shared" si="32"/>
        <v>950</v>
      </c>
      <c r="X287" s="84" t="s">
        <v>181</v>
      </c>
      <c r="Y287" s="24" t="s">
        <v>176</v>
      </c>
    </row>
    <row r="288" spans="1:25" s="24" customFormat="1" ht="11.1" customHeight="1" x14ac:dyDescent="0.2">
      <c r="A288" s="76">
        <f t="shared" si="34"/>
        <v>286</v>
      </c>
      <c r="B288" s="77" t="s">
        <v>263</v>
      </c>
      <c r="C288" s="76" t="str">
        <f>IF($B288&lt;&gt;"",_xlfn.IFNA(VLOOKUP($B288,'Node Details'!$B:$U,C$1,0),"Check"),"")</f>
        <v>0000AXY06-AXY060102</v>
      </c>
      <c r="D288" s="76" t="str">
        <f>IF($B288&lt;&gt;"",_xlfn.IFNA(VLOOKUP($B288,'Node Details'!$B:$U,D$1,0),"Check"),"")</f>
        <v>AXY</v>
      </c>
      <c r="E288" s="76" t="str">
        <f>IF($B288&lt;&gt;"",_xlfn.IFNA(VLOOKUP($B288,'Node Details'!$B:$U,E$1,0),"Check"),"")</f>
        <v>Airtel</v>
      </c>
      <c r="F288" s="78">
        <v>46113</v>
      </c>
      <c r="G288" s="76"/>
      <c r="H288" s="9" t="s">
        <v>178</v>
      </c>
      <c r="I288" s="9">
        <v>1</v>
      </c>
      <c r="J288" s="9">
        <v>950</v>
      </c>
      <c r="K288" s="79">
        <f t="shared" si="33"/>
        <v>950</v>
      </c>
      <c r="L288" s="78">
        <v>46112</v>
      </c>
      <c r="N288" s="85"/>
      <c r="O288" s="86"/>
      <c r="P288" s="83">
        <f t="shared" si="28"/>
        <v>950</v>
      </c>
      <c r="Q288" s="83">
        <f t="shared" si="29"/>
        <v>950</v>
      </c>
      <c r="R288" s="83"/>
      <c r="S288" s="83"/>
      <c r="T288" s="87"/>
      <c r="U288" s="83">
        <f t="shared" si="30"/>
        <v>950</v>
      </c>
      <c r="V288" s="83">
        <f t="shared" si="31"/>
        <v>1</v>
      </c>
      <c r="W288" s="84">
        <f t="shared" si="32"/>
        <v>950</v>
      </c>
      <c r="X288" s="84" t="s">
        <v>181</v>
      </c>
      <c r="Y288" s="24" t="s">
        <v>176</v>
      </c>
    </row>
    <row r="289" spans="1:25" s="24" customFormat="1" ht="11.1" customHeight="1" x14ac:dyDescent="0.2">
      <c r="A289" s="76">
        <f t="shared" si="34"/>
        <v>287</v>
      </c>
      <c r="B289" s="77" t="s">
        <v>264</v>
      </c>
      <c r="C289" s="76" t="str">
        <f>IF($B289&lt;&gt;"",_xlfn.IFNA(VLOOKUP($B289,'Node Details'!$B:$U,C$1,0),"Check"),"")</f>
        <v>0000AXY06-AXY060102</v>
      </c>
      <c r="D289" s="76" t="str">
        <f>IF($B289&lt;&gt;"",_xlfn.IFNA(VLOOKUP($B289,'Node Details'!$B:$U,D$1,0),"Check"),"")</f>
        <v>AXY</v>
      </c>
      <c r="E289" s="76" t="str">
        <f>IF($B289&lt;&gt;"",_xlfn.IFNA(VLOOKUP($B289,'Node Details'!$B:$U,E$1,0),"Check"),"")</f>
        <v>Airtel</v>
      </c>
      <c r="F289" s="78">
        <v>46113</v>
      </c>
      <c r="G289" s="76"/>
      <c r="H289" s="9" t="s">
        <v>179</v>
      </c>
      <c r="I289" s="9">
        <v>1</v>
      </c>
      <c r="J289" s="9">
        <v>375</v>
      </c>
      <c r="K289" s="79">
        <f t="shared" si="33"/>
        <v>375</v>
      </c>
      <c r="L289" s="78">
        <v>46112</v>
      </c>
      <c r="N289" s="85"/>
      <c r="O289" s="86"/>
      <c r="P289" s="83">
        <f t="shared" si="28"/>
        <v>375</v>
      </c>
      <c r="Q289" s="83">
        <f t="shared" si="29"/>
        <v>375</v>
      </c>
      <c r="R289" s="83"/>
      <c r="S289" s="83"/>
      <c r="T289" s="87"/>
      <c r="U289" s="83">
        <f t="shared" si="30"/>
        <v>375</v>
      </c>
      <c r="V289" s="83">
        <f t="shared" si="31"/>
        <v>1</v>
      </c>
      <c r="W289" s="84">
        <f t="shared" si="32"/>
        <v>375</v>
      </c>
      <c r="X289" s="84" t="s">
        <v>181</v>
      </c>
      <c r="Y289" s="24" t="s">
        <v>176</v>
      </c>
    </row>
    <row r="290" spans="1:25" s="24" customFormat="1" ht="11.1" customHeight="1" x14ac:dyDescent="0.2">
      <c r="A290" s="76">
        <f t="shared" si="34"/>
        <v>288</v>
      </c>
      <c r="B290" s="77" t="s">
        <v>265</v>
      </c>
      <c r="C290" s="76" t="str">
        <f>IF($B290&lt;&gt;"",_xlfn.IFNA(VLOOKUP($B290,'Node Details'!$B:$U,C$1,0),"Check"),"")</f>
        <v>0000AXY06-AXY060105</v>
      </c>
      <c r="D290" s="76" t="str">
        <f>IF($B290&lt;&gt;"",_xlfn.IFNA(VLOOKUP($B290,'Node Details'!$B:$U,D$1,0),"Check"),"")</f>
        <v>AXY</v>
      </c>
      <c r="E290" s="76" t="str">
        <f>IF($B290&lt;&gt;"",_xlfn.IFNA(VLOOKUP($B290,'Node Details'!$B:$U,E$1,0),"Check"),"")</f>
        <v>Airtel</v>
      </c>
      <c r="F290" s="78">
        <v>46113</v>
      </c>
      <c r="G290" s="76"/>
      <c r="H290" s="9" t="s">
        <v>178</v>
      </c>
      <c r="I290" s="9">
        <v>1</v>
      </c>
      <c r="J290" s="9">
        <v>950</v>
      </c>
      <c r="K290" s="79">
        <f t="shared" si="33"/>
        <v>950</v>
      </c>
      <c r="L290" s="78">
        <v>46112</v>
      </c>
      <c r="N290" s="85"/>
      <c r="O290" s="86"/>
      <c r="P290" s="83">
        <f t="shared" si="28"/>
        <v>950</v>
      </c>
      <c r="Q290" s="83">
        <f t="shared" si="29"/>
        <v>950</v>
      </c>
      <c r="R290" s="83"/>
      <c r="S290" s="83"/>
      <c r="T290" s="87"/>
      <c r="U290" s="83">
        <f t="shared" si="30"/>
        <v>950</v>
      </c>
      <c r="V290" s="83">
        <f t="shared" si="31"/>
        <v>1</v>
      </c>
      <c r="W290" s="84">
        <f t="shared" si="32"/>
        <v>950</v>
      </c>
      <c r="X290" s="84" t="s">
        <v>181</v>
      </c>
      <c r="Y290" s="24" t="s">
        <v>176</v>
      </c>
    </row>
    <row r="291" spans="1:25" s="24" customFormat="1" ht="11.1" customHeight="1" x14ac:dyDescent="0.2">
      <c r="A291" s="76">
        <f t="shared" si="34"/>
        <v>289</v>
      </c>
      <c r="B291" s="77" t="s">
        <v>266</v>
      </c>
      <c r="C291" s="76" t="str">
        <f>IF($B291&lt;&gt;"",_xlfn.IFNA(VLOOKUP($B291,'Node Details'!$B:$U,C$1,0),"Check"),"")</f>
        <v>0000AXY06-AXY060105</v>
      </c>
      <c r="D291" s="76" t="str">
        <f>IF($B291&lt;&gt;"",_xlfn.IFNA(VLOOKUP($B291,'Node Details'!$B:$U,D$1,0),"Check"),"")</f>
        <v>AXY</v>
      </c>
      <c r="E291" s="76" t="str">
        <f>IF($B291&lt;&gt;"",_xlfn.IFNA(VLOOKUP($B291,'Node Details'!$B:$U,E$1,0),"Check"),"")</f>
        <v>Airtel</v>
      </c>
      <c r="F291" s="78">
        <v>46113</v>
      </c>
      <c r="G291" s="76"/>
      <c r="H291" s="9" t="s">
        <v>178</v>
      </c>
      <c r="I291" s="9">
        <v>1</v>
      </c>
      <c r="J291" s="9">
        <v>950</v>
      </c>
      <c r="K291" s="79">
        <f t="shared" si="33"/>
        <v>950</v>
      </c>
      <c r="L291" s="78">
        <v>46112</v>
      </c>
      <c r="N291" s="85"/>
      <c r="O291" s="86"/>
      <c r="P291" s="83">
        <f t="shared" si="28"/>
        <v>950</v>
      </c>
      <c r="Q291" s="83">
        <f t="shared" si="29"/>
        <v>950</v>
      </c>
      <c r="R291" s="83"/>
      <c r="S291" s="83"/>
      <c r="T291" s="87"/>
      <c r="U291" s="83">
        <f t="shared" si="30"/>
        <v>950</v>
      </c>
      <c r="V291" s="83">
        <f t="shared" si="31"/>
        <v>1</v>
      </c>
      <c r="W291" s="84">
        <f t="shared" si="32"/>
        <v>950</v>
      </c>
      <c r="X291" s="84" t="s">
        <v>181</v>
      </c>
      <c r="Y291" s="24" t="s">
        <v>176</v>
      </c>
    </row>
    <row r="292" spans="1:25" s="24" customFormat="1" ht="11.1" customHeight="1" x14ac:dyDescent="0.2">
      <c r="A292" s="76">
        <f t="shared" si="34"/>
        <v>290</v>
      </c>
      <c r="B292" s="77" t="s">
        <v>267</v>
      </c>
      <c r="C292" s="76" t="str">
        <f>IF($B292&lt;&gt;"",_xlfn.IFNA(VLOOKUP($B292,'Node Details'!$B:$U,C$1,0),"Check"),"")</f>
        <v>0000AXY06-AXY060105</v>
      </c>
      <c r="D292" s="76" t="str">
        <f>IF($B292&lt;&gt;"",_xlfn.IFNA(VLOOKUP($B292,'Node Details'!$B:$U,D$1,0),"Check"),"")</f>
        <v>AXY</v>
      </c>
      <c r="E292" s="76" t="str">
        <f>IF($B292&lt;&gt;"",_xlfn.IFNA(VLOOKUP($B292,'Node Details'!$B:$U,E$1,0),"Check"),"")</f>
        <v>Airtel</v>
      </c>
      <c r="F292" s="78">
        <v>46113</v>
      </c>
      <c r="G292" s="76"/>
      <c r="H292" s="9" t="s">
        <v>178</v>
      </c>
      <c r="I292" s="9">
        <v>1</v>
      </c>
      <c r="J292" s="9">
        <v>950</v>
      </c>
      <c r="K292" s="79">
        <f t="shared" si="33"/>
        <v>950</v>
      </c>
      <c r="L292" s="78">
        <v>46112</v>
      </c>
      <c r="N292" s="85"/>
      <c r="O292" s="86"/>
      <c r="P292" s="83">
        <f t="shared" si="28"/>
        <v>950</v>
      </c>
      <c r="Q292" s="83">
        <f t="shared" si="29"/>
        <v>950</v>
      </c>
      <c r="R292" s="83"/>
      <c r="S292" s="83"/>
      <c r="T292" s="87"/>
      <c r="U292" s="83">
        <f t="shared" si="30"/>
        <v>950</v>
      </c>
      <c r="V292" s="83">
        <f t="shared" si="31"/>
        <v>1</v>
      </c>
      <c r="W292" s="84">
        <f t="shared" si="32"/>
        <v>950</v>
      </c>
      <c r="X292" s="84" t="s">
        <v>181</v>
      </c>
      <c r="Y292" s="24" t="s">
        <v>176</v>
      </c>
    </row>
    <row r="293" spans="1:25" s="24" customFormat="1" ht="11.1" customHeight="1" x14ac:dyDescent="0.2">
      <c r="A293" s="76">
        <f t="shared" si="34"/>
        <v>291</v>
      </c>
      <c r="B293" s="77" t="s">
        <v>268</v>
      </c>
      <c r="C293" s="76" t="str">
        <f>IF($B293&lt;&gt;"",_xlfn.IFNA(VLOOKUP($B293,'Node Details'!$B:$U,C$1,0),"Check"),"")</f>
        <v>0000AXY06-AXY060201</v>
      </c>
      <c r="D293" s="76" t="str">
        <f>IF($B293&lt;&gt;"",_xlfn.IFNA(VLOOKUP($B293,'Node Details'!$B:$U,D$1,0),"Check"),"")</f>
        <v>AXY</v>
      </c>
      <c r="E293" s="76" t="str">
        <f>IF($B293&lt;&gt;"",_xlfn.IFNA(VLOOKUP($B293,'Node Details'!$B:$U,E$1,0),"Check"),"")</f>
        <v>Airtel</v>
      </c>
      <c r="F293" s="78">
        <v>46113</v>
      </c>
      <c r="G293" s="76"/>
      <c r="H293" s="9" t="s">
        <v>178</v>
      </c>
      <c r="I293" s="9">
        <v>1</v>
      </c>
      <c r="J293" s="9">
        <v>950</v>
      </c>
      <c r="K293" s="79">
        <f t="shared" si="33"/>
        <v>950</v>
      </c>
      <c r="L293" s="78">
        <v>46112</v>
      </c>
      <c r="N293" s="85"/>
      <c r="O293" s="86"/>
      <c r="P293" s="83">
        <f t="shared" si="28"/>
        <v>950</v>
      </c>
      <c r="Q293" s="83">
        <f t="shared" si="29"/>
        <v>950</v>
      </c>
      <c r="R293" s="83"/>
      <c r="S293" s="83"/>
      <c r="T293" s="87"/>
      <c r="U293" s="83">
        <f t="shared" si="30"/>
        <v>950</v>
      </c>
      <c r="V293" s="83">
        <f t="shared" si="31"/>
        <v>1</v>
      </c>
      <c r="W293" s="84">
        <f t="shared" si="32"/>
        <v>950</v>
      </c>
      <c r="X293" s="84" t="s">
        <v>181</v>
      </c>
      <c r="Y293" s="24" t="s">
        <v>176</v>
      </c>
    </row>
    <row r="294" spans="1:25" s="24" customFormat="1" ht="11.1" customHeight="1" x14ac:dyDescent="0.2">
      <c r="A294" s="76">
        <f t="shared" si="34"/>
        <v>292</v>
      </c>
      <c r="B294" s="77" t="s">
        <v>269</v>
      </c>
      <c r="C294" s="76" t="str">
        <f>IF($B294&lt;&gt;"",_xlfn.IFNA(VLOOKUP($B294,'Node Details'!$B:$U,C$1,0),"Check"),"")</f>
        <v>0000AXY06-AXY060201</v>
      </c>
      <c r="D294" s="76" t="str">
        <f>IF($B294&lt;&gt;"",_xlfn.IFNA(VLOOKUP($B294,'Node Details'!$B:$U,D$1,0),"Check"),"")</f>
        <v>AXY</v>
      </c>
      <c r="E294" s="76" t="str">
        <f>IF($B294&lt;&gt;"",_xlfn.IFNA(VLOOKUP($B294,'Node Details'!$B:$U,E$1,0),"Check"),"")</f>
        <v>Airtel</v>
      </c>
      <c r="F294" s="78">
        <v>46113</v>
      </c>
      <c r="G294" s="76"/>
      <c r="H294" s="9" t="s">
        <v>179</v>
      </c>
      <c r="I294" s="9">
        <v>1</v>
      </c>
      <c r="J294" s="9">
        <v>375</v>
      </c>
      <c r="K294" s="79">
        <f t="shared" si="33"/>
        <v>375</v>
      </c>
      <c r="L294" s="78">
        <v>46112</v>
      </c>
      <c r="N294" s="85"/>
      <c r="O294" s="86"/>
      <c r="P294" s="83">
        <f t="shared" si="28"/>
        <v>375</v>
      </c>
      <c r="Q294" s="83">
        <f t="shared" si="29"/>
        <v>375</v>
      </c>
      <c r="R294" s="83"/>
      <c r="S294" s="83"/>
      <c r="T294" s="87"/>
      <c r="U294" s="83">
        <f t="shared" si="30"/>
        <v>375</v>
      </c>
      <c r="V294" s="83">
        <f t="shared" si="31"/>
        <v>1</v>
      </c>
      <c r="W294" s="84">
        <f t="shared" si="32"/>
        <v>375</v>
      </c>
      <c r="X294" s="84" t="s">
        <v>181</v>
      </c>
      <c r="Y294" s="24" t="s">
        <v>176</v>
      </c>
    </row>
    <row r="295" spans="1:25" s="24" customFormat="1" ht="11.1" customHeight="1" x14ac:dyDescent="0.2">
      <c r="A295" s="76">
        <f t="shared" si="34"/>
        <v>293</v>
      </c>
      <c r="B295" s="77" t="s">
        <v>270</v>
      </c>
      <c r="C295" s="76" t="str">
        <f>IF($B295&lt;&gt;"",_xlfn.IFNA(VLOOKUP($B295,'Node Details'!$B:$U,C$1,0),"Check"),"")</f>
        <v>0000AXY06-AXY060201</v>
      </c>
      <c r="D295" s="76" t="str">
        <f>IF($B295&lt;&gt;"",_xlfn.IFNA(VLOOKUP($B295,'Node Details'!$B:$U,D$1,0),"Check"),"")</f>
        <v>AXY</v>
      </c>
      <c r="E295" s="76" t="str">
        <f>IF($B295&lt;&gt;"",_xlfn.IFNA(VLOOKUP($B295,'Node Details'!$B:$U,E$1,0),"Check"),"")</f>
        <v>Airtel</v>
      </c>
      <c r="F295" s="78">
        <v>46113</v>
      </c>
      <c r="G295" s="76"/>
      <c r="H295" s="9" t="s">
        <v>179</v>
      </c>
      <c r="I295" s="9">
        <v>1</v>
      </c>
      <c r="J295" s="9">
        <v>375</v>
      </c>
      <c r="K295" s="79">
        <f t="shared" si="33"/>
        <v>375</v>
      </c>
      <c r="L295" s="78">
        <v>46112</v>
      </c>
      <c r="N295" s="85"/>
      <c r="O295" s="86"/>
      <c r="P295" s="83">
        <f t="shared" si="28"/>
        <v>375</v>
      </c>
      <c r="Q295" s="83">
        <f t="shared" si="29"/>
        <v>375</v>
      </c>
      <c r="R295" s="83"/>
      <c r="S295" s="83"/>
      <c r="T295" s="87"/>
      <c r="U295" s="83">
        <f t="shared" si="30"/>
        <v>375</v>
      </c>
      <c r="V295" s="83">
        <f t="shared" si="31"/>
        <v>1</v>
      </c>
      <c r="W295" s="84">
        <f t="shared" si="32"/>
        <v>375</v>
      </c>
      <c r="X295" s="84" t="s">
        <v>181</v>
      </c>
      <c r="Y295" s="24" t="s">
        <v>176</v>
      </c>
    </row>
    <row r="296" spans="1:25" s="24" customFormat="1" ht="11.1" customHeight="1" x14ac:dyDescent="0.2">
      <c r="A296" s="76">
        <f t="shared" si="34"/>
        <v>294</v>
      </c>
      <c r="B296" s="77" t="s">
        <v>271</v>
      </c>
      <c r="C296" s="76" t="str">
        <f>IF($B296&lt;&gt;"",_xlfn.IFNA(VLOOKUP($B296,'Node Details'!$B:$U,C$1,0),"Check"),"")</f>
        <v>0000AXY06-AXY060201</v>
      </c>
      <c r="D296" s="76" t="str">
        <f>IF($B296&lt;&gt;"",_xlfn.IFNA(VLOOKUP($B296,'Node Details'!$B:$U,D$1,0),"Check"),"")</f>
        <v>AXY</v>
      </c>
      <c r="E296" s="76" t="str">
        <f>IF($B296&lt;&gt;"",_xlfn.IFNA(VLOOKUP($B296,'Node Details'!$B:$U,E$1,0),"Check"),"")</f>
        <v>Airtel</v>
      </c>
      <c r="F296" s="78">
        <v>46113</v>
      </c>
      <c r="G296" s="76"/>
      <c r="H296" s="9" t="s">
        <v>179</v>
      </c>
      <c r="I296" s="9">
        <v>1</v>
      </c>
      <c r="J296" s="9">
        <v>375</v>
      </c>
      <c r="K296" s="79">
        <f t="shared" si="33"/>
        <v>375</v>
      </c>
      <c r="L296" s="78">
        <v>46112</v>
      </c>
      <c r="N296" s="85"/>
      <c r="O296" s="86"/>
      <c r="P296" s="83">
        <f t="shared" si="28"/>
        <v>375</v>
      </c>
      <c r="Q296" s="83">
        <f t="shared" si="29"/>
        <v>375</v>
      </c>
      <c r="R296" s="83"/>
      <c r="S296" s="83"/>
      <c r="T296" s="87"/>
      <c r="U296" s="83">
        <f t="shared" si="30"/>
        <v>375</v>
      </c>
      <c r="V296" s="83">
        <f t="shared" si="31"/>
        <v>1</v>
      </c>
      <c r="W296" s="84">
        <f t="shared" si="32"/>
        <v>375</v>
      </c>
      <c r="X296" s="84" t="s">
        <v>181</v>
      </c>
      <c r="Y296" s="24" t="s">
        <v>176</v>
      </c>
    </row>
    <row r="297" spans="1:25" s="24" customFormat="1" ht="11.1" customHeight="1" x14ac:dyDescent="0.2">
      <c r="A297" s="76">
        <f t="shared" si="34"/>
        <v>295</v>
      </c>
      <c r="B297" s="77" t="s">
        <v>273</v>
      </c>
      <c r="C297" s="76" t="str">
        <f>IF($B297&lt;&gt;"",_xlfn.IFNA(VLOOKUP($B297,'Node Details'!$B:$U,C$1,0),"Check"),"")</f>
        <v>0000AXY07-AXY070101</v>
      </c>
      <c r="D297" s="76" t="str">
        <f>IF($B297&lt;&gt;"",_xlfn.IFNA(VLOOKUP($B297,'Node Details'!$B:$U,D$1,0),"Check"),"")</f>
        <v>AXY</v>
      </c>
      <c r="E297" s="76" t="str">
        <f>IF($B297&lt;&gt;"",_xlfn.IFNA(VLOOKUP($B297,'Node Details'!$B:$U,E$1,0),"Check"),"")</f>
        <v>Airtel</v>
      </c>
      <c r="F297" s="78">
        <v>46113</v>
      </c>
      <c r="G297" s="76"/>
      <c r="H297" s="9" t="s">
        <v>178</v>
      </c>
      <c r="I297" s="9">
        <v>1</v>
      </c>
      <c r="J297" s="9">
        <v>950</v>
      </c>
      <c r="K297" s="79">
        <f t="shared" si="33"/>
        <v>950</v>
      </c>
      <c r="L297" s="78">
        <v>46112</v>
      </c>
      <c r="N297" s="85"/>
      <c r="O297" s="86"/>
      <c r="P297" s="83">
        <f t="shared" si="28"/>
        <v>950</v>
      </c>
      <c r="Q297" s="83">
        <f t="shared" si="29"/>
        <v>950</v>
      </c>
      <c r="R297" s="83"/>
      <c r="S297" s="83"/>
      <c r="T297" s="87"/>
      <c r="U297" s="83">
        <f t="shared" si="30"/>
        <v>950</v>
      </c>
      <c r="V297" s="83">
        <f t="shared" si="31"/>
        <v>1</v>
      </c>
      <c r="W297" s="84">
        <f t="shared" si="32"/>
        <v>950</v>
      </c>
      <c r="X297" s="84" t="s">
        <v>181</v>
      </c>
      <c r="Y297" s="24" t="s">
        <v>176</v>
      </c>
    </row>
    <row r="298" spans="1:25" s="24" customFormat="1" ht="11.1" customHeight="1" x14ac:dyDescent="0.2">
      <c r="A298" s="76">
        <f t="shared" si="34"/>
        <v>296</v>
      </c>
      <c r="B298" s="77" t="s">
        <v>274</v>
      </c>
      <c r="C298" s="76" t="str">
        <f>IF($B298&lt;&gt;"",_xlfn.IFNA(VLOOKUP($B298,'Node Details'!$B:$U,C$1,0),"Check"),"")</f>
        <v>0000AXY07-AXY070102</v>
      </c>
      <c r="D298" s="76" t="str">
        <f>IF($B298&lt;&gt;"",_xlfn.IFNA(VLOOKUP($B298,'Node Details'!$B:$U,D$1,0),"Check"),"")</f>
        <v>AXY</v>
      </c>
      <c r="E298" s="76" t="str">
        <f>IF($B298&lt;&gt;"",_xlfn.IFNA(VLOOKUP($B298,'Node Details'!$B:$U,E$1,0),"Check"),"")</f>
        <v>Airtel</v>
      </c>
      <c r="F298" s="78">
        <v>46113</v>
      </c>
      <c r="G298" s="76"/>
      <c r="H298" s="9" t="s">
        <v>179</v>
      </c>
      <c r="I298" s="9">
        <v>1</v>
      </c>
      <c r="J298" s="9">
        <v>375</v>
      </c>
      <c r="K298" s="79">
        <f t="shared" si="33"/>
        <v>375</v>
      </c>
      <c r="L298" s="78">
        <v>46112</v>
      </c>
      <c r="N298" s="85"/>
      <c r="O298" s="86"/>
      <c r="P298" s="83">
        <f t="shared" si="28"/>
        <v>375</v>
      </c>
      <c r="Q298" s="83">
        <f t="shared" si="29"/>
        <v>375</v>
      </c>
      <c r="R298" s="83"/>
      <c r="S298" s="83"/>
      <c r="T298" s="87"/>
      <c r="U298" s="83">
        <f t="shared" si="30"/>
        <v>375</v>
      </c>
      <c r="V298" s="83">
        <f t="shared" si="31"/>
        <v>1</v>
      </c>
      <c r="W298" s="84">
        <f t="shared" si="32"/>
        <v>375</v>
      </c>
      <c r="X298" s="84" t="s">
        <v>181</v>
      </c>
      <c r="Y298" s="24" t="s">
        <v>176</v>
      </c>
    </row>
    <row r="299" spans="1:25" s="24" customFormat="1" ht="11.1" customHeight="1" x14ac:dyDescent="0.2">
      <c r="A299" s="76">
        <f t="shared" si="34"/>
        <v>297</v>
      </c>
      <c r="B299" s="77" t="s">
        <v>275</v>
      </c>
      <c r="C299" s="76" t="str">
        <f>IF($B299&lt;&gt;"",_xlfn.IFNA(VLOOKUP($B299,'Node Details'!$B:$U,C$1,0),"Check"),"")</f>
        <v>0000AXY07-AXY070105</v>
      </c>
      <c r="D299" s="76" t="str">
        <f>IF($B299&lt;&gt;"",_xlfn.IFNA(VLOOKUP($B299,'Node Details'!$B:$U,D$1,0),"Check"),"")</f>
        <v>AXY</v>
      </c>
      <c r="E299" s="76" t="str">
        <f>IF($B299&lt;&gt;"",_xlfn.IFNA(VLOOKUP($B299,'Node Details'!$B:$U,E$1,0),"Check"),"")</f>
        <v>Airtel</v>
      </c>
      <c r="F299" s="78">
        <v>46113</v>
      </c>
      <c r="G299" s="76"/>
      <c r="H299" s="9" t="s">
        <v>178</v>
      </c>
      <c r="I299" s="9">
        <v>1</v>
      </c>
      <c r="J299" s="9">
        <v>950</v>
      </c>
      <c r="K299" s="79">
        <f t="shared" si="33"/>
        <v>950</v>
      </c>
      <c r="L299" s="78">
        <v>46112</v>
      </c>
      <c r="N299" s="85"/>
      <c r="O299" s="86"/>
      <c r="P299" s="83">
        <f t="shared" si="28"/>
        <v>950</v>
      </c>
      <c r="Q299" s="83">
        <f t="shared" si="29"/>
        <v>950</v>
      </c>
      <c r="R299" s="83"/>
      <c r="S299" s="83"/>
      <c r="T299" s="87"/>
      <c r="U299" s="83">
        <f t="shared" si="30"/>
        <v>950</v>
      </c>
      <c r="V299" s="83">
        <f t="shared" si="31"/>
        <v>1</v>
      </c>
      <c r="W299" s="84">
        <f t="shared" si="32"/>
        <v>950</v>
      </c>
      <c r="X299" s="84" t="s">
        <v>181</v>
      </c>
      <c r="Y299" s="24" t="s">
        <v>176</v>
      </c>
    </row>
    <row r="300" spans="1:25" s="24" customFormat="1" ht="11.1" customHeight="1" x14ac:dyDescent="0.2">
      <c r="A300" s="76">
        <f t="shared" si="34"/>
        <v>298</v>
      </c>
      <c r="B300" s="77" t="s">
        <v>276</v>
      </c>
      <c r="C300" s="76" t="str">
        <f>IF($B300&lt;&gt;"",_xlfn.IFNA(VLOOKUP($B300,'Node Details'!$B:$U,C$1,0),"Check"),"")</f>
        <v>0000AXY07-AXY070105</v>
      </c>
      <c r="D300" s="76" t="str">
        <f>IF($B300&lt;&gt;"",_xlfn.IFNA(VLOOKUP($B300,'Node Details'!$B:$U,D$1,0),"Check"),"")</f>
        <v>AXY</v>
      </c>
      <c r="E300" s="76" t="str">
        <f>IF($B300&lt;&gt;"",_xlfn.IFNA(VLOOKUP($B300,'Node Details'!$B:$U,E$1,0),"Check"),"")</f>
        <v>Airtel</v>
      </c>
      <c r="F300" s="78">
        <v>46113</v>
      </c>
      <c r="G300" s="76"/>
      <c r="H300" s="9" t="s">
        <v>179</v>
      </c>
      <c r="I300" s="9">
        <v>1</v>
      </c>
      <c r="J300" s="9">
        <v>375</v>
      </c>
      <c r="K300" s="79">
        <f t="shared" si="33"/>
        <v>375</v>
      </c>
      <c r="L300" s="78">
        <v>46112</v>
      </c>
      <c r="N300" s="85"/>
      <c r="O300" s="86"/>
      <c r="P300" s="83">
        <f t="shared" si="28"/>
        <v>375</v>
      </c>
      <c r="Q300" s="83">
        <f t="shared" si="29"/>
        <v>375</v>
      </c>
      <c r="R300" s="83"/>
      <c r="S300" s="83"/>
      <c r="T300" s="87"/>
      <c r="U300" s="83">
        <f t="shared" si="30"/>
        <v>375</v>
      </c>
      <c r="V300" s="83">
        <f t="shared" si="31"/>
        <v>1</v>
      </c>
      <c r="W300" s="84">
        <f t="shared" si="32"/>
        <v>375</v>
      </c>
      <c r="X300" s="84" t="s">
        <v>181</v>
      </c>
      <c r="Y300" s="24" t="s">
        <v>176</v>
      </c>
    </row>
    <row r="301" spans="1:25" s="24" customFormat="1" ht="11.1" customHeight="1" x14ac:dyDescent="0.2">
      <c r="A301" s="76">
        <f t="shared" si="34"/>
        <v>299</v>
      </c>
      <c r="B301" s="77" t="s">
        <v>277</v>
      </c>
      <c r="C301" s="76" t="str">
        <f>IF($B301&lt;&gt;"",_xlfn.IFNA(VLOOKUP($B301,'Node Details'!$B:$U,C$1,0),"Check"),"")</f>
        <v>0000AXY07-AXY070105</v>
      </c>
      <c r="D301" s="76" t="str">
        <f>IF($B301&lt;&gt;"",_xlfn.IFNA(VLOOKUP($B301,'Node Details'!$B:$U,D$1,0),"Check"),"")</f>
        <v>AXY</v>
      </c>
      <c r="E301" s="76" t="str">
        <f>IF($B301&lt;&gt;"",_xlfn.IFNA(VLOOKUP($B301,'Node Details'!$B:$U,E$1,0),"Check"),"")</f>
        <v>Airtel</v>
      </c>
      <c r="F301" s="78">
        <v>46113</v>
      </c>
      <c r="G301" s="76"/>
      <c r="H301" s="9" t="s">
        <v>178</v>
      </c>
      <c r="I301" s="9">
        <v>1</v>
      </c>
      <c r="J301" s="9">
        <v>950</v>
      </c>
      <c r="K301" s="79">
        <f t="shared" si="33"/>
        <v>950</v>
      </c>
      <c r="L301" s="78">
        <v>46112</v>
      </c>
      <c r="N301" s="85"/>
      <c r="O301" s="86"/>
      <c r="P301" s="83">
        <f t="shared" si="28"/>
        <v>950</v>
      </c>
      <c r="Q301" s="83">
        <f t="shared" si="29"/>
        <v>950</v>
      </c>
      <c r="R301" s="83"/>
      <c r="S301" s="83"/>
      <c r="T301" s="87"/>
      <c r="U301" s="83">
        <f t="shared" si="30"/>
        <v>950</v>
      </c>
      <c r="V301" s="83">
        <f t="shared" si="31"/>
        <v>1</v>
      </c>
      <c r="W301" s="84">
        <f t="shared" si="32"/>
        <v>950</v>
      </c>
      <c r="X301" s="84" t="s">
        <v>181</v>
      </c>
      <c r="Y301" s="24" t="s">
        <v>176</v>
      </c>
    </row>
    <row r="302" spans="1:25" s="24" customFormat="1" ht="11.1" customHeight="1" x14ac:dyDescent="0.2">
      <c r="A302" s="76">
        <f t="shared" si="34"/>
        <v>300</v>
      </c>
      <c r="B302" s="77" t="s">
        <v>279</v>
      </c>
      <c r="C302" s="76" t="str">
        <f>IF($B302&lt;&gt;"",_xlfn.IFNA(VLOOKUP($B302,'Node Details'!$B:$U,C$1,0),"Check"),"")</f>
        <v>0000AXY08-AXY080104</v>
      </c>
      <c r="D302" s="76" t="str">
        <f>IF($B302&lt;&gt;"",_xlfn.IFNA(VLOOKUP($B302,'Node Details'!$B:$U,D$1,0),"Check"),"")</f>
        <v>AXY</v>
      </c>
      <c r="E302" s="76" t="str">
        <f>IF($B302&lt;&gt;"",_xlfn.IFNA(VLOOKUP($B302,'Node Details'!$B:$U,E$1,0),"Check"),"")</f>
        <v>Airtel</v>
      </c>
      <c r="F302" s="78">
        <v>46113</v>
      </c>
      <c r="G302" s="76"/>
      <c r="H302" s="9" t="s">
        <v>179</v>
      </c>
      <c r="I302" s="9">
        <v>1</v>
      </c>
      <c r="J302" s="9">
        <v>375</v>
      </c>
      <c r="K302" s="79">
        <f t="shared" si="33"/>
        <v>375</v>
      </c>
      <c r="L302" s="78">
        <v>46112</v>
      </c>
      <c r="N302" s="85"/>
      <c r="O302" s="86"/>
      <c r="P302" s="83">
        <f t="shared" si="28"/>
        <v>375</v>
      </c>
      <c r="Q302" s="83">
        <f t="shared" si="29"/>
        <v>375</v>
      </c>
      <c r="R302" s="83"/>
      <c r="S302" s="83"/>
      <c r="T302" s="87"/>
      <c r="U302" s="83">
        <f t="shared" si="30"/>
        <v>375</v>
      </c>
      <c r="V302" s="83">
        <f t="shared" si="31"/>
        <v>1</v>
      </c>
      <c r="W302" s="84">
        <f t="shared" si="32"/>
        <v>375</v>
      </c>
      <c r="X302" s="84" t="s">
        <v>181</v>
      </c>
      <c r="Y302" s="24" t="s">
        <v>176</v>
      </c>
    </row>
    <row r="303" spans="1:25" s="24" customFormat="1" ht="11.1" customHeight="1" x14ac:dyDescent="0.2">
      <c r="A303" s="76">
        <f t="shared" si="34"/>
        <v>301</v>
      </c>
      <c r="B303" s="77" t="s">
        <v>280</v>
      </c>
      <c r="C303" s="76" t="str">
        <f>IF($B303&lt;&gt;"",_xlfn.IFNA(VLOOKUP($B303,'Node Details'!$B:$U,C$1,0),"Check"),"")</f>
        <v>0000AXY08-AXY080103</v>
      </c>
      <c r="D303" s="76" t="str">
        <f>IF($B303&lt;&gt;"",_xlfn.IFNA(VLOOKUP($B303,'Node Details'!$B:$U,D$1,0),"Check"),"")</f>
        <v>AXY</v>
      </c>
      <c r="E303" s="76" t="str">
        <f>IF($B303&lt;&gt;"",_xlfn.IFNA(VLOOKUP($B303,'Node Details'!$B:$U,E$1,0),"Check"),"")</f>
        <v>Airtel</v>
      </c>
      <c r="F303" s="78">
        <v>46113</v>
      </c>
      <c r="G303" s="76"/>
      <c r="H303" s="9" t="s">
        <v>179</v>
      </c>
      <c r="I303" s="9">
        <v>1</v>
      </c>
      <c r="J303" s="9">
        <v>375</v>
      </c>
      <c r="K303" s="79">
        <f t="shared" si="33"/>
        <v>375</v>
      </c>
      <c r="L303" s="78">
        <v>46112</v>
      </c>
      <c r="N303" s="85"/>
      <c r="O303" s="86"/>
      <c r="P303" s="83">
        <f t="shared" ref="P303:P366" si="35">J303</f>
        <v>375</v>
      </c>
      <c r="Q303" s="83">
        <f t="shared" ref="Q303:Q366" si="36">P303*I303</f>
        <v>375</v>
      </c>
      <c r="R303" s="83"/>
      <c r="S303" s="83"/>
      <c r="T303" s="87"/>
      <c r="U303" s="83">
        <f t="shared" ref="U303:U366" si="37">J303</f>
        <v>375</v>
      </c>
      <c r="V303" s="83">
        <f t="shared" ref="V303:V366" si="38">I303</f>
        <v>1</v>
      </c>
      <c r="W303" s="84">
        <f t="shared" ref="W303:W366" si="39">IF(V303&lt;&gt;"",V303*U303,0)</f>
        <v>375</v>
      </c>
      <c r="X303" s="84" t="s">
        <v>181</v>
      </c>
      <c r="Y303" s="24" t="s">
        <v>176</v>
      </c>
    </row>
    <row r="304" spans="1:25" s="24" customFormat="1" ht="11.1" customHeight="1" x14ac:dyDescent="0.2">
      <c r="A304" s="76">
        <f t="shared" si="34"/>
        <v>302</v>
      </c>
      <c r="B304" s="77" t="s">
        <v>281</v>
      </c>
      <c r="C304" s="76" t="str">
        <f>IF($B304&lt;&gt;"",_xlfn.IFNA(VLOOKUP($B304,'Node Details'!$B:$U,C$1,0),"Check"),"")</f>
        <v>0000AXY08-AXY080103</v>
      </c>
      <c r="D304" s="76" t="str">
        <f>IF($B304&lt;&gt;"",_xlfn.IFNA(VLOOKUP($B304,'Node Details'!$B:$U,D$1,0),"Check"),"")</f>
        <v>AXY</v>
      </c>
      <c r="E304" s="76" t="str">
        <f>IF($B304&lt;&gt;"",_xlfn.IFNA(VLOOKUP($B304,'Node Details'!$B:$U,E$1,0),"Check"),"")</f>
        <v>Airtel</v>
      </c>
      <c r="F304" s="78">
        <v>46113</v>
      </c>
      <c r="G304" s="76"/>
      <c r="H304" s="9" t="s">
        <v>179</v>
      </c>
      <c r="I304" s="9">
        <v>1</v>
      </c>
      <c r="J304" s="9">
        <v>375</v>
      </c>
      <c r="K304" s="79">
        <f t="shared" ref="K304:K367" si="40">IF(I304&lt;&gt;"",J304*I304,0)</f>
        <v>375</v>
      </c>
      <c r="L304" s="78">
        <v>46112</v>
      </c>
      <c r="N304" s="85"/>
      <c r="O304" s="86"/>
      <c r="P304" s="83">
        <f t="shared" si="35"/>
        <v>375</v>
      </c>
      <c r="Q304" s="83">
        <f t="shared" si="36"/>
        <v>375</v>
      </c>
      <c r="R304" s="83"/>
      <c r="S304" s="83"/>
      <c r="T304" s="87"/>
      <c r="U304" s="83">
        <f t="shared" si="37"/>
        <v>375</v>
      </c>
      <c r="V304" s="83">
        <f t="shared" si="38"/>
        <v>1</v>
      </c>
      <c r="W304" s="84">
        <f t="shared" si="39"/>
        <v>375</v>
      </c>
      <c r="X304" s="84" t="s">
        <v>181</v>
      </c>
      <c r="Y304" s="24" t="s">
        <v>176</v>
      </c>
    </row>
    <row r="305" spans="1:25" s="24" customFormat="1" ht="11.1" customHeight="1" x14ac:dyDescent="0.2">
      <c r="A305" s="76">
        <f t="shared" si="34"/>
        <v>303</v>
      </c>
      <c r="B305" s="77" t="s">
        <v>282</v>
      </c>
      <c r="C305" s="76" t="str">
        <f>IF($B305&lt;&gt;"",_xlfn.IFNA(VLOOKUP($B305,'Node Details'!$B:$U,C$1,0),"Check"),"")</f>
        <v>0000AXY08-AXY080103</v>
      </c>
      <c r="D305" s="76" t="str">
        <f>IF($B305&lt;&gt;"",_xlfn.IFNA(VLOOKUP($B305,'Node Details'!$B:$U,D$1,0),"Check"),"")</f>
        <v>AXY</v>
      </c>
      <c r="E305" s="76" t="str">
        <f>IF($B305&lt;&gt;"",_xlfn.IFNA(VLOOKUP($B305,'Node Details'!$B:$U,E$1,0),"Check"),"")</f>
        <v>Airtel</v>
      </c>
      <c r="F305" s="78">
        <v>46113</v>
      </c>
      <c r="G305" s="76"/>
      <c r="H305" s="9" t="s">
        <v>178</v>
      </c>
      <c r="I305" s="9">
        <v>1</v>
      </c>
      <c r="J305" s="9">
        <v>950</v>
      </c>
      <c r="K305" s="79">
        <f t="shared" si="40"/>
        <v>950</v>
      </c>
      <c r="L305" s="78">
        <v>46112</v>
      </c>
      <c r="N305" s="85"/>
      <c r="O305" s="86"/>
      <c r="P305" s="83">
        <f t="shared" si="35"/>
        <v>950</v>
      </c>
      <c r="Q305" s="83">
        <f t="shared" si="36"/>
        <v>950</v>
      </c>
      <c r="R305" s="83"/>
      <c r="S305" s="83"/>
      <c r="T305" s="87"/>
      <c r="U305" s="83">
        <f t="shared" si="37"/>
        <v>950</v>
      </c>
      <c r="V305" s="83">
        <f t="shared" si="38"/>
        <v>1</v>
      </c>
      <c r="W305" s="84">
        <f t="shared" si="39"/>
        <v>950</v>
      </c>
      <c r="X305" s="84" t="s">
        <v>181</v>
      </c>
      <c r="Y305" s="24" t="s">
        <v>176</v>
      </c>
    </row>
    <row r="306" spans="1:25" s="24" customFormat="1" ht="11.1" customHeight="1" x14ac:dyDescent="0.2">
      <c r="A306" s="76">
        <f t="shared" si="34"/>
        <v>304</v>
      </c>
      <c r="B306" s="77" t="s">
        <v>283</v>
      </c>
      <c r="C306" s="76" t="str">
        <f>IF($B306&lt;&gt;"",_xlfn.IFNA(VLOOKUP($B306,'Node Details'!$B:$U,C$1,0),"Check"),"")</f>
        <v>0000AXY08-AXY080105</v>
      </c>
      <c r="D306" s="76" t="str">
        <f>IF($B306&lt;&gt;"",_xlfn.IFNA(VLOOKUP($B306,'Node Details'!$B:$U,D$1,0),"Check"),"")</f>
        <v>AXY</v>
      </c>
      <c r="E306" s="76" t="str">
        <f>IF($B306&lt;&gt;"",_xlfn.IFNA(VLOOKUP($B306,'Node Details'!$B:$U,E$1,0),"Check"),"")</f>
        <v>Airtel</v>
      </c>
      <c r="F306" s="78">
        <v>46113</v>
      </c>
      <c r="G306" s="76"/>
      <c r="H306" s="9" t="s">
        <v>179</v>
      </c>
      <c r="I306" s="9">
        <v>1</v>
      </c>
      <c r="J306" s="9">
        <v>375</v>
      </c>
      <c r="K306" s="79">
        <f t="shared" si="40"/>
        <v>375</v>
      </c>
      <c r="L306" s="78">
        <v>46112</v>
      </c>
      <c r="N306" s="85"/>
      <c r="O306" s="86"/>
      <c r="P306" s="83">
        <f t="shared" si="35"/>
        <v>375</v>
      </c>
      <c r="Q306" s="83">
        <f t="shared" si="36"/>
        <v>375</v>
      </c>
      <c r="R306" s="83"/>
      <c r="S306" s="83"/>
      <c r="T306" s="87"/>
      <c r="U306" s="83">
        <f t="shared" si="37"/>
        <v>375</v>
      </c>
      <c r="V306" s="83">
        <f t="shared" si="38"/>
        <v>1</v>
      </c>
      <c r="W306" s="84">
        <f t="shared" si="39"/>
        <v>375</v>
      </c>
      <c r="X306" s="84" t="s">
        <v>181</v>
      </c>
      <c r="Y306" s="24" t="s">
        <v>176</v>
      </c>
    </row>
    <row r="307" spans="1:25" s="24" customFormat="1" ht="11.1" customHeight="1" x14ac:dyDescent="0.2">
      <c r="A307" s="76">
        <f t="shared" si="34"/>
        <v>305</v>
      </c>
      <c r="B307" s="77" t="s">
        <v>284</v>
      </c>
      <c r="C307" s="76" t="str">
        <f>IF($B307&lt;&gt;"",_xlfn.IFNA(VLOOKUP($B307,'Node Details'!$B:$U,C$1,0),"Check"),"")</f>
        <v>0000AXY08-AXY080106</v>
      </c>
      <c r="D307" s="76" t="str">
        <f>IF($B307&lt;&gt;"",_xlfn.IFNA(VLOOKUP($B307,'Node Details'!$B:$U,D$1,0),"Check"),"")</f>
        <v>AXY</v>
      </c>
      <c r="E307" s="76" t="str">
        <f>IF($B307&lt;&gt;"",_xlfn.IFNA(VLOOKUP($B307,'Node Details'!$B:$U,E$1,0),"Check"),"")</f>
        <v>Airtel</v>
      </c>
      <c r="F307" s="78">
        <v>46113</v>
      </c>
      <c r="G307" s="76"/>
      <c r="H307" s="9" t="s">
        <v>179</v>
      </c>
      <c r="I307" s="9">
        <v>1</v>
      </c>
      <c r="J307" s="9">
        <v>375</v>
      </c>
      <c r="K307" s="79">
        <f t="shared" si="40"/>
        <v>375</v>
      </c>
      <c r="L307" s="78">
        <v>46112</v>
      </c>
      <c r="N307" s="85"/>
      <c r="O307" s="86"/>
      <c r="P307" s="83">
        <f t="shared" si="35"/>
        <v>375</v>
      </c>
      <c r="Q307" s="83">
        <f t="shared" si="36"/>
        <v>375</v>
      </c>
      <c r="R307" s="83"/>
      <c r="S307" s="83"/>
      <c r="T307" s="87"/>
      <c r="U307" s="83">
        <f t="shared" si="37"/>
        <v>375</v>
      </c>
      <c r="V307" s="83">
        <f t="shared" si="38"/>
        <v>1</v>
      </c>
      <c r="W307" s="84">
        <f t="shared" si="39"/>
        <v>375</v>
      </c>
      <c r="X307" s="84" t="s">
        <v>181</v>
      </c>
      <c r="Y307" s="24" t="s">
        <v>176</v>
      </c>
    </row>
    <row r="308" spans="1:25" s="24" customFormat="1" ht="11.1" customHeight="1" x14ac:dyDescent="0.2">
      <c r="A308" s="76">
        <f t="shared" si="34"/>
        <v>306</v>
      </c>
      <c r="B308" s="77" t="s">
        <v>285</v>
      </c>
      <c r="C308" s="76" t="str">
        <f>IF($B308&lt;&gt;"",_xlfn.IFNA(VLOOKUP($B308,'Node Details'!$B:$U,C$1,0),"Check"),"")</f>
        <v>AXY080106-AXY080203</v>
      </c>
      <c r="D308" s="76" t="str">
        <f>IF($B308&lt;&gt;"",_xlfn.IFNA(VLOOKUP($B308,'Node Details'!$B:$U,D$1,0),"Check"),"")</f>
        <v>AXY</v>
      </c>
      <c r="E308" s="76" t="str">
        <f>IF($B308&lt;&gt;"",_xlfn.IFNA(VLOOKUP($B308,'Node Details'!$B:$U,E$1,0),"Check"),"")</f>
        <v>Airtel</v>
      </c>
      <c r="F308" s="78">
        <v>46113</v>
      </c>
      <c r="G308" s="76"/>
      <c r="H308" s="9" t="s">
        <v>179</v>
      </c>
      <c r="I308" s="9">
        <v>1</v>
      </c>
      <c r="J308" s="9">
        <v>375</v>
      </c>
      <c r="K308" s="79">
        <f t="shared" si="40"/>
        <v>375</v>
      </c>
      <c r="L308" s="78">
        <v>46112</v>
      </c>
      <c r="N308" s="85"/>
      <c r="O308" s="86"/>
      <c r="P308" s="83">
        <f t="shared" si="35"/>
        <v>375</v>
      </c>
      <c r="Q308" s="83">
        <f t="shared" si="36"/>
        <v>375</v>
      </c>
      <c r="R308" s="83"/>
      <c r="S308" s="83"/>
      <c r="T308" s="87"/>
      <c r="U308" s="83">
        <f t="shared" si="37"/>
        <v>375</v>
      </c>
      <c r="V308" s="83">
        <f t="shared" si="38"/>
        <v>1</v>
      </c>
      <c r="W308" s="84">
        <f t="shared" si="39"/>
        <v>375</v>
      </c>
      <c r="X308" s="84" t="s">
        <v>181</v>
      </c>
      <c r="Y308" s="24" t="s">
        <v>176</v>
      </c>
    </row>
    <row r="309" spans="1:25" s="24" customFormat="1" ht="11.1" customHeight="1" x14ac:dyDescent="0.2">
      <c r="A309" s="76">
        <f t="shared" si="34"/>
        <v>307</v>
      </c>
      <c r="B309" s="77" t="s">
        <v>286</v>
      </c>
      <c r="C309" s="76" t="str">
        <f>IF($B309&lt;&gt;"",_xlfn.IFNA(VLOOKUP($B309,'Node Details'!$B:$U,C$1,0),"Check"),"")</f>
        <v>AXY080106-AXY080203</v>
      </c>
      <c r="D309" s="76" t="str">
        <f>IF($B309&lt;&gt;"",_xlfn.IFNA(VLOOKUP($B309,'Node Details'!$B:$U,D$1,0),"Check"),"")</f>
        <v>AXY</v>
      </c>
      <c r="E309" s="76" t="str">
        <f>IF($B309&lt;&gt;"",_xlfn.IFNA(VLOOKUP($B309,'Node Details'!$B:$U,E$1,0),"Check"),"")</f>
        <v>Airtel</v>
      </c>
      <c r="F309" s="78">
        <v>46113</v>
      </c>
      <c r="G309" s="76"/>
      <c r="H309" s="9" t="s">
        <v>179</v>
      </c>
      <c r="I309" s="9">
        <v>1</v>
      </c>
      <c r="J309" s="9">
        <v>375</v>
      </c>
      <c r="K309" s="79">
        <f t="shared" si="40"/>
        <v>375</v>
      </c>
      <c r="L309" s="78">
        <v>46112</v>
      </c>
      <c r="N309" s="85"/>
      <c r="O309" s="86"/>
      <c r="P309" s="83">
        <f t="shared" si="35"/>
        <v>375</v>
      </c>
      <c r="Q309" s="83">
        <f t="shared" si="36"/>
        <v>375</v>
      </c>
      <c r="R309" s="83"/>
      <c r="S309" s="83"/>
      <c r="T309" s="87"/>
      <c r="U309" s="83">
        <f t="shared" si="37"/>
        <v>375</v>
      </c>
      <c r="V309" s="83">
        <f t="shared" si="38"/>
        <v>1</v>
      </c>
      <c r="W309" s="84">
        <f t="shared" si="39"/>
        <v>375</v>
      </c>
      <c r="X309" s="84" t="s">
        <v>181</v>
      </c>
      <c r="Y309" s="24" t="s">
        <v>176</v>
      </c>
    </row>
    <row r="310" spans="1:25" s="24" customFormat="1" ht="11.1" customHeight="1" x14ac:dyDescent="0.2">
      <c r="A310" s="76">
        <f t="shared" si="34"/>
        <v>308</v>
      </c>
      <c r="B310" s="77" t="s">
        <v>287</v>
      </c>
      <c r="C310" s="76" t="str">
        <f>IF($B310&lt;&gt;"",_xlfn.IFNA(VLOOKUP($B310,'Node Details'!$B:$U,C$1,0),"Check"),"")</f>
        <v>AXY080106-AXY080201</v>
      </c>
      <c r="D310" s="76" t="str">
        <f>IF($B310&lt;&gt;"",_xlfn.IFNA(VLOOKUP($B310,'Node Details'!$B:$U,D$1,0),"Check"),"")</f>
        <v>AXY</v>
      </c>
      <c r="E310" s="76" t="str">
        <f>IF($B310&lt;&gt;"",_xlfn.IFNA(VLOOKUP($B310,'Node Details'!$B:$U,E$1,0),"Check"),"")</f>
        <v>Airtel</v>
      </c>
      <c r="F310" s="78">
        <v>46113</v>
      </c>
      <c r="G310" s="76"/>
      <c r="H310" s="9" t="s">
        <v>178</v>
      </c>
      <c r="I310" s="9">
        <v>1</v>
      </c>
      <c r="J310" s="9">
        <v>950</v>
      </c>
      <c r="K310" s="79">
        <f t="shared" si="40"/>
        <v>950</v>
      </c>
      <c r="L310" s="78">
        <v>46112</v>
      </c>
      <c r="N310" s="85"/>
      <c r="O310" s="86"/>
      <c r="P310" s="83">
        <f t="shared" si="35"/>
        <v>950</v>
      </c>
      <c r="Q310" s="83">
        <f t="shared" si="36"/>
        <v>950</v>
      </c>
      <c r="R310" s="83"/>
      <c r="S310" s="83"/>
      <c r="T310" s="87"/>
      <c r="U310" s="83">
        <f t="shared" si="37"/>
        <v>950</v>
      </c>
      <c r="V310" s="83">
        <f t="shared" si="38"/>
        <v>1</v>
      </c>
      <c r="W310" s="84">
        <f t="shared" si="39"/>
        <v>950</v>
      </c>
      <c r="X310" s="84" t="s">
        <v>181</v>
      </c>
      <c r="Y310" s="24" t="s">
        <v>176</v>
      </c>
    </row>
    <row r="311" spans="1:25" s="24" customFormat="1" ht="11.1" customHeight="1" x14ac:dyDescent="0.2">
      <c r="A311" s="76">
        <f t="shared" si="34"/>
        <v>309</v>
      </c>
      <c r="B311" s="77" t="s">
        <v>288</v>
      </c>
      <c r="C311" s="76" t="str">
        <f>IF($B311&lt;&gt;"",_xlfn.IFNA(VLOOKUP($B311,'Node Details'!$B:$U,C$1,0),"Check"),"")</f>
        <v>AXY080106-AXY080201</v>
      </c>
      <c r="D311" s="76" t="str">
        <f>IF($B311&lt;&gt;"",_xlfn.IFNA(VLOOKUP($B311,'Node Details'!$B:$U,D$1,0),"Check"),"")</f>
        <v>AXY</v>
      </c>
      <c r="E311" s="76" t="str">
        <f>IF($B311&lt;&gt;"",_xlfn.IFNA(VLOOKUP($B311,'Node Details'!$B:$U,E$1,0),"Check"),"")</f>
        <v>Airtel</v>
      </c>
      <c r="F311" s="78">
        <v>46113</v>
      </c>
      <c r="G311" s="76"/>
      <c r="H311" s="9" t="s">
        <v>179</v>
      </c>
      <c r="I311" s="9">
        <v>1</v>
      </c>
      <c r="J311" s="9">
        <v>375</v>
      </c>
      <c r="K311" s="79">
        <f t="shared" si="40"/>
        <v>375</v>
      </c>
      <c r="L311" s="78">
        <v>46112</v>
      </c>
      <c r="N311" s="85"/>
      <c r="O311" s="86"/>
      <c r="P311" s="83">
        <f t="shared" si="35"/>
        <v>375</v>
      </c>
      <c r="Q311" s="83">
        <f t="shared" si="36"/>
        <v>375</v>
      </c>
      <c r="R311" s="83"/>
      <c r="S311" s="83"/>
      <c r="T311" s="87"/>
      <c r="U311" s="83">
        <f t="shared" si="37"/>
        <v>375</v>
      </c>
      <c r="V311" s="83">
        <f t="shared" si="38"/>
        <v>1</v>
      </c>
      <c r="W311" s="84">
        <f t="shared" si="39"/>
        <v>375</v>
      </c>
      <c r="X311" s="84" t="s">
        <v>181</v>
      </c>
      <c r="Y311" s="24" t="s">
        <v>176</v>
      </c>
    </row>
    <row r="312" spans="1:25" s="24" customFormat="1" ht="11.1" customHeight="1" x14ac:dyDescent="0.2">
      <c r="A312" s="76">
        <f t="shared" si="34"/>
        <v>310</v>
      </c>
      <c r="B312" s="77" t="s">
        <v>290</v>
      </c>
      <c r="C312" s="76" t="str">
        <f>IF($B312&lt;&gt;"",_xlfn.IFNA(VLOOKUP($B312,'Node Details'!$B:$U,C$1,0),"Check"),"")</f>
        <v>0000AXY09-AXY090101</v>
      </c>
      <c r="D312" s="76" t="str">
        <f>IF($B312&lt;&gt;"",_xlfn.IFNA(VLOOKUP($B312,'Node Details'!$B:$U,D$1,0),"Check"),"")</f>
        <v>AXY</v>
      </c>
      <c r="E312" s="76" t="str">
        <f>IF($B312&lt;&gt;"",_xlfn.IFNA(VLOOKUP($B312,'Node Details'!$B:$U,E$1,0),"Check"),"")</f>
        <v>Airtel</v>
      </c>
      <c r="F312" s="78">
        <v>46113</v>
      </c>
      <c r="G312" s="76"/>
      <c r="H312" s="9" t="s">
        <v>179</v>
      </c>
      <c r="I312" s="9">
        <v>1</v>
      </c>
      <c r="J312" s="9">
        <v>375</v>
      </c>
      <c r="K312" s="79">
        <f t="shared" si="40"/>
        <v>375</v>
      </c>
      <c r="L312" s="78">
        <v>46112</v>
      </c>
      <c r="N312" s="85"/>
      <c r="O312" s="86"/>
      <c r="P312" s="83">
        <f t="shared" si="35"/>
        <v>375</v>
      </c>
      <c r="Q312" s="83">
        <f t="shared" si="36"/>
        <v>375</v>
      </c>
      <c r="R312" s="83"/>
      <c r="S312" s="83"/>
      <c r="T312" s="87"/>
      <c r="U312" s="83">
        <f t="shared" si="37"/>
        <v>375</v>
      </c>
      <c r="V312" s="83">
        <f t="shared" si="38"/>
        <v>1</v>
      </c>
      <c r="W312" s="84">
        <f t="shared" si="39"/>
        <v>375</v>
      </c>
      <c r="X312" s="84" t="s">
        <v>181</v>
      </c>
      <c r="Y312" s="24" t="s">
        <v>176</v>
      </c>
    </row>
    <row r="313" spans="1:25" s="24" customFormat="1" ht="11.1" customHeight="1" x14ac:dyDescent="0.2">
      <c r="A313" s="76">
        <f t="shared" si="34"/>
        <v>311</v>
      </c>
      <c r="B313" s="77" t="s">
        <v>291</v>
      </c>
      <c r="C313" s="76" t="str">
        <f>IF($B313&lt;&gt;"",_xlfn.IFNA(VLOOKUP($B313,'Node Details'!$B:$U,C$1,0),"Check"),"")</f>
        <v>0000AXY09-AXY090105</v>
      </c>
      <c r="D313" s="76" t="str">
        <f>IF($B313&lt;&gt;"",_xlfn.IFNA(VLOOKUP($B313,'Node Details'!$B:$U,D$1,0),"Check"),"")</f>
        <v>AXY</v>
      </c>
      <c r="E313" s="76" t="str">
        <f>IF($B313&lt;&gt;"",_xlfn.IFNA(VLOOKUP($B313,'Node Details'!$B:$U,E$1,0),"Check"),"")</f>
        <v>Airtel</v>
      </c>
      <c r="F313" s="78">
        <v>46113</v>
      </c>
      <c r="G313" s="76"/>
      <c r="H313" s="9" t="s">
        <v>179</v>
      </c>
      <c r="I313" s="9">
        <v>1</v>
      </c>
      <c r="J313" s="9">
        <v>375</v>
      </c>
      <c r="K313" s="79">
        <f t="shared" si="40"/>
        <v>375</v>
      </c>
      <c r="L313" s="78">
        <v>46112</v>
      </c>
      <c r="N313" s="85"/>
      <c r="O313" s="86"/>
      <c r="P313" s="83">
        <f t="shared" si="35"/>
        <v>375</v>
      </c>
      <c r="Q313" s="83">
        <f t="shared" si="36"/>
        <v>375</v>
      </c>
      <c r="R313" s="83"/>
      <c r="S313" s="83"/>
      <c r="T313" s="87"/>
      <c r="U313" s="83">
        <f t="shared" si="37"/>
        <v>375</v>
      </c>
      <c r="V313" s="83">
        <f t="shared" si="38"/>
        <v>1</v>
      </c>
      <c r="W313" s="84">
        <f t="shared" si="39"/>
        <v>375</v>
      </c>
      <c r="X313" s="84" t="s">
        <v>181</v>
      </c>
      <c r="Y313" s="24" t="s">
        <v>176</v>
      </c>
    </row>
    <row r="314" spans="1:25" s="24" customFormat="1" ht="11.1" customHeight="1" x14ac:dyDescent="0.2">
      <c r="A314" s="76">
        <f t="shared" si="34"/>
        <v>312</v>
      </c>
      <c r="B314" s="77" t="s">
        <v>292</v>
      </c>
      <c r="C314" s="76" t="str">
        <f>IF($B314&lt;&gt;"",_xlfn.IFNA(VLOOKUP($B314,'Node Details'!$B:$U,C$1,0),"Check"),"")</f>
        <v>0000AXY09-AXY090105</v>
      </c>
      <c r="D314" s="76" t="str">
        <f>IF($B314&lt;&gt;"",_xlfn.IFNA(VLOOKUP($B314,'Node Details'!$B:$U,D$1,0),"Check"),"")</f>
        <v>AXY</v>
      </c>
      <c r="E314" s="76" t="str">
        <f>IF($B314&lt;&gt;"",_xlfn.IFNA(VLOOKUP($B314,'Node Details'!$B:$U,E$1,0),"Check"),"")</f>
        <v>Airtel</v>
      </c>
      <c r="F314" s="78">
        <v>46113</v>
      </c>
      <c r="G314" s="76"/>
      <c r="H314" s="9" t="s">
        <v>179</v>
      </c>
      <c r="I314" s="9">
        <v>1</v>
      </c>
      <c r="J314" s="9">
        <v>375</v>
      </c>
      <c r="K314" s="79">
        <f t="shared" si="40"/>
        <v>375</v>
      </c>
      <c r="L314" s="78">
        <v>46112</v>
      </c>
      <c r="N314" s="85"/>
      <c r="O314" s="86"/>
      <c r="P314" s="83">
        <f t="shared" si="35"/>
        <v>375</v>
      </c>
      <c r="Q314" s="83">
        <f t="shared" si="36"/>
        <v>375</v>
      </c>
      <c r="R314" s="83"/>
      <c r="S314" s="83"/>
      <c r="T314" s="87"/>
      <c r="U314" s="83">
        <f t="shared" si="37"/>
        <v>375</v>
      </c>
      <c r="V314" s="83">
        <f t="shared" si="38"/>
        <v>1</v>
      </c>
      <c r="W314" s="84">
        <f t="shared" si="39"/>
        <v>375</v>
      </c>
      <c r="X314" s="84" t="s">
        <v>181</v>
      </c>
      <c r="Y314" s="24" t="s">
        <v>176</v>
      </c>
    </row>
    <row r="315" spans="1:25" s="24" customFormat="1" ht="11.1" customHeight="1" x14ac:dyDescent="0.2">
      <c r="A315" s="76">
        <f t="shared" si="34"/>
        <v>313</v>
      </c>
      <c r="B315" s="77" t="s">
        <v>293</v>
      </c>
      <c r="C315" s="76" t="str">
        <f>IF($B315&lt;&gt;"",_xlfn.IFNA(VLOOKUP($B315,'Node Details'!$B:$U,C$1,0),"Check"),"")</f>
        <v>0000AXY09-AXY090105</v>
      </c>
      <c r="D315" s="76" t="str">
        <f>IF($B315&lt;&gt;"",_xlfn.IFNA(VLOOKUP($B315,'Node Details'!$B:$U,D$1,0),"Check"),"")</f>
        <v>AXY</v>
      </c>
      <c r="E315" s="76" t="str">
        <f>IF($B315&lt;&gt;"",_xlfn.IFNA(VLOOKUP($B315,'Node Details'!$B:$U,E$1,0),"Check"),"")</f>
        <v>Airtel</v>
      </c>
      <c r="F315" s="78">
        <v>46113</v>
      </c>
      <c r="G315" s="76"/>
      <c r="H315" s="9" t="s">
        <v>179</v>
      </c>
      <c r="I315" s="9">
        <v>1</v>
      </c>
      <c r="J315" s="9">
        <v>375</v>
      </c>
      <c r="K315" s="79">
        <f t="shared" si="40"/>
        <v>375</v>
      </c>
      <c r="L315" s="78">
        <v>46112</v>
      </c>
      <c r="N315" s="85"/>
      <c r="O315" s="86"/>
      <c r="P315" s="83">
        <f t="shared" si="35"/>
        <v>375</v>
      </c>
      <c r="Q315" s="83">
        <f t="shared" si="36"/>
        <v>375</v>
      </c>
      <c r="R315" s="83"/>
      <c r="S315" s="83"/>
      <c r="T315" s="87"/>
      <c r="U315" s="83">
        <f t="shared" si="37"/>
        <v>375</v>
      </c>
      <c r="V315" s="83">
        <f t="shared" si="38"/>
        <v>1</v>
      </c>
      <c r="W315" s="84">
        <f t="shared" si="39"/>
        <v>375</v>
      </c>
      <c r="X315" s="84" t="s">
        <v>181</v>
      </c>
      <c r="Y315" s="24" t="s">
        <v>176</v>
      </c>
    </row>
    <row r="316" spans="1:25" s="24" customFormat="1" ht="11.1" customHeight="1" x14ac:dyDescent="0.2">
      <c r="A316" s="76">
        <f t="shared" si="34"/>
        <v>314</v>
      </c>
      <c r="B316" s="77" t="s">
        <v>294</v>
      </c>
      <c r="C316" s="76" t="str">
        <f>IF($B316&lt;&gt;"",_xlfn.IFNA(VLOOKUP($B316,'Node Details'!$B:$U,C$1,0),"Check"),"")</f>
        <v>0000AXY09-AXY090201</v>
      </c>
      <c r="D316" s="76" t="str">
        <f>IF($B316&lt;&gt;"",_xlfn.IFNA(VLOOKUP($B316,'Node Details'!$B:$U,D$1,0),"Check"),"")</f>
        <v>AXY</v>
      </c>
      <c r="E316" s="76" t="str">
        <f>IF($B316&lt;&gt;"",_xlfn.IFNA(VLOOKUP($B316,'Node Details'!$B:$U,E$1,0),"Check"),"")</f>
        <v>Airtel</v>
      </c>
      <c r="F316" s="78">
        <v>46113</v>
      </c>
      <c r="G316" s="76"/>
      <c r="H316" s="9" t="s">
        <v>179</v>
      </c>
      <c r="I316" s="9">
        <v>1</v>
      </c>
      <c r="J316" s="9">
        <v>375</v>
      </c>
      <c r="K316" s="79">
        <f t="shared" si="40"/>
        <v>375</v>
      </c>
      <c r="L316" s="78">
        <v>46112</v>
      </c>
      <c r="N316" s="85"/>
      <c r="O316" s="86"/>
      <c r="P316" s="83">
        <f t="shared" si="35"/>
        <v>375</v>
      </c>
      <c r="Q316" s="83">
        <f t="shared" si="36"/>
        <v>375</v>
      </c>
      <c r="R316" s="83"/>
      <c r="S316" s="83"/>
      <c r="T316" s="87"/>
      <c r="U316" s="83">
        <f t="shared" si="37"/>
        <v>375</v>
      </c>
      <c r="V316" s="83">
        <f t="shared" si="38"/>
        <v>1</v>
      </c>
      <c r="W316" s="84">
        <f t="shared" si="39"/>
        <v>375</v>
      </c>
      <c r="X316" s="84" t="s">
        <v>181</v>
      </c>
      <c r="Y316" s="24" t="s">
        <v>176</v>
      </c>
    </row>
    <row r="317" spans="1:25" s="24" customFormat="1" ht="11.1" customHeight="1" x14ac:dyDescent="0.2">
      <c r="A317" s="76">
        <f t="shared" si="34"/>
        <v>315</v>
      </c>
      <c r="B317" s="77" t="s">
        <v>295</v>
      </c>
      <c r="C317" s="76" t="str">
        <f>IF($B317&lt;&gt;"",_xlfn.IFNA(VLOOKUP($B317,'Node Details'!$B:$U,C$1,0),"Check"),"")</f>
        <v>0000AXY09-AXY090201</v>
      </c>
      <c r="D317" s="76" t="str">
        <f>IF($B317&lt;&gt;"",_xlfn.IFNA(VLOOKUP($B317,'Node Details'!$B:$U,D$1,0),"Check"),"")</f>
        <v>AXY</v>
      </c>
      <c r="E317" s="76" t="str">
        <f>IF($B317&lt;&gt;"",_xlfn.IFNA(VLOOKUP($B317,'Node Details'!$B:$U,E$1,0),"Check"),"")</f>
        <v>Airtel</v>
      </c>
      <c r="F317" s="78">
        <v>46113</v>
      </c>
      <c r="G317" s="76"/>
      <c r="H317" s="9" t="s">
        <v>179</v>
      </c>
      <c r="I317" s="9">
        <v>1</v>
      </c>
      <c r="J317" s="9">
        <v>375</v>
      </c>
      <c r="K317" s="79">
        <f t="shared" si="40"/>
        <v>375</v>
      </c>
      <c r="L317" s="78">
        <v>46112</v>
      </c>
      <c r="N317" s="85"/>
      <c r="O317" s="86"/>
      <c r="P317" s="83">
        <f t="shared" si="35"/>
        <v>375</v>
      </c>
      <c r="Q317" s="83">
        <f t="shared" si="36"/>
        <v>375</v>
      </c>
      <c r="R317" s="83"/>
      <c r="S317" s="83"/>
      <c r="T317" s="87"/>
      <c r="U317" s="83">
        <f t="shared" si="37"/>
        <v>375</v>
      </c>
      <c r="V317" s="83">
        <f t="shared" si="38"/>
        <v>1</v>
      </c>
      <c r="W317" s="84">
        <f t="shared" si="39"/>
        <v>375</v>
      </c>
      <c r="X317" s="84" t="s">
        <v>181</v>
      </c>
      <c r="Y317" s="24" t="s">
        <v>176</v>
      </c>
    </row>
    <row r="318" spans="1:25" s="24" customFormat="1" ht="11.1" customHeight="1" x14ac:dyDescent="0.2">
      <c r="A318" s="76">
        <f t="shared" si="34"/>
        <v>316</v>
      </c>
      <c r="B318" s="77" t="s">
        <v>296</v>
      </c>
      <c r="C318" s="76" t="str">
        <f>IF($B318&lt;&gt;"",_xlfn.IFNA(VLOOKUP($B318,'Node Details'!$B:$U,C$1,0),"Check"),"")</f>
        <v>0000AXY09-AXY090201</v>
      </c>
      <c r="D318" s="76" t="str">
        <f>IF($B318&lt;&gt;"",_xlfn.IFNA(VLOOKUP($B318,'Node Details'!$B:$U,D$1,0),"Check"),"")</f>
        <v>AXY</v>
      </c>
      <c r="E318" s="76" t="str">
        <f>IF($B318&lt;&gt;"",_xlfn.IFNA(VLOOKUP($B318,'Node Details'!$B:$U,E$1,0),"Check"),"")</f>
        <v>Airtel</v>
      </c>
      <c r="F318" s="78">
        <v>46113</v>
      </c>
      <c r="G318" s="76"/>
      <c r="H318" s="9" t="s">
        <v>178</v>
      </c>
      <c r="I318" s="9">
        <v>1</v>
      </c>
      <c r="J318" s="9">
        <v>950</v>
      </c>
      <c r="K318" s="79">
        <f t="shared" si="40"/>
        <v>950</v>
      </c>
      <c r="L318" s="78">
        <v>46112</v>
      </c>
      <c r="N318" s="85"/>
      <c r="O318" s="86"/>
      <c r="P318" s="83">
        <f t="shared" si="35"/>
        <v>950</v>
      </c>
      <c r="Q318" s="83">
        <f t="shared" si="36"/>
        <v>950</v>
      </c>
      <c r="R318" s="83"/>
      <c r="S318" s="83"/>
      <c r="T318" s="87"/>
      <c r="U318" s="83">
        <f t="shared" si="37"/>
        <v>950</v>
      </c>
      <c r="V318" s="83">
        <f t="shared" si="38"/>
        <v>1</v>
      </c>
      <c r="W318" s="84">
        <f t="shared" si="39"/>
        <v>950</v>
      </c>
      <c r="X318" s="84" t="s">
        <v>181</v>
      </c>
      <c r="Y318" s="24" t="s">
        <v>176</v>
      </c>
    </row>
    <row r="319" spans="1:25" s="24" customFormat="1" ht="11.1" customHeight="1" x14ac:dyDescent="0.2">
      <c r="A319" s="76">
        <f t="shared" si="34"/>
        <v>317</v>
      </c>
      <c r="B319" s="77" t="s">
        <v>297</v>
      </c>
      <c r="C319" s="76" t="str">
        <f>IF($B319&lt;&gt;"",_xlfn.IFNA(VLOOKUP($B319,'Node Details'!$B:$U,C$1,0),"Check"),"")</f>
        <v>0000AXY09-AXY090201</v>
      </c>
      <c r="D319" s="76" t="str">
        <f>IF($B319&lt;&gt;"",_xlfn.IFNA(VLOOKUP($B319,'Node Details'!$B:$U,D$1,0),"Check"),"")</f>
        <v>AXY</v>
      </c>
      <c r="E319" s="76" t="str">
        <f>IF($B319&lt;&gt;"",_xlfn.IFNA(VLOOKUP($B319,'Node Details'!$B:$U,E$1,0),"Check"),"")</f>
        <v>Airtel</v>
      </c>
      <c r="F319" s="78">
        <v>46113</v>
      </c>
      <c r="G319" s="76"/>
      <c r="H319" s="9" t="s">
        <v>178</v>
      </c>
      <c r="I319" s="9">
        <v>1</v>
      </c>
      <c r="J319" s="9">
        <v>950</v>
      </c>
      <c r="K319" s="79">
        <f t="shared" si="40"/>
        <v>950</v>
      </c>
      <c r="L319" s="78">
        <v>46112</v>
      </c>
      <c r="N319" s="85"/>
      <c r="O319" s="86"/>
      <c r="P319" s="83">
        <f t="shared" si="35"/>
        <v>950</v>
      </c>
      <c r="Q319" s="83">
        <f t="shared" si="36"/>
        <v>950</v>
      </c>
      <c r="R319" s="83"/>
      <c r="S319" s="83"/>
      <c r="T319" s="87"/>
      <c r="U319" s="83">
        <f t="shared" si="37"/>
        <v>950</v>
      </c>
      <c r="V319" s="83">
        <f t="shared" si="38"/>
        <v>1</v>
      </c>
      <c r="W319" s="84">
        <f t="shared" si="39"/>
        <v>950</v>
      </c>
      <c r="X319" s="84" t="s">
        <v>181</v>
      </c>
      <c r="Y319" s="24" t="s">
        <v>176</v>
      </c>
    </row>
    <row r="320" spans="1:25" s="24" customFormat="1" ht="11.1" customHeight="1" x14ac:dyDescent="0.2">
      <c r="A320" s="76">
        <f t="shared" si="34"/>
        <v>318</v>
      </c>
      <c r="B320" s="77" t="s">
        <v>298</v>
      </c>
      <c r="C320" s="76" t="str">
        <f>IF($B320&lt;&gt;"",_xlfn.IFNA(VLOOKUP($B320,'Node Details'!$B:$U,C$1,0),"Check"),"")</f>
        <v>AXY090201-AXY090204</v>
      </c>
      <c r="D320" s="76" t="str">
        <f>IF($B320&lt;&gt;"",_xlfn.IFNA(VLOOKUP($B320,'Node Details'!$B:$U,D$1,0),"Check"),"")</f>
        <v>AXY</v>
      </c>
      <c r="E320" s="76" t="str">
        <f>IF($B320&lt;&gt;"",_xlfn.IFNA(VLOOKUP($B320,'Node Details'!$B:$U,E$1,0),"Check"),"")</f>
        <v>Airtel</v>
      </c>
      <c r="F320" s="78">
        <v>46113</v>
      </c>
      <c r="G320" s="76"/>
      <c r="H320" s="9" t="s">
        <v>178</v>
      </c>
      <c r="I320" s="9">
        <v>1</v>
      </c>
      <c r="J320" s="9">
        <v>950</v>
      </c>
      <c r="K320" s="79">
        <f t="shared" si="40"/>
        <v>950</v>
      </c>
      <c r="L320" s="78">
        <v>46112</v>
      </c>
      <c r="N320" s="85"/>
      <c r="O320" s="86"/>
      <c r="P320" s="83">
        <f t="shared" si="35"/>
        <v>950</v>
      </c>
      <c r="Q320" s="83">
        <f t="shared" si="36"/>
        <v>950</v>
      </c>
      <c r="R320" s="83"/>
      <c r="S320" s="83"/>
      <c r="T320" s="87"/>
      <c r="U320" s="83">
        <f t="shared" si="37"/>
        <v>950</v>
      </c>
      <c r="V320" s="83">
        <f t="shared" si="38"/>
        <v>1</v>
      </c>
      <c r="W320" s="84">
        <f t="shared" si="39"/>
        <v>950</v>
      </c>
      <c r="X320" s="84" t="s">
        <v>181</v>
      </c>
      <c r="Y320" s="24" t="s">
        <v>176</v>
      </c>
    </row>
    <row r="321" spans="1:25" s="24" customFormat="1" ht="11.1" customHeight="1" x14ac:dyDescent="0.2">
      <c r="A321" s="76">
        <f t="shared" si="34"/>
        <v>319</v>
      </c>
      <c r="B321" s="77" t="s">
        <v>299</v>
      </c>
      <c r="C321" s="76" t="str">
        <f>IF($B321&lt;&gt;"",_xlfn.IFNA(VLOOKUP($B321,'Node Details'!$B:$U,C$1,0),"Check"),"")</f>
        <v>AXY090201-AXY090204</v>
      </c>
      <c r="D321" s="76" t="str">
        <f>IF($B321&lt;&gt;"",_xlfn.IFNA(VLOOKUP($B321,'Node Details'!$B:$U,D$1,0),"Check"),"")</f>
        <v>AXY</v>
      </c>
      <c r="E321" s="76" t="str">
        <f>IF($B321&lt;&gt;"",_xlfn.IFNA(VLOOKUP($B321,'Node Details'!$B:$U,E$1,0),"Check"),"")</f>
        <v>Airtel</v>
      </c>
      <c r="F321" s="78">
        <v>46113</v>
      </c>
      <c r="G321" s="76"/>
      <c r="H321" s="9" t="s">
        <v>179</v>
      </c>
      <c r="I321" s="9">
        <v>1</v>
      </c>
      <c r="J321" s="9">
        <v>375</v>
      </c>
      <c r="K321" s="79">
        <f t="shared" si="40"/>
        <v>375</v>
      </c>
      <c r="L321" s="78">
        <v>46112</v>
      </c>
      <c r="N321" s="85"/>
      <c r="O321" s="86"/>
      <c r="P321" s="83">
        <f t="shared" si="35"/>
        <v>375</v>
      </c>
      <c r="Q321" s="83">
        <f t="shared" si="36"/>
        <v>375</v>
      </c>
      <c r="R321" s="83"/>
      <c r="S321" s="83"/>
      <c r="T321" s="87"/>
      <c r="U321" s="83">
        <f t="shared" si="37"/>
        <v>375</v>
      </c>
      <c r="V321" s="83">
        <f t="shared" si="38"/>
        <v>1</v>
      </c>
      <c r="W321" s="84">
        <f t="shared" si="39"/>
        <v>375</v>
      </c>
      <c r="X321" s="84" t="s">
        <v>181</v>
      </c>
      <c r="Y321" s="24" t="s">
        <v>176</v>
      </c>
    </row>
    <row r="322" spans="1:25" s="24" customFormat="1" ht="11.1" customHeight="1" x14ac:dyDescent="0.2">
      <c r="A322" s="76">
        <f t="shared" si="34"/>
        <v>320</v>
      </c>
      <c r="B322" s="77" t="s">
        <v>300</v>
      </c>
      <c r="C322" s="76" t="str">
        <f>IF($B322&lt;&gt;"",_xlfn.IFNA(VLOOKUP($B322,'Node Details'!$B:$U,C$1,0),"Check"),"")</f>
        <v>AXY090201-AXY090204</v>
      </c>
      <c r="D322" s="76" t="str">
        <f>IF($B322&lt;&gt;"",_xlfn.IFNA(VLOOKUP($B322,'Node Details'!$B:$U,D$1,0),"Check"),"")</f>
        <v>AXY</v>
      </c>
      <c r="E322" s="76" t="str">
        <f>IF($B322&lt;&gt;"",_xlfn.IFNA(VLOOKUP($B322,'Node Details'!$B:$U,E$1,0),"Check"),"")</f>
        <v>Airtel</v>
      </c>
      <c r="F322" s="78">
        <v>46113</v>
      </c>
      <c r="G322" s="76"/>
      <c r="H322" s="9" t="s">
        <v>178</v>
      </c>
      <c r="I322" s="9">
        <v>1</v>
      </c>
      <c r="J322" s="9">
        <v>950</v>
      </c>
      <c r="K322" s="79">
        <f t="shared" si="40"/>
        <v>950</v>
      </c>
      <c r="L322" s="78">
        <v>46112</v>
      </c>
      <c r="N322" s="85"/>
      <c r="O322" s="86"/>
      <c r="P322" s="83">
        <f t="shared" si="35"/>
        <v>950</v>
      </c>
      <c r="Q322" s="83">
        <f t="shared" si="36"/>
        <v>950</v>
      </c>
      <c r="R322" s="83"/>
      <c r="S322" s="83"/>
      <c r="T322" s="87"/>
      <c r="U322" s="83">
        <f t="shared" si="37"/>
        <v>950</v>
      </c>
      <c r="V322" s="83">
        <f t="shared" si="38"/>
        <v>1</v>
      </c>
      <c r="W322" s="84">
        <f t="shared" si="39"/>
        <v>950</v>
      </c>
      <c r="X322" s="84" t="s">
        <v>181</v>
      </c>
      <c r="Y322" s="24" t="s">
        <v>176</v>
      </c>
    </row>
    <row r="323" spans="1:25" s="24" customFormat="1" ht="11.1" customHeight="1" x14ac:dyDescent="0.2">
      <c r="A323" s="76">
        <f t="shared" si="34"/>
        <v>321</v>
      </c>
      <c r="B323" s="77" t="s">
        <v>302</v>
      </c>
      <c r="C323" s="76" t="str">
        <f>IF($B323&lt;&gt;"",_xlfn.IFNA(VLOOKUP($B323,'Node Details'!$B:$U,C$1,0),"Check"),"")</f>
        <v>0000AXY10-AXY100104</v>
      </c>
      <c r="D323" s="76" t="str">
        <f>IF($B323&lt;&gt;"",_xlfn.IFNA(VLOOKUP($B323,'Node Details'!$B:$U,D$1,0),"Check"),"")</f>
        <v>AXY</v>
      </c>
      <c r="E323" s="76" t="str">
        <f>IF($B323&lt;&gt;"",_xlfn.IFNA(VLOOKUP($B323,'Node Details'!$B:$U,E$1,0),"Check"),"")</f>
        <v>Airtel</v>
      </c>
      <c r="F323" s="78">
        <v>46113</v>
      </c>
      <c r="G323" s="76"/>
      <c r="H323" s="9" t="s">
        <v>178</v>
      </c>
      <c r="I323" s="9">
        <v>1</v>
      </c>
      <c r="J323" s="9">
        <v>950</v>
      </c>
      <c r="K323" s="79">
        <f t="shared" si="40"/>
        <v>950</v>
      </c>
      <c r="L323" s="78">
        <v>46112</v>
      </c>
      <c r="N323" s="85"/>
      <c r="O323" s="86"/>
      <c r="P323" s="83">
        <f t="shared" si="35"/>
        <v>950</v>
      </c>
      <c r="Q323" s="83">
        <f t="shared" si="36"/>
        <v>950</v>
      </c>
      <c r="R323" s="83"/>
      <c r="S323" s="83"/>
      <c r="T323" s="87"/>
      <c r="U323" s="83">
        <f t="shared" si="37"/>
        <v>950</v>
      </c>
      <c r="V323" s="83">
        <f t="shared" si="38"/>
        <v>1</v>
      </c>
      <c r="W323" s="84">
        <f t="shared" si="39"/>
        <v>950</v>
      </c>
      <c r="X323" s="84" t="s">
        <v>181</v>
      </c>
      <c r="Y323" s="24" t="s">
        <v>176</v>
      </c>
    </row>
    <row r="324" spans="1:25" s="24" customFormat="1" ht="11.1" customHeight="1" x14ac:dyDescent="0.2">
      <c r="A324" s="76">
        <f t="shared" ref="A324:A387" si="41">A323+1</f>
        <v>322</v>
      </c>
      <c r="B324" s="77" t="s">
        <v>303</v>
      </c>
      <c r="C324" s="76" t="str">
        <f>IF($B324&lt;&gt;"",_xlfn.IFNA(VLOOKUP($B324,'Node Details'!$B:$U,C$1,0),"Check"),"")</f>
        <v>0000AXY10-AXY100104</v>
      </c>
      <c r="D324" s="76" t="str">
        <f>IF($B324&lt;&gt;"",_xlfn.IFNA(VLOOKUP($B324,'Node Details'!$B:$U,D$1,0),"Check"),"")</f>
        <v>AXY</v>
      </c>
      <c r="E324" s="76" t="str">
        <f>IF($B324&lt;&gt;"",_xlfn.IFNA(VLOOKUP($B324,'Node Details'!$B:$U,E$1,0),"Check"),"")</f>
        <v>Airtel</v>
      </c>
      <c r="F324" s="78">
        <v>46113</v>
      </c>
      <c r="G324" s="76"/>
      <c r="H324" s="9" t="s">
        <v>178</v>
      </c>
      <c r="I324" s="9">
        <v>1</v>
      </c>
      <c r="J324" s="9">
        <v>950</v>
      </c>
      <c r="K324" s="79">
        <f t="shared" si="40"/>
        <v>950</v>
      </c>
      <c r="L324" s="78">
        <v>46112</v>
      </c>
      <c r="N324" s="85"/>
      <c r="O324" s="86"/>
      <c r="P324" s="83">
        <f t="shared" si="35"/>
        <v>950</v>
      </c>
      <c r="Q324" s="83">
        <f t="shared" si="36"/>
        <v>950</v>
      </c>
      <c r="R324" s="83"/>
      <c r="S324" s="83"/>
      <c r="T324" s="87"/>
      <c r="U324" s="83">
        <f t="shared" si="37"/>
        <v>950</v>
      </c>
      <c r="V324" s="83">
        <f t="shared" si="38"/>
        <v>1</v>
      </c>
      <c r="W324" s="84">
        <f t="shared" si="39"/>
        <v>950</v>
      </c>
      <c r="X324" s="84" t="s">
        <v>181</v>
      </c>
      <c r="Y324" s="24" t="s">
        <v>176</v>
      </c>
    </row>
    <row r="325" spans="1:25" s="24" customFormat="1" ht="11.1" customHeight="1" x14ac:dyDescent="0.2">
      <c r="A325" s="76">
        <f t="shared" si="41"/>
        <v>323</v>
      </c>
      <c r="B325" s="77" t="s">
        <v>304</v>
      </c>
      <c r="C325" s="76" t="str">
        <f>IF($B325&lt;&gt;"",_xlfn.IFNA(VLOOKUP($B325,'Node Details'!$B:$U,C$1,0),"Check"),"")</f>
        <v>0000AXY10-AXY100104</v>
      </c>
      <c r="D325" s="76" t="str">
        <f>IF($B325&lt;&gt;"",_xlfn.IFNA(VLOOKUP($B325,'Node Details'!$B:$U,D$1,0),"Check"),"")</f>
        <v>AXY</v>
      </c>
      <c r="E325" s="76" t="str">
        <f>IF($B325&lt;&gt;"",_xlfn.IFNA(VLOOKUP($B325,'Node Details'!$B:$U,E$1,0),"Check"),"")</f>
        <v>Airtel</v>
      </c>
      <c r="F325" s="78">
        <v>46113</v>
      </c>
      <c r="G325" s="76"/>
      <c r="H325" s="9" t="s">
        <v>178</v>
      </c>
      <c r="I325" s="9">
        <v>1</v>
      </c>
      <c r="J325" s="9">
        <v>950</v>
      </c>
      <c r="K325" s="79">
        <f t="shared" si="40"/>
        <v>950</v>
      </c>
      <c r="L325" s="78">
        <v>46112</v>
      </c>
      <c r="N325" s="85"/>
      <c r="O325" s="86"/>
      <c r="P325" s="83">
        <f t="shared" si="35"/>
        <v>950</v>
      </c>
      <c r="Q325" s="83">
        <f t="shared" si="36"/>
        <v>950</v>
      </c>
      <c r="R325" s="83"/>
      <c r="S325" s="83"/>
      <c r="T325" s="87"/>
      <c r="U325" s="83">
        <f t="shared" si="37"/>
        <v>950</v>
      </c>
      <c r="V325" s="83">
        <f t="shared" si="38"/>
        <v>1</v>
      </c>
      <c r="W325" s="84">
        <f t="shared" si="39"/>
        <v>950</v>
      </c>
      <c r="X325" s="84" t="s">
        <v>181</v>
      </c>
      <c r="Y325" s="24" t="s">
        <v>176</v>
      </c>
    </row>
    <row r="326" spans="1:25" s="24" customFormat="1" ht="11.1" customHeight="1" x14ac:dyDescent="0.2">
      <c r="A326" s="76">
        <f t="shared" si="41"/>
        <v>324</v>
      </c>
      <c r="B326" s="77" t="s">
        <v>305</v>
      </c>
      <c r="C326" s="76" t="str">
        <f>IF($B326&lt;&gt;"",_xlfn.IFNA(VLOOKUP($B326,'Node Details'!$B:$U,C$1,0),"Check"),"")</f>
        <v>0000AXY10-AXY100105</v>
      </c>
      <c r="D326" s="76" t="str">
        <f>IF($B326&lt;&gt;"",_xlfn.IFNA(VLOOKUP($B326,'Node Details'!$B:$U,D$1,0),"Check"),"")</f>
        <v>AXY</v>
      </c>
      <c r="E326" s="76" t="str">
        <f>IF($B326&lt;&gt;"",_xlfn.IFNA(VLOOKUP($B326,'Node Details'!$B:$U,E$1,0),"Check"),"")</f>
        <v>Airtel</v>
      </c>
      <c r="F326" s="78">
        <v>46113</v>
      </c>
      <c r="G326" s="76"/>
      <c r="H326" s="9" t="s">
        <v>179</v>
      </c>
      <c r="I326" s="9">
        <v>1</v>
      </c>
      <c r="J326" s="9">
        <v>375</v>
      </c>
      <c r="K326" s="79">
        <f t="shared" si="40"/>
        <v>375</v>
      </c>
      <c r="L326" s="78">
        <v>46112</v>
      </c>
      <c r="N326" s="85"/>
      <c r="O326" s="86"/>
      <c r="P326" s="83">
        <f t="shared" si="35"/>
        <v>375</v>
      </c>
      <c r="Q326" s="83">
        <f t="shared" si="36"/>
        <v>375</v>
      </c>
      <c r="R326" s="83"/>
      <c r="S326" s="83"/>
      <c r="T326" s="87"/>
      <c r="U326" s="83">
        <f t="shared" si="37"/>
        <v>375</v>
      </c>
      <c r="V326" s="83">
        <f t="shared" si="38"/>
        <v>1</v>
      </c>
      <c r="W326" s="84">
        <f t="shared" si="39"/>
        <v>375</v>
      </c>
      <c r="X326" s="84" t="s">
        <v>181</v>
      </c>
      <c r="Y326" s="24" t="s">
        <v>176</v>
      </c>
    </row>
    <row r="327" spans="1:25" s="24" customFormat="1" ht="11.1" customHeight="1" x14ac:dyDescent="0.2">
      <c r="A327" s="76">
        <f t="shared" si="41"/>
        <v>325</v>
      </c>
      <c r="B327" s="77" t="s">
        <v>306</v>
      </c>
      <c r="C327" s="76" t="str">
        <f>IF($B327&lt;&gt;"",_xlfn.IFNA(VLOOKUP($B327,'Node Details'!$B:$U,C$1,0),"Check"),"")</f>
        <v>0000AXY10-AXY100105</v>
      </c>
      <c r="D327" s="76" t="str">
        <f>IF($B327&lt;&gt;"",_xlfn.IFNA(VLOOKUP($B327,'Node Details'!$B:$U,D$1,0),"Check"),"")</f>
        <v>AXY</v>
      </c>
      <c r="E327" s="76" t="str">
        <f>IF($B327&lt;&gt;"",_xlfn.IFNA(VLOOKUP($B327,'Node Details'!$B:$U,E$1,0),"Check"),"")</f>
        <v>Airtel</v>
      </c>
      <c r="F327" s="78">
        <v>46113</v>
      </c>
      <c r="G327" s="76"/>
      <c r="H327" s="9" t="s">
        <v>179</v>
      </c>
      <c r="I327" s="9">
        <v>1</v>
      </c>
      <c r="J327" s="9">
        <v>375</v>
      </c>
      <c r="K327" s="79">
        <f t="shared" si="40"/>
        <v>375</v>
      </c>
      <c r="L327" s="78">
        <v>46112</v>
      </c>
      <c r="N327" s="85"/>
      <c r="O327" s="86"/>
      <c r="P327" s="83">
        <f t="shared" si="35"/>
        <v>375</v>
      </c>
      <c r="Q327" s="83">
        <f t="shared" si="36"/>
        <v>375</v>
      </c>
      <c r="R327" s="83"/>
      <c r="S327" s="83"/>
      <c r="T327" s="87"/>
      <c r="U327" s="83">
        <f t="shared" si="37"/>
        <v>375</v>
      </c>
      <c r="V327" s="83">
        <f t="shared" si="38"/>
        <v>1</v>
      </c>
      <c r="W327" s="84">
        <f t="shared" si="39"/>
        <v>375</v>
      </c>
      <c r="X327" s="84" t="s">
        <v>181</v>
      </c>
      <c r="Y327" s="24" t="s">
        <v>176</v>
      </c>
    </row>
    <row r="328" spans="1:25" s="24" customFormat="1" ht="11.1" customHeight="1" x14ac:dyDescent="0.2">
      <c r="A328" s="76">
        <f t="shared" si="41"/>
        <v>326</v>
      </c>
      <c r="B328" s="77" t="s">
        <v>307</v>
      </c>
      <c r="C328" s="76" t="str">
        <f>IF($B328&lt;&gt;"",_xlfn.IFNA(VLOOKUP($B328,'Node Details'!$B:$U,C$1,0),"Check"),"")</f>
        <v>AXY100106-AXY100201</v>
      </c>
      <c r="D328" s="76" t="str">
        <f>IF($B328&lt;&gt;"",_xlfn.IFNA(VLOOKUP($B328,'Node Details'!$B:$U,D$1,0),"Check"),"")</f>
        <v>AXY</v>
      </c>
      <c r="E328" s="76" t="str">
        <f>IF($B328&lt;&gt;"",_xlfn.IFNA(VLOOKUP($B328,'Node Details'!$B:$U,E$1,0),"Check"),"")</f>
        <v>Airtel</v>
      </c>
      <c r="F328" s="78">
        <v>46113</v>
      </c>
      <c r="G328" s="76"/>
      <c r="H328" s="9" t="s">
        <v>178</v>
      </c>
      <c r="I328" s="9">
        <v>1</v>
      </c>
      <c r="J328" s="9">
        <v>950</v>
      </c>
      <c r="K328" s="79">
        <f t="shared" si="40"/>
        <v>950</v>
      </c>
      <c r="L328" s="78">
        <v>46112</v>
      </c>
      <c r="N328" s="85"/>
      <c r="O328" s="86"/>
      <c r="P328" s="83">
        <f t="shared" si="35"/>
        <v>950</v>
      </c>
      <c r="Q328" s="83">
        <f t="shared" si="36"/>
        <v>950</v>
      </c>
      <c r="R328" s="83"/>
      <c r="S328" s="83"/>
      <c r="T328" s="87"/>
      <c r="U328" s="83">
        <f t="shared" si="37"/>
        <v>950</v>
      </c>
      <c r="V328" s="83">
        <f t="shared" si="38"/>
        <v>1</v>
      </c>
      <c r="W328" s="84">
        <f t="shared" si="39"/>
        <v>950</v>
      </c>
      <c r="X328" s="84" t="s">
        <v>181</v>
      </c>
      <c r="Y328" s="24" t="s">
        <v>176</v>
      </c>
    </row>
    <row r="329" spans="1:25" s="24" customFormat="1" ht="11.1" customHeight="1" x14ac:dyDescent="0.2">
      <c r="A329" s="76">
        <f t="shared" si="41"/>
        <v>327</v>
      </c>
      <c r="B329" s="77" t="s">
        <v>308</v>
      </c>
      <c r="C329" s="76" t="str">
        <f>IF($B329&lt;&gt;"",_xlfn.IFNA(VLOOKUP($B329,'Node Details'!$B:$U,C$1,0),"Check"),"")</f>
        <v>AXY100106-AXY100201</v>
      </c>
      <c r="D329" s="76" t="str">
        <f>IF($B329&lt;&gt;"",_xlfn.IFNA(VLOOKUP($B329,'Node Details'!$B:$U,D$1,0),"Check"),"")</f>
        <v>AXY</v>
      </c>
      <c r="E329" s="76" t="str">
        <f>IF($B329&lt;&gt;"",_xlfn.IFNA(VLOOKUP($B329,'Node Details'!$B:$U,E$1,0),"Check"),"")</f>
        <v>Airtel</v>
      </c>
      <c r="F329" s="78">
        <v>46113</v>
      </c>
      <c r="G329" s="76"/>
      <c r="H329" s="9" t="s">
        <v>178</v>
      </c>
      <c r="I329" s="9">
        <v>1</v>
      </c>
      <c r="J329" s="9">
        <v>950</v>
      </c>
      <c r="K329" s="79">
        <f t="shared" si="40"/>
        <v>950</v>
      </c>
      <c r="L329" s="78">
        <v>46112</v>
      </c>
      <c r="N329" s="85"/>
      <c r="O329" s="86"/>
      <c r="P329" s="83">
        <f t="shared" si="35"/>
        <v>950</v>
      </c>
      <c r="Q329" s="83">
        <f t="shared" si="36"/>
        <v>950</v>
      </c>
      <c r="R329" s="83"/>
      <c r="S329" s="83"/>
      <c r="T329" s="87"/>
      <c r="U329" s="83">
        <f t="shared" si="37"/>
        <v>950</v>
      </c>
      <c r="V329" s="83">
        <f t="shared" si="38"/>
        <v>1</v>
      </c>
      <c r="W329" s="84">
        <f t="shared" si="39"/>
        <v>950</v>
      </c>
      <c r="X329" s="84" t="s">
        <v>181</v>
      </c>
      <c r="Y329" s="24" t="s">
        <v>176</v>
      </c>
    </row>
    <row r="330" spans="1:25" s="24" customFormat="1" ht="11.1" customHeight="1" x14ac:dyDescent="0.2">
      <c r="A330" s="76">
        <f t="shared" si="41"/>
        <v>328</v>
      </c>
      <c r="B330" s="77" t="s">
        <v>310</v>
      </c>
      <c r="C330" s="76" t="str">
        <f>IF($B330&lt;&gt;"",_xlfn.IFNA(VLOOKUP($B330,'Node Details'!$B:$U,C$1,0),"Check"),"")</f>
        <v>0000AXY11-AXY110102</v>
      </c>
      <c r="D330" s="76" t="str">
        <f>IF($B330&lt;&gt;"",_xlfn.IFNA(VLOOKUP($B330,'Node Details'!$B:$U,D$1,0),"Check"),"")</f>
        <v>AXY</v>
      </c>
      <c r="E330" s="76" t="str">
        <f>IF($B330&lt;&gt;"",_xlfn.IFNA(VLOOKUP($B330,'Node Details'!$B:$U,E$1,0),"Check"),"")</f>
        <v>Airtel</v>
      </c>
      <c r="F330" s="78">
        <v>46113</v>
      </c>
      <c r="G330" s="76"/>
      <c r="H330" s="9" t="s">
        <v>178</v>
      </c>
      <c r="I330" s="9">
        <v>1</v>
      </c>
      <c r="J330" s="9">
        <v>950</v>
      </c>
      <c r="K330" s="79">
        <f t="shared" si="40"/>
        <v>950</v>
      </c>
      <c r="L330" s="78">
        <v>46112</v>
      </c>
      <c r="N330" s="85"/>
      <c r="O330" s="86"/>
      <c r="P330" s="83">
        <f t="shared" si="35"/>
        <v>950</v>
      </c>
      <c r="Q330" s="83">
        <f t="shared" si="36"/>
        <v>950</v>
      </c>
      <c r="R330" s="83"/>
      <c r="S330" s="83"/>
      <c r="T330" s="87"/>
      <c r="U330" s="83">
        <f t="shared" si="37"/>
        <v>950</v>
      </c>
      <c r="V330" s="83">
        <f t="shared" si="38"/>
        <v>1</v>
      </c>
      <c r="W330" s="84">
        <f t="shared" si="39"/>
        <v>950</v>
      </c>
      <c r="X330" s="84" t="s">
        <v>181</v>
      </c>
      <c r="Y330" s="24" t="s">
        <v>176</v>
      </c>
    </row>
    <row r="331" spans="1:25" s="24" customFormat="1" ht="11.1" customHeight="1" x14ac:dyDescent="0.2">
      <c r="A331" s="76">
        <f t="shared" si="41"/>
        <v>329</v>
      </c>
      <c r="B331" s="77" t="s">
        <v>311</v>
      </c>
      <c r="C331" s="76" t="str">
        <f>IF($B331&lt;&gt;"",_xlfn.IFNA(VLOOKUP($B331,'Node Details'!$B:$U,C$1,0),"Check"),"")</f>
        <v>0000AXY11-AXY110102</v>
      </c>
      <c r="D331" s="76" t="str">
        <f>IF($B331&lt;&gt;"",_xlfn.IFNA(VLOOKUP($B331,'Node Details'!$B:$U,D$1,0),"Check"),"")</f>
        <v>AXY</v>
      </c>
      <c r="E331" s="76" t="str">
        <f>IF($B331&lt;&gt;"",_xlfn.IFNA(VLOOKUP($B331,'Node Details'!$B:$U,E$1,0),"Check"),"")</f>
        <v>Airtel</v>
      </c>
      <c r="F331" s="78">
        <v>46113</v>
      </c>
      <c r="G331" s="76"/>
      <c r="H331" s="9" t="s">
        <v>178</v>
      </c>
      <c r="I331" s="9">
        <v>1</v>
      </c>
      <c r="J331" s="9">
        <v>950</v>
      </c>
      <c r="K331" s="79">
        <f t="shared" si="40"/>
        <v>950</v>
      </c>
      <c r="L331" s="78">
        <v>46112</v>
      </c>
      <c r="N331" s="85"/>
      <c r="O331" s="86"/>
      <c r="P331" s="83">
        <f t="shared" si="35"/>
        <v>950</v>
      </c>
      <c r="Q331" s="83">
        <f t="shared" si="36"/>
        <v>950</v>
      </c>
      <c r="R331" s="83"/>
      <c r="S331" s="83"/>
      <c r="T331" s="87"/>
      <c r="U331" s="83">
        <f t="shared" si="37"/>
        <v>950</v>
      </c>
      <c r="V331" s="83">
        <f t="shared" si="38"/>
        <v>1</v>
      </c>
      <c r="W331" s="84">
        <f t="shared" si="39"/>
        <v>950</v>
      </c>
      <c r="X331" s="84" t="s">
        <v>181</v>
      </c>
      <c r="Y331" s="24" t="s">
        <v>176</v>
      </c>
    </row>
    <row r="332" spans="1:25" s="24" customFormat="1" ht="11.1" customHeight="1" x14ac:dyDescent="0.2">
      <c r="A332" s="76">
        <f t="shared" si="41"/>
        <v>330</v>
      </c>
      <c r="B332" s="77" t="s">
        <v>312</v>
      </c>
      <c r="C332" s="76" t="str">
        <f>IF($B332&lt;&gt;"",_xlfn.IFNA(VLOOKUP($B332,'Node Details'!$B:$U,C$1,0),"Check"),"")</f>
        <v>0000AXY11-AXY110107</v>
      </c>
      <c r="D332" s="76" t="str">
        <f>IF($B332&lt;&gt;"",_xlfn.IFNA(VLOOKUP($B332,'Node Details'!$B:$U,D$1,0),"Check"),"")</f>
        <v>AXY</v>
      </c>
      <c r="E332" s="76" t="str">
        <f>IF($B332&lt;&gt;"",_xlfn.IFNA(VLOOKUP($B332,'Node Details'!$B:$U,E$1,0),"Check"),"")</f>
        <v>Airtel</v>
      </c>
      <c r="F332" s="78">
        <v>46113</v>
      </c>
      <c r="G332" s="76"/>
      <c r="H332" s="9" t="s">
        <v>178</v>
      </c>
      <c r="I332" s="9">
        <v>1</v>
      </c>
      <c r="J332" s="9">
        <v>950</v>
      </c>
      <c r="K332" s="79">
        <f t="shared" si="40"/>
        <v>950</v>
      </c>
      <c r="L332" s="78">
        <v>46112</v>
      </c>
      <c r="N332" s="85"/>
      <c r="O332" s="86"/>
      <c r="P332" s="83">
        <f t="shared" si="35"/>
        <v>950</v>
      </c>
      <c r="Q332" s="83">
        <f t="shared" si="36"/>
        <v>950</v>
      </c>
      <c r="R332" s="83"/>
      <c r="S332" s="83"/>
      <c r="T332" s="87"/>
      <c r="U332" s="83">
        <f t="shared" si="37"/>
        <v>950</v>
      </c>
      <c r="V332" s="83">
        <f t="shared" si="38"/>
        <v>1</v>
      </c>
      <c r="W332" s="84">
        <f t="shared" si="39"/>
        <v>950</v>
      </c>
      <c r="X332" s="84" t="s">
        <v>181</v>
      </c>
      <c r="Y332" s="24" t="s">
        <v>176</v>
      </c>
    </row>
    <row r="333" spans="1:25" s="24" customFormat="1" ht="11.1" customHeight="1" x14ac:dyDescent="0.2">
      <c r="A333" s="76">
        <f t="shared" si="41"/>
        <v>331</v>
      </c>
      <c r="B333" s="77" t="s">
        <v>313</v>
      </c>
      <c r="C333" s="76" t="str">
        <f>IF($B333&lt;&gt;"",_xlfn.IFNA(VLOOKUP($B333,'Node Details'!$B:$U,C$1,0),"Check"),"")</f>
        <v>0000AXY11-AXY110107</v>
      </c>
      <c r="D333" s="76" t="str">
        <f>IF($B333&lt;&gt;"",_xlfn.IFNA(VLOOKUP($B333,'Node Details'!$B:$U,D$1,0),"Check"),"")</f>
        <v>AXY</v>
      </c>
      <c r="E333" s="76" t="str">
        <f>IF($B333&lt;&gt;"",_xlfn.IFNA(VLOOKUP($B333,'Node Details'!$B:$U,E$1,0),"Check"),"")</f>
        <v>Airtel</v>
      </c>
      <c r="F333" s="78">
        <v>46113</v>
      </c>
      <c r="G333" s="76"/>
      <c r="H333" s="9" t="s">
        <v>179</v>
      </c>
      <c r="I333" s="9">
        <v>1</v>
      </c>
      <c r="J333" s="9">
        <v>375</v>
      </c>
      <c r="K333" s="79">
        <f t="shared" si="40"/>
        <v>375</v>
      </c>
      <c r="L333" s="78">
        <v>46112</v>
      </c>
      <c r="N333" s="85"/>
      <c r="O333" s="86"/>
      <c r="P333" s="83">
        <f t="shared" si="35"/>
        <v>375</v>
      </c>
      <c r="Q333" s="83">
        <f t="shared" si="36"/>
        <v>375</v>
      </c>
      <c r="R333" s="83"/>
      <c r="S333" s="83"/>
      <c r="T333" s="87"/>
      <c r="U333" s="83">
        <f t="shared" si="37"/>
        <v>375</v>
      </c>
      <c r="V333" s="83">
        <f t="shared" si="38"/>
        <v>1</v>
      </c>
      <c r="W333" s="84">
        <f t="shared" si="39"/>
        <v>375</v>
      </c>
      <c r="X333" s="84" t="s">
        <v>181</v>
      </c>
      <c r="Y333" s="24" t="s">
        <v>176</v>
      </c>
    </row>
    <row r="334" spans="1:25" s="24" customFormat="1" ht="11.1" customHeight="1" x14ac:dyDescent="0.2">
      <c r="A334" s="76">
        <f t="shared" si="41"/>
        <v>332</v>
      </c>
      <c r="B334" s="77" t="s">
        <v>314</v>
      </c>
      <c r="C334" s="76" t="str">
        <f>IF($B334&lt;&gt;"",_xlfn.IFNA(VLOOKUP($B334,'Node Details'!$B:$U,C$1,0),"Check"),"")</f>
        <v>AXY110103-AXY110106</v>
      </c>
      <c r="D334" s="76" t="str">
        <f>IF($B334&lt;&gt;"",_xlfn.IFNA(VLOOKUP($B334,'Node Details'!$B:$U,D$1,0),"Check"),"")</f>
        <v>AXY</v>
      </c>
      <c r="E334" s="76" t="str">
        <f>IF($B334&lt;&gt;"",_xlfn.IFNA(VLOOKUP($B334,'Node Details'!$B:$U,E$1,0),"Check"),"")</f>
        <v>Airtel</v>
      </c>
      <c r="F334" s="78">
        <v>46113</v>
      </c>
      <c r="G334" s="76"/>
      <c r="H334" s="9" t="s">
        <v>178</v>
      </c>
      <c r="I334" s="9">
        <v>1</v>
      </c>
      <c r="J334" s="9">
        <v>950</v>
      </c>
      <c r="K334" s="79">
        <f t="shared" si="40"/>
        <v>950</v>
      </c>
      <c r="L334" s="78">
        <v>46112</v>
      </c>
      <c r="N334" s="85"/>
      <c r="O334" s="86"/>
      <c r="P334" s="83">
        <f t="shared" si="35"/>
        <v>950</v>
      </c>
      <c r="Q334" s="83">
        <f t="shared" si="36"/>
        <v>950</v>
      </c>
      <c r="R334" s="83"/>
      <c r="S334" s="83"/>
      <c r="T334" s="87"/>
      <c r="U334" s="83">
        <f t="shared" si="37"/>
        <v>950</v>
      </c>
      <c r="V334" s="83">
        <f t="shared" si="38"/>
        <v>1</v>
      </c>
      <c r="W334" s="84">
        <f t="shared" si="39"/>
        <v>950</v>
      </c>
      <c r="X334" s="84" t="s">
        <v>181</v>
      </c>
      <c r="Y334" s="24" t="s">
        <v>176</v>
      </c>
    </row>
    <row r="335" spans="1:25" s="24" customFormat="1" ht="11.1" customHeight="1" x14ac:dyDescent="0.2">
      <c r="A335" s="76">
        <f t="shared" si="41"/>
        <v>333</v>
      </c>
      <c r="B335" s="77" t="s">
        <v>315</v>
      </c>
      <c r="C335" s="76" t="str">
        <f>IF($B335&lt;&gt;"",_xlfn.IFNA(VLOOKUP($B335,'Node Details'!$B:$U,C$1,0),"Check"),"")</f>
        <v>AXY110103-AXY110106</v>
      </c>
      <c r="D335" s="76" t="str">
        <f>IF($B335&lt;&gt;"",_xlfn.IFNA(VLOOKUP($B335,'Node Details'!$B:$U,D$1,0),"Check"),"")</f>
        <v>AXY</v>
      </c>
      <c r="E335" s="76" t="str">
        <f>IF($B335&lt;&gt;"",_xlfn.IFNA(VLOOKUP($B335,'Node Details'!$B:$U,E$1,0),"Check"),"")</f>
        <v>Airtel</v>
      </c>
      <c r="F335" s="78">
        <v>46113</v>
      </c>
      <c r="G335" s="76"/>
      <c r="H335" s="9" t="s">
        <v>179</v>
      </c>
      <c r="I335" s="9">
        <v>1</v>
      </c>
      <c r="J335" s="9">
        <v>375</v>
      </c>
      <c r="K335" s="79">
        <f t="shared" si="40"/>
        <v>375</v>
      </c>
      <c r="L335" s="78">
        <v>46112</v>
      </c>
      <c r="N335" s="85"/>
      <c r="O335" s="86"/>
      <c r="P335" s="83">
        <f t="shared" si="35"/>
        <v>375</v>
      </c>
      <c r="Q335" s="83">
        <f t="shared" si="36"/>
        <v>375</v>
      </c>
      <c r="R335" s="83"/>
      <c r="S335" s="83"/>
      <c r="T335" s="87"/>
      <c r="U335" s="83">
        <f t="shared" si="37"/>
        <v>375</v>
      </c>
      <c r="V335" s="83">
        <f t="shared" si="38"/>
        <v>1</v>
      </c>
      <c r="W335" s="84">
        <f t="shared" si="39"/>
        <v>375</v>
      </c>
      <c r="X335" s="84" t="s">
        <v>181</v>
      </c>
      <c r="Y335" s="24" t="s">
        <v>176</v>
      </c>
    </row>
    <row r="336" spans="1:25" s="24" customFormat="1" ht="11.1" customHeight="1" x14ac:dyDescent="0.2">
      <c r="A336" s="76">
        <f t="shared" si="41"/>
        <v>334</v>
      </c>
      <c r="B336" s="77" t="s">
        <v>316</v>
      </c>
      <c r="C336" s="76" t="str">
        <f>IF($B336&lt;&gt;"",_xlfn.IFNA(VLOOKUP($B336,'Node Details'!$B:$U,C$1,0),"Check"),"")</f>
        <v>AXY110107-AXY110202</v>
      </c>
      <c r="D336" s="76" t="str">
        <f>IF($B336&lt;&gt;"",_xlfn.IFNA(VLOOKUP($B336,'Node Details'!$B:$U,D$1,0),"Check"),"")</f>
        <v>AXY</v>
      </c>
      <c r="E336" s="76" t="str">
        <f>IF($B336&lt;&gt;"",_xlfn.IFNA(VLOOKUP($B336,'Node Details'!$B:$U,E$1,0),"Check"),"")</f>
        <v>Airtel</v>
      </c>
      <c r="F336" s="78">
        <v>46113</v>
      </c>
      <c r="G336" s="76"/>
      <c r="H336" s="9" t="s">
        <v>178</v>
      </c>
      <c r="I336" s="9">
        <v>1</v>
      </c>
      <c r="J336" s="9">
        <v>950</v>
      </c>
      <c r="K336" s="79">
        <f t="shared" si="40"/>
        <v>950</v>
      </c>
      <c r="L336" s="78">
        <v>46112</v>
      </c>
      <c r="N336" s="85"/>
      <c r="O336" s="86"/>
      <c r="P336" s="83">
        <f t="shared" si="35"/>
        <v>950</v>
      </c>
      <c r="Q336" s="83">
        <f t="shared" si="36"/>
        <v>950</v>
      </c>
      <c r="R336" s="83"/>
      <c r="S336" s="83"/>
      <c r="T336" s="87"/>
      <c r="U336" s="83">
        <f t="shared" si="37"/>
        <v>950</v>
      </c>
      <c r="V336" s="83">
        <f t="shared" si="38"/>
        <v>1</v>
      </c>
      <c r="W336" s="84">
        <f t="shared" si="39"/>
        <v>950</v>
      </c>
      <c r="X336" s="84" t="s">
        <v>181</v>
      </c>
      <c r="Y336" s="24" t="s">
        <v>176</v>
      </c>
    </row>
    <row r="337" spans="1:25" s="24" customFormat="1" ht="11.1" customHeight="1" x14ac:dyDescent="0.2">
      <c r="A337" s="76">
        <f t="shared" si="41"/>
        <v>335</v>
      </c>
      <c r="B337" s="77" t="s">
        <v>317</v>
      </c>
      <c r="C337" s="76" t="str">
        <f>IF($B337&lt;&gt;"",_xlfn.IFNA(VLOOKUP($B337,'Node Details'!$B:$U,C$1,0),"Check"),"")</f>
        <v>AXY110107-AXY110202</v>
      </c>
      <c r="D337" s="76" t="str">
        <f>IF($B337&lt;&gt;"",_xlfn.IFNA(VLOOKUP($B337,'Node Details'!$B:$U,D$1,0),"Check"),"")</f>
        <v>AXY</v>
      </c>
      <c r="E337" s="76" t="str">
        <f>IF($B337&lt;&gt;"",_xlfn.IFNA(VLOOKUP($B337,'Node Details'!$B:$U,E$1,0),"Check"),"")</f>
        <v>Airtel</v>
      </c>
      <c r="F337" s="78">
        <v>46113</v>
      </c>
      <c r="G337" s="76"/>
      <c r="H337" s="9" t="s">
        <v>179</v>
      </c>
      <c r="I337" s="9">
        <v>1</v>
      </c>
      <c r="J337" s="9">
        <v>375</v>
      </c>
      <c r="K337" s="79">
        <f t="shared" si="40"/>
        <v>375</v>
      </c>
      <c r="L337" s="78">
        <v>46112</v>
      </c>
      <c r="N337" s="85"/>
      <c r="O337" s="86"/>
      <c r="P337" s="83">
        <f t="shared" si="35"/>
        <v>375</v>
      </c>
      <c r="Q337" s="83">
        <f t="shared" si="36"/>
        <v>375</v>
      </c>
      <c r="R337" s="83"/>
      <c r="S337" s="83"/>
      <c r="T337" s="87"/>
      <c r="U337" s="83">
        <f t="shared" si="37"/>
        <v>375</v>
      </c>
      <c r="V337" s="83">
        <f t="shared" si="38"/>
        <v>1</v>
      </c>
      <c r="W337" s="84">
        <f t="shared" si="39"/>
        <v>375</v>
      </c>
      <c r="X337" s="84" t="s">
        <v>181</v>
      </c>
      <c r="Y337" s="24" t="s">
        <v>176</v>
      </c>
    </row>
    <row r="338" spans="1:25" s="24" customFormat="1" ht="11.1" customHeight="1" x14ac:dyDescent="0.2">
      <c r="A338" s="76">
        <f t="shared" si="41"/>
        <v>336</v>
      </c>
      <c r="B338" s="77" t="s">
        <v>318</v>
      </c>
      <c r="C338" s="76" t="str">
        <f>IF($B338&lt;&gt;"",_xlfn.IFNA(VLOOKUP($B338,'Node Details'!$B:$U,C$1,0),"Check"),"")</f>
        <v>AXY110108-AXY110201</v>
      </c>
      <c r="D338" s="76" t="str">
        <f>IF($B338&lt;&gt;"",_xlfn.IFNA(VLOOKUP($B338,'Node Details'!$B:$U,D$1,0),"Check"),"")</f>
        <v>AXY</v>
      </c>
      <c r="E338" s="76" t="str">
        <f>IF($B338&lt;&gt;"",_xlfn.IFNA(VLOOKUP($B338,'Node Details'!$B:$U,E$1,0),"Check"),"")</f>
        <v>Airtel</v>
      </c>
      <c r="F338" s="78">
        <v>46113</v>
      </c>
      <c r="G338" s="76"/>
      <c r="H338" s="9" t="s">
        <v>179</v>
      </c>
      <c r="I338" s="9">
        <v>1</v>
      </c>
      <c r="J338" s="9">
        <v>375</v>
      </c>
      <c r="K338" s="79">
        <f t="shared" si="40"/>
        <v>375</v>
      </c>
      <c r="L338" s="78">
        <v>46112</v>
      </c>
      <c r="N338" s="85"/>
      <c r="O338" s="86"/>
      <c r="P338" s="83">
        <f t="shared" si="35"/>
        <v>375</v>
      </c>
      <c r="Q338" s="83">
        <f t="shared" si="36"/>
        <v>375</v>
      </c>
      <c r="R338" s="83"/>
      <c r="S338" s="83"/>
      <c r="T338" s="87"/>
      <c r="U338" s="83">
        <f t="shared" si="37"/>
        <v>375</v>
      </c>
      <c r="V338" s="83">
        <f t="shared" si="38"/>
        <v>1</v>
      </c>
      <c r="W338" s="84">
        <f t="shared" si="39"/>
        <v>375</v>
      </c>
      <c r="X338" s="84" t="s">
        <v>181</v>
      </c>
      <c r="Y338" s="24" t="s">
        <v>176</v>
      </c>
    </row>
    <row r="339" spans="1:25" s="24" customFormat="1" ht="11.1" customHeight="1" x14ac:dyDescent="0.2">
      <c r="A339" s="76">
        <f t="shared" si="41"/>
        <v>337</v>
      </c>
      <c r="B339" s="77" t="s">
        <v>320</v>
      </c>
      <c r="C339" s="76" t="str">
        <f>IF($B339&lt;&gt;"",_xlfn.IFNA(VLOOKUP($B339,'Node Details'!$B:$U,C$1,0),"Check"),"")</f>
        <v>0000AXY12-AXY120101</v>
      </c>
      <c r="D339" s="76" t="str">
        <f>IF($B339&lt;&gt;"",_xlfn.IFNA(VLOOKUP($B339,'Node Details'!$B:$U,D$1,0),"Check"),"")</f>
        <v>AXY</v>
      </c>
      <c r="E339" s="76" t="str">
        <f>IF($B339&lt;&gt;"",_xlfn.IFNA(VLOOKUP($B339,'Node Details'!$B:$U,E$1,0),"Check"),"")</f>
        <v>Airtel</v>
      </c>
      <c r="F339" s="78">
        <v>46113</v>
      </c>
      <c r="G339" s="76"/>
      <c r="H339" s="9" t="s">
        <v>178</v>
      </c>
      <c r="I339" s="9">
        <v>1</v>
      </c>
      <c r="J339" s="9">
        <v>950</v>
      </c>
      <c r="K339" s="79">
        <f t="shared" si="40"/>
        <v>950</v>
      </c>
      <c r="L339" s="78">
        <v>46112</v>
      </c>
      <c r="N339" s="85"/>
      <c r="O339" s="86"/>
      <c r="P339" s="83">
        <f t="shared" si="35"/>
        <v>950</v>
      </c>
      <c r="Q339" s="83">
        <f t="shared" si="36"/>
        <v>950</v>
      </c>
      <c r="R339" s="83"/>
      <c r="S339" s="83"/>
      <c r="T339" s="87"/>
      <c r="U339" s="83">
        <f t="shared" si="37"/>
        <v>950</v>
      </c>
      <c r="V339" s="83">
        <f t="shared" si="38"/>
        <v>1</v>
      </c>
      <c r="W339" s="84">
        <f t="shared" si="39"/>
        <v>950</v>
      </c>
      <c r="X339" s="84" t="s">
        <v>181</v>
      </c>
      <c r="Y339" s="24" t="s">
        <v>176</v>
      </c>
    </row>
    <row r="340" spans="1:25" s="24" customFormat="1" ht="11.1" customHeight="1" x14ac:dyDescent="0.2">
      <c r="A340" s="76">
        <f t="shared" si="41"/>
        <v>338</v>
      </c>
      <c r="B340" s="77" t="s">
        <v>321</v>
      </c>
      <c r="C340" s="76" t="str">
        <f>IF($B340&lt;&gt;"",_xlfn.IFNA(VLOOKUP($B340,'Node Details'!$B:$U,C$1,0),"Check"),"")</f>
        <v>0000AXY12-AXY120102</v>
      </c>
      <c r="D340" s="76" t="str">
        <f>IF($B340&lt;&gt;"",_xlfn.IFNA(VLOOKUP($B340,'Node Details'!$B:$U,D$1,0),"Check"),"")</f>
        <v>AXY</v>
      </c>
      <c r="E340" s="76" t="str">
        <f>IF($B340&lt;&gt;"",_xlfn.IFNA(VLOOKUP($B340,'Node Details'!$B:$U,E$1,0),"Check"),"")</f>
        <v>Airtel</v>
      </c>
      <c r="F340" s="78">
        <v>46113</v>
      </c>
      <c r="G340" s="76"/>
      <c r="H340" s="9" t="s">
        <v>178</v>
      </c>
      <c r="I340" s="9">
        <v>1</v>
      </c>
      <c r="J340" s="9">
        <v>950</v>
      </c>
      <c r="K340" s="79">
        <f t="shared" si="40"/>
        <v>950</v>
      </c>
      <c r="L340" s="78">
        <v>46112</v>
      </c>
      <c r="N340" s="85"/>
      <c r="O340" s="86"/>
      <c r="P340" s="83">
        <f t="shared" si="35"/>
        <v>950</v>
      </c>
      <c r="Q340" s="83">
        <f t="shared" si="36"/>
        <v>950</v>
      </c>
      <c r="R340" s="83"/>
      <c r="S340" s="83"/>
      <c r="T340" s="87"/>
      <c r="U340" s="83">
        <f t="shared" si="37"/>
        <v>950</v>
      </c>
      <c r="V340" s="83">
        <f t="shared" si="38"/>
        <v>1</v>
      </c>
      <c r="W340" s="84">
        <f t="shared" si="39"/>
        <v>950</v>
      </c>
      <c r="X340" s="84" t="s">
        <v>181</v>
      </c>
      <c r="Y340" s="24" t="s">
        <v>176</v>
      </c>
    </row>
    <row r="341" spans="1:25" s="24" customFormat="1" ht="11.1" customHeight="1" x14ac:dyDescent="0.2">
      <c r="A341" s="76">
        <f t="shared" si="41"/>
        <v>339</v>
      </c>
      <c r="B341" s="77" t="s">
        <v>322</v>
      </c>
      <c r="C341" s="76" t="str">
        <f>IF($B341&lt;&gt;"",_xlfn.IFNA(VLOOKUP($B341,'Node Details'!$B:$U,C$1,0),"Check"),"")</f>
        <v>0000AXY12-AXY120105</v>
      </c>
      <c r="D341" s="76" t="str">
        <f>IF($B341&lt;&gt;"",_xlfn.IFNA(VLOOKUP($B341,'Node Details'!$B:$U,D$1,0),"Check"),"")</f>
        <v>AXY</v>
      </c>
      <c r="E341" s="76" t="str">
        <f>IF($B341&lt;&gt;"",_xlfn.IFNA(VLOOKUP($B341,'Node Details'!$B:$U,E$1,0),"Check"),"")</f>
        <v>Airtel</v>
      </c>
      <c r="F341" s="78">
        <v>46113</v>
      </c>
      <c r="G341" s="76"/>
      <c r="H341" s="9" t="s">
        <v>178</v>
      </c>
      <c r="I341" s="9">
        <v>1</v>
      </c>
      <c r="J341" s="9">
        <v>950</v>
      </c>
      <c r="K341" s="79">
        <f t="shared" si="40"/>
        <v>950</v>
      </c>
      <c r="L341" s="78">
        <v>46112</v>
      </c>
      <c r="N341" s="85"/>
      <c r="O341" s="86"/>
      <c r="P341" s="83">
        <f t="shared" si="35"/>
        <v>950</v>
      </c>
      <c r="Q341" s="83">
        <f t="shared" si="36"/>
        <v>950</v>
      </c>
      <c r="R341" s="83"/>
      <c r="S341" s="83"/>
      <c r="T341" s="87"/>
      <c r="U341" s="83">
        <f t="shared" si="37"/>
        <v>950</v>
      </c>
      <c r="V341" s="83">
        <f t="shared" si="38"/>
        <v>1</v>
      </c>
      <c r="W341" s="84">
        <f t="shared" si="39"/>
        <v>950</v>
      </c>
      <c r="X341" s="84" t="s">
        <v>181</v>
      </c>
      <c r="Y341" s="24" t="s">
        <v>176</v>
      </c>
    </row>
    <row r="342" spans="1:25" s="24" customFormat="1" ht="11.1" customHeight="1" x14ac:dyDescent="0.2">
      <c r="A342" s="76">
        <f t="shared" si="41"/>
        <v>340</v>
      </c>
      <c r="B342" s="77" t="s">
        <v>323</v>
      </c>
      <c r="C342" s="76" t="str">
        <f>IF($B342&lt;&gt;"",_xlfn.IFNA(VLOOKUP($B342,'Node Details'!$B:$U,C$1,0),"Check"),"")</f>
        <v>0000AXY12-AXY120105</v>
      </c>
      <c r="D342" s="76" t="str">
        <f>IF($B342&lt;&gt;"",_xlfn.IFNA(VLOOKUP($B342,'Node Details'!$B:$U,D$1,0),"Check"),"")</f>
        <v>AXY</v>
      </c>
      <c r="E342" s="76" t="str">
        <f>IF($B342&lt;&gt;"",_xlfn.IFNA(VLOOKUP($B342,'Node Details'!$B:$U,E$1,0),"Check"),"")</f>
        <v>Airtel</v>
      </c>
      <c r="F342" s="78">
        <v>46113</v>
      </c>
      <c r="G342" s="76"/>
      <c r="H342" s="9" t="s">
        <v>178</v>
      </c>
      <c r="I342" s="9">
        <v>1</v>
      </c>
      <c r="J342" s="9">
        <v>950</v>
      </c>
      <c r="K342" s="79">
        <f t="shared" si="40"/>
        <v>950</v>
      </c>
      <c r="L342" s="78">
        <v>46112</v>
      </c>
      <c r="N342" s="85"/>
      <c r="O342" s="86"/>
      <c r="P342" s="83">
        <f t="shared" si="35"/>
        <v>950</v>
      </c>
      <c r="Q342" s="83">
        <f t="shared" si="36"/>
        <v>950</v>
      </c>
      <c r="R342" s="83"/>
      <c r="S342" s="83"/>
      <c r="T342" s="87"/>
      <c r="U342" s="83">
        <f t="shared" si="37"/>
        <v>950</v>
      </c>
      <c r="V342" s="83">
        <f t="shared" si="38"/>
        <v>1</v>
      </c>
      <c r="W342" s="84">
        <f t="shared" si="39"/>
        <v>950</v>
      </c>
      <c r="X342" s="84" t="s">
        <v>181</v>
      </c>
      <c r="Y342" s="24" t="s">
        <v>176</v>
      </c>
    </row>
    <row r="343" spans="1:25" s="24" customFormat="1" ht="11.1" customHeight="1" x14ac:dyDescent="0.2">
      <c r="A343" s="76">
        <f t="shared" si="41"/>
        <v>341</v>
      </c>
      <c r="B343" s="77" t="s">
        <v>325</v>
      </c>
      <c r="C343" s="76" t="str">
        <f>IF($B343&lt;&gt;"",_xlfn.IFNA(VLOOKUP($B343,'Node Details'!$B:$U,C$1,0),"Check"),"")</f>
        <v>0000AXY13-AXY130101</v>
      </c>
      <c r="D343" s="76" t="str">
        <f>IF($B343&lt;&gt;"",_xlfn.IFNA(VLOOKUP($B343,'Node Details'!$B:$U,D$1,0),"Check"),"")</f>
        <v>AXY</v>
      </c>
      <c r="E343" s="76" t="str">
        <f>IF($B343&lt;&gt;"",_xlfn.IFNA(VLOOKUP($B343,'Node Details'!$B:$U,E$1,0),"Check"),"")</f>
        <v>Airtel</v>
      </c>
      <c r="F343" s="78">
        <v>46113</v>
      </c>
      <c r="G343" s="76"/>
      <c r="H343" s="9" t="s">
        <v>178</v>
      </c>
      <c r="I343" s="9">
        <v>1</v>
      </c>
      <c r="J343" s="9">
        <v>950</v>
      </c>
      <c r="K343" s="79">
        <f t="shared" si="40"/>
        <v>950</v>
      </c>
      <c r="L343" s="78">
        <v>46112</v>
      </c>
      <c r="N343" s="85"/>
      <c r="O343" s="86"/>
      <c r="P343" s="83">
        <f t="shared" si="35"/>
        <v>950</v>
      </c>
      <c r="Q343" s="83">
        <f t="shared" si="36"/>
        <v>950</v>
      </c>
      <c r="R343" s="83"/>
      <c r="S343" s="83"/>
      <c r="T343" s="87"/>
      <c r="U343" s="83">
        <f t="shared" si="37"/>
        <v>950</v>
      </c>
      <c r="V343" s="83">
        <f t="shared" si="38"/>
        <v>1</v>
      </c>
      <c r="W343" s="84">
        <f t="shared" si="39"/>
        <v>950</v>
      </c>
      <c r="X343" s="84" t="s">
        <v>181</v>
      </c>
      <c r="Y343" s="24" t="s">
        <v>176</v>
      </c>
    </row>
    <row r="344" spans="1:25" s="24" customFormat="1" ht="11.1" customHeight="1" x14ac:dyDescent="0.2">
      <c r="A344" s="76">
        <f t="shared" si="41"/>
        <v>342</v>
      </c>
      <c r="B344" s="77" t="s">
        <v>326</v>
      </c>
      <c r="C344" s="76" t="str">
        <f>IF($B344&lt;&gt;"",_xlfn.IFNA(VLOOKUP($B344,'Node Details'!$B:$U,C$1,0),"Check"),"")</f>
        <v>0000AXY13-AXY130104</v>
      </c>
      <c r="D344" s="76" t="str">
        <f>IF($B344&lt;&gt;"",_xlfn.IFNA(VLOOKUP($B344,'Node Details'!$B:$U,D$1,0),"Check"),"")</f>
        <v>AXY</v>
      </c>
      <c r="E344" s="76" t="str">
        <f>IF($B344&lt;&gt;"",_xlfn.IFNA(VLOOKUP($B344,'Node Details'!$B:$U,E$1,0),"Check"),"")</f>
        <v>Airtel</v>
      </c>
      <c r="F344" s="78">
        <v>46113</v>
      </c>
      <c r="G344" s="76"/>
      <c r="H344" s="9" t="s">
        <v>178</v>
      </c>
      <c r="I344" s="9">
        <v>1</v>
      </c>
      <c r="J344" s="9">
        <v>950</v>
      </c>
      <c r="K344" s="79">
        <f t="shared" si="40"/>
        <v>950</v>
      </c>
      <c r="L344" s="78">
        <v>46112</v>
      </c>
      <c r="N344" s="85"/>
      <c r="O344" s="86"/>
      <c r="P344" s="83">
        <f t="shared" si="35"/>
        <v>950</v>
      </c>
      <c r="Q344" s="83">
        <f t="shared" si="36"/>
        <v>950</v>
      </c>
      <c r="R344" s="83"/>
      <c r="S344" s="83"/>
      <c r="T344" s="87"/>
      <c r="U344" s="83">
        <f t="shared" si="37"/>
        <v>950</v>
      </c>
      <c r="V344" s="83">
        <f t="shared" si="38"/>
        <v>1</v>
      </c>
      <c r="W344" s="84">
        <f t="shared" si="39"/>
        <v>950</v>
      </c>
      <c r="X344" s="84" t="s">
        <v>181</v>
      </c>
      <c r="Y344" s="24" t="s">
        <v>176</v>
      </c>
    </row>
    <row r="345" spans="1:25" s="24" customFormat="1" ht="11.1" customHeight="1" x14ac:dyDescent="0.2">
      <c r="A345" s="76">
        <f t="shared" si="41"/>
        <v>343</v>
      </c>
      <c r="B345" s="77" t="s">
        <v>327</v>
      </c>
      <c r="C345" s="76" t="str">
        <f>IF($B345&lt;&gt;"",_xlfn.IFNA(VLOOKUP($B345,'Node Details'!$B:$U,C$1,0),"Check"),"")</f>
        <v>0000AXY13-AXY130104</v>
      </c>
      <c r="D345" s="76" t="str">
        <f>IF($B345&lt;&gt;"",_xlfn.IFNA(VLOOKUP($B345,'Node Details'!$B:$U,D$1,0),"Check"),"")</f>
        <v>AXY</v>
      </c>
      <c r="E345" s="76" t="str">
        <f>IF($B345&lt;&gt;"",_xlfn.IFNA(VLOOKUP($B345,'Node Details'!$B:$U,E$1,0),"Check"),"")</f>
        <v>Airtel</v>
      </c>
      <c r="F345" s="78">
        <v>46113</v>
      </c>
      <c r="G345" s="76"/>
      <c r="H345" s="9" t="s">
        <v>179</v>
      </c>
      <c r="I345" s="9">
        <v>1</v>
      </c>
      <c r="J345" s="9">
        <v>375</v>
      </c>
      <c r="K345" s="79">
        <f t="shared" si="40"/>
        <v>375</v>
      </c>
      <c r="L345" s="78">
        <v>46112</v>
      </c>
      <c r="N345" s="85"/>
      <c r="O345" s="86"/>
      <c r="P345" s="83">
        <f t="shared" si="35"/>
        <v>375</v>
      </c>
      <c r="Q345" s="83">
        <f t="shared" si="36"/>
        <v>375</v>
      </c>
      <c r="R345" s="83"/>
      <c r="S345" s="83"/>
      <c r="T345" s="87"/>
      <c r="U345" s="83">
        <f t="shared" si="37"/>
        <v>375</v>
      </c>
      <c r="V345" s="83">
        <f t="shared" si="38"/>
        <v>1</v>
      </c>
      <c r="W345" s="84">
        <f t="shared" si="39"/>
        <v>375</v>
      </c>
      <c r="X345" s="84" t="s">
        <v>181</v>
      </c>
      <c r="Y345" s="24" t="s">
        <v>176</v>
      </c>
    </row>
    <row r="346" spans="1:25" s="24" customFormat="1" ht="11.1" customHeight="1" x14ac:dyDescent="0.2">
      <c r="A346" s="76">
        <f t="shared" si="41"/>
        <v>344</v>
      </c>
      <c r="B346" s="77" t="s">
        <v>328</v>
      </c>
      <c r="C346" s="76" t="str">
        <f>IF($B346&lt;&gt;"",_xlfn.IFNA(VLOOKUP($B346,'Node Details'!$B:$U,C$1,0),"Check"),"")</f>
        <v>0000AXY13-AXY130104</v>
      </c>
      <c r="D346" s="76" t="str">
        <f>IF($B346&lt;&gt;"",_xlfn.IFNA(VLOOKUP($B346,'Node Details'!$B:$U,D$1,0),"Check"),"")</f>
        <v>AXY</v>
      </c>
      <c r="E346" s="76" t="str">
        <f>IF($B346&lt;&gt;"",_xlfn.IFNA(VLOOKUP($B346,'Node Details'!$B:$U,E$1,0),"Check"),"")</f>
        <v>Airtel</v>
      </c>
      <c r="F346" s="78">
        <v>46113</v>
      </c>
      <c r="G346" s="76"/>
      <c r="H346" s="9" t="s">
        <v>178</v>
      </c>
      <c r="I346" s="9">
        <v>1</v>
      </c>
      <c r="J346" s="9">
        <v>950</v>
      </c>
      <c r="K346" s="79">
        <f t="shared" si="40"/>
        <v>950</v>
      </c>
      <c r="L346" s="78">
        <v>46112</v>
      </c>
      <c r="N346" s="85"/>
      <c r="O346" s="86"/>
      <c r="P346" s="83">
        <f t="shared" si="35"/>
        <v>950</v>
      </c>
      <c r="Q346" s="83">
        <f t="shared" si="36"/>
        <v>950</v>
      </c>
      <c r="R346" s="83"/>
      <c r="S346" s="83"/>
      <c r="T346" s="87"/>
      <c r="U346" s="83">
        <f t="shared" si="37"/>
        <v>950</v>
      </c>
      <c r="V346" s="83">
        <f t="shared" si="38"/>
        <v>1</v>
      </c>
      <c r="W346" s="84">
        <f t="shared" si="39"/>
        <v>950</v>
      </c>
      <c r="X346" s="84" t="s">
        <v>181</v>
      </c>
      <c r="Y346" s="24" t="s">
        <v>176</v>
      </c>
    </row>
    <row r="347" spans="1:25" s="24" customFormat="1" ht="11.1" customHeight="1" x14ac:dyDescent="0.2">
      <c r="A347" s="76">
        <f t="shared" si="41"/>
        <v>345</v>
      </c>
      <c r="B347" s="77" t="s">
        <v>329</v>
      </c>
      <c r="C347" s="76" t="str">
        <f>IF($B347&lt;&gt;"",_xlfn.IFNA(VLOOKUP($B347,'Node Details'!$B:$U,C$1,0),"Check"),"")</f>
        <v>0000AXY13-AXY130108</v>
      </c>
      <c r="D347" s="76" t="str">
        <f>IF($B347&lt;&gt;"",_xlfn.IFNA(VLOOKUP($B347,'Node Details'!$B:$U,D$1,0),"Check"),"")</f>
        <v>AXY</v>
      </c>
      <c r="E347" s="76" t="str">
        <f>IF($B347&lt;&gt;"",_xlfn.IFNA(VLOOKUP($B347,'Node Details'!$B:$U,E$1,0),"Check"),"")</f>
        <v>Airtel</v>
      </c>
      <c r="F347" s="78">
        <v>46113</v>
      </c>
      <c r="G347" s="76"/>
      <c r="H347" s="9" t="s">
        <v>179</v>
      </c>
      <c r="I347" s="9">
        <v>1</v>
      </c>
      <c r="J347" s="9">
        <v>375</v>
      </c>
      <c r="K347" s="79">
        <f t="shared" si="40"/>
        <v>375</v>
      </c>
      <c r="L347" s="78">
        <v>46112</v>
      </c>
      <c r="N347" s="85"/>
      <c r="O347" s="86"/>
      <c r="P347" s="83">
        <f t="shared" si="35"/>
        <v>375</v>
      </c>
      <c r="Q347" s="83">
        <f t="shared" si="36"/>
        <v>375</v>
      </c>
      <c r="R347" s="83"/>
      <c r="S347" s="83"/>
      <c r="T347" s="87"/>
      <c r="U347" s="83">
        <f t="shared" si="37"/>
        <v>375</v>
      </c>
      <c r="V347" s="83">
        <f t="shared" si="38"/>
        <v>1</v>
      </c>
      <c r="W347" s="84">
        <f t="shared" si="39"/>
        <v>375</v>
      </c>
      <c r="X347" s="84" t="s">
        <v>181</v>
      </c>
      <c r="Y347" s="24" t="s">
        <v>176</v>
      </c>
    </row>
    <row r="348" spans="1:25" s="24" customFormat="1" ht="11.1" customHeight="1" x14ac:dyDescent="0.2">
      <c r="A348" s="76">
        <f t="shared" si="41"/>
        <v>346</v>
      </c>
      <c r="B348" s="77" t="s">
        <v>330</v>
      </c>
      <c r="C348" s="76" t="str">
        <f>IF($B348&lt;&gt;"",_xlfn.IFNA(VLOOKUP($B348,'Node Details'!$B:$U,C$1,0),"Check"),"")</f>
        <v>0000AXY13-AXY130108</v>
      </c>
      <c r="D348" s="76" t="str">
        <f>IF($B348&lt;&gt;"",_xlfn.IFNA(VLOOKUP($B348,'Node Details'!$B:$U,D$1,0),"Check"),"")</f>
        <v>AXY</v>
      </c>
      <c r="E348" s="76" t="str">
        <f>IF($B348&lt;&gt;"",_xlfn.IFNA(VLOOKUP($B348,'Node Details'!$B:$U,E$1,0),"Check"),"")</f>
        <v>Airtel</v>
      </c>
      <c r="F348" s="78">
        <v>46113</v>
      </c>
      <c r="G348" s="76"/>
      <c r="H348" s="9" t="s">
        <v>179</v>
      </c>
      <c r="I348" s="9">
        <v>1</v>
      </c>
      <c r="J348" s="9">
        <v>375</v>
      </c>
      <c r="K348" s="79">
        <f t="shared" si="40"/>
        <v>375</v>
      </c>
      <c r="L348" s="78">
        <v>46112</v>
      </c>
      <c r="N348" s="85"/>
      <c r="O348" s="86"/>
      <c r="P348" s="83">
        <f t="shared" si="35"/>
        <v>375</v>
      </c>
      <c r="Q348" s="83">
        <f t="shared" si="36"/>
        <v>375</v>
      </c>
      <c r="R348" s="83"/>
      <c r="S348" s="83"/>
      <c r="T348" s="87"/>
      <c r="U348" s="83">
        <f t="shared" si="37"/>
        <v>375</v>
      </c>
      <c r="V348" s="83">
        <f t="shared" si="38"/>
        <v>1</v>
      </c>
      <c r="W348" s="84">
        <f t="shared" si="39"/>
        <v>375</v>
      </c>
      <c r="X348" s="84" t="s">
        <v>181</v>
      </c>
      <c r="Y348" s="24" t="s">
        <v>176</v>
      </c>
    </row>
    <row r="349" spans="1:25" s="24" customFormat="1" ht="11.1" customHeight="1" x14ac:dyDescent="0.2">
      <c r="A349" s="76">
        <f t="shared" si="41"/>
        <v>347</v>
      </c>
      <c r="B349" s="77" t="s">
        <v>331</v>
      </c>
      <c r="C349" s="76" t="str">
        <f>IF($B349&lt;&gt;"",_xlfn.IFNA(VLOOKUP($B349,'Node Details'!$B:$U,C$1,0),"Check"),"")</f>
        <v>0000AXY13-AXY130108</v>
      </c>
      <c r="D349" s="76" t="str">
        <f>IF($B349&lt;&gt;"",_xlfn.IFNA(VLOOKUP($B349,'Node Details'!$B:$U,D$1,0),"Check"),"")</f>
        <v>AXY</v>
      </c>
      <c r="E349" s="76" t="str">
        <f>IF($B349&lt;&gt;"",_xlfn.IFNA(VLOOKUP($B349,'Node Details'!$B:$U,E$1,0),"Check"),"")</f>
        <v>Airtel</v>
      </c>
      <c r="F349" s="78">
        <v>46113</v>
      </c>
      <c r="G349" s="76"/>
      <c r="H349" s="9" t="s">
        <v>178</v>
      </c>
      <c r="I349" s="9">
        <v>1</v>
      </c>
      <c r="J349" s="9">
        <v>950</v>
      </c>
      <c r="K349" s="79">
        <f t="shared" si="40"/>
        <v>950</v>
      </c>
      <c r="L349" s="78">
        <v>46112</v>
      </c>
      <c r="N349" s="85"/>
      <c r="O349" s="86"/>
      <c r="P349" s="83">
        <f t="shared" si="35"/>
        <v>950</v>
      </c>
      <c r="Q349" s="83">
        <f t="shared" si="36"/>
        <v>950</v>
      </c>
      <c r="R349" s="83"/>
      <c r="S349" s="83"/>
      <c r="T349" s="87"/>
      <c r="U349" s="83">
        <f t="shared" si="37"/>
        <v>950</v>
      </c>
      <c r="V349" s="83">
        <f t="shared" si="38"/>
        <v>1</v>
      </c>
      <c r="W349" s="84">
        <f t="shared" si="39"/>
        <v>950</v>
      </c>
      <c r="X349" s="84" t="s">
        <v>181</v>
      </c>
      <c r="Y349" s="24" t="s">
        <v>176</v>
      </c>
    </row>
    <row r="350" spans="1:25" s="24" customFormat="1" ht="11.1" customHeight="1" x14ac:dyDescent="0.2">
      <c r="A350" s="76">
        <f t="shared" si="41"/>
        <v>348</v>
      </c>
      <c r="B350" s="77" t="s">
        <v>332</v>
      </c>
      <c r="C350" s="76" t="str">
        <f>IF($B350&lt;&gt;"",_xlfn.IFNA(VLOOKUP($B350,'Node Details'!$B:$U,C$1,0),"Check"),"")</f>
        <v>0000AXY13-AXY130108</v>
      </c>
      <c r="D350" s="76" t="str">
        <f>IF($B350&lt;&gt;"",_xlfn.IFNA(VLOOKUP($B350,'Node Details'!$B:$U,D$1,0),"Check"),"")</f>
        <v>AXY</v>
      </c>
      <c r="E350" s="76" t="str">
        <f>IF($B350&lt;&gt;"",_xlfn.IFNA(VLOOKUP($B350,'Node Details'!$B:$U,E$1,0),"Check"),"")</f>
        <v>Airtel</v>
      </c>
      <c r="F350" s="78">
        <v>46113</v>
      </c>
      <c r="G350" s="76"/>
      <c r="H350" s="9" t="s">
        <v>178</v>
      </c>
      <c r="I350" s="9">
        <v>1</v>
      </c>
      <c r="J350" s="9">
        <v>950</v>
      </c>
      <c r="K350" s="79">
        <f t="shared" si="40"/>
        <v>950</v>
      </c>
      <c r="L350" s="78">
        <v>46112</v>
      </c>
      <c r="N350" s="85"/>
      <c r="O350" s="86"/>
      <c r="P350" s="83">
        <f t="shared" si="35"/>
        <v>950</v>
      </c>
      <c r="Q350" s="83">
        <f t="shared" si="36"/>
        <v>950</v>
      </c>
      <c r="R350" s="83"/>
      <c r="S350" s="83"/>
      <c r="T350" s="87"/>
      <c r="U350" s="83">
        <f t="shared" si="37"/>
        <v>950</v>
      </c>
      <c r="V350" s="83">
        <f t="shared" si="38"/>
        <v>1</v>
      </c>
      <c r="W350" s="84">
        <f t="shared" si="39"/>
        <v>950</v>
      </c>
      <c r="X350" s="84" t="s">
        <v>181</v>
      </c>
      <c r="Y350" s="24" t="s">
        <v>176</v>
      </c>
    </row>
    <row r="351" spans="1:25" s="24" customFormat="1" ht="11.1" customHeight="1" x14ac:dyDescent="0.2">
      <c r="A351" s="76">
        <f t="shared" si="41"/>
        <v>349</v>
      </c>
      <c r="B351" s="77" t="s">
        <v>334</v>
      </c>
      <c r="C351" s="76" t="str">
        <f>IF($B351&lt;&gt;"",_xlfn.IFNA(VLOOKUP($B351,'Node Details'!$B:$U,C$1,0),"Check"),"")</f>
        <v>0000AXY14-AXY140102</v>
      </c>
      <c r="D351" s="76" t="str">
        <f>IF($B351&lt;&gt;"",_xlfn.IFNA(VLOOKUP($B351,'Node Details'!$B:$U,D$1,0),"Check"),"")</f>
        <v>AXY</v>
      </c>
      <c r="E351" s="76" t="str">
        <f>IF($B351&lt;&gt;"",_xlfn.IFNA(VLOOKUP($B351,'Node Details'!$B:$U,E$1,0),"Check"),"")</f>
        <v>Airtel</v>
      </c>
      <c r="F351" s="78">
        <v>46113</v>
      </c>
      <c r="G351" s="76"/>
      <c r="H351" s="9" t="s">
        <v>178</v>
      </c>
      <c r="I351" s="9">
        <v>1</v>
      </c>
      <c r="J351" s="9">
        <v>950</v>
      </c>
      <c r="K351" s="79">
        <f t="shared" si="40"/>
        <v>950</v>
      </c>
      <c r="L351" s="78">
        <v>46112</v>
      </c>
      <c r="N351" s="85"/>
      <c r="O351" s="86"/>
      <c r="P351" s="83">
        <f t="shared" si="35"/>
        <v>950</v>
      </c>
      <c r="Q351" s="83">
        <f t="shared" si="36"/>
        <v>950</v>
      </c>
      <c r="R351" s="83"/>
      <c r="S351" s="83"/>
      <c r="T351" s="87"/>
      <c r="U351" s="83">
        <f t="shared" si="37"/>
        <v>950</v>
      </c>
      <c r="V351" s="83">
        <f t="shared" si="38"/>
        <v>1</v>
      </c>
      <c r="W351" s="84">
        <f t="shared" si="39"/>
        <v>950</v>
      </c>
      <c r="X351" s="84" t="s">
        <v>181</v>
      </c>
      <c r="Y351" s="24" t="s">
        <v>176</v>
      </c>
    </row>
    <row r="352" spans="1:25" s="24" customFormat="1" ht="11.1" customHeight="1" x14ac:dyDescent="0.2">
      <c r="A352" s="76">
        <f t="shared" si="41"/>
        <v>350</v>
      </c>
      <c r="B352" s="77" t="s">
        <v>335</v>
      </c>
      <c r="C352" s="76" t="str">
        <f>IF($B352&lt;&gt;"",_xlfn.IFNA(VLOOKUP($B352,'Node Details'!$B:$U,C$1,0),"Check"),"")</f>
        <v>0000AXY14-AXY140101</v>
      </c>
      <c r="D352" s="76" t="str">
        <f>IF($B352&lt;&gt;"",_xlfn.IFNA(VLOOKUP($B352,'Node Details'!$B:$U,D$1,0),"Check"),"")</f>
        <v>AXY</v>
      </c>
      <c r="E352" s="76" t="str">
        <f>IF($B352&lt;&gt;"",_xlfn.IFNA(VLOOKUP($B352,'Node Details'!$B:$U,E$1,0),"Check"),"")</f>
        <v>Airtel</v>
      </c>
      <c r="F352" s="78">
        <v>46113</v>
      </c>
      <c r="G352" s="76"/>
      <c r="H352" s="9" t="s">
        <v>179</v>
      </c>
      <c r="I352" s="9">
        <v>1</v>
      </c>
      <c r="J352" s="9">
        <v>375</v>
      </c>
      <c r="K352" s="79">
        <f t="shared" si="40"/>
        <v>375</v>
      </c>
      <c r="L352" s="78">
        <v>46112</v>
      </c>
      <c r="N352" s="85"/>
      <c r="O352" s="86"/>
      <c r="P352" s="83">
        <f t="shared" si="35"/>
        <v>375</v>
      </c>
      <c r="Q352" s="83">
        <f t="shared" si="36"/>
        <v>375</v>
      </c>
      <c r="R352" s="83"/>
      <c r="S352" s="83"/>
      <c r="T352" s="87"/>
      <c r="U352" s="83">
        <f t="shared" si="37"/>
        <v>375</v>
      </c>
      <c r="V352" s="83">
        <f t="shared" si="38"/>
        <v>1</v>
      </c>
      <c r="W352" s="84">
        <f t="shared" si="39"/>
        <v>375</v>
      </c>
      <c r="X352" s="84" t="s">
        <v>181</v>
      </c>
      <c r="Y352" s="24" t="s">
        <v>176</v>
      </c>
    </row>
    <row r="353" spans="1:25" s="24" customFormat="1" ht="11.1" customHeight="1" x14ac:dyDescent="0.2">
      <c r="A353" s="76">
        <f t="shared" si="41"/>
        <v>351</v>
      </c>
      <c r="B353" s="77" t="s">
        <v>336</v>
      </c>
      <c r="C353" s="76" t="str">
        <f>IF($B353&lt;&gt;"",_xlfn.IFNA(VLOOKUP($B353,'Node Details'!$B:$U,C$1,0),"Check"),"")</f>
        <v>0000AXY14-AXY140202</v>
      </c>
      <c r="D353" s="76" t="str">
        <f>IF($B353&lt;&gt;"",_xlfn.IFNA(VLOOKUP($B353,'Node Details'!$B:$U,D$1,0),"Check"),"")</f>
        <v>AXY</v>
      </c>
      <c r="E353" s="76" t="str">
        <f>IF($B353&lt;&gt;"",_xlfn.IFNA(VLOOKUP($B353,'Node Details'!$B:$U,E$1,0),"Check"),"")</f>
        <v>Airtel</v>
      </c>
      <c r="F353" s="78">
        <v>46113</v>
      </c>
      <c r="G353" s="76"/>
      <c r="H353" s="9" t="s">
        <v>179</v>
      </c>
      <c r="I353" s="9">
        <v>1</v>
      </c>
      <c r="J353" s="9">
        <v>375</v>
      </c>
      <c r="K353" s="79">
        <f t="shared" si="40"/>
        <v>375</v>
      </c>
      <c r="L353" s="78">
        <v>46112</v>
      </c>
      <c r="N353" s="85"/>
      <c r="O353" s="86"/>
      <c r="P353" s="83">
        <f t="shared" si="35"/>
        <v>375</v>
      </c>
      <c r="Q353" s="83">
        <f t="shared" si="36"/>
        <v>375</v>
      </c>
      <c r="R353" s="83"/>
      <c r="S353" s="83"/>
      <c r="T353" s="87"/>
      <c r="U353" s="83">
        <f t="shared" si="37"/>
        <v>375</v>
      </c>
      <c r="V353" s="83">
        <f t="shared" si="38"/>
        <v>1</v>
      </c>
      <c r="W353" s="84">
        <f t="shared" si="39"/>
        <v>375</v>
      </c>
      <c r="X353" s="84" t="s">
        <v>181</v>
      </c>
      <c r="Y353" s="24" t="s">
        <v>176</v>
      </c>
    </row>
    <row r="354" spans="1:25" s="24" customFormat="1" ht="11.1" customHeight="1" x14ac:dyDescent="0.2">
      <c r="A354" s="76">
        <f t="shared" si="41"/>
        <v>352</v>
      </c>
      <c r="B354" s="77" t="s">
        <v>337</v>
      </c>
      <c r="C354" s="76" t="str">
        <f>IF($B354&lt;&gt;"",_xlfn.IFNA(VLOOKUP($B354,'Node Details'!$B:$U,C$1,0),"Check"),"")</f>
        <v>0000AXY14-AXY140202</v>
      </c>
      <c r="D354" s="76" t="str">
        <f>IF($B354&lt;&gt;"",_xlfn.IFNA(VLOOKUP($B354,'Node Details'!$B:$U,D$1,0),"Check"),"")</f>
        <v>AXY</v>
      </c>
      <c r="E354" s="76" t="str">
        <f>IF($B354&lt;&gt;"",_xlfn.IFNA(VLOOKUP($B354,'Node Details'!$B:$U,E$1,0),"Check"),"")</f>
        <v>Airtel</v>
      </c>
      <c r="F354" s="78">
        <v>46113</v>
      </c>
      <c r="G354" s="76"/>
      <c r="H354" s="9" t="s">
        <v>179</v>
      </c>
      <c r="I354" s="9">
        <v>1</v>
      </c>
      <c r="J354" s="9">
        <v>375</v>
      </c>
      <c r="K354" s="79">
        <f t="shared" si="40"/>
        <v>375</v>
      </c>
      <c r="L354" s="78">
        <v>46112</v>
      </c>
      <c r="N354" s="85"/>
      <c r="O354" s="86"/>
      <c r="P354" s="83">
        <f t="shared" si="35"/>
        <v>375</v>
      </c>
      <c r="Q354" s="83">
        <f t="shared" si="36"/>
        <v>375</v>
      </c>
      <c r="R354" s="83"/>
      <c r="S354" s="83"/>
      <c r="T354" s="87"/>
      <c r="U354" s="83">
        <f t="shared" si="37"/>
        <v>375</v>
      </c>
      <c r="V354" s="83">
        <f t="shared" si="38"/>
        <v>1</v>
      </c>
      <c r="W354" s="84">
        <f t="shared" si="39"/>
        <v>375</v>
      </c>
      <c r="X354" s="84" t="s">
        <v>181</v>
      </c>
      <c r="Y354" s="24" t="s">
        <v>176</v>
      </c>
    </row>
    <row r="355" spans="1:25" s="24" customFormat="1" ht="11.1" customHeight="1" x14ac:dyDescent="0.2">
      <c r="A355" s="76">
        <f t="shared" si="41"/>
        <v>353</v>
      </c>
      <c r="B355" s="77" t="s">
        <v>338</v>
      </c>
      <c r="C355" s="76" t="str">
        <f>IF($B355&lt;&gt;"",_xlfn.IFNA(VLOOKUP($B355,'Node Details'!$B:$U,C$1,0),"Check"),"")</f>
        <v>0000AXY14-AXY140202</v>
      </c>
      <c r="D355" s="76" t="str">
        <f>IF($B355&lt;&gt;"",_xlfn.IFNA(VLOOKUP($B355,'Node Details'!$B:$U,D$1,0),"Check"),"")</f>
        <v>AXY</v>
      </c>
      <c r="E355" s="76" t="str">
        <f>IF($B355&lt;&gt;"",_xlfn.IFNA(VLOOKUP($B355,'Node Details'!$B:$U,E$1,0),"Check"),"")</f>
        <v>Airtel</v>
      </c>
      <c r="F355" s="78">
        <v>46113</v>
      </c>
      <c r="G355" s="76"/>
      <c r="H355" s="9" t="s">
        <v>178</v>
      </c>
      <c r="I355" s="9">
        <v>1</v>
      </c>
      <c r="J355" s="9">
        <v>950</v>
      </c>
      <c r="K355" s="79">
        <f t="shared" si="40"/>
        <v>950</v>
      </c>
      <c r="L355" s="78">
        <v>46112</v>
      </c>
      <c r="N355" s="85"/>
      <c r="O355" s="86"/>
      <c r="P355" s="83">
        <f t="shared" si="35"/>
        <v>950</v>
      </c>
      <c r="Q355" s="83">
        <f t="shared" si="36"/>
        <v>950</v>
      </c>
      <c r="R355" s="83"/>
      <c r="S355" s="83"/>
      <c r="T355" s="87"/>
      <c r="U355" s="83">
        <f t="shared" si="37"/>
        <v>950</v>
      </c>
      <c r="V355" s="83">
        <f t="shared" si="38"/>
        <v>1</v>
      </c>
      <c r="W355" s="84">
        <f t="shared" si="39"/>
        <v>950</v>
      </c>
      <c r="X355" s="84" t="s">
        <v>181</v>
      </c>
      <c r="Y355" s="24" t="s">
        <v>176</v>
      </c>
    </row>
    <row r="356" spans="1:25" s="24" customFormat="1" ht="11.1" customHeight="1" x14ac:dyDescent="0.2">
      <c r="A356" s="76">
        <f t="shared" si="41"/>
        <v>354</v>
      </c>
      <c r="B356" s="77" t="s">
        <v>339</v>
      </c>
      <c r="C356" s="76" t="str">
        <f>IF($B356&lt;&gt;"",_xlfn.IFNA(VLOOKUP($B356,'Node Details'!$B:$U,C$1,0),"Check"),"")</f>
        <v>AXY140202-AXY140203</v>
      </c>
      <c r="D356" s="76" t="str">
        <f>IF($B356&lt;&gt;"",_xlfn.IFNA(VLOOKUP($B356,'Node Details'!$B:$U,D$1,0),"Check"),"")</f>
        <v>AXY</v>
      </c>
      <c r="E356" s="76" t="str">
        <f>IF($B356&lt;&gt;"",_xlfn.IFNA(VLOOKUP($B356,'Node Details'!$B:$U,E$1,0),"Check"),"")</f>
        <v>Airtel</v>
      </c>
      <c r="F356" s="78">
        <v>46113</v>
      </c>
      <c r="G356" s="76"/>
      <c r="H356" s="9" t="s">
        <v>179</v>
      </c>
      <c r="I356" s="9">
        <v>1</v>
      </c>
      <c r="J356" s="9">
        <v>375</v>
      </c>
      <c r="K356" s="79">
        <f t="shared" si="40"/>
        <v>375</v>
      </c>
      <c r="L356" s="78">
        <v>46112</v>
      </c>
      <c r="N356" s="85"/>
      <c r="O356" s="86"/>
      <c r="P356" s="83">
        <f t="shared" si="35"/>
        <v>375</v>
      </c>
      <c r="Q356" s="83">
        <f t="shared" si="36"/>
        <v>375</v>
      </c>
      <c r="R356" s="83"/>
      <c r="S356" s="83"/>
      <c r="T356" s="87"/>
      <c r="U356" s="83">
        <f t="shared" si="37"/>
        <v>375</v>
      </c>
      <c r="V356" s="83">
        <f t="shared" si="38"/>
        <v>1</v>
      </c>
      <c r="W356" s="84">
        <f t="shared" si="39"/>
        <v>375</v>
      </c>
      <c r="X356" s="84" t="s">
        <v>181</v>
      </c>
      <c r="Y356" s="24" t="s">
        <v>176</v>
      </c>
    </row>
    <row r="357" spans="1:25" s="24" customFormat="1" ht="11.1" customHeight="1" x14ac:dyDescent="0.2">
      <c r="A357" s="76">
        <f t="shared" si="41"/>
        <v>355</v>
      </c>
      <c r="B357" s="77" t="s">
        <v>340</v>
      </c>
      <c r="C357" s="76" t="str">
        <f>IF($B357&lt;&gt;"",_xlfn.IFNA(VLOOKUP($B357,'Node Details'!$B:$U,C$1,0),"Check"),"")</f>
        <v>AXY140108-AXY140104</v>
      </c>
      <c r="D357" s="76" t="str">
        <f>IF($B357&lt;&gt;"",_xlfn.IFNA(VLOOKUP($B357,'Node Details'!$B:$U,D$1,0),"Check"),"")</f>
        <v>AXY</v>
      </c>
      <c r="E357" s="76" t="str">
        <f>IF($B357&lt;&gt;"",_xlfn.IFNA(VLOOKUP($B357,'Node Details'!$B:$U,E$1,0),"Check"),"")</f>
        <v>Airtel</v>
      </c>
      <c r="F357" s="78">
        <v>46113</v>
      </c>
      <c r="G357" s="76"/>
      <c r="H357" s="9" t="s">
        <v>178</v>
      </c>
      <c r="I357" s="9">
        <v>1</v>
      </c>
      <c r="J357" s="9">
        <v>950</v>
      </c>
      <c r="K357" s="79">
        <f t="shared" si="40"/>
        <v>950</v>
      </c>
      <c r="L357" s="78">
        <v>46112</v>
      </c>
      <c r="N357" s="85"/>
      <c r="O357" s="86"/>
      <c r="P357" s="83">
        <f t="shared" si="35"/>
        <v>950</v>
      </c>
      <c r="Q357" s="83">
        <f t="shared" si="36"/>
        <v>950</v>
      </c>
      <c r="R357" s="83"/>
      <c r="S357" s="83"/>
      <c r="T357" s="87"/>
      <c r="U357" s="83">
        <f t="shared" si="37"/>
        <v>950</v>
      </c>
      <c r="V357" s="83">
        <f t="shared" si="38"/>
        <v>1</v>
      </c>
      <c r="W357" s="84">
        <f t="shared" si="39"/>
        <v>950</v>
      </c>
      <c r="X357" s="84" t="s">
        <v>181</v>
      </c>
      <c r="Y357" s="24" t="s">
        <v>176</v>
      </c>
    </row>
    <row r="358" spans="1:25" s="24" customFormat="1" ht="11.1" customHeight="1" x14ac:dyDescent="0.2">
      <c r="A358" s="76">
        <f t="shared" si="41"/>
        <v>356</v>
      </c>
      <c r="B358" s="77" t="s">
        <v>341</v>
      </c>
      <c r="C358" s="76" t="str">
        <f>IF($B358&lt;&gt;"",_xlfn.IFNA(VLOOKUP($B358,'Node Details'!$B:$U,C$1,0),"Check"),"")</f>
        <v>AXY140108-AXY140104</v>
      </c>
      <c r="D358" s="76" t="str">
        <f>IF($B358&lt;&gt;"",_xlfn.IFNA(VLOOKUP($B358,'Node Details'!$B:$U,D$1,0),"Check"),"")</f>
        <v>AXY</v>
      </c>
      <c r="E358" s="76" t="str">
        <f>IF($B358&lt;&gt;"",_xlfn.IFNA(VLOOKUP($B358,'Node Details'!$B:$U,E$1,0),"Check"),"")</f>
        <v>Airtel</v>
      </c>
      <c r="F358" s="78">
        <v>46113</v>
      </c>
      <c r="G358" s="76"/>
      <c r="H358" s="9" t="s">
        <v>179</v>
      </c>
      <c r="I358" s="9">
        <v>1</v>
      </c>
      <c r="J358" s="9">
        <v>375</v>
      </c>
      <c r="K358" s="79">
        <f t="shared" si="40"/>
        <v>375</v>
      </c>
      <c r="L358" s="78">
        <v>46112</v>
      </c>
      <c r="N358" s="85"/>
      <c r="O358" s="86"/>
      <c r="P358" s="83">
        <f t="shared" si="35"/>
        <v>375</v>
      </c>
      <c r="Q358" s="83">
        <f t="shared" si="36"/>
        <v>375</v>
      </c>
      <c r="R358" s="83"/>
      <c r="S358" s="83"/>
      <c r="T358" s="87"/>
      <c r="U358" s="83">
        <f t="shared" si="37"/>
        <v>375</v>
      </c>
      <c r="V358" s="83">
        <f t="shared" si="38"/>
        <v>1</v>
      </c>
      <c r="W358" s="84">
        <f t="shared" si="39"/>
        <v>375</v>
      </c>
      <c r="X358" s="84" t="s">
        <v>181</v>
      </c>
      <c r="Y358" s="24" t="s">
        <v>176</v>
      </c>
    </row>
    <row r="359" spans="1:25" s="24" customFormat="1" ht="11.1" customHeight="1" x14ac:dyDescent="0.2">
      <c r="A359" s="76">
        <f t="shared" si="41"/>
        <v>357</v>
      </c>
      <c r="B359" s="77" t="s">
        <v>342</v>
      </c>
      <c r="C359" s="76" t="str">
        <f>IF($B359&lt;&gt;"",_xlfn.IFNA(VLOOKUP($B359,'Node Details'!$B:$U,C$1,0),"Check"),"")</f>
        <v>AXY140108-AXY140104</v>
      </c>
      <c r="D359" s="76" t="str">
        <f>IF($B359&lt;&gt;"",_xlfn.IFNA(VLOOKUP($B359,'Node Details'!$B:$U,D$1,0),"Check"),"")</f>
        <v>AXY</v>
      </c>
      <c r="E359" s="76" t="str">
        <f>IF($B359&lt;&gt;"",_xlfn.IFNA(VLOOKUP($B359,'Node Details'!$B:$U,E$1,0),"Check"),"")</f>
        <v>Airtel</v>
      </c>
      <c r="F359" s="78">
        <v>46113</v>
      </c>
      <c r="G359" s="76"/>
      <c r="H359" s="9" t="s">
        <v>179</v>
      </c>
      <c r="I359" s="9">
        <v>1</v>
      </c>
      <c r="J359" s="9">
        <v>375</v>
      </c>
      <c r="K359" s="79">
        <f t="shared" si="40"/>
        <v>375</v>
      </c>
      <c r="L359" s="78">
        <v>46112</v>
      </c>
      <c r="N359" s="85"/>
      <c r="O359" s="86"/>
      <c r="P359" s="83">
        <f t="shared" si="35"/>
        <v>375</v>
      </c>
      <c r="Q359" s="83">
        <f t="shared" si="36"/>
        <v>375</v>
      </c>
      <c r="R359" s="83"/>
      <c r="S359" s="83"/>
      <c r="T359" s="87"/>
      <c r="U359" s="83">
        <f t="shared" si="37"/>
        <v>375</v>
      </c>
      <c r="V359" s="83">
        <f t="shared" si="38"/>
        <v>1</v>
      </c>
      <c r="W359" s="84">
        <f t="shared" si="39"/>
        <v>375</v>
      </c>
      <c r="X359" s="84" t="s">
        <v>181</v>
      </c>
      <c r="Y359" s="24" t="s">
        <v>176</v>
      </c>
    </row>
    <row r="360" spans="1:25" s="24" customFormat="1" ht="11.1" customHeight="1" x14ac:dyDescent="0.2">
      <c r="A360" s="76">
        <f t="shared" si="41"/>
        <v>358</v>
      </c>
      <c r="B360" s="77" t="s">
        <v>343</v>
      </c>
      <c r="C360" s="76" t="str">
        <f>IF($B360&lt;&gt;"",_xlfn.IFNA(VLOOKUP($B360,'Node Details'!$B:$U,C$1,0),"Check"),"")</f>
        <v>AXY140108-AXY140104</v>
      </c>
      <c r="D360" s="76" t="str">
        <f>IF($B360&lt;&gt;"",_xlfn.IFNA(VLOOKUP($B360,'Node Details'!$B:$U,D$1,0),"Check"),"")</f>
        <v>AXY</v>
      </c>
      <c r="E360" s="76" t="str">
        <f>IF($B360&lt;&gt;"",_xlfn.IFNA(VLOOKUP($B360,'Node Details'!$B:$U,E$1,0),"Check"),"")</f>
        <v>Airtel</v>
      </c>
      <c r="F360" s="78">
        <v>46113</v>
      </c>
      <c r="G360" s="76"/>
      <c r="H360" s="9" t="s">
        <v>179</v>
      </c>
      <c r="I360" s="9">
        <v>1</v>
      </c>
      <c r="J360" s="9">
        <v>375</v>
      </c>
      <c r="K360" s="79">
        <f t="shared" si="40"/>
        <v>375</v>
      </c>
      <c r="L360" s="78">
        <v>46112</v>
      </c>
      <c r="N360" s="85"/>
      <c r="O360" s="86"/>
      <c r="P360" s="83">
        <f t="shared" si="35"/>
        <v>375</v>
      </c>
      <c r="Q360" s="83">
        <f t="shared" si="36"/>
        <v>375</v>
      </c>
      <c r="R360" s="83"/>
      <c r="S360" s="83"/>
      <c r="T360" s="87"/>
      <c r="U360" s="83">
        <f t="shared" si="37"/>
        <v>375</v>
      </c>
      <c r="V360" s="83">
        <f t="shared" si="38"/>
        <v>1</v>
      </c>
      <c r="W360" s="84">
        <f t="shared" si="39"/>
        <v>375</v>
      </c>
      <c r="X360" s="84" t="s">
        <v>181</v>
      </c>
      <c r="Y360" s="24" t="s">
        <v>176</v>
      </c>
    </row>
    <row r="361" spans="1:25" s="24" customFormat="1" ht="11.1" customHeight="1" x14ac:dyDescent="0.2">
      <c r="A361" s="76">
        <f t="shared" si="41"/>
        <v>359</v>
      </c>
      <c r="B361" s="77" t="s">
        <v>345</v>
      </c>
      <c r="C361" s="76" t="str">
        <f>IF($B361&lt;&gt;"",_xlfn.IFNA(VLOOKUP($B361,'Node Details'!$B:$U,C$1,0),"Check"),"")</f>
        <v>0000AXY15-AXY150103</v>
      </c>
      <c r="D361" s="76" t="str">
        <f>IF($B361&lt;&gt;"",_xlfn.IFNA(VLOOKUP($B361,'Node Details'!$B:$U,D$1,0),"Check"),"")</f>
        <v>AXY</v>
      </c>
      <c r="E361" s="76" t="str">
        <f>IF($B361&lt;&gt;"",_xlfn.IFNA(VLOOKUP($B361,'Node Details'!$B:$U,E$1,0),"Check"),"")</f>
        <v>Airtel</v>
      </c>
      <c r="F361" s="78">
        <v>46113</v>
      </c>
      <c r="G361" s="76"/>
      <c r="H361" s="9" t="s">
        <v>178</v>
      </c>
      <c r="I361" s="9">
        <v>1</v>
      </c>
      <c r="J361" s="9">
        <v>950</v>
      </c>
      <c r="K361" s="79">
        <f t="shared" si="40"/>
        <v>950</v>
      </c>
      <c r="L361" s="78">
        <v>46112</v>
      </c>
      <c r="N361" s="85"/>
      <c r="O361" s="86"/>
      <c r="P361" s="83">
        <f t="shared" si="35"/>
        <v>950</v>
      </c>
      <c r="Q361" s="83">
        <f t="shared" si="36"/>
        <v>950</v>
      </c>
      <c r="R361" s="83"/>
      <c r="S361" s="83"/>
      <c r="T361" s="87"/>
      <c r="U361" s="83">
        <f t="shared" si="37"/>
        <v>950</v>
      </c>
      <c r="V361" s="83">
        <f t="shared" si="38"/>
        <v>1</v>
      </c>
      <c r="W361" s="84">
        <f t="shared" si="39"/>
        <v>950</v>
      </c>
      <c r="X361" s="84" t="s">
        <v>181</v>
      </c>
      <c r="Y361" s="24" t="s">
        <v>176</v>
      </c>
    </row>
    <row r="362" spans="1:25" s="24" customFormat="1" ht="11.1" customHeight="1" x14ac:dyDescent="0.2">
      <c r="A362" s="76">
        <f t="shared" si="41"/>
        <v>360</v>
      </c>
      <c r="B362" s="77" t="s">
        <v>346</v>
      </c>
      <c r="C362" s="76" t="str">
        <f>IF($B362&lt;&gt;"",_xlfn.IFNA(VLOOKUP($B362,'Node Details'!$B:$U,C$1,0),"Check"),"")</f>
        <v>0000AXY15-AXY150103</v>
      </c>
      <c r="D362" s="76" t="str">
        <f>IF($B362&lt;&gt;"",_xlfn.IFNA(VLOOKUP($B362,'Node Details'!$B:$U,D$1,0),"Check"),"")</f>
        <v>AXY</v>
      </c>
      <c r="E362" s="76" t="str">
        <f>IF($B362&lt;&gt;"",_xlfn.IFNA(VLOOKUP($B362,'Node Details'!$B:$U,E$1,0),"Check"),"")</f>
        <v>Airtel</v>
      </c>
      <c r="F362" s="78">
        <v>46113</v>
      </c>
      <c r="G362" s="76"/>
      <c r="H362" s="9" t="s">
        <v>178</v>
      </c>
      <c r="I362" s="9">
        <v>1</v>
      </c>
      <c r="J362" s="9">
        <v>950</v>
      </c>
      <c r="K362" s="79">
        <f t="shared" si="40"/>
        <v>950</v>
      </c>
      <c r="L362" s="78">
        <v>46112</v>
      </c>
      <c r="N362" s="85"/>
      <c r="O362" s="86"/>
      <c r="P362" s="83">
        <f t="shared" si="35"/>
        <v>950</v>
      </c>
      <c r="Q362" s="83">
        <f t="shared" si="36"/>
        <v>950</v>
      </c>
      <c r="R362" s="83"/>
      <c r="S362" s="83"/>
      <c r="T362" s="87"/>
      <c r="U362" s="83">
        <f t="shared" si="37"/>
        <v>950</v>
      </c>
      <c r="V362" s="83">
        <f t="shared" si="38"/>
        <v>1</v>
      </c>
      <c r="W362" s="84">
        <f t="shared" si="39"/>
        <v>950</v>
      </c>
      <c r="X362" s="84" t="s">
        <v>181</v>
      </c>
      <c r="Y362" s="24" t="s">
        <v>176</v>
      </c>
    </row>
    <row r="363" spans="1:25" s="24" customFormat="1" ht="11.1" customHeight="1" x14ac:dyDescent="0.2">
      <c r="A363" s="76">
        <f t="shared" si="41"/>
        <v>361</v>
      </c>
      <c r="B363" s="77" t="s">
        <v>347</v>
      </c>
      <c r="C363" s="76" t="str">
        <f>IF($B363&lt;&gt;"",_xlfn.IFNA(VLOOKUP($B363,'Node Details'!$B:$U,C$1,0),"Check"),"")</f>
        <v>0000AXY15-AXY150103</v>
      </c>
      <c r="D363" s="76" t="str">
        <f>IF($B363&lt;&gt;"",_xlfn.IFNA(VLOOKUP($B363,'Node Details'!$B:$U,D$1,0),"Check"),"")</f>
        <v>AXY</v>
      </c>
      <c r="E363" s="76" t="str">
        <f>IF($B363&lt;&gt;"",_xlfn.IFNA(VLOOKUP($B363,'Node Details'!$B:$U,E$1,0),"Check"),"")</f>
        <v>Airtel</v>
      </c>
      <c r="F363" s="78">
        <v>46113</v>
      </c>
      <c r="G363" s="76"/>
      <c r="H363" s="9" t="s">
        <v>178</v>
      </c>
      <c r="I363" s="9">
        <v>1</v>
      </c>
      <c r="J363" s="9">
        <v>950</v>
      </c>
      <c r="K363" s="79">
        <f t="shared" si="40"/>
        <v>950</v>
      </c>
      <c r="L363" s="78">
        <v>46112</v>
      </c>
      <c r="N363" s="85"/>
      <c r="O363" s="86"/>
      <c r="P363" s="83">
        <f t="shared" si="35"/>
        <v>950</v>
      </c>
      <c r="Q363" s="83">
        <f t="shared" si="36"/>
        <v>950</v>
      </c>
      <c r="R363" s="83"/>
      <c r="S363" s="83"/>
      <c r="T363" s="87"/>
      <c r="U363" s="83">
        <f t="shared" si="37"/>
        <v>950</v>
      </c>
      <c r="V363" s="83">
        <f t="shared" si="38"/>
        <v>1</v>
      </c>
      <c r="W363" s="84">
        <f t="shared" si="39"/>
        <v>950</v>
      </c>
      <c r="X363" s="84" t="s">
        <v>181</v>
      </c>
      <c r="Y363" s="24" t="s">
        <v>176</v>
      </c>
    </row>
    <row r="364" spans="1:25" s="24" customFormat="1" ht="11.1" customHeight="1" x14ac:dyDescent="0.2">
      <c r="A364" s="76">
        <f t="shared" si="41"/>
        <v>362</v>
      </c>
      <c r="B364" s="77" t="s">
        <v>348</v>
      </c>
      <c r="C364" s="76" t="str">
        <f>IF($B364&lt;&gt;"",_xlfn.IFNA(VLOOKUP($B364,'Node Details'!$B:$U,C$1,0),"Check"),"")</f>
        <v>0000AXY15-AXY150104</v>
      </c>
      <c r="D364" s="76" t="str">
        <f>IF($B364&lt;&gt;"",_xlfn.IFNA(VLOOKUP($B364,'Node Details'!$B:$U,D$1,0),"Check"),"")</f>
        <v>AXY</v>
      </c>
      <c r="E364" s="76" t="str">
        <f>IF($B364&lt;&gt;"",_xlfn.IFNA(VLOOKUP($B364,'Node Details'!$B:$U,E$1,0),"Check"),"")</f>
        <v>Airtel</v>
      </c>
      <c r="F364" s="78">
        <v>46113</v>
      </c>
      <c r="G364" s="76"/>
      <c r="H364" s="9" t="s">
        <v>178</v>
      </c>
      <c r="I364" s="9">
        <v>1</v>
      </c>
      <c r="J364" s="9">
        <v>950</v>
      </c>
      <c r="K364" s="79">
        <f t="shared" si="40"/>
        <v>950</v>
      </c>
      <c r="L364" s="78">
        <v>46112</v>
      </c>
      <c r="N364" s="85"/>
      <c r="O364" s="86"/>
      <c r="P364" s="83">
        <f t="shared" si="35"/>
        <v>950</v>
      </c>
      <c r="Q364" s="83">
        <f t="shared" si="36"/>
        <v>950</v>
      </c>
      <c r="R364" s="83"/>
      <c r="S364" s="83"/>
      <c r="T364" s="87"/>
      <c r="U364" s="83">
        <f t="shared" si="37"/>
        <v>950</v>
      </c>
      <c r="V364" s="83">
        <f t="shared" si="38"/>
        <v>1</v>
      </c>
      <c r="W364" s="84">
        <f t="shared" si="39"/>
        <v>950</v>
      </c>
      <c r="X364" s="84" t="s">
        <v>181</v>
      </c>
      <c r="Y364" s="24" t="s">
        <v>176</v>
      </c>
    </row>
    <row r="365" spans="1:25" s="24" customFormat="1" ht="11.1" customHeight="1" x14ac:dyDescent="0.2">
      <c r="A365" s="76">
        <f t="shared" si="41"/>
        <v>363</v>
      </c>
      <c r="B365" s="77" t="s">
        <v>349</v>
      </c>
      <c r="C365" s="76" t="str">
        <f>IF($B365&lt;&gt;"",_xlfn.IFNA(VLOOKUP($B365,'Node Details'!$B:$U,C$1,0),"Check"),"")</f>
        <v>0000AXY15-AXY150108</v>
      </c>
      <c r="D365" s="76" t="str">
        <f>IF($B365&lt;&gt;"",_xlfn.IFNA(VLOOKUP($B365,'Node Details'!$B:$U,D$1,0),"Check"),"")</f>
        <v>AXY</v>
      </c>
      <c r="E365" s="76" t="str">
        <f>IF($B365&lt;&gt;"",_xlfn.IFNA(VLOOKUP($B365,'Node Details'!$B:$U,E$1,0),"Check"),"")</f>
        <v>Airtel</v>
      </c>
      <c r="F365" s="78">
        <v>46113</v>
      </c>
      <c r="G365" s="76"/>
      <c r="H365" s="9" t="s">
        <v>178</v>
      </c>
      <c r="I365" s="9">
        <v>1</v>
      </c>
      <c r="J365" s="9">
        <v>950</v>
      </c>
      <c r="K365" s="79">
        <f t="shared" si="40"/>
        <v>950</v>
      </c>
      <c r="L365" s="78">
        <v>46112</v>
      </c>
      <c r="N365" s="85"/>
      <c r="O365" s="86"/>
      <c r="P365" s="83">
        <f t="shared" si="35"/>
        <v>950</v>
      </c>
      <c r="Q365" s="83">
        <f t="shared" si="36"/>
        <v>950</v>
      </c>
      <c r="R365" s="83"/>
      <c r="S365" s="83"/>
      <c r="T365" s="87"/>
      <c r="U365" s="83">
        <f t="shared" si="37"/>
        <v>950</v>
      </c>
      <c r="V365" s="83">
        <f t="shared" si="38"/>
        <v>1</v>
      </c>
      <c r="W365" s="84">
        <f t="shared" si="39"/>
        <v>950</v>
      </c>
      <c r="X365" s="84" t="s">
        <v>181</v>
      </c>
      <c r="Y365" s="24" t="s">
        <v>176</v>
      </c>
    </row>
    <row r="366" spans="1:25" s="24" customFormat="1" ht="11.1" customHeight="1" x14ac:dyDescent="0.2">
      <c r="A366" s="76">
        <f t="shared" si="41"/>
        <v>364</v>
      </c>
      <c r="B366" s="77" t="s">
        <v>350</v>
      </c>
      <c r="C366" s="76" t="str">
        <f>IF($B366&lt;&gt;"",_xlfn.IFNA(VLOOKUP($B366,'Node Details'!$B:$U,C$1,0),"Check"),"")</f>
        <v>0000AXY15-AXY150108</v>
      </c>
      <c r="D366" s="76" t="str">
        <f>IF($B366&lt;&gt;"",_xlfn.IFNA(VLOOKUP($B366,'Node Details'!$B:$U,D$1,0),"Check"),"")</f>
        <v>AXY</v>
      </c>
      <c r="E366" s="76" t="str">
        <f>IF($B366&lt;&gt;"",_xlfn.IFNA(VLOOKUP($B366,'Node Details'!$B:$U,E$1,0),"Check"),"")</f>
        <v>Airtel</v>
      </c>
      <c r="F366" s="78">
        <v>46113</v>
      </c>
      <c r="G366" s="76"/>
      <c r="H366" s="9" t="s">
        <v>178</v>
      </c>
      <c r="I366" s="9">
        <v>1</v>
      </c>
      <c r="J366" s="9">
        <v>950</v>
      </c>
      <c r="K366" s="79">
        <f t="shared" si="40"/>
        <v>950</v>
      </c>
      <c r="L366" s="78">
        <v>46112</v>
      </c>
      <c r="N366" s="85"/>
      <c r="O366" s="86"/>
      <c r="P366" s="83">
        <f t="shared" si="35"/>
        <v>950</v>
      </c>
      <c r="Q366" s="83">
        <f t="shared" si="36"/>
        <v>950</v>
      </c>
      <c r="R366" s="83"/>
      <c r="S366" s="83"/>
      <c r="T366" s="87"/>
      <c r="U366" s="83">
        <f t="shared" si="37"/>
        <v>950</v>
      </c>
      <c r="V366" s="83">
        <f t="shared" si="38"/>
        <v>1</v>
      </c>
      <c r="W366" s="84">
        <f t="shared" si="39"/>
        <v>950</v>
      </c>
      <c r="X366" s="84" t="s">
        <v>181</v>
      </c>
      <c r="Y366" s="24" t="s">
        <v>176</v>
      </c>
    </row>
    <row r="367" spans="1:25" s="24" customFormat="1" ht="11.1" customHeight="1" x14ac:dyDescent="0.2">
      <c r="A367" s="76">
        <f t="shared" si="41"/>
        <v>365</v>
      </c>
      <c r="B367" s="77" t="s">
        <v>351</v>
      </c>
      <c r="C367" s="76" t="str">
        <f>IF($B367&lt;&gt;"",_xlfn.IFNA(VLOOKUP($B367,'Node Details'!$B:$U,C$1,0),"Check"),"")</f>
        <v>0000AXY15-AXY150108</v>
      </c>
      <c r="D367" s="76" t="str">
        <f>IF($B367&lt;&gt;"",_xlfn.IFNA(VLOOKUP($B367,'Node Details'!$B:$U,D$1,0),"Check"),"")</f>
        <v>AXY</v>
      </c>
      <c r="E367" s="76" t="str">
        <f>IF($B367&lt;&gt;"",_xlfn.IFNA(VLOOKUP($B367,'Node Details'!$B:$U,E$1,0),"Check"),"")</f>
        <v>Airtel</v>
      </c>
      <c r="F367" s="78">
        <v>46113</v>
      </c>
      <c r="G367" s="76"/>
      <c r="H367" s="9" t="s">
        <v>178</v>
      </c>
      <c r="I367" s="9">
        <v>1</v>
      </c>
      <c r="J367" s="9">
        <v>950</v>
      </c>
      <c r="K367" s="79">
        <f t="shared" si="40"/>
        <v>950</v>
      </c>
      <c r="L367" s="78">
        <v>46112</v>
      </c>
      <c r="N367" s="85"/>
      <c r="O367" s="86"/>
      <c r="P367" s="83">
        <f t="shared" ref="P367:P430" si="42">J367</f>
        <v>950</v>
      </c>
      <c r="Q367" s="83">
        <f t="shared" ref="Q367:Q430" si="43">P367*I367</f>
        <v>950</v>
      </c>
      <c r="R367" s="83"/>
      <c r="S367" s="83"/>
      <c r="T367" s="87"/>
      <c r="U367" s="83">
        <f t="shared" ref="U367:U430" si="44">J367</f>
        <v>950</v>
      </c>
      <c r="V367" s="83">
        <f t="shared" ref="V367:V430" si="45">I367</f>
        <v>1</v>
      </c>
      <c r="W367" s="84">
        <f t="shared" ref="W367:W430" si="46">IF(V367&lt;&gt;"",V367*U367,0)</f>
        <v>950</v>
      </c>
      <c r="X367" s="84" t="s">
        <v>181</v>
      </c>
      <c r="Y367" s="24" t="s">
        <v>176</v>
      </c>
    </row>
    <row r="368" spans="1:25" s="24" customFormat="1" ht="11.1" customHeight="1" x14ac:dyDescent="0.2">
      <c r="A368" s="76">
        <f t="shared" si="41"/>
        <v>366</v>
      </c>
      <c r="B368" s="77" t="s">
        <v>353</v>
      </c>
      <c r="C368" s="76" t="str">
        <f>IF($B368&lt;&gt;"",_xlfn.IFNA(VLOOKUP($B368,'Node Details'!$B:$U,C$1,0),"Check"),"")</f>
        <v>0000AXY16-AXY160104</v>
      </c>
      <c r="D368" s="76" t="str">
        <f>IF($B368&lt;&gt;"",_xlfn.IFNA(VLOOKUP($B368,'Node Details'!$B:$U,D$1,0),"Check"),"")</f>
        <v>AXY</v>
      </c>
      <c r="E368" s="76" t="str">
        <f>IF($B368&lt;&gt;"",_xlfn.IFNA(VLOOKUP($B368,'Node Details'!$B:$U,E$1,0),"Check"),"")</f>
        <v>Airtel</v>
      </c>
      <c r="F368" s="78">
        <v>46113</v>
      </c>
      <c r="G368" s="76"/>
      <c r="H368" s="9" t="s">
        <v>179</v>
      </c>
      <c r="I368" s="9">
        <v>1</v>
      </c>
      <c r="J368" s="9">
        <v>375</v>
      </c>
      <c r="K368" s="79">
        <f t="shared" ref="K368:K431" si="47">IF(I368&lt;&gt;"",J368*I368,0)</f>
        <v>375</v>
      </c>
      <c r="L368" s="78">
        <v>46112</v>
      </c>
      <c r="N368" s="85"/>
      <c r="O368" s="86"/>
      <c r="P368" s="83">
        <f t="shared" si="42"/>
        <v>375</v>
      </c>
      <c r="Q368" s="83">
        <f t="shared" si="43"/>
        <v>375</v>
      </c>
      <c r="R368" s="83"/>
      <c r="S368" s="83"/>
      <c r="T368" s="87"/>
      <c r="U368" s="83">
        <f t="shared" si="44"/>
        <v>375</v>
      </c>
      <c r="V368" s="83">
        <f t="shared" si="45"/>
        <v>1</v>
      </c>
      <c r="W368" s="84">
        <f t="shared" si="46"/>
        <v>375</v>
      </c>
      <c r="X368" s="84" t="s">
        <v>181</v>
      </c>
      <c r="Y368" s="24" t="s">
        <v>176</v>
      </c>
    </row>
    <row r="369" spans="1:25" s="24" customFormat="1" ht="11.1" customHeight="1" x14ac:dyDescent="0.2">
      <c r="A369" s="76">
        <f t="shared" si="41"/>
        <v>367</v>
      </c>
      <c r="B369" s="77" t="s">
        <v>354</v>
      </c>
      <c r="C369" s="76" t="str">
        <f>IF($B369&lt;&gt;"",_xlfn.IFNA(VLOOKUP($B369,'Node Details'!$B:$U,C$1,0),"Check"),"")</f>
        <v>0000AXY16-AXY160103</v>
      </c>
      <c r="D369" s="76" t="str">
        <f>IF($B369&lt;&gt;"",_xlfn.IFNA(VLOOKUP($B369,'Node Details'!$B:$U,D$1,0),"Check"),"")</f>
        <v>AXY</v>
      </c>
      <c r="E369" s="76" t="str">
        <f>IF($B369&lt;&gt;"",_xlfn.IFNA(VLOOKUP($B369,'Node Details'!$B:$U,E$1,0),"Check"),"")</f>
        <v>Airtel</v>
      </c>
      <c r="F369" s="78">
        <v>46113</v>
      </c>
      <c r="G369" s="76"/>
      <c r="H369" s="9" t="s">
        <v>179</v>
      </c>
      <c r="I369" s="9">
        <v>1</v>
      </c>
      <c r="J369" s="9">
        <v>375</v>
      </c>
      <c r="K369" s="79">
        <f t="shared" si="47"/>
        <v>375</v>
      </c>
      <c r="L369" s="78">
        <v>46112</v>
      </c>
      <c r="N369" s="85"/>
      <c r="O369" s="86"/>
      <c r="P369" s="83">
        <f t="shared" si="42"/>
        <v>375</v>
      </c>
      <c r="Q369" s="83">
        <f t="shared" si="43"/>
        <v>375</v>
      </c>
      <c r="R369" s="83"/>
      <c r="S369" s="83"/>
      <c r="T369" s="87"/>
      <c r="U369" s="83">
        <f t="shared" si="44"/>
        <v>375</v>
      </c>
      <c r="V369" s="83">
        <f t="shared" si="45"/>
        <v>1</v>
      </c>
      <c r="W369" s="84">
        <f t="shared" si="46"/>
        <v>375</v>
      </c>
      <c r="X369" s="84" t="s">
        <v>181</v>
      </c>
      <c r="Y369" s="24" t="s">
        <v>176</v>
      </c>
    </row>
    <row r="370" spans="1:25" s="24" customFormat="1" ht="11.1" customHeight="1" x14ac:dyDescent="0.2">
      <c r="A370" s="76">
        <f t="shared" si="41"/>
        <v>368</v>
      </c>
      <c r="B370" s="77" t="s">
        <v>355</v>
      </c>
      <c r="C370" s="76" t="str">
        <f>IF($B370&lt;&gt;"",_xlfn.IFNA(VLOOKUP($B370,'Node Details'!$B:$U,C$1,0),"Check"),"")</f>
        <v>0000AXY16-AXY160103</v>
      </c>
      <c r="D370" s="76" t="str">
        <f>IF($B370&lt;&gt;"",_xlfn.IFNA(VLOOKUP($B370,'Node Details'!$B:$U,D$1,0),"Check"),"")</f>
        <v>AXY</v>
      </c>
      <c r="E370" s="76" t="str">
        <f>IF($B370&lt;&gt;"",_xlfn.IFNA(VLOOKUP($B370,'Node Details'!$B:$U,E$1,0),"Check"),"")</f>
        <v>Airtel</v>
      </c>
      <c r="F370" s="78">
        <v>46113</v>
      </c>
      <c r="G370" s="76"/>
      <c r="H370" s="9" t="s">
        <v>178</v>
      </c>
      <c r="I370" s="9">
        <v>1</v>
      </c>
      <c r="J370" s="9">
        <v>950</v>
      </c>
      <c r="K370" s="79">
        <f t="shared" si="47"/>
        <v>950</v>
      </c>
      <c r="L370" s="78">
        <v>46112</v>
      </c>
      <c r="N370" s="85"/>
      <c r="O370" s="86"/>
      <c r="P370" s="83">
        <f t="shared" si="42"/>
        <v>950</v>
      </c>
      <c r="Q370" s="83">
        <f t="shared" si="43"/>
        <v>950</v>
      </c>
      <c r="R370" s="83"/>
      <c r="S370" s="83"/>
      <c r="T370" s="87"/>
      <c r="U370" s="83">
        <f t="shared" si="44"/>
        <v>950</v>
      </c>
      <c r="V370" s="83">
        <f t="shared" si="45"/>
        <v>1</v>
      </c>
      <c r="W370" s="84">
        <f t="shared" si="46"/>
        <v>950</v>
      </c>
      <c r="X370" s="84" t="s">
        <v>181</v>
      </c>
      <c r="Y370" s="24" t="s">
        <v>176</v>
      </c>
    </row>
    <row r="371" spans="1:25" s="24" customFormat="1" ht="11.1" customHeight="1" x14ac:dyDescent="0.2">
      <c r="A371" s="76">
        <f t="shared" si="41"/>
        <v>369</v>
      </c>
      <c r="B371" s="77" t="s">
        <v>356</v>
      </c>
      <c r="C371" s="76" t="str">
        <f>IF($B371&lt;&gt;"",_xlfn.IFNA(VLOOKUP($B371,'Node Details'!$B:$U,C$1,0),"Check"),"")</f>
        <v>0000AXY16-AXY160103</v>
      </c>
      <c r="D371" s="76" t="str">
        <f>IF($B371&lt;&gt;"",_xlfn.IFNA(VLOOKUP($B371,'Node Details'!$B:$U,D$1,0),"Check"),"")</f>
        <v>AXY</v>
      </c>
      <c r="E371" s="76" t="str">
        <f>IF($B371&lt;&gt;"",_xlfn.IFNA(VLOOKUP($B371,'Node Details'!$B:$U,E$1,0),"Check"),"")</f>
        <v>Airtel</v>
      </c>
      <c r="F371" s="78">
        <v>46113</v>
      </c>
      <c r="G371" s="76"/>
      <c r="H371" s="9" t="s">
        <v>178</v>
      </c>
      <c r="I371" s="9">
        <v>1</v>
      </c>
      <c r="J371" s="9">
        <v>950</v>
      </c>
      <c r="K371" s="79">
        <f t="shared" si="47"/>
        <v>950</v>
      </c>
      <c r="L371" s="78">
        <v>46112</v>
      </c>
      <c r="N371" s="85"/>
      <c r="O371" s="86"/>
      <c r="P371" s="83">
        <f t="shared" si="42"/>
        <v>950</v>
      </c>
      <c r="Q371" s="83">
        <f t="shared" si="43"/>
        <v>950</v>
      </c>
      <c r="R371" s="83"/>
      <c r="S371" s="83"/>
      <c r="T371" s="87"/>
      <c r="U371" s="83">
        <f t="shared" si="44"/>
        <v>950</v>
      </c>
      <c r="V371" s="83">
        <f t="shared" si="45"/>
        <v>1</v>
      </c>
      <c r="W371" s="84">
        <f t="shared" si="46"/>
        <v>950</v>
      </c>
      <c r="X371" s="84" t="s">
        <v>181</v>
      </c>
      <c r="Y371" s="24" t="s">
        <v>176</v>
      </c>
    </row>
    <row r="372" spans="1:25" s="24" customFormat="1" ht="11.1" customHeight="1" x14ac:dyDescent="0.2">
      <c r="A372" s="76">
        <f t="shared" si="41"/>
        <v>370</v>
      </c>
      <c r="B372" s="77" t="s">
        <v>357</v>
      </c>
      <c r="C372" s="76" t="str">
        <f>IF($B372&lt;&gt;"",_xlfn.IFNA(VLOOKUP($B372,'Node Details'!$B:$U,C$1,0),"Check"),"")</f>
        <v>0000AXY16-AXY160107</v>
      </c>
      <c r="D372" s="76" t="str">
        <f>IF($B372&lt;&gt;"",_xlfn.IFNA(VLOOKUP($B372,'Node Details'!$B:$U,D$1,0),"Check"),"")</f>
        <v>AXY</v>
      </c>
      <c r="E372" s="76" t="str">
        <f>IF($B372&lt;&gt;"",_xlfn.IFNA(VLOOKUP($B372,'Node Details'!$B:$U,E$1,0),"Check"),"")</f>
        <v>Airtel</v>
      </c>
      <c r="F372" s="78">
        <v>46113</v>
      </c>
      <c r="G372" s="76"/>
      <c r="H372" s="9" t="s">
        <v>178</v>
      </c>
      <c r="I372" s="9">
        <v>1</v>
      </c>
      <c r="J372" s="9">
        <v>950</v>
      </c>
      <c r="K372" s="79">
        <f t="shared" si="47"/>
        <v>950</v>
      </c>
      <c r="L372" s="78">
        <v>46112</v>
      </c>
      <c r="N372" s="85"/>
      <c r="O372" s="86"/>
      <c r="P372" s="83">
        <f t="shared" si="42"/>
        <v>950</v>
      </c>
      <c r="Q372" s="83">
        <f t="shared" si="43"/>
        <v>950</v>
      </c>
      <c r="R372" s="83"/>
      <c r="S372" s="83"/>
      <c r="T372" s="87"/>
      <c r="U372" s="83">
        <f t="shared" si="44"/>
        <v>950</v>
      </c>
      <c r="V372" s="83">
        <f t="shared" si="45"/>
        <v>1</v>
      </c>
      <c r="W372" s="84">
        <f t="shared" si="46"/>
        <v>950</v>
      </c>
      <c r="X372" s="84" t="s">
        <v>181</v>
      </c>
      <c r="Y372" s="24" t="s">
        <v>176</v>
      </c>
    </row>
    <row r="373" spans="1:25" s="24" customFormat="1" ht="11.1" customHeight="1" x14ac:dyDescent="0.2">
      <c r="A373" s="76">
        <f t="shared" si="41"/>
        <v>371</v>
      </c>
      <c r="B373" s="77" t="s">
        <v>358</v>
      </c>
      <c r="C373" s="76" t="str">
        <f>IF($B373&lt;&gt;"",_xlfn.IFNA(VLOOKUP($B373,'Node Details'!$B:$U,C$1,0),"Check"),"")</f>
        <v>0000AXY16-AXY160107</v>
      </c>
      <c r="D373" s="76" t="str">
        <f>IF($B373&lt;&gt;"",_xlfn.IFNA(VLOOKUP($B373,'Node Details'!$B:$U,D$1,0),"Check"),"")</f>
        <v>AXY</v>
      </c>
      <c r="E373" s="76" t="str">
        <f>IF($B373&lt;&gt;"",_xlfn.IFNA(VLOOKUP($B373,'Node Details'!$B:$U,E$1,0),"Check"),"")</f>
        <v>Airtel</v>
      </c>
      <c r="F373" s="78">
        <v>46113</v>
      </c>
      <c r="G373" s="76"/>
      <c r="H373" s="9" t="s">
        <v>178</v>
      </c>
      <c r="I373" s="9">
        <v>1</v>
      </c>
      <c r="J373" s="9">
        <v>950</v>
      </c>
      <c r="K373" s="79">
        <f t="shared" si="47"/>
        <v>950</v>
      </c>
      <c r="L373" s="78">
        <v>46112</v>
      </c>
      <c r="N373" s="85"/>
      <c r="O373" s="86"/>
      <c r="P373" s="83">
        <f t="shared" si="42"/>
        <v>950</v>
      </c>
      <c r="Q373" s="83">
        <f t="shared" si="43"/>
        <v>950</v>
      </c>
      <c r="R373" s="83"/>
      <c r="S373" s="83"/>
      <c r="T373" s="87"/>
      <c r="U373" s="83">
        <f t="shared" si="44"/>
        <v>950</v>
      </c>
      <c r="V373" s="83">
        <f t="shared" si="45"/>
        <v>1</v>
      </c>
      <c r="W373" s="84">
        <f t="shared" si="46"/>
        <v>950</v>
      </c>
      <c r="X373" s="84" t="s">
        <v>181</v>
      </c>
      <c r="Y373" s="24" t="s">
        <v>176</v>
      </c>
    </row>
    <row r="374" spans="1:25" s="24" customFormat="1" ht="11.1" customHeight="1" x14ac:dyDescent="0.2">
      <c r="A374" s="76">
        <f t="shared" si="41"/>
        <v>372</v>
      </c>
      <c r="B374" s="77" t="s">
        <v>359</v>
      </c>
      <c r="C374" s="76" t="str">
        <f>IF($B374&lt;&gt;"",_xlfn.IFNA(VLOOKUP($B374,'Node Details'!$B:$U,C$1,0),"Check"),"")</f>
        <v>0000AXY16-AXY160107</v>
      </c>
      <c r="D374" s="76" t="str">
        <f>IF($B374&lt;&gt;"",_xlfn.IFNA(VLOOKUP($B374,'Node Details'!$B:$U,D$1,0),"Check"),"")</f>
        <v>AXY</v>
      </c>
      <c r="E374" s="76" t="str">
        <f>IF($B374&lt;&gt;"",_xlfn.IFNA(VLOOKUP($B374,'Node Details'!$B:$U,E$1,0),"Check"),"")</f>
        <v>Airtel</v>
      </c>
      <c r="F374" s="78">
        <v>46113</v>
      </c>
      <c r="G374" s="76"/>
      <c r="H374" s="9" t="s">
        <v>178</v>
      </c>
      <c r="I374" s="9">
        <v>1</v>
      </c>
      <c r="J374" s="9">
        <v>950</v>
      </c>
      <c r="K374" s="79">
        <f t="shared" si="47"/>
        <v>950</v>
      </c>
      <c r="L374" s="78">
        <v>46112</v>
      </c>
      <c r="N374" s="85"/>
      <c r="O374" s="86"/>
      <c r="P374" s="83">
        <f t="shared" si="42"/>
        <v>950</v>
      </c>
      <c r="Q374" s="83">
        <f t="shared" si="43"/>
        <v>950</v>
      </c>
      <c r="R374" s="83"/>
      <c r="S374" s="83"/>
      <c r="T374" s="87"/>
      <c r="U374" s="83">
        <f t="shared" si="44"/>
        <v>950</v>
      </c>
      <c r="V374" s="83">
        <f t="shared" si="45"/>
        <v>1</v>
      </c>
      <c r="W374" s="84">
        <f t="shared" si="46"/>
        <v>950</v>
      </c>
      <c r="X374" s="84" t="s">
        <v>181</v>
      </c>
      <c r="Y374" s="24" t="s">
        <v>176</v>
      </c>
    </row>
    <row r="375" spans="1:25" s="24" customFormat="1" ht="11.1" customHeight="1" x14ac:dyDescent="0.2">
      <c r="A375" s="76">
        <f t="shared" si="41"/>
        <v>373</v>
      </c>
      <c r="B375" s="77" t="s">
        <v>360</v>
      </c>
      <c r="C375" s="76" t="str">
        <f>IF($B375&lt;&gt;"",_xlfn.IFNA(VLOOKUP($B375,'Node Details'!$B:$U,C$1,0),"Check"),"")</f>
        <v>0000AXY16-AXY160108</v>
      </c>
      <c r="D375" s="76" t="str">
        <f>IF($B375&lt;&gt;"",_xlfn.IFNA(VLOOKUP($B375,'Node Details'!$B:$U,D$1,0),"Check"),"")</f>
        <v>AXY</v>
      </c>
      <c r="E375" s="76" t="str">
        <f>IF($B375&lt;&gt;"",_xlfn.IFNA(VLOOKUP($B375,'Node Details'!$B:$U,E$1,0),"Check"),"")</f>
        <v>Airtel</v>
      </c>
      <c r="F375" s="78">
        <v>46113</v>
      </c>
      <c r="G375" s="76"/>
      <c r="H375" s="9" t="s">
        <v>178</v>
      </c>
      <c r="I375" s="9">
        <v>1</v>
      </c>
      <c r="J375" s="9">
        <v>950</v>
      </c>
      <c r="K375" s="79">
        <f t="shared" si="47"/>
        <v>950</v>
      </c>
      <c r="L375" s="78">
        <v>46112</v>
      </c>
      <c r="N375" s="85"/>
      <c r="O375" s="86"/>
      <c r="P375" s="83">
        <f t="shared" si="42"/>
        <v>950</v>
      </c>
      <c r="Q375" s="83">
        <f t="shared" si="43"/>
        <v>950</v>
      </c>
      <c r="R375" s="83"/>
      <c r="S375" s="83"/>
      <c r="T375" s="87"/>
      <c r="U375" s="83">
        <f t="shared" si="44"/>
        <v>950</v>
      </c>
      <c r="V375" s="83">
        <f t="shared" si="45"/>
        <v>1</v>
      </c>
      <c r="W375" s="84">
        <f t="shared" si="46"/>
        <v>950</v>
      </c>
      <c r="X375" s="84" t="s">
        <v>181</v>
      </c>
      <c r="Y375" s="24" t="s">
        <v>176</v>
      </c>
    </row>
    <row r="376" spans="1:25" s="24" customFormat="1" ht="11.1" customHeight="1" x14ac:dyDescent="0.2">
      <c r="A376" s="76">
        <f t="shared" si="41"/>
        <v>374</v>
      </c>
      <c r="B376" s="77" t="s">
        <v>362</v>
      </c>
      <c r="C376" s="76" t="str">
        <f>IF($B376&lt;&gt;"",_xlfn.IFNA(VLOOKUP($B376,'Node Details'!$B:$U,C$1,0),"Check"),"")</f>
        <v>0000AXY17-AXY170101</v>
      </c>
      <c r="D376" s="76" t="str">
        <f>IF($B376&lt;&gt;"",_xlfn.IFNA(VLOOKUP($B376,'Node Details'!$B:$U,D$1,0),"Check"),"")</f>
        <v>AXY</v>
      </c>
      <c r="E376" s="76" t="str">
        <f>IF($B376&lt;&gt;"",_xlfn.IFNA(VLOOKUP($B376,'Node Details'!$B:$U,E$1,0),"Check"),"")</f>
        <v>Airtel</v>
      </c>
      <c r="F376" s="78">
        <v>46113</v>
      </c>
      <c r="G376" s="76"/>
      <c r="H376" s="9" t="s">
        <v>178</v>
      </c>
      <c r="I376" s="9">
        <v>1</v>
      </c>
      <c r="J376" s="9">
        <v>950</v>
      </c>
      <c r="K376" s="79">
        <f t="shared" si="47"/>
        <v>950</v>
      </c>
      <c r="L376" s="78">
        <v>46112</v>
      </c>
      <c r="N376" s="85"/>
      <c r="O376" s="86"/>
      <c r="P376" s="83">
        <f t="shared" si="42"/>
        <v>950</v>
      </c>
      <c r="Q376" s="83">
        <f t="shared" si="43"/>
        <v>950</v>
      </c>
      <c r="R376" s="83"/>
      <c r="S376" s="83"/>
      <c r="T376" s="87"/>
      <c r="U376" s="83">
        <f t="shared" si="44"/>
        <v>950</v>
      </c>
      <c r="V376" s="83">
        <f t="shared" si="45"/>
        <v>1</v>
      </c>
      <c r="W376" s="84">
        <f t="shared" si="46"/>
        <v>950</v>
      </c>
      <c r="X376" s="84" t="s">
        <v>181</v>
      </c>
      <c r="Y376" s="24" t="s">
        <v>176</v>
      </c>
    </row>
    <row r="377" spans="1:25" s="24" customFormat="1" ht="11.1" customHeight="1" x14ac:dyDescent="0.2">
      <c r="A377" s="76">
        <f t="shared" si="41"/>
        <v>375</v>
      </c>
      <c r="B377" s="77" t="s">
        <v>363</v>
      </c>
      <c r="C377" s="76" t="str">
        <f>IF($B377&lt;&gt;"",_xlfn.IFNA(VLOOKUP($B377,'Node Details'!$B:$U,C$1,0),"Check"),"")</f>
        <v>0000AXY17-AXY170107</v>
      </c>
      <c r="D377" s="76" t="str">
        <f>IF($B377&lt;&gt;"",_xlfn.IFNA(VLOOKUP($B377,'Node Details'!$B:$U,D$1,0),"Check"),"")</f>
        <v>AXY</v>
      </c>
      <c r="E377" s="76" t="str">
        <f>IF($B377&lt;&gt;"",_xlfn.IFNA(VLOOKUP($B377,'Node Details'!$B:$U,E$1,0),"Check"),"")</f>
        <v>Airtel</v>
      </c>
      <c r="F377" s="78">
        <v>46113</v>
      </c>
      <c r="G377" s="76"/>
      <c r="H377" s="9" t="s">
        <v>178</v>
      </c>
      <c r="I377" s="9">
        <v>1</v>
      </c>
      <c r="J377" s="9">
        <v>950</v>
      </c>
      <c r="K377" s="79">
        <f t="shared" si="47"/>
        <v>950</v>
      </c>
      <c r="L377" s="78">
        <v>46112</v>
      </c>
      <c r="N377" s="85"/>
      <c r="O377" s="86"/>
      <c r="P377" s="83">
        <f t="shared" si="42"/>
        <v>950</v>
      </c>
      <c r="Q377" s="83">
        <f t="shared" si="43"/>
        <v>950</v>
      </c>
      <c r="R377" s="83"/>
      <c r="S377" s="83"/>
      <c r="T377" s="87"/>
      <c r="U377" s="83">
        <f t="shared" si="44"/>
        <v>950</v>
      </c>
      <c r="V377" s="83">
        <f t="shared" si="45"/>
        <v>1</v>
      </c>
      <c r="W377" s="84">
        <f t="shared" si="46"/>
        <v>950</v>
      </c>
      <c r="X377" s="84" t="s">
        <v>181</v>
      </c>
      <c r="Y377" s="24" t="s">
        <v>176</v>
      </c>
    </row>
    <row r="378" spans="1:25" s="24" customFormat="1" ht="11.1" customHeight="1" x14ac:dyDescent="0.2">
      <c r="A378" s="76">
        <f t="shared" si="41"/>
        <v>376</v>
      </c>
      <c r="B378" s="77" t="s">
        <v>364</v>
      </c>
      <c r="C378" s="76" t="str">
        <f>IF($B378&lt;&gt;"",_xlfn.IFNA(VLOOKUP($B378,'Node Details'!$B:$U,C$1,0),"Check"),"")</f>
        <v>0000AXY17-AXY170107</v>
      </c>
      <c r="D378" s="76" t="str">
        <f>IF($B378&lt;&gt;"",_xlfn.IFNA(VLOOKUP($B378,'Node Details'!$B:$U,D$1,0),"Check"),"")</f>
        <v>AXY</v>
      </c>
      <c r="E378" s="76" t="str">
        <f>IF($B378&lt;&gt;"",_xlfn.IFNA(VLOOKUP($B378,'Node Details'!$B:$U,E$1,0),"Check"),"")</f>
        <v>Airtel</v>
      </c>
      <c r="F378" s="78">
        <v>46113</v>
      </c>
      <c r="G378" s="76"/>
      <c r="H378" s="9" t="s">
        <v>178</v>
      </c>
      <c r="I378" s="9">
        <v>1</v>
      </c>
      <c r="J378" s="9">
        <v>950</v>
      </c>
      <c r="K378" s="79">
        <f t="shared" si="47"/>
        <v>950</v>
      </c>
      <c r="L378" s="78">
        <v>46112</v>
      </c>
      <c r="N378" s="85"/>
      <c r="O378" s="86"/>
      <c r="P378" s="83">
        <f t="shared" si="42"/>
        <v>950</v>
      </c>
      <c r="Q378" s="83">
        <f t="shared" si="43"/>
        <v>950</v>
      </c>
      <c r="R378" s="83"/>
      <c r="S378" s="83"/>
      <c r="T378" s="87"/>
      <c r="U378" s="83">
        <f t="shared" si="44"/>
        <v>950</v>
      </c>
      <c r="V378" s="83">
        <f t="shared" si="45"/>
        <v>1</v>
      </c>
      <c r="W378" s="84">
        <f t="shared" si="46"/>
        <v>950</v>
      </c>
      <c r="X378" s="84" t="s">
        <v>181</v>
      </c>
      <c r="Y378" s="24" t="s">
        <v>176</v>
      </c>
    </row>
    <row r="379" spans="1:25" s="24" customFormat="1" ht="11.1" customHeight="1" x14ac:dyDescent="0.2">
      <c r="A379" s="76">
        <f t="shared" si="41"/>
        <v>377</v>
      </c>
      <c r="B379" s="77" t="s">
        <v>365</v>
      </c>
      <c r="C379" s="76" t="str">
        <f>IF($B379&lt;&gt;"",_xlfn.IFNA(VLOOKUP($B379,'Node Details'!$B:$U,C$1,0),"Check"),"")</f>
        <v>0000AXY17-AXY170201</v>
      </c>
      <c r="D379" s="76" t="str">
        <f>IF($B379&lt;&gt;"",_xlfn.IFNA(VLOOKUP($B379,'Node Details'!$B:$U,D$1,0),"Check"),"")</f>
        <v>AXY</v>
      </c>
      <c r="E379" s="76" t="str">
        <f>IF($B379&lt;&gt;"",_xlfn.IFNA(VLOOKUP($B379,'Node Details'!$B:$U,E$1,0),"Check"),"")</f>
        <v>Airtel</v>
      </c>
      <c r="F379" s="78">
        <v>46113</v>
      </c>
      <c r="G379" s="76"/>
      <c r="H379" s="9" t="s">
        <v>178</v>
      </c>
      <c r="I379" s="9">
        <v>1</v>
      </c>
      <c r="J379" s="9">
        <v>950</v>
      </c>
      <c r="K379" s="79">
        <f t="shared" si="47"/>
        <v>950</v>
      </c>
      <c r="L379" s="78">
        <v>46112</v>
      </c>
      <c r="N379" s="85"/>
      <c r="O379" s="86"/>
      <c r="P379" s="83">
        <f t="shared" si="42"/>
        <v>950</v>
      </c>
      <c r="Q379" s="83">
        <f t="shared" si="43"/>
        <v>950</v>
      </c>
      <c r="R379" s="83"/>
      <c r="S379" s="83"/>
      <c r="T379" s="87"/>
      <c r="U379" s="83">
        <f t="shared" si="44"/>
        <v>950</v>
      </c>
      <c r="V379" s="83">
        <f t="shared" si="45"/>
        <v>1</v>
      </c>
      <c r="W379" s="84">
        <f t="shared" si="46"/>
        <v>950</v>
      </c>
      <c r="X379" s="84" t="s">
        <v>181</v>
      </c>
      <c r="Y379" s="24" t="s">
        <v>176</v>
      </c>
    </row>
    <row r="380" spans="1:25" s="24" customFormat="1" ht="11.1" customHeight="1" x14ac:dyDescent="0.2">
      <c r="A380" s="76">
        <f t="shared" si="41"/>
        <v>378</v>
      </c>
      <c r="B380" s="77" t="s">
        <v>366</v>
      </c>
      <c r="C380" s="76" t="str">
        <f>IF($B380&lt;&gt;"",_xlfn.IFNA(VLOOKUP($B380,'Node Details'!$B:$U,C$1,0),"Check"),"")</f>
        <v>0000AXY17-AXY170201</v>
      </c>
      <c r="D380" s="76" t="str">
        <f>IF($B380&lt;&gt;"",_xlfn.IFNA(VLOOKUP($B380,'Node Details'!$B:$U,D$1,0),"Check"),"")</f>
        <v>AXY</v>
      </c>
      <c r="E380" s="76" t="str">
        <f>IF($B380&lt;&gt;"",_xlfn.IFNA(VLOOKUP($B380,'Node Details'!$B:$U,E$1,0),"Check"),"")</f>
        <v>Airtel</v>
      </c>
      <c r="F380" s="78">
        <v>46113</v>
      </c>
      <c r="G380" s="76"/>
      <c r="H380" s="9" t="s">
        <v>178</v>
      </c>
      <c r="I380" s="9">
        <v>1</v>
      </c>
      <c r="J380" s="9">
        <v>950</v>
      </c>
      <c r="K380" s="79">
        <f t="shared" si="47"/>
        <v>950</v>
      </c>
      <c r="L380" s="78">
        <v>46112</v>
      </c>
      <c r="N380" s="85"/>
      <c r="O380" s="86"/>
      <c r="P380" s="83">
        <f t="shared" si="42"/>
        <v>950</v>
      </c>
      <c r="Q380" s="83">
        <f t="shared" si="43"/>
        <v>950</v>
      </c>
      <c r="R380" s="83"/>
      <c r="S380" s="83"/>
      <c r="T380" s="87"/>
      <c r="U380" s="83">
        <f t="shared" si="44"/>
        <v>950</v>
      </c>
      <c r="V380" s="83">
        <f t="shared" si="45"/>
        <v>1</v>
      </c>
      <c r="W380" s="84">
        <f t="shared" si="46"/>
        <v>950</v>
      </c>
      <c r="X380" s="84" t="s">
        <v>181</v>
      </c>
      <c r="Y380" s="24" t="s">
        <v>176</v>
      </c>
    </row>
    <row r="381" spans="1:25" s="24" customFormat="1" ht="11.1" customHeight="1" x14ac:dyDescent="0.2">
      <c r="A381" s="76">
        <f t="shared" si="41"/>
        <v>379</v>
      </c>
      <c r="B381" s="77" t="s">
        <v>367</v>
      </c>
      <c r="C381" s="76" t="str">
        <f>IF($B381&lt;&gt;"",_xlfn.IFNA(VLOOKUP($B381,'Node Details'!$B:$U,C$1,0),"Check"),"")</f>
        <v>AXY170103-AXY170107</v>
      </c>
      <c r="D381" s="76" t="str">
        <f>IF($B381&lt;&gt;"",_xlfn.IFNA(VLOOKUP($B381,'Node Details'!$B:$U,D$1,0),"Check"),"")</f>
        <v>AXY</v>
      </c>
      <c r="E381" s="76" t="str">
        <f>IF($B381&lt;&gt;"",_xlfn.IFNA(VLOOKUP($B381,'Node Details'!$B:$U,E$1,0),"Check"),"")</f>
        <v>Airtel</v>
      </c>
      <c r="F381" s="78">
        <v>46113</v>
      </c>
      <c r="G381" s="76"/>
      <c r="H381" s="9" t="s">
        <v>178</v>
      </c>
      <c r="I381" s="9">
        <v>1</v>
      </c>
      <c r="J381" s="9">
        <v>950</v>
      </c>
      <c r="K381" s="79">
        <f t="shared" si="47"/>
        <v>950</v>
      </c>
      <c r="L381" s="78">
        <v>46112</v>
      </c>
      <c r="N381" s="85"/>
      <c r="O381" s="86"/>
      <c r="P381" s="83">
        <f t="shared" si="42"/>
        <v>950</v>
      </c>
      <c r="Q381" s="83">
        <f t="shared" si="43"/>
        <v>950</v>
      </c>
      <c r="R381" s="83"/>
      <c r="S381" s="83"/>
      <c r="T381" s="87"/>
      <c r="U381" s="83">
        <f t="shared" si="44"/>
        <v>950</v>
      </c>
      <c r="V381" s="83">
        <f t="shared" si="45"/>
        <v>1</v>
      </c>
      <c r="W381" s="84">
        <f t="shared" si="46"/>
        <v>950</v>
      </c>
      <c r="X381" s="84" t="s">
        <v>181</v>
      </c>
      <c r="Y381" s="24" t="s">
        <v>176</v>
      </c>
    </row>
    <row r="382" spans="1:25" s="24" customFormat="1" ht="11.1" customHeight="1" x14ac:dyDescent="0.2">
      <c r="A382" s="76">
        <f t="shared" si="41"/>
        <v>380</v>
      </c>
      <c r="B382" s="77" t="s">
        <v>368</v>
      </c>
      <c r="C382" s="76" t="str">
        <f>IF($B382&lt;&gt;"",_xlfn.IFNA(VLOOKUP($B382,'Node Details'!$B:$U,C$1,0),"Check"),"")</f>
        <v>AXY170103-AXY170107</v>
      </c>
      <c r="D382" s="76" t="str">
        <f>IF($B382&lt;&gt;"",_xlfn.IFNA(VLOOKUP($B382,'Node Details'!$B:$U,D$1,0),"Check"),"")</f>
        <v>AXY</v>
      </c>
      <c r="E382" s="76" t="str">
        <f>IF($B382&lt;&gt;"",_xlfn.IFNA(VLOOKUP($B382,'Node Details'!$B:$U,E$1,0),"Check"),"")</f>
        <v>Airtel</v>
      </c>
      <c r="F382" s="78">
        <v>46113</v>
      </c>
      <c r="G382" s="76"/>
      <c r="H382" s="9" t="s">
        <v>178</v>
      </c>
      <c r="I382" s="9">
        <v>1</v>
      </c>
      <c r="J382" s="9">
        <v>950</v>
      </c>
      <c r="K382" s="79">
        <f t="shared" si="47"/>
        <v>950</v>
      </c>
      <c r="L382" s="78">
        <v>46112</v>
      </c>
      <c r="N382" s="85"/>
      <c r="O382" s="86"/>
      <c r="P382" s="83">
        <f t="shared" si="42"/>
        <v>950</v>
      </c>
      <c r="Q382" s="83">
        <f t="shared" si="43"/>
        <v>950</v>
      </c>
      <c r="R382" s="83"/>
      <c r="S382" s="83"/>
      <c r="T382" s="87"/>
      <c r="U382" s="83">
        <f t="shared" si="44"/>
        <v>950</v>
      </c>
      <c r="V382" s="83">
        <f t="shared" si="45"/>
        <v>1</v>
      </c>
      <c r="W382" s="84">
        <f t="shared" si="46"/>
        <v>950</v>
      </c>
      <c r="X382" s="84" t="s">
        <v>181</v>
      </c>
      <c r="Y382" s="24" t="s">
        <v>176</v>
      </c>
    </row>
    <row r="383" spans="1:25" s="24" customFormat="1" ht="11.1" customHeight="1" x14ac:dyDescent="0.2">
      <c r="A383" s="76">
        <f t="shared" si="41"/>
        <v>381</v>
      </c>
      <c r="B383" s="77" t="s">
        <v>225</v>
      </c>
      <c r="C383" s="76" t="str">
        <f>IF($B383&lt;&gt;"",_xlfn.IFNA(VLOOKUP($B383,'Node Details'!$B:$U,C$1,0),"Check"),"")</f>
        <v>000000AXY-0000AXY01</v>
      </c>
      <c r="D383" s="76" t="str">
        <f>IF($B383&lt;&gt;"",_xlfn.IFNA(VLOOKUP($B383,'Node Details'!$B:$U,D$1,0),"Check"),"")</f>
        <v>AXY</v>
      </c>
      <c r="E383" s="76" t="str">
        <f>IF($B383&lt;&gt;"",_xlfn.IFNA(VLOOKUP($B383,'Node Details'!$B:$U,E$1,0),"Check"),"")</f>
        <v>Airtel</v>
      </c>
      <c r="F383" s="78">
        <v>46113</v>
      </c>
      <c r="G383" s="76"/>
      <c r="H383" s="9" t="s">
        <v>180</v>
      </c>
      <c r="I383" s="9">
        <v>2</v>
      </c>
      <c r="J383" s="9">
        <v>150</v>
      </c>
      <c r="K383" s="79">
        <f t="shared" si="47"/>
        <v>300</v>
      </c>
      <c r="L383" s="78">
        <v>46112</v>
      </c>
      <c r="N383" s="85"/>
      <c r="O383" s="86"/>
      <c r="P383" s="83">
        <f t="shared" si="42"/>
        <v>150</v>
      </c>
      <c r="Q383" s="83">
        <f t="shared" si="43"/>
        <v>300</v>
      </c>
      <c r="R383" s="83"/>
      <c r="S383" s="83"/>
      <c r="T383" s="87"/>
      <c r="U383" s="83">
        <f t="shared" si="44"/>
        <v>150</v>
      </c>
      <c r="V383" s="83">
        <f t="shared" si="45"/>
        <v>2</v>
      </c>
      <c r="W383" s="84">
        <f t="shared" si="46"/>
        <v>300</v>
      </c>
      <c r="X383" s="84" t="s">
        <v>181</v>
      </c>
      <c r="Y383" s="24" t="s">
        <v>176</v>
      </c>
    </row>
    <row r="384" spans="1:25" s="24" customFormat="1" ht="11.1" customHeight="1" x14ac:dyDescent="0.2">
      <c r="A384" s="76">
        <f t="shared" si="41"/>
        <v>382</v>
      </c>
      <c r="B384" s="77" t="s">
        <v>226</v>
      </c>
      <c r="C384" s="76" t="str">
        <f>IF($B384&lt;&gt;"",_xlfn.IFNA(VLOOKUP($B384,'Node Details'!$B:$U,C$1,0),"Check"),"")</f>
        <v>0000AXY01-AXY010101</v>
      </c>
      <c r="D384" s="76" t="str">
        <f>IF($B384&lt;&gt;"",_xlfn.IFNA(VLOOKUP($B384,'Node Details'!$B:$U,D$1,0),"Check"),"")</f>
        <v>AXY</v>
      </c>
      <c r="E384" s="76" t="str">
        <f>IF($B384&lt;&gt;"",_xlfn.IFNA(VLOOKUP($B384,'Node Details'!$B:$U,E$1,0),"Check"),"")</f>
        <v>Airtel</v>
      </c>
      <c r="F384" s="78">
        <v>46113</v>
      </c>
      <c r="G384" s="76"/>
      <c r="H384" s="9" t="s">
        <v>180</v>
      </c>
      <c r="I384" s="9">
        <v>2</v>
      </c>
      <c r="J384" s="9">
        <v>150</v>
      </c>
      <c r="K384" s="79">
        <f t="shared" si="47"/>
        <v>300</v>
      </c>
      <c r="L384" s="78">
        <v>46112</v>
      </c>
      <c r="N384" s="85"/>
      <c r="O384" s="86"/>
      <c r="P384" s="83">
        <f t="shared" si="42"/>
        <v>150</v>
      </c>
      <c r="Q384" s="83">
        <f t="shared" si="43"/>
        <v>300</v>
      </c>
      <c r="R384" s="83"/>
      <c r="S384" s="83"/>
      <c r="T384" s="87"/>
      <c r="U384" s="83">
        <f t="shared" si="44"/>
        <v>150</v>
      </c>
      <c r="V384" s="83">
        <f t="shared" si="45"/>
        <v>2</v>
      </c>
      <c r="W384" s="84">
        <f t="shared" si="46"/>
        <v>300</v>
      </c>
      <c r="X384" s="84" t="s">
        <v>181</v>
      </c>
      <c r="Y384" s="24" t="s">
        <v>176</v>
      </c>
    </row>
    <row r="385" spans="1:25" s="24" customFormat="1" ht="11.1" customHeight="1" x14ac:dyDescent="0.2">
      <c r="A385" s="76">
        <f t="shared" si="41"/>
        <v>383</v>
      </c>
      <c r="B385" s="77" t="s">
        <v>227</v>
      </c>
      <c r="C385" s="76" t="str">
        <f>IF($B385&lt;&gt;"",_xlfn.IFNA(VLOOKUP($B385,'Node Details'!$B:$U,C$1,0),"Check"),"")</f>
        <v>0000AXY01-AXY010104</v>
      </c>
      <c r="D385" s="76" t="str">
        <f>IF($B385&lt;&gt;"",_xlfn.IFNA(VLOOKUP($B385,'Node Details'!$B:$U,D$1,0),"Check"),"")</f>
        <v>AXY</v>
      </c>
      <c r="E385" s="76" t="str">
        <f>IF($B385&lt;&gt;"",_xlfn.IFNA(VLOOKUP($B385,'Node Details'!$B:$U,E$1,0),"Check"),"")</f>
        <v>Airtel</v>
      </c>
      <c r="F385" s="78">
        <v>46113</v>
      </c>
      <c r="G385" s="76"/>
      <c r="H385" s="9" t="s">
        <v>180</v>
      </c>
      <c r="I385" s="9">
        <v>2</v>
      </c>
      <c r="J385" s="9">
        <v>150</v>
      </c>
      <c r="K385" s="79">
        <f t="shared" si="47"/>
        <v>300</v>
      </c>
      <c r="L385" s="78">
        <v>46112</v>
      </c>
      <c r="N385" s="85"/>
      <c r="O385" s="86"/>
      <c r="P385" s="83">
        <f t="shared" si="42"/>
        <v>150</v>
      </c>
      <c r="Q385" s="83">
        <f t="shared" si="43"/>
        <v>300</v>
      </c>
      <c r="R385" s="83"/>
      <c r="S385" s="83"/>
      <c r="T385" s="87"/>
      <c r="U385" s="83">
        <f t="shared" si="44"/>
        <v>150</v>
      </c>
      <c r="V385" s="83">
        <f t="shared" si="45"/>
        <v>2</v>
      </c>
      <c r="W385" s="84">
        <f t="shared" si="46"/>
        <v>300</v>
      </c>
      <c r="X385" s="84" t="s">
        <v>181</v>
      </c>
      <c r="Y385" s="24" t="s">
        <v>176</v>
      </c>
    </row>
    <row r="386" spans="1:25" s="24" customFormat="1" ht="11.1" customHeight="1" x14ac:dyDescent="0.2">
      <c r="A386" s="76">
        <f t="shared" si="41"/>
        <v>384</v>
      </c>
      <c r="B386" s="77" t="s">
        <v>228</v>
      </c>
      <c r="C386" s="76" t="str">
        <f>IF($B386&lt;&gt;"",_xlfn.IFNA(VLOOKUP($B386,'Node Details'!$B:$U,C$1,0),"Check"),"")</f>
        <v>0000AXY01-AXY010104</v>
      </c>
      <c r="D386" s="76" t="str">
        <f>IF($B386&lt;&gt;"",_xlfn.IFNA(VLOOKUP($B386,'Node Details'!$B:$U,D$1,0),"Check"),"")</f>
        <v>AXY</v>
      </c>
      <c r="E386" s="76" t="str">
        <f>IF($B386&lt;&gt;"",_xlfn.IFNA(VLOOKUP($B386,'Node Details'!$B:$U,E$1,0),"Check"),"")</f>
        <v>Airtel</v>
      </c>
      <c r="F386" s="78">
        <v>46113</v>
      </c>
      <c r="G386" s="76"/>
      <c r="H386" s="9" t="s">
        <v>180</v>
      </c>
      <c r="I386" s="9">
        <v>2</v>
      </c>
      <c r="J386" s="9">
        <v>150</v>
      </c>
      <c r="K386" s="79">
        <f t="shared" si="47"/>
        <v>300</v>
      </c>
      <c r="L386" s="78">
        <v>46112</v>
      </c>
      <c r="N386" s="85"/>
      <c r="O386" s="86"/>
      <c r="P386" s="83">
        <f t="shared" si="42"/>
        <v>150</v>
      </c>
      <c r="Q386" s="83">
        <f t="shared" si="43"/>
        <v>300</v>
      </c>
      <c r="R386" s="83"/>
      <c r="S386" s="83"/>
      <c r="T386" s="87"/>
      <c r="U386" s="83">
        <f t="shared" si="44"/>
        <v>150</v>
      </c>
      <c r="V386" s="83">
        <f t="shared" si="45"/>
        <v>2</v>
      </c>
      <c r="W386" s="84">
        <f t="shared" si="46"/>
        <v>300</v>
      </c>
      <c r="X386" s="84" t="s">
        <v>181</v>
      </c>
      <c r="Y386" s="24" t="s">
        <v>176</v>
      </c>
    </row>
    <row r="387" spans="1:25" s="24" customFormat="1" ht="11.1" customHeight="1" x14ac:dyDescent="0.2">
      <c r="A387" s="76">
        <f t="shared" si="41"/>
        <v>385</v>
      </c>
      <c r="B387" s="77" t="s">
        <v>229</v>
      </c>
      <c r="C387" s="76" t="str">
        <f>IF($B387&lt;&gt;"",_xlfn.IFNA(VLOOKUP($B387,'Node Details'!$B:$U,C$1,0),"Check"),"")</f>
        <v>0000AXY01-AXY010102</v>
      </c>
      <c r="D387" s="76" t="str">
        <f>IF($B387&lt;&gt;"",_xlfn.IFNA(VLOOKUP($B387,'Node Details'!$B:$U,D$1,0),"Check"),"")</f>
        <v>AXY</v>
      </c>
      <c r="E387" s="76" t="str">
        <f>IF($B387&lt;&gt;"",_xlfn.IFNA(VLOOKUP($B387,'Node Details'!$B:$U,E$1,0),"Check"),"")</f>
        <v>Airtel</v>
      </c>
      <c r="F387" s="78">
        <v>46113</v>
      </c>
      <c r="G387" s="76"/>
      <c r="H387" s="9" t="s">
        <v>180</v>
      </c>
      <c r="I387" s="9">
        <v>2</v>
      </c>
      <c r="J387" s="9">
        <v>150</v>
      </c>
      <c r="K387" s="79">
        <f t="shared" si="47"/>
        <v>300</v>
      </c>
      <c r="L387" s="78">
        <v>46112</v>
      </c>
      <c r="N387" s="85"/>
      <c r="O387" s="86"/>
      <c r="P387" s="83">
        <f t="shared" si="42"/>
        <v>150</v>
      </c>
      <c r="Q387" s="83">
        <f t="shared" si="43"/>
        <v>300</v>
      </c>
      <c r="R387" s="83"/>
      <c r="S387" s="83"/>
      <c r="T387" s="87"/>
      <c r="U387" s="83">
        <f t="shared" si="44"/>
        <v>150</v>
      </c>
      <c r="V387" s="83">
        <f t="shared" si="45"/>
        <v>2</v>
      </c>
      <c r="W387" s="84">
        <f t="shared" si="46"/>
        <v>300</v>
      </c>
      <c r="X387" s="84" t="s">
        <v>181</v>
      </c>
      <c r="Y387" s="24" t="s">
        <v>176</v>
      </c>
    </row>
    <row r="388" spans="1:25" s="24" customFormat="1" ht="11.1" customHeight="1" x14ac:dyDescent="0.2">
      <c r="A388" s="76">
        <f t="shared" ref="A388:A451" si="48">A387+1</f>
        <v>386</v>
      </c>
      <c r="B388" s="77" t="s">
        <v>230</v>
      </c>
      <c r="C388" s="76" t="str">
        <f>IF($B388&lt;&gt;"",_xlfn.IFNA(VLOOKUP($B388,'Node Details'!$B:$U,C$1,0),"Check"),"")</f>
        <v>0000AXY02-0000AXY03</v>
      </c>
      <c r="D388" s="76" t="str">
        <f>IF($B388&lt;&gt;"",_xlfn.IFNA(VLOOKUP($B388,'Node Details'!$B:$U,D$1,0),"Check"),"")</f>
        <v>AXY</v>
      </c>
      <c r="E388" s="76" t="str">
        <f>IF($B388&lt;&gt;"",_xlfn.IFNA(VLOOKUP($B388,'Node Details'!$B:$U,E$1,0),"Check"),"")</f>
        <v>Airtel</v>
      </c>
      <c r="F388" s="78">
        <v>46113</v>
      </c>
      <c r="G388" s="76"/>
      <c r="H388" s="9" t="s">
        <v>180</v>
      </c>
      <c r="I388" s="9">
        <v>2</v>
      </c>
      <c r="J388" s="9">
        <v>150</v>
      </c>
      <c r="K388" s="79">
        <f t="shared" si="47"/>
        <v>300</v>
      </c>
      <c r="L388" s="78">
        <v>46112</v>
      </c>
      <c r="N388" s="85"/>
      <c r="O388" s="86"/>
      <c r="P388" s="83">
        <f t="shared" si="42"/>
        <v>150</v>
      </c>
      <c r="Q388" s="83">
        <f t="shared" si="43"/>
        <v>300</v>
      </c>
      <c r="R388" s="83"/>
      <c r="S388" s="83"/>
      <c r="T388" s="87"/>
      <c r="U388" s="83">
        <f t="shared" si="44"/>
        <v>150</v>
      </c>
      <c r="V388" s="83">
        <f t="shared" si="45"/>
        <v>2</v>
      </c>
      <c r="W388" s="84">
        <f t="shared" si="46"/>
        <v>300</v>
      </c>
      <c r="X388" s="84" t="s">
        <v>181</v>
      </c>
      <c r="Y388" s="24" t="s">
        <v>176</v>
      </c>
    </row>
    <row r="389" spans="1:25" s="24" customFormat="1" ht="11.1" customHeight="1" x14ac:dyDescent="0.2">
      <c r="A389" s="76">
        <f t="shared" si="48"/>
        <v>387</v>
      </c>
      <c r="B389" s="77" t="s">
        <v>231</v>
      </c>
      <c r="C389" s="76" t="str">
        <f>IF($B389&lt;&gt;"",_xlfn.IFNA(VLOOKUP($B389,'Node Details'!$B:$U,C$1,0),"Check"),"")</f>
        <v>0000AXY03-AXY030101</v>
      </c>
      <c r="D389" s="76" t="str">
        <f>IF($B389&lt;&gt;"",_xlfn.IFNA(VLOOKUP($B389,'Node Details'!$B:$U,D$1,0),"Check"),"")</f>
        <v>AXY</v>
      </c>
      <c r="E389" s="76" t="str">
        <f>IF($B389&lt;&gt;"",_xlfn.IFNA(VLOOKUP($B389,'Node Details'!$B:$U,E$1,0),"Check"),"")</f>
        <v>Airtel</v>
      </c>
      <c r="F389" s="78">
        <v>46113</v>
      </c>
      <c r="G389" s="76"/>
      <c r="H389" s="9" t="s">
        <v>180</v>
      </c>
      <c r="I389" s="9">
        <v>2</v>
      </c>
      <c r="J389" s="9">
        <v>150</v>
      </c>
      <c r="K389" s="79">
        <f t="shared" si="47"/>
        <v>300</v>
      </c>
      <c r="L389" s="78">
        <v>46112</v>
      </c>
      <c r="N389" s="85"/>
      <c r="O389" s="86"/>
      <c r="P389" s="83">
        <f t="shared" si="42"/>
        <v>150</v>
      </c>
      <c r="Q389" s="83">
        <f t="shared" si="43"/>
        <v>300</v>
      </c>
      <c r="R389" s="83"/>
      <c r="S389" s="83"/>
      <c r="T389" s="87"/>
      <c r="U389" s="83">
        <f t="shared" si="44"/>
        <v>150</v>
      </c>
      <c r="V389" s="83">
        <f t="shared" si="45"/>
        <v>2</v>
      </c>
      <c r="W389" s="84">
        <f t="shared" si="46"/>
        <v>300</v>
      </c>
      <c r="X389" s="84" t="s">
        <v>181</v>
      </c>
      <c r="Y389" s="24" t="s">
        <v>176</v>
      </c>
    </row>
    <row r="390" spans="1:25" s="24" customFormat="1" ht="11.1" customHeight="1" x14ac:dyDescent="0.2">
      <c r="A390" s="76">
        <f t="shared" si="48"/>
        <v>388</v>
      </c>
      <c r="B390" s="77" t="s">
        <v>232</v>
      </c>
      <c r="C390" s="76" t="str">
        <f>IF($B390&lt;&gt;"",_xlfn.IFNA(VLOOKUP($B390,'Node Details'!$B:$U,C$1,0),"Check"),"")</f>
        <v>0000AXY03-AXY030104</v>
      </c>
      <c r="D390" s="76" t="str">
        <f>IF($B390&lt;&gt;"",_xlfn.IFNA(VLOOKUP($B390,'Node Details'!$B:$U,D$1,0),"Check"),"")</f>
        <v>AXY</v>
      </c>
      <c r="E390" s="76" t="str">
        <f>IF($B390&lt;&gt;"",_xlfn.IFNA(VLOOKUP($B390,'Node Details'!$B:$U,E$1,0),"Check"),"")</f>
        <v>Airtel</v>
      </c>
      <c r="F390" s="78">
        <v>46113</v>
      </c>
      <c r="G390" s="76"/>
      <c r="H390" s="9" t="s">
        <v>180</v>
      </c>
      <c r="I390" s="9">
        <v>2</v>
      </c>
      <c r="J390" s="9">
        <v>150</v>
      </c>
      <c r="K390" s="79">
        <f t="shared" si="47"/>
        <v>300</v>
      </c>
      <c r="L390" s="78">
        <v>46112</v>
      </c>
      <c r="N390" s="85"/>
      <c r="O390" s="86"/>
      <c r="P390" s="83">
        <f t="shared" si="42"/>
        <v>150</v>
      </c>
      <c r="Q390" s="83">
        <f t="shared" si="43"/>
        <v>300</v>
      </c>
      <c r="R390" s="83"/>
      <c r="S390" s="83"/>
      <c r="T390" s="87"/>
      <c r="U390" s="83">
        <f t="shared" si="44"/>
        <v>150</v>
      </c>
      <c r="V390" s="83">
        <f t="shared" si="45"/>
        <v>2</v>
      </c>
      <c r="W390" s="84">
        <f t="shared" si="46"/>
        <v>300</v>
      </c>
      <c r="X390" s="84" t="s">
        <v>181</v>
      </c>
      <c r="Y390" s="24" t="s">
        <v>176</v>
      </c>
    </row>
    <row r="391" spans="1:25" s="24" customFormat="1" ht="11.1" customHeight="1" x14ac:dyDescent="0.2">
      <c r="A391" s="76">
        <f t="shared" si="48"/>
        <v>389</v>
      </c>
      <c r="B391" s="77" t="s">
        <v>233</v>
      </c>
      <c r="C391" s="76" t="str">
        <f>IF($B391&lt;&gt;"",_xlfn.IFNA(VLOOKUP($B391,'Node Details'!$B:$U,C$1,0),"Check"),"")</f>
        <v>0000AXY03-AXY030104</v>
      </c>
      <c r="D391" s="76" t="str">
        <f>IF($B391&lt;&gt;"",_xlfn.IFNA(VLOOKUP($B391,'Node Details'!$B:$U,D$1,0),"Check"),"")</f>
        <v>AXY</v>
      </c>
      <c r="E391" s="76" t="str">
        <f>IF($B391&lt;&gt;"",_xlfn.IFNA(VLOOKUP($B391,'Node Details'!$B:$U,E$1,0),"Check"),"")</f>
        <v>Airtel</v>
      </c>
      <c r="F391" s="78">
        <v>46113</v>
      </c>
      <c r="G391" s="76"/>
      <c r="H391" s="9" t="s">
        <v>180</v>
      </c>
      <c r="I391" s="9">
        <v>2</v>
      </c>
      <c r="J391" s="9">
        <v>150</v>
      </c>
      <c r="K391" s="79">
        <f t="shared" si="47"/>
        <v>300</v>
      </c>
      <c r="L391" s="78">
        <v>46112</v>
      </c>
      <c r="N391" s="85"/>
      <c r="O391" s="86"/>
      <c r="P391" s="83">
        <f t="shared" si="42"/>
        <v>150</v>
      </c>
      <c r="Q391" s="83">
        <f t="shared" si="43"/>
        <v>300</v>
      </c>
      <c r="R391" s="83"/>
      <c r="S391" s="83"/>
      <c r="T391" s="87"/>
      <c r="U391" s="83">
        <f t="shared" si="44"/>
        <v>150</v>
      </c>
      <c r="V391" s="83">
        <f t="shared" si="45"/>
        <v>2</v>
      </c>
      <c r="W391" s="84">
        <f t="shared" si="46"/>
        <v>300</v>
      </c>
      <c r="X391" s="84" t="s">
        <v>181</v>
      </c>
      <c r="Y391" s="24" t="s">
        <v>176</v>
      </c>
    </row>
    <row r="392" spans="1:25" s="24" customFormat="1" ht="11.1" customHeight="1" x14ac:dyDescent="0.2">
      <c r="A392" s="76">
        <f t="shared" si="48"/>
        <v>390</v>
      </c>
      <c r="B392" s="77" t="s">
        <v>234</v>
      </c>
      <c r="C392" s="76" t="str">
        <f>IF($B392&lt;&gt;"",_xlfn.IFNA(VLOOKUP($B392,'Node Details'!$B:$U,C$1,0),"Check"),"")</f>
        <v>AXY030103-AXY030105</v>
      </c>
      <c r="D392" s="76" t="str">
        <f>IF($B392&lt;&gt;"",_xlfn.IFNA(VLOOKUP($B392,'Node Details'!$B:$U,D$1,0),"Check"),"")</f>
        <v>AXY</v>
      </c>
      <c r="E392" s="76" t="str">
        <f>IF($B392&lt;&gt;"",_xlfn.IFNA(VLOOKUP($B392,'Node Details'!$B:$U,E$1,0),"Check"),"")</f>
        <v>Airtel</v>
      </c>
      <c r="F392" s="78">
        <v>46113</v>
      </c>
      <c r="G392" s="76"/>
      <c r="H392" s="9" t="s">
        <v>180</v>
      </c>
      <c r="I392" s="9">
        <v>2</v>
      </c>
      <c r="J392" s="9">
        <v>150</v>
      </c>
      <c r="K392" s="79">
        <f t="shared" si="47"/>
        <v>300</v>
      </c>
      <c r="L392" s="78">
        <v>46112</v>
      </c>
      <c r="N392" s="85"/>
      <c r="O392" s="86"/>
      <c r="P392" s="83">
        <f t="shared" si="42"/>
        <v>150</v>
      </c>
      <c r="Q392" s="83">
        <f t="shared" si="43"/>
        <v>300</v>
      </c>
      <c r="R392" s="83"/>
      <c r="S392" s="83"/>
      <c r="T392" s="87"/>
      <c r="U392" s="83">
        <f t="shared" si="44"/>
        <v>150</v>
      </c>
      <c r="V392" s="83">
        <f t="shared" si="45"/>
        <v>2</v>
      </c>
      <c r="W392" s="84">
        <f t="shared" si="46"/>
        <v>300</v>
      </c>
      <c r="X392" s="84" t="s">
        <v>181</v>
      </c>
      <c r="Y392" s="24" t="s">
        <v>176</v>
      </c>
    </row>
    <row r="393" spans="1:25" s="24" customFormat="1" ht="11.1" customHeight="1" x14ac:dyDescent="0.2">
      <c r="A393" s="76">
        <f t="shared" si="48"/>
        <v>391</v>
      </c>
      <c r="B393" s="77" t="s">
        <v>235</v>
      </c>
      <c r="C393" s="76" t="str">
        <f>IF($B393&lt;&gt;"",_xlfn.IFNA(VLOOKUP($B393,'Node Details'!$B:$U,C$1,0),"Check"),"")</f>
        <v>0000AXY03-AXY030108</v>
      </c>
      <c r="D393" s="76" t="str">
        <f>IF($B393&lt;&gt;"",_xlfn.IFNA(VLOOKUP($B393,'Node Details'!$B:$U,D$1,0),"Check"),"")</f>
        <v>AXY</v>
      </c>
      <c r="E393" s="76" t="str">
        <f>IF($B393&lt;&gt;"",_xlfn.IFNA(VLOOKUP($B393,'Node Details'!$B:$U,E$1,0),"Check"),"")</f>
        <v>Airtel</v>
      </c>
      <c r="F393" s="78">
        <v>46113</v>
      </c>
      <c r="G393" s="76"/>
      <c r="H393" s="9" t="s">
        <v>180</v>
      </c>
      <c r="I393" s="9">
        <v>2</v>
      </c>
      <c r="J393" s="9">
        <v>150</v>
      </c>
      <c r="K393" s="79">
        <f t="shared" si="47"/>
        <v>300</v>
      </c>
      <c r="L393" s="78">
        <v>46112</v>
      </c>
      <c r="N393" s="85"/>
      <c r="O393" s="86"/>
      <c r="P393" s="83">
        <f t="shared" si="42"/>
        <v>150</v>
      </c>
      <c r="Q393" s="83">
        <f t="shared" si="43"/>
        <v>300</v>
      </c>
      <c r="R393" s="83"/>
      <c r="S393" s="83"/>
      <c r="T393" s="87"/>
      <c r="U393" s="83">
        <f t="shared" si="44"/>
        <v>150</v>
      </c>
      <c r="V393" s="83">
        <f t="shared" si="45"/>
        <v>2</v>
      </c>
      <c r="W393" s="84">
        <f t="shared" si="46"/>
        <v>300</v>
      </c>
      <c r="X393" s="84" t="s">
        <v>181</v>
      </c>
      <c r="Y393" s="24" t="s">
        <v>176</v>
      </c>
    </row>
    <row r="394" spans="1:25" s="24" customFormat="1" ht="11.1" customHeight="1" x14ac:dyDescent="0.2">
      <c r="A394" s="76">
        <f t="shared" si="48"/>
        <v>392</v>
      </c>
      <c r="B394" s="77" t="s">
        <v>236</v>
      </c>
      <c r="C394" s="76" t="str">
        <f>IF($B394&lt;&gt;"",_xlfn.IFNA(VLOOKUP($B394,'Node Details'!$B:$U,C$1,0),"Check"),"")</f>
        <v>0000AXY03-AXY030108</v>
      </c>
      <c r="D394" s="76" t="str">
        <f>IF($B394&lt;&gt;"",_xlfn.IFNA(VLOOKUP($B394,'Node Details'!$B:$U,D$1,0),"Check"),"")</f>
        <v>AXY</v>
      </c>
      <c r="E394" s="76" t="str">
        <f>IF($B394&lt;&gt;"",_xlfn.IFNA(VLOOKUP($B394,'Node Details'!$B:$U,E$1,0),"Check"),"")</f>
        <v>Airtel</v>
      </c>
      <c r="F394" s="78">
        <v>46113</v>
      </c>
      <c r="G394" s="76"/>
      <c r="H394" s="9" t="s">
        <v>180</v>
      </c>
      <c r="I394" s="9">
        <v>2</v>
      </c>
      <c r="J394" s="9">
        <v>150</v>
      </c>
      <c r="K394" s="79">
        <f t="shared" si="47"/>
        <v>300</v>
      </c>
      <c r="L394" s="78">
        <v>46112</v>
      </c>
      <c r="N394" s="85"/>
      <c r="O394" s="86"/>
      <c r="P394" s="83">
        <f t="shared" si="42"/>
        <v>150</v>
      </c>
      <c r="Q394" s="83">
        <f t="shared" si="43"/>
        <v>300</v>
      </c>
      <c r="R394" s="83"/>
      <c r="S394" s="83"/>
      <c r="T394" s="87"/>
      <c r="U394" s="83">
        <f t="shared" si="44"/>
        <v>150</v>
      </c>
      <c r="V394" s="83">
        <f t="shared" si="45"/>
        <v>2</v>
      </c>
      <c r="W394" s="84">
        <f t="shared" si="46"/>
        <v>300</v>
      </c>
      <c r="X394" s="84" t="s">
        <v>181</v>
      </c>
      <c r="Y394" s="24" t="s">
        <v>176</v>
      </c>
    </row>
    <row r="395" spans="1:25" s="24" customFormat="1" ht="11.1" customHeight="1" x14ac:dyDescent="0.2">
      <c r="A395" s="76">
        <f t="shared" si="48"/>
        <v>393</v>
      </c>
      <c r="B395" s="77" t="s">
        <v>237</v>
      </c>
      <c r="C395" s="76" t="str">
        <f>IF($B395&lt;&gt;"",_xlfn.IFNA(VLOOKUP($B395,'Node Details'!$B:$U,C$1,0),"Check"),"")</f>
        <v>AXY030107-AXY030201</v>
      </c>
      <c r="D395" s="76" t="str">
        <f>IF($B395&lt;&gt;"",_xlfn.IFNA(VLOOKUP($B395,'Node Details'!$B:$U,D$1,0),"Check"),"")</f>
        <v>AXY</v>
      </c>
      <c r="E395" s="76" t="str">
        <f>IF($B395&lt;&gt;"",_xlfn.IFNA(VLOOKUP($B395,'Node Details'!$B:$U,E$1,0),"Check"),"")</f>
        <v>Airtel</v>
      </c>
      <c r="F395" s="78">
        <v>46113</v>
      </c>
      <c r="G395" s="76"/>
      <c r="H395" s="9" t="s">
        <v>180</v>
      </c>
      <c r="I395" s="9">
        <v>2</v>
      </c>
      <c r="J395" s="9">
        <v>150</v>
      </c>
      <c r="K395" s="79">
        <f t="shared" si="47"/>
        <v>300</v>
      </c>
      <c r="L395" s="78">
        <v>46112</v>
      </c>
      <c r="N395" s="85"/>
      <c r="O395" s="86"/>
      <c r="P395" s="83">
        <f t="shared" si="42"/>
        <v>150</v>
      </c>
      <c r="Q395" s="83">
        <f t="shared" si="43"/>
        <v>300</v>
      </c>
      <c r="R395" s="83"/>
      <c r="S395" s="83"/>
      <c r="T395" s="87"/>
      <c r="U395" s="83">
        <f t="shared" si="44"/>
        <v>150</v>
      </c>
      <c r="V395" s="83">
        <f t="shared" si="45"/>
        <v>2</v>
      </c>
      <c r="W395" s="84">
        <f t="shared" si="46"/>
        <v>300</v>
      </c>
      <c r="X395" s="84" t="s">
        <v>181</v>
      </c>
      <c r="Y395" s="24" t="s">
        <v>176</v>
      </c>
    </row>
    <row r="396" spans="1:25" s="24" customFormat="1" ht="11.1" customHeight="1" x14ac:dyDescent="0.2">
      <c r="A396" s="76">
        <f t="shared" si="48"/>
        <v>394</v>
      </c>
      <c r="B396" s="77" t="s">
        <v>238</v>
      </c>
      <c r="C396" s="76" t="str">
        <f>IF($B396&lt;&gt;"",_xlfn.IFNA(VLOOKUP($B396,'Node Details'!$B:$U,C$1,0),"Check"),"")</f>
        <v>AXY030201-AXY030204</v>
      </c>
      <c r="D396" s="76" t="str">
        <f>IF($B396&lt;&gt;"",_xlfn.IFNA(VLOOKUP($B396,'Node Details'!$B:$U,D$1,0),"Check"),"")</f>
        <v>AXY</v>
      </c>
      <c r="E396" s="76" t="str">
        <f>IF($B396&lt;&gt;"",_xlfn.IFNA(VLOOKUP($B396,'Node Details'!$B:$U,E$1,0),"Check"),"")</f>
        <v>Airtel</v>
      </c>
      <c r="F396" s="78">
        <v>46113</v>
      </c>
      <c r="G396" s="76"/>
      <c r="H396" s="9" t="s">
        <v>180</v>
      </c>
      <c r="I396" s="9">
        <v>2</v>
      </c>
      <c r="J396" s="9">
        <v>150</v>
      </c>
      <c r="K396" s="79">
        <f t="shared" si="47"/>
        <v>300</v>
      </c>
      <c r="L396" s="78">
        <v>46112</v>
      </c>
      <c r="N396" s="85"/>
      <c r="O396" s="86"/>
      <c r="P396" s="83">
        <f t="shared" si="42"/>
        <v>150</v>
      </c>
      <c r="Q396" s="83">
        <f t="shared" si="43"/>
        <v>300</v>
      </c>
      <c r="R396" s="83"/>
      <c r="S396" s="83"/>
      <c r="T396" s="87"/>
      <c r="U396" s="83">
        <f t="shared" si="44"/>
        <v>150</v>
      </c>
      <c r="V396" s="83">
        <f t="shared" si="45"/>
        <v>2</v>
      </c>
      <c r="W396" s="84">
        <f t="shared" si="46"/>
        <v>300</v>
      </c>
      <c r="X396" s="84" t="s">
        <v>181</v>
      </c>
      <c r="Y396" s="24" t="s">
        <v>176</v>
      </c>
    </row>
    <row r="397" spans="1:25" s="24" customFormat="1" ht="11.1" customHeight="1" x14ac:dyDescent="0.2">
      <c r="A397" s="76">
        <f t="shared" si="48"/>
        <v>395</v>
      </c>
      <c r="B397" s="77" t="s">
        <v>239</v>
      </c>
      <c r="C397" s="76" t="str">
        <f>IF($B397&lt;&gt;"",_xlfn.IFNA(VLOOKUP($B397,'Node Details'!$B:$U,C$1,0),"Check"),"")</f>
        <v>AXY030201-AXY030204</v>
      </c>
      <c r="D397" s="76" t="str">
        <f>IF($B397&lt;&gt;"",_xlfn.IFNA(VLOOKUP($B397,'Node Details'!$B:$U,D$1,0),"Check"),"")</f>
        <v>AXY</v>
      </c>
      <c r="E397" s="76" t="str">
        <f>IF($B397&lt;&gt;"",_xlfn.IFNA(VLOOKUP($B397,'Node Details'!$B:$U,E$1,0),"Check"),"")</f>
        <v>Airtel</v>
      </c>
      <c r="F397" s="78">
        <v>46113</v>
      </c>
      <c r="G397" s="76"/>
      <c r="H397" s="9" t="s">
        <v>180</v>
      </c>
      <c r="I397" s="9">
        <v>2</v>
      </c>
      <c r="J397" s="9">
        <v>150</v>
      </c>
      <c r="K397" s="79">
        <f t="shared" si="47"/>
        <v>300</v>
      </c>
      <c r="L397" s="78">
        <v>46112</v>
      </c>
      <c r="N397" s="85"/>
      <c r="O397" s="86"/>
      <c r="P397" s="83">
        <f t="shared" si="42"/>
        <v>150</v>
      </c>
      <c r="Q397" s="83">
        <f t="shared" si="43"/>
        <v>300</v>
      </c>
      <c r="R397" s="83"/>
      <c r="S397" s="83"/>
      <c r="T397" s="87"/>
      <c r="U397" s="83">
        <f t="shared" si="44"/>
        <v>150</v>
      </c>
      <c r="V397" s="83">
        <f t="shared" si="45"/>
        <v>2</v>
      </c>
      <c r="W397" s="84">
        <f t="shared" si="46"/>
        <v>300</v>
      </c>
      <c r="X397" s="84" t="s">
        <v>181</v>
      </c>
      <c r="Y397" s="24" t="s">
        <v>176</v>
      </c>
    </row>
    <row r="398" spans="1:25" s="24" customFormat="1" ht="11.1" customHeight="1" x14ac:dyDescent="0.2">
      <c r="A398" s="76">
        <f t="shared" si="48"/>
        <v>396</v>
      </c>
      <c r="B398" s="77" t="s">
        <v>240</v>
      </c>
      <c r="C398" s="76" t="str">
        <f>IF($B398&lt;&gt;"",_xlfn.IFNA(VLOOKUP($B398,'Node Details'!$B:$U,C$1,0),"Check"),"")</f>
        <v>000000AXY-0000AXY12</v>
      </c>
      <c r="D398" s="76" t="str">
        <f>IF($B398&lt;&gt;"",_xlfn.IFNA(VLOOKUP($B398,'Node Details'!$B:$U,D$1,0),"Check"),"")</f>
        <v>AXY</v>
      </c>
      <c r="E398" s="76" t="str">
        <f>IF($B398&lt;&gt;"",_xlfn.IFNA(VLOOKUP($B398,'Node Details'!$B:$U,E$1,0),"Check"),"")</f>
        <v>Airtel</v>
      </c>
      <c r="F398" s="78">
        <v>46113</v>
      </c>
      <c r="G398" s="76"/>
      <c r="H398" s="9" t="s">
        <v>180</v>
      </c>
      <c r="I398" s="9">
        <v>2</v>
      </c>
      <c r="J398" s="9">
        <v>150</v>
      </c>
      <c r="K398" s="79">
        <f t="shared" si="47"/>
        <v>300</v>
      </c>
      <c r="L398" s="78">
        <v>46112</v>
      </c>
      <c r="N398" s="85"/>
      <c r="O398" s="86"/>
      <c r="P398" s="83">
        <f t="shared" si="42"/>
        <v>150</v>
      </c>
      <c r="Q398" s="83">
        <f t="shared" si="43"/>
        <v>300</v>
      </c>
      <c r="R398" s="83"/>
      <c r="S398" s="83"/>
      <c r="T398" s="87"/>
      <c r="U398" s="83">
        <f t="shared" si="44"/>
        <v>150</v>
      </c>
      <c r="V398" s="83">
        <f t="shared" si="45"/>
        <v>2</v>
      </c>
      <c r="W398" s="84">
        <f t="shared" si="46"/>
        <v>300</v>
      </c>
      <c r="X398" s="84" t="s">
        <v>181</v>
      </c>
      <c r="Y398" s="24" t="s">
        <v>176</v>
      </c>
    </row>
    <row r="399" spans="1:25" s="24" customFormat="1" ht="11.1" customHeight="1" x14ac:dyDescent="0.2">
      <c r="A399" s="76">
        <f t="shared" si="48"/>
        <v>397</v>
      </c>
      <c r="B399" s="77" t="s">
        <v>241</v>
      </c>
      <c r="C399" s="76" t="str">
        <f>IF($B399&lt;&gt;"",_xlfn.IFNA(VLOOKUP($B399,'Node Details'!$B:$U,C$1,0),"Check"),"")</f>
        <v>0000AXY04-AXY040101</v>
      </c>
      <c r="D399" s="76" t="str">
        <f>IF($B399&lt;&gt;"",_xlfn.IFNA(VLOOKUP($B399,'Node Details'!$B:$U,D$1,0),"Check"),"")</f>
        <v>AXY</v>
      </c>
      <c r="E399" s="76" t="str">
        <f>IF($B399&lt;&gt;"",_xlfn.IFNA(VLOOKUP($B399,'Node Details'!$B:$U,E$1,0),"Check"),"")</f>
        <v>Airtel</v>
      </c>
      <c r="F399" s="78">
        <v>46113</v>
      </c>
      <c r="G399" s="76"/>
      <c r="H399" s="9" t="s">
        <v>180</v>
      </c>
      <c r="I399" s="9">
        <v>2</v>
      </c>
      <c r="J399" s="9">
        <v>150</v>
      </c>
      <c r="K399" s="79">
        <f t="shared" si="47"/>
        <v>300</v>
      </c>
      <c r="L399" s="78">
        <v>46112</v>
      </c>
      <c r="N399" s="85"/>
      <c r="O399" s="86"/>
      <c r="P399" s="83">
        <f t="shared" si="42"/>
        <v>150</v>
      </c>
      <c r="Q399" s="83">
        <f t="shared" si="43"/>
        <v>300</v>
      </c>
      <c r="R399" s="83"/>
      <c r="S399" s="83"/>
      <c r="T399" s="87"/>
      <c r="U399" s="83">
        <f t="shared" si="44"/>
        <v>150</v>
      </c>
      <c r="V399" s="83">
        <f t="shared" si="45"/>
        <v>2</v>
      </c>
      <c r="W399" s="84">
        <f t="shared" si="46"/>
        <v>300</v>
      </c>
      <c r="X399" s="84" t="s">
        <v>181</v>
      </c>
      <c r="Y399" s="24" t="s">
        <v>176</v>
      </c>
    </row>
    <row r="400" spans="1:25" s="24" customFormat="1" ht="11.1" customHeight="1" x14ac:dyDescent="0.2">
      <c r="A400" s="76">
        <f t="shared" si="48"/>
        <v>398</v>
      </c>
      <c r="B400" s="77" t="s">
        <v>242</v>
      </c>
      <c r="C400" s="76" t="str">
        <f>IF($B400&lt;&gt;"",_xlfn.IFNA(VLOOKUP($B400,'Node Details'!$B:$U,C$1,0),"Check"),"")</f>
        <v>0000AXY04-00AXY-FMS</v>
      </c>
      <c r="D400" s="76" t="str">
        <f>IF($B400&lt;&gt;"",_xlfn.IFNA(VLOOKUP($B400,'Node Details'!$B:$U,D$1,0),"Check"),"")</f>
        <v>AXY</v>
      </c>
      <c r="E400" s="76" t="str">
        <f>IF($B400&lt;&gt;"",_xlfn.IFNA(VLOOKUP($B400,'Node Details'!$B:$U,E$1,0),"Check"),"")</f>
        <v>Airtel</v>
      </c>
      <c r="F400" s="78">
        <v>46113</v>
      </c>
      <c r="G400" s="76"/>
      <c r="H400" s="9" t="s">
        <v>180</v>
      </c>
      <c r="I400" s="9">
        <v>2</v>
      </c>
      <c r="J400" s="9">
        <v>150</v>
      </c>
      <c r="K400" s="79">
        <f t="shared" si="47"/>
        <v>300</v>
      </c>
      <c r="L400" s="78">
        <v>46112</v>
      </c>
      <c r="N400" s="85"/>
      <c r="O400" s="86"/>
      <c r="P400" s="83">
        <f t="shared" si="42"/>
        <v>150</v>
      </c>
      <c r="Q400" s="83">
        <f t="shared" si="43"/>
        <v>300</v>
      </c>
      <c r="R400" s="83"/>
      <c r="S400" s="83"/>
      <c r="T400" s="87"/>
      <c r="U400" s="83">
        <f t="shared" si="44"/>
        <v>150</v>
      </c>
      <c r="V400" s="83">
        <f t="shared" si="45"/>
        <v>2</v>
      </c>
      <c r="W400" s="84">
        <f t="shared" si="46"/>
        <v>300</v>
      </c>
      <c r="X400" s="84" t="s">
        <v>181</v>
      </c>
      <c r="Y400" s="24" t="s">
        <v>176</v>
      </c>
    </row>
    <row r="401" spans="1:25" s="24" customFormat="1" ht="11.1" customHeight="1" x14ac:dyDescent="0.2">
      <c r="A401" s="76">
        <f t="shared" si="48"/>
        <v>399</v>
      </c>
      <c r="B401" s="77" t="s">
        <v>243</v>
      </c>
      <c r="C401" s="76" t="str">
        <f>IF($B401&lt;&gt;"",_xlfn.IFNA(VLOOKUP($B401,'Node Details'!$B:$U,C$1,0),"Check"),"")</f>
        <v>00AXY-FMS-AXY040108</v>
      </c>
      <c r="D401" s="76" t="str">
        <f>IF($B401&lt;&gt;"",_xlfn.IFNA(VLOOKUP($B401,'Node Details'!$B:$U,D$1,0),"Check"),"")</f>
        <v>AXY</v>
      </c>
      <c r="E401" s="76" t="str">
        <f>IF($B401&lt;&gt;"",_xlfn.IFNA(VLOOKUP($B401,'Node Details'!$B:$U,E$1,0),"Check"),"")</f>
        <v>Airtel</v>
      </c>
      <c r="F401" s="78">
        <v>46113</v>
      </c>
      <c r="G401" s="76"/>
      <c r="H401" s="9" t="s">
        <v>180</v>
      </c>
      <c r="I401" s="9">
        <v>2</v>
      </c>
      <c r="J401" s="9">
        <v>150</v>
      </c>
      <c r="K401" s="79">
        <f t="shared" si="47"/>
        <v>300</v>
      </c>
      <c r="L401" s="78">
        <v>46112</v>
      </c>
      <c r="N401" s="85"/>
      <c r="O401" s="86"/>
      <c r="P401" s="83">
        <f t="shared" si="42"/>
        <v>150</v>
      </c>
      <c r="Q401" s="83">
        <f t="shared" si="43"/>
        <v>300</v>
      </c>
      <c r="R401" s="83"/>
      <c r="S401" s="83"/>
      <c r="T401" s="87"/>
      <c r="U401" s="83">
        <f t="shared" si="44"/>
        <v>150</v>
      </c>
      <c r="V401" s="83">
        <f t="shared" si="45"/>
        <v>2</v>
      </c>
      <c r="W401" s="84">
        <f t="shared" si="46"/>
        <v>300</v>
      </c>
      <c r="X401" s="84" t="s">
        <v>181</v>
      </c>
      <c r="Y401" s="24" t="s">
        <v>176</v>
      </c>
    </row>
    <row r="402" spans="1:25" s="24" customFormat="1" ht="11.1" customHeight="1" x14ac:dyDescent="0.2">
      <c r="A402" s="76">
        <f t="shared" si="48"/>
        <v>400</v>
      </c>
      <c r="B402" s="77" t="s">
        <v>244</v>
      </c>
      <c r="C402" s="76" t="str">
        <f>IF($B402&lt;&gt;"",_xlfn.IFNA(VLOOKUP($B402,'Node Details'!$B:$U,C$1,0),"Check"),"")</f>
        <v>00AXY-FMS-AXY040108</v>
      </c>
      <c r="D402" s="76" t="str">
        <f>IF($B402&lt;&gt;"",_xlfn.IFNA(VLOOKUP($B402,'Node Details'!$B:$U,D$1,0),"Check"),"")</f>
        <v>AXY</v>
      </c>
      <c r="E402" s="76" t="str">
        <f>IF($B402&lt;&gt;"",_xlfn.IFNA(VLOOKUP($B402,'Node Details'!$B:$U,E$1,0),"Check"),"")</f>
        <v>Airtel</v>
      </c>
      <c r="F402" s="78">
        <v>46113</v>
      </c>
      <c r="G402" s="76"/>
      <c r="H402" s="9" t="s">
        <v>180</v>
      </c>
      <c r="I402" s="9">
        <v>2</v>
      </c>
      <c r="J402" s="9">
        <v>150</v>
      </c>
      <c r="K402" s="79">
        <f t="shared" si="47"/>
        <v>300</v>
      </c>
      <c r="L402" s="78">
        <v>46112</v>
      </c>
      <c r="N402" s="85"/>
      <c r="O402" s="86"/>
      <c r="P402" s="83">
        <f t="shared" si="42"/>
        <v>150</v>
      </c>
      <c r="Q402" s="83">
        <f t="shared" si="43"/>
        <v>300</v>
      </c>
      <c r="R402" s="83"/>
      <c r="S402" s="83"/>
      <c r="T402" s="87"/>
      <c r="U402" s="83">
        <f t="shared" si="44"/>
        <v>150</v>
      </c>
      <c r="V402" s="83">
        <f t="shared" si="45"/>
        <v>2</v>
      </c>
      <c r="W402" s="84">
        <f t="shared" si="46"/>
        <v>300</v>
      </c>
      <c r="X402" s="84" t="s">
        <v>181</v>
      </c>
      <c r="Y402" s="24" t="s">
        <v>176</v>
      </c>
    </row>
    <row r="403" spans="1:25" s="24" customFormat="1" ht="11.1" customHeight="1" x14ac:dyDescent="0.2">
      <c r="A403" s="76">
        <f t="shared" si="48"/>
        <v>401</v>
      </c>
      <c r="B403" s="77" t="s">
        <v>245</v>
      </c>
      <c r="C403" s="76" t="str">
        <f>IF($B403&lt;&gt;"",_xlfn.IFNA(VLOOKUP($B403,'Node Details'!$B:$U,C$1,0),"Check"),"")</f>
        <v>00AXY-FMS-AXY040108</v>
      </c>
      <c r="D403" s="76" t="str">
        <f>IF($B403&lt;&gt;"",_xlfn.IFNA(VLOOKUP($B403,'Node Details'!$B:$U,D$1,0),"Check"),"")</f>
        <v>AXY</v>
      </c>
      <c r="E403" s="76" t="str">
        <f>IF($B403&lt;&gt;"",_xlfn.IFNA(VLOOKUP($B403,'Node Details'!$B:$U,E$1,0),"Check"),"")</f>
        <v>Airtel</v>
      </c>
      <c r="F403" s="78">
        <v>46113</v>
      </c>
      <c r="G403" s="76"/>
      <c r="H403" s="9" t="s">
        <v>180</v>
      </c>
      <c r="I403" s="9">
        <v>2</v>
      </c>
      <c r="J403" s="9">
        <v>150</v>
      </c>
      <c r="K403" s="79">
        <f t="shared" si="47"/>
        <v>300</v>
      </c>
      <c r="L403" s="78">
        <v>46112</v>
      </c>
      <c r="N403" s="85"/>
      <c r="O403" s="86"/>
      <c r="P403" s="83">
        <f t="shared" si="42"/>
        <v>150</v>
      </c>
      <c r="Q403" s="83">
        <f t="shared" si="43"/>
        <v>300</v>
      </c>
      <c r="R403" s="83"/>
      <c r="S403" s="83"/>
      <c r="T403" s="87"/>
      <c r="U403" s="83">
        <f t="shared" si="44"/>
        <v>150</v>
      </c>
      <c r="V403" s="83">
        <f t="shared" si="45"/>
        <v>2</v>
      </c>
      <c r="W403" s="84">
        <f t="shared" si="46"/>
        <v>300</v>
      </c>
      <c r="X403" s="84" t="s">
        <v>181</v>
      </c>
      <c r="Y403" s="24" t="s">
        <v>176</v>
      </c>
    </row>
    <row r="404" spans="1:25" s="24" customFormat="1" ht="11.1" customHeight="1" x14ac:dyDescent="0.2">
      <c r="A404" s="76">
        <f t="shared" si="48"/>
        <v>402</v>
      </c>
      <c r="B404" s="77" t="s">
        <v>246</v>
      </c>
      <c r="C404" s="76" t="str">
        <f>IF($B404&lt;&gt;"",_xlfn.IFNA(VLOOKUP($B404,'Node Details'!$B:$U,C$1,0),"Check"),"")</f>
        <v>00AXY-FMS-AXY040108</v>
      </c>
      <c r="D404" s="76" t="str">
        <f>IF($B404&lt;&gt;"",_xlfn.IFNA(VLOOKUP($B404,'Node Details'!$B:$U,D$1,0),"Check"),"")</f>
        <v>AXY</v>
      </c>
      <c r="E404" s="76" t="str">
        <f>IF($B404&lt;&gt;"",_xlfn.IFNA(VLOOKUP($B404,'Node Details'!$B:$U,E$1,0),"Check"),"")</f>
        <v>Airtel</v>
      </c>
      <c r="F404" s="78">
        <v>46113</v>
      </c>
      <c r="G404" s="76"/>
      <c r="H404" s="9" t="s">
        <v>180</v>
      </c>
      <c r="I404" s="9">
        <v>2</v>
      </c>
      <c r="J404" s="9">
        <v>150</v>
      </c>
      <c r="K404" s="79">
        <f t="shared" si="47"/>
        <v>300</v>
      </c>
      <c r="L404" s="78">
        <v>46112</v>
      </c>
      <c r="N404" s="85"/>
      <c r="O404" s="86"/>
      <c r="P404" s="83">
        <f t="shared" si="42"/>
        <v>150</v>
      </c>
      <c r="Q404" s="83">
        <f t="shared" si="43"/>
        <v>300</v>
      </c>
      <c r="R404" s="83"/>
      <c r="S404" s="83"/>
      <c r="T404" s="87"/>
      <c r="U404" s="83">
        <f t="shared" si="44"/>
        <v>150</v>
      </c>
      <c r="V404" s="83">
        <f t="shared" si="45"/>
        <v>2</v>
      </c>
      <c r="W404" s="84">
        <f t="shared" si="46"/>
        <v>300</v>
      </c>
      <c r="X404" s="84" t="s">
        <v>181</v>
      </c>
      <c r="Y404" s="24" t="s">
        <v>176</v>
      </c>
    </row>
    <row r="405" spans="1:25" s="24" customFormat="1" ht="11.1" customHeight="1" x14ac:dyDescent="0.2">
      <c r="A405" s="76">
        <f t="shared" si="48"/>
        <v>403</v>
      </c>
      <c r="B405" s="77" t="s">
        <v>247</v>
      </c>
      <c r="C405" s="76" t="str">
        <f>IF($B405&lt;&gt;"",_xlfn.IFNA(VLOOKUP($B405,'Node Details'!$B:$U,C$1,0),"Check"),"")</f>
        <v>0000AXY04-AXY040201</v>
      </c>
      <c r="D405" s="76" t="str">
        <f>IF($B405&lt;&gt;"",_xlfn.IFNA(VLOOKUP($B405,'Node Details'!$B:$U,D$1,0),"Check"),"")</f>
        <v>AXY</v>
      </c>
      <c r="E405" s="76" t="str">
        <f>IF($B405&lt;&gt;"",_xlfn.IFNA(VLOOKUP($B405,'Node Details'!$B:$U,E$1,0),"Check"),"")</f>
        <v>Airtel</v>
      </c>
      <c r="F405" s="78">
        <v>46113</v>
      </c>
      <c r="G405" s="76"/>
      <c r="H405" s="9" t="s">
        <v>180</v>
      </c>
      <c r="I405" s="9">
        <v>2</v>
      </c>
      <c r="J405" s="9">
        <v>150</v>
      </c>
      <c r="K405" s="79">
        <f t="shared" si="47"/>
        <v>300</v>
      </c>
      <c r="L405" s="78">
        <v>46112</v>
      </c>
      <c r="N405" s="85"/>
      <c r="O405" s="86"/>
      <c r="P405" s="83">
        <f t="shared" si="42"/>
        <v>150</v>
      </c>
      <c r="Q405" s="83">
        <f t="shared" si="43"/>
        <v>300</v>
      </c>
      <c r="R405" s="83"/>
      <c r="S405" s="83"/>
      <c r="T405" s="87"/>
      <c r="U405" s="83">
        <f t="shared" si="44"/>
        <v>150</v>
      </c>
      <c r="V405" s="83">
        <f t="shared" si="45"/>
        <v>2</v>
      </c>
      <c r="W405" s="84">
        <f t="shared" si="46"/>
        <v>300</v>
      </c>
      <c r="X405" s="84" t="s">
        <v>181</v>
      </c>
      <c r="Y405" s="24" t="s">
        <v>176</v>
      </c>
    </row>
    <row r="406" spans="1:25" s="24" customFormat="1" ht="11.1" customHeight="1" x14ac:dyDescent="0.2">
      <c r="A406" s="76">
        <f t="shared" si="48"/>
        <v>404</v>
      </c>
      <c r="B406" s="77" t="s">
        <v>248</v>
      </c>
      <c r="C406" s="76" t="str">
        <f>IF($B406&lt;&gt;"",_xlfn.IFNA(VLOOKUP($B406,'Node Details'!$B:$U,C$1,0),"Check"),"")</f>
        <v>AXY040201-AXY040204</v>
      </c>
      <c r="D406" s="76" t="str">
        <f>IF($B406&lt;&gt;"",_xlfn.IFNA(VLOOKUP($B406,'Node Details'!$B:$U,D$1,0),"Check"),"")</f>
        <v>AXY</v>
      </c>
      <c r="E406" s="76" t="str">
        <f>IF($B406&lt;&gt;"",_xlfn.IFNA(VLOOKUP($B406,'Node Details'!$B:$U,E$1,0),"Check"),"")</f>
        <v>Airtel</v>
      </c>
      <c r="F406" s="78">
        <v>46113</v>
      </c>
      <c r="G406" s="76"/>
      <c r="H406" s="9" t="s">
        <v>180</v>
      </c>
      <c r="I406" s="9">
        <v>2</v>
      </c>
      <c r="J406" s="9">
        <v>150</v>
      </c>
      <c r="K406" s="79">
        <f t="shared" si="47"/>
        <v>300</v>
      </c>
      <c r="L406" s="78">
        <v>46112</v>
      </c>
      <c r="N406" s="85"/>
      <c r="O406" s="86"/>
      <c r="P406" s="83">
        <f t="shared" si="42"/>
        <v>150</v>
      </c>
      <c r="Q406" s="83">
        <f t="shared" si="43"/>
        <v>300</v>
      </c>
      <c r="R406" s="83"/>
      <c r="S406" s="83"/>
      <c r="T406" s="87"/>
      <c r="U406" s="83">
        <f t="shared" si="44"/>
        <v>150</v>
      </c>
      <c r="V406" s="83">
        <f t="shared" si="45"/>
        <v>2</v>
      </c>
      <c r="W406" s="84">
        <f t="shared" si="46"/>
        <v>300</v>
      </c>
      <c r="X406" s="84" t="s">
        <v>181</v>
      </c>
      <c r="Y406" s="24" t="s">
        <v>176</v>
      </c>
    </row>
    <row r="407" spans="1:25" s="24" customFormat="1" ht="11.1" customHeight="1" x14ac:dyDescent="0.2">
      <c r="A407" s="76">
        <f t="shared" si="48"/>
        <v>405</v>
      </c>
      <c r="B407" s="77" t="s">
        <v>249</v>
      </c>
      <c r="C407" s="76" t="str">
        <f>IF($B407&lt;&gt;"",_xlfn.IFNA(VLOOKUP($B407,'Node Details'!$B:$U,C$1,0),"Check"),"")</f>
        <v>AXY040201-AXY040204</v>
      </c>
      <c r="D407" s="76" t="str">
        <f>IF($B407&lt;&gt;"",_xlfn.IFNA(VLOOKUP($B407,'Node Details'!$B:$U,D$1,0),"Check"),"")</f>
        <v>AXY</v>
      </c>
      <c r="E407" s="76" t="str">
        <f>IF($B407&lt;&gt;"",_xlfn.IFNA(VLOOKUP($B407,'Node Details'!$B:$U,E$1,0),"Check"),"")</f>
        <v>Airtel</v>
      </c>
      <c r="F407" s="78">
        <v>46113</v>
      </c>
      <c r="G407" s="76"/>
      <c r="H407" s="9" t="s">
        <v>180</v>
      </c>
      <c r="I407" s="9">
        <v>2</v>
      </c>
      <c r="J407" s="9">
        <v>150</v>
      </c>
      <c r="K407" s="79">
        <f t="shared" si="47"/>
        <v>300</v>
      </c>
      <c r="L407" s="78">
        <v>46112</v>
      </c>
      <c r="N407" s="85"/>
      <c r="O407" s="86"/>
      <c r="P407" s="83">
        <f t="shared" si="42"/>
        <v>150</v>
      </c>
      <c r="Q407" s="83">
        <f t="shared" si="43"/>
        <v>300</v>
      </c>
      <c r="R407" s="83"/>
      <c r="S407" s="83"/>
      <c r="T407" s="87"/>
      <c r="U407" s="83">
        <f t="shared" si="44"/>
        <v>150</v>
      </c>
      <c r="V407" s="83">
        <f t="shared" si="45"/>
        <v>2</v>
      </c>
      <c r="W407" s="84">
        <f t="shared" si="46"/>
        <v>300</v>
      </c>
      <c r="X407" s="84" t="s">
        <v>181</v>
      </c>
      <c r="Y407" s="24" t="s">
        <v>176</v>
      </c>
    </row>
    <row r="408" spans="1:25" s="24" customFormat="1" ht="11.1" customHeight="1" x14ac:dyDescent="0.2">
      <c r="A408" s="76">
        <f t="shared" si="48"/>
        <v>406</v>
      </c>
      <c r="B408" s="77" t="s">
        <v>250</v>
      </c>
      <c r="C408" s="76" t="str">
        <f>IF($B408&lt;&gt;"",_xlfn.IFNA(VLOOKUP($B408,'Node Details'!$B:$U,C$1,0),"Check"),"")</f>
        <v>AXY040201-AXY040204</v>
      </c>
      <c r="D408" s="76" t="str">
        <f>IF($B408&lt;&gt;"",_xlfn.IFNA(VLOOKUP($B408,'Node Details'!$B:$U,D$1,0),"Check"),"")</f>
        <v>AXY</v>
      </c>
      <c r="E408" s="76" t="str">
        <f>IF($B408&lt;&gt;"",_xlfn.IFNA(VLOOKUP($B408,'Node Details'!$B:$U,E$1,0),"Check"),"")</f>
        <v>Airtel</v>
      </c>
      <c r="F408" s="78">
        <v>46113</v>
      </c>
      <c r="G408" s="76"/>
      <c r="H408" s="9" t="s">
        <v>180</v>
      </c>
      <c r="I408" s="9">
        <v>2</v>
      </c>
      <c r="J408" s="9">
        <v>150</v>
      </c>
      <c r="K408" s="79">
        <f t="shared" si="47"/>
        <v>300</v>
      </c>
      <c r="L408" s="78">
        <v>46112</v>
      </c>
      <c r="N408" s="85"/>
      <c r="O408" s="86"/>
      <c r="P408" s="83">
        <f t="shared" si="42"/>
        <v>150</v>
      </c>
      <c r="Q408" s="83">
        <f t="shared" si="43"/>
        <v>300</v>
      </c>
      <c r="R408" s="83"/>
      <c r="S408" s="83"/>
      <c r="T408" s="87"/>
      <c r="U408" s="83">
        <f t="shared" si="44"/>
        <v>150</v>
      </c>
      <c r="V408" s="83">
        <f t="shared" si="45"/>
        <v>2</v>
      </c>
      <c r="W408" s="84">
        <f t="shared" si="46"/>
        <v>300</v>
      </c>
      <c r="X408" s="84" t="s">
        <v>181</v>
      </c>
      <c r="Y408" s="24" t="s">
        <v>176</v>
      </c>
    </row>
    <row r="409" spans="1:25" s="24" customFormat="1" ht="11.1" customHeight="1" x14ac:dyDescent="0.2">
      <c r="A409" s="76">
        <f t="shared" si="48"/>
        <v>407</v>
      </c>
      <c r="B409" s="77" t="s">
        <v>251</v>
      </c>
      <c r="C409" s="76" t="str">
        <f>IF($B409&lt;&gt;"",_xlfn.IFNA(VLOOKUP($B409,'Node Details'!$B:$U,C$1,0),"Check"),"")</f>
        <v>0000AXY04-0000AXY05</v>
      </c>
      <c r="D409" s="76" t="str">
        <f>IF($B409&lt;&gt;"",_xlfn.IFNA(VLOOKUP($B409,'Node Details'!$B:$U,D$1,0),"Check"),"")</f>
        <v>AXY</v>
      </c>
      <c r="E409" s="76" t="str">
        <f>IF($B409&lt;&gt;"",_xlfn.IFNA(VLOOKUP($B409,'Node Details'!$B:$U,E$1,0),"Check"),"")</f>
        <v>Airtel</v>
      </c>
      <c r="F409" s="78">
        <v>46113</v>
      </c>
      <c r="G409" s="76"/>
      <c r="H409" s="9" t="s">
        <v>180</v>
      </c>
      <c r="I409" s="9">
        <v>2</v>
      </c>
      <c r="J409" s="9">
        <v>150</v>
      </c>
      <c r="K409" s="79">
        <f t="shared" si="47"/>
        <v>300</v>
      </c>
      <c r="L409" s="78">
        <v>46112</v>
      </c>
      <c r="N409" s="85"/>
      <c r="O409" s="86"/>
      <c r="P409" s="83">
        <f t="shared" si="42"/>
        <v>150</v>
      </c>
      <c r="Q409" s="83">
        <f t="shared" si="43"/>
        <v>300</v>
      </c>
      <c r="R409" s="83"/>
      <c r="S409" s="83"/>
      <c r="T409" s="87"/>
      <c r="U409" s="83">
        <f t="shared" si="44"/>
        <v>150</v>
      </c>
      <c r="V409" s="83">
        <f t="shared" si="45"/>
        <v>2</v>
      </c>
      <c r="W409" s="84">
        <f t="shared" si="46"/>
        <v>300</v>
      </c>
      <c r="X409" s="84" t="s">
        <v>181</v>
      </c>
      <c r="Y409" s="24" t="s">
        <v>176</v>
      </c>
    </row>
    <row r="410" spans="1:25" s="24" customFormat="1" ht="11.1" customHeight="1" x14ac:dyDescent="0.2">
      <c r="A410" s="76">
        <f t="shared" si="48"/>
        <v>408</v>
      </c>
      <c r="B410" s="77" t="s">
        <v>252</v>
      </c>
      <c r="C410" s="76" t="str">
        <f>IF($B410&lt;&gt;"",_xlfn.IFNA(VLOOKUP($B410,'Node Details'!$B:$U,C$1,0),"Check"),"")</f>
        <v>0000AXY05-AXY050101</v>
      </c>
      <c r="D410" s="76" t="str">
        <f>IF($B410&lt;&gt;"",_xlfn.IFNA(VLOOKUP($B410,'Node Details'!$B:$U,D$1,0),"Check"),"")</f>
        <v>AXY</v>
      </c>
      <c r="E410" s="76" t="str">
        <f>IF($B410&lt;&gt;"",_xlfn.IFNA(VLOOKUP($B410,'Node Details'!$B:$U,E$1,0),"Check"),"")</f>
        <v>Airtel</v>
      </c>
      <c r="F410" s="78">
        <v>46113</v>
      </c>
      <c r="G410" s="76"/>
      <c r="H410" s="9" t="s">
        <v>180</v>
      </c>
      <c r="I410" s="9">
        <v>2</v>
      </c>
      <c r="J410" s="9">
        <v>150</v>
      </c>
      <c r="K410" s="79">
        <f t="shared" si="47"/>
        <v>300</v>
      </c>
      <c r="L410" s="78">
        <v>46112</v>
      </c>
      <c r="N410" s="85"/>
      <c r="O410" s="86"/>
      <c r="P410" s="83">
        <f t="shared" si="42"/>
        <v>150</v>
      </c>
      <c r="Q410" s="83">
        <f t="shared" si="43"/>
        <v>300</v>
      </c>
      <c r="R410" s="83"/>
      <c r="S410" s="83"/>
      <c r="T410" s="87"/>
      <c r="U410" s="83">
        <f t="shared" si="44"/>
        <v>150</v>
      </c>
      <c r="V410" s="83">
        <f t="shared" si="45"/>
        <v>2</v>
      </c>
      <c r="W410" s="84">
        <f t="shared" si="46"/>
        <v>300</v>
      </c>
      <c r="X410" s="84" t="s">
        <v>181</v>
      </c>
      <c r="Y410" s="24" t="s">
        <v>176</v>
      </c>
    </row>
    <row r="411" spans="1:25" s="24" customFormat="1" ht="11.1" customHeight="1" x14ac:dyDescent="0.2">
      <c r="A411" s="76">
        <f t="shared" si="48"/>
        <v>409</v>
      </c>
      <c r="B411" s="77" t="s">
        <v>253</v>
      </c>
      <c r="C411" s="76" t="str">
        <f>IF($B411&lt;&gt;"",_xlfn.IFNA(VLOOKUP($B411,'Node Details'!$B:$U,C$1,0),"Check"),"")</f>
        <v>0000AXY5 -AXY050104</v>
      </c>
      <c r="D411" s="76" t="str">
        <f>IF($B411&lt;&gt;"",_xlfn.IFNA(VLOOKUP($B411,'Node Details'!$B:$U,D$1,0),"Check"),"")</f>
        <v>AXY</v>
      </c>
      <c r="E411" s="76" t="str">
        <f>IF($B411&lt;&gt;"",_xlfn.IFNA(VLOOKUP($B411,'Node Details'!$B:$U,E$1,0),"Check"),"")</f>
        <v>Airtel</v>
      </c>
      <c r="F411" s="78">
        <v>46113</v>
      </c>
      <c r="G411" s="76"/>
      <c r="H411" s="9" t="s">
        <v>180</v>
      </c>
      <c r="I411" s="9">
        <v>2</v>
      </c>
      <c r="J411" s="9">
        <v>150</v>
      </c>
      <c r="K411" s="79">
        <f t="shared" si="47"/>
        <v>300</v>
      </c>
      <c r="L411" s="78">
        <v>46112</v>
      </c>
      <c r="N411" s="85"/>
      <c r="O411" s="86"/>
      <c r="P411" s="83">
        <f t="shared" si="42"/>
        <v>150</v>
      </c>
      <c r="Q411" s="83">
        <f t="shared" si="43"/>
        <v>300</v>
      </c>
      <c r="R411" s="83"/>
      <c r="S411" s="83"/>
      <c r="T411" s="87"/>
      <c r="U411" s="83">
        <f t="shared" si="44"/>
        <v>150</v>
      </c>
      <c r="V411" s="83">
        <f t="shared" si="45"/>
        <v>2</v>
      </c>
      <c r="W411" s="84">
        <f t="shared" si="46"/>
        <v>300</v>
      </c>
      <c r="X411" s="84" t="s">
        <v>181</v>
      </c>
      <c r="Y411" s="24" t="s">
        <v>176</v>
      </c>
    </row>
    <row r="412" spans="1:25" s="24" customFormat="1" ht="11.1" customHeight="1" x14ac:dyDescent="0.2">
      <c r="A412" s="76">
        <f t="shared" si="48"/>
        <v>410</v>
      </c>
      <c r="B412" s="77" t="s">
        <v>254</v>
      </c>
      <c r="C412" s="76" t="str">
        <f>IF($B412&lt;&gt;"",_xlfn.IFNA(VLOOKUP($B412,'Node Details'!$B:$U,C$1,0),"Check"),"")</f>
        <v>0000AXY5 -AXY050104</v>
      </c>
      <c r="D412" s="76" t="str">
        <f>IF($B412&lt;&gt;"",_xlfn.IFNA(VLOOKUP($B412,'Node Details'!$B:$U,D$1,0),"Check"),"")</f>
        <v>AXY</v>
      </c>
      <c r="E412" s="76" t="str">
        <f>IF($B412&lt;&gt;"",_xlfn.IFNA(VLOOKUP($B412,'Node Details'!$B:$U,E$1,0),"Check"),"")</f>
        <v>Airtel</v>
      </c>
      <c r="F412" s="78">
        <v>46113</v>
      </c>
      <c r="G412" s="76"/>
      <c r="H412" s="9" t="s">
        <v>180</v>
      </c>
      <c r="I412" s="9">
        <v>2</v>
      </c>
      <c r="J412" s="9">
        <v>150</v>
      </c>
      <c r="K412" s="79">
        <f t="shared" si="47"/>
        <v>300</v>
      </c>
      <c r="L412" s="78">
        <v>46112</v>
      </c>
      <c r="N412" s="85"/>
      <c r="O412" s="86"/>
      <c r="P412" s="83">
        <f t="shared" si="42"/>
        <v>150</v>
      </c>
      <c r="Q412" s="83">
        <f t="shared" si="43"/>
        <v>300</v>
      </c>
      <c r="R412" s="83"/>
      <c r="S412" s="83"/>
      <c r="T412" s="87"/>
      <c r="U412" s="83">
        <f t="shared" si="44"/>
        <v>150</v>
      </c>
      <c r="V412" s="83">
        <f t="shared" si="45"/>
        <v>2</v>
      </c>
      <c r="W412" s="84">
        <f t="shared" si="46"/>
        <v>300</v>
      </c>
      <c r="X412" s="84" t="s">
        <v>181</v>
      </c>
      <c r="Y412" s="24" t="s">
        <v>176</v>
      </c>
    </row>
    <row r="413" spans="1:25" s="24" customFormat="1" ht="11.1" customHeight="1" x14ac:dyDescent="0.2">
      <c r="A413" s="76">
        <f t="shared" si="48"/>
        <v>411</v>
      </c>
      <c r="B413" s="77" t="s">
        <v>255</v>
      </c>
      <c r="C413" s="76" t="str">
        <f>IF($B413&lt;&gt;"",_xlfn.IFNA(VLOOKUP($B413,'Node Details'!$B:$U,C$1,0),"Check"),"")</f>
        <v>0000AXY5 -AXY050104</v>
      </c>
      <c r="D413" s="76" t="str">
        <f>IF($B413&lt;&gt;"",_xlfn.IFNA(VLOOKUP($B413,'Node Details'!$B:$U,D$1,0),"Check"),"")</f>
        <v>AXY</v>
      </c>
      <c r="E413" s="76" t="str">
        <f>IF($B413&lt;&gt;"",_xlfn.IFNA(VLOOKUP($B413,'Node Details'!$B:$U,E$1,0),"Check"),"")</f>
        <v>Airtel</v>
      </c>
      <c r="F413" s="78">
        <v>46113</v>
      </c>
      <c r="G413" s="76"/>
      <c r="H413" s="9" t="s">
        <v>180</v>
      </c>
      <c r="I413" s="9">
        <v>2</v>
      </c>
      <c r="J413" s="9">
        <v>150</v>
      </c>
      <c r="K413" s="79">
        <f t="shared" si="47"/>
        <v>300</v>
      </c>
      <c r="L413" s="78">
        <v>46112</v>
      </c>
      <c r="N413" s="85"/>
      <c r="O413" s="86"/>
      <c r="P413" s="83">
        <f t="shared" si="42"/>
        <v>150</v>
      </c>
      <c r="Q413" s="83">
        <f t="shared" si="43"/>
        <v>300</v>
      </c>
      <c r="R413" s="83"/>
      <c r="S413" s="83"/>
      <c r="T413" s="87"/>
      <c r="U413" s="83">
        <f t="shared" si="44"/>
        <v>150</v>
      </c>
      <c r="V413" s="83">
        <f t="shared" si="45"/>
        <v>2</v>
      </c>
      <c r="W413" s="84">
        <f t="shared" si="46"/>
        <v>300</v>
      </c>
      <c r="X413" s="84" t="s">
        <v>181</v>
      </c>
      <c r="Y413" s="24" t="s">
        <v>176</v>
      </c>
    </row>
    <row r="414" spans="1:25" s="24" customFormat="1" ht="11.1" customHeight="1" x14ac:dyDescent="0.2">
      <c r="A414" s="76">
        <f t="shared" si="48"/>
        <v>412</v>
      </c>
      <c r="B414" s="77" t="s">
        <v>256</v>
      </c>
      <c r="C414" s="76" t="str">
        <f>IF($B414&lt;&gt;"",_xlfn.IFNA(VLOOKUP($B414,'Node Details'!$B:$U,C$1,0),"Check"),"")</f>
        <v>0000AXY05-AXY050107</v>
      </c>
      <c r="D414" s="76" t="str">
        <f>IF($B414&lt;&gt;"",_xlfn.IFNA(VLOOKUP($B414,'Node Details'!$B:$U,D$1,0),"Check"),"")</f>
        <v>AXY</v>
      </c>
      <c r="E414" s="76" t="str">
        <f>IF($B414&lt;&gt;"",_xlfn.IFNA(VLOOKUP($B414,'Node Details'!$B:$U,E$1,0),"Check"),"")</f>
        <v>Airtel</v>
      </c>
      <c r="F414" s="78">
        <v>46113</v>
      </c>
      <c r="G414" s="76"/>
      <c r="H414" s="9" t="s">
        <v>180</v>
      </c>
      <c r="I414" s="9">
        <v>2</v>
      </c>
      <c r="J414" s="9">
        <v>150</v>
      </c>
      <c r="K414" s="79">
        <f t="shared" si="47"/>
        <v>300</v>
      </c>
      <c r="L414" s="78">
        <v>46112</v>
      </c>
      <c r="N414" s="85"/>
      <c r="O414" s="86"/>
      <c r="P414" s="83">
        <f t="shared" si="42"/>
        <v>150</v>
      </c>
      <c r="Q414" s="83">
        <f t="shared" si="43"/>
        <v>300</v>
      </c>
      <c r="R414" s="83"/>
      <c r="S414" s="83"/>
      <c r="T414" s="87"/>
      <c r="U414" s="83">
        <f t="shared" si="44"/>
        <v>150</v>
      </c>
      <c r="V414" s="83">
        <f t="shared" si="45"/>
        <v>2</v>
      </c>
      <c r="W414" s="84">
        <f t="shared" si="46"/>
        <v>300</v>
      </c>
      <c r="X414" s="84" t="s">
        <v>181</v>
      </c>
      <c r="Y414" s="24" t="s">
        <v>176</v>
      </c>
    </row>
    <row r="415" spans="1:25" s="24" customFormat="1" ht="11.1" customHeight="1" x14ac:dyDescent="0.2">
      <c r="A415" s="76">
        <f t="shared" si="48"/>
        <v>413</v>
      </c>
      <c r="B415" s="77" t="s">
        <v>257</v>
      </c>
      <c r="C415" s="76" t="str">
        <f>IF($B415&lt;&gt;"",_xlfn.IFNA(VLOOKUP($B415,'Node Details'!$B:$U,C$1,0),"Check"),"")</f>
        <v>0000AXY05-AXY050107</v>
      </c>
      <c r="D415" s="76" t="str">
        <f>IF($B415&lt;&gt;"",_xlfn.IFNA(VLOOKUP($B415,'Node Details'!$B:$U,D$1,0),"Check"),"")</f>
        <v>AXY</v>
      </c>
      <c r="E415" s="76" t="str">
        <f>IF($B415&lt;&gt;"",_xlfn.IFNA(VLOOKUP($B415,'Node Details'!$B:$U,E$1,0),"Check"),"")</f>
        <v>Airtel</v>
      </c>
      <c r="F415" s="78">
        <v>46113</v>
      </c>
      <c r="G415" s="76"/>
      <c r="H415" s="9" t="s">
        <v>180</v>
      </c>
      <c r="I415" s="9">
        <v>2</v>
      </c>
      <c r="J415" s="9">
        <v>150</v>
      </c>
      <c r="K415" s="79">
        <f t="shared" si="47"/>
        <v>300</v>
      </c>
      <c r="L415" s="78">
        <v>46112</v>
      </c>
      <c r="N415" s="85"/>
      <c r="O415" s="86"/>
      <c r="P415" s="83">
        <f t="shared" si="42"/>
        <v>150</v>
      </c>
      <c r="Q415" s="83">
        <f t="shared" si="43"/>
        <v>300</v>
      </c>
      <c r="R415" s="83"/>
      <c r="S415" s="83"/>
      <c r="T415" s="87"/>
      <c r="U415" s="83">
        <f t="shared" si="44"/>
        <v>150</v>
      </c>
      <c r="V415" s="83">
        <f t="shared" si="45"/>
        <v>2</v>
      </c>
      <c r="W415" s="84">
        <f t="shared" si="46"/>
        <v>300</v>
      </c>
      <c r="X415" s="84" t="s">
        <v>181</v>
      </c>
      <c r="Y415" s="24" t="s">
        <v>176</v>
      </c>
    </row>
    <row r="416" spans="1:25" s="24" customFormat="1" ht="11.1" customHeight="1" x14ac:dyDescent="0.2">
      <c r="A416" s="76">
        <f t="shared" si="48"/>
        <v>414</v>
      </c>
      <c r="B416" s="77" t="s">
        <v>258</v>
      </c>
      <c r="C416" s="76" t="str">
        <f>IF($B416&lt;&gt;"",_xlfn.IFNA(VLOOKUP($B416,'Node Details'!$B:$U,C$1,0),"Check"),"")</f>
        <v>0000AXY05-AXY050107</v>
      </c>
      <c r="D416" s="76" t="str">
        <f>IF($B416&lt;&gt;"",_xlfn.IFNA(VLOOKUP($B416,'Node Details'!$B:$U,D$1,0),"Check"),"")</f>
        <v>AXY</v>
      </c>
      <c r="E416" s="76" t="str">
        <f>IF($B416&lt;&gt;"",_xlfn.IFNA(VLOOKUP($B416,'Node Details'!$B:$U,E$1,0),"Check"),"")</f>
        <v>Airtel</v>
      </c>
      <c r="F416" s="78">
        <v>46113</v>
      </c>
      <c r="G416" s="76"/>
      <c r="H416" s="9" t="s">
        <v>180</v>
      </c>
      <c r="I416" s="9">
        <v>2</v>
      </c>
      <c r="J416" s="9">
        <v>150</v>
      </c>
      <c r="K416" s="79">
        <f t="shared" si="47"/>
        <v>300</v>
      </c>
      <c r="L416" s="78">
        <v>46112</v>
      </c>
      <c r="N416" s="85"/>
      <c r="O416" s="86"/>
      <c r="P416" s="83">
        <f t="shared" si="42"/>
        <v>150</v>
      </c>
      <c r="Q416" s="83">
        <f t="shared" si="43"/>
        <v>300</v>
      </c>
      <c r="R416" s="83"/>
      <c r="S416" s="83"/>
      <c r="T416" s="87"/>
      <c r="U416" s="83">
        <f t="shared" si="44"/>
        <v>150</v>
      </c>
      <c r="V416" s="83">
        <f t="shared" si="45"/>
        <v>2</v>
      </c>
      <c r="W416" s="84">
        <f t="shared" si="46"/>
        <v>300</v>
      </c>
      <c r="X416" s="84" t="s">
        <v>181</v>
      </c>
      <c r="Y416" s="24" t="s">
        <v>176</v>
      </c>
    </row>
    <row r="417" spans="1:25" s="24" customFormat="1" ht="11.1" customHeight="1" x14ac:dyDescent="0.2">
      <c r="A417" s="76">
        <f t="shared" si="48"/>
        <v>415</v>
      </c>
      <c r="B417" s="77" t="s">
        <v>259</v>
      </c>
      <c r="C417" s="76" t="str">
        <f>IF($B417&lt;&gt;"",_xlfn.IFNA(VLOOKUP($B417,'Node Details'!$B:$U,C$1,0),"Check"),"")</f>
        <v>AXY050105-AXY050202</v>
      </c>
      <c r="D417" s="76" t="str">
        <f>IF($B417&lt;&gt;"",_xlfn.IFNA(VLOOKUP($B417,'Node Details'!$B:$U,D$1,0),"Check"),"")</f>
        <v>AXY</v>
      </c>
      <c r="E417" s="76" t="str">
        <f>IF($B417&lt;&gt;"",_xlfn.IFNA(VLOOKUP($B417,'Node Details'!$B:$U,E$1,0),"Check"),"")</f>
        <v>Airtel</v>
      </c>
      <c r="F417" s="78">
        <v>46113</v>
      </c>
      <c r="G417" s="76"/>
      <c r="H417" s="9" t="s">
        <v>180</v>
      </c>
      <c r="I417" s="9">
        <v>2</v>
      </c>
      <c r="J417" s="9">
        <v>150</v>
      </c>
      <c r="K417" s="79">
        <f t="shared" si="47"/>
        <v>300</v>
      </c>
      <c r="L417" s="78">
        <v>46112</v>
      </c>
      <c r="N417" s="85"/>
      <c r="O417" s="86"/>
      <c r="P417" s="83">
        <f t="shared" si="42"/>
        <v>150</v>
      </c>
      <c r="Q417" s="83">
        <f t="shared" si="43"/>
        <v>300</v>
      </c>
      <c r="R417" s="83"/>
      <c r="S417" s="83"/>
      <c r="T417" s="87"/>
      <c r="U417" s="83">
        <f t="shared" si="44"/>
        <v>150</v>
      </c>
      <c r="V417" s="83">
        <f t="shared" si="45"/>
        <v>2</v>
      </c>
      <c r="W417" s="84">
        <f t="shared" si="46"/>
        <v>300</v>
      </c>
      <c r="X417" s="84" t="s">
        <v>181</v>
      </c>
      <c r="Y417" s="24" t="s">
        <v>176</v>
      </c>
    </row>
    <row r="418" spans="1:25" s="24" customFormat="1" ht="11.1" customHeight="1" x14ac:dyDescent="0.2">
      <c r="A418" s="76">
        <f t="shared" si="48"/>
        <v>416</v>
      </c>
      <c r="B418" s="77" t="s">
        <v>260</v>
      </c>
      <c r="C418" s="76" t="str">
        <f>IF($B418&lt;&gt;"",_xlfn.IFNA(VLOOKUP($B418,'Node Details'!$B:$U,C$1,0),"Check"),"")</f>
        <v>AXY050105-AXY050202</v>
      </c>
      <c r="D418" s="76" t="str">
        <f>IF($B418&lt;&gt;"",_xlfn.IFNA(VLOOKUP($B418,'Node Details'!$B:$U,D$1,0),"Check"),"")</f>
        <v>AXY</v>
      </c>
      <c r="E418" s="76" t="str">
        <f>IF($B418&lt;&gt;"",_xlfn.IFNA(VLOOKUP($B418,'Node Details'!$B:$U,E$1,0),"Check"),"")</f>
        <v>Airtel</v>
      </c>
      <c r="F418" s="78">
        <v>46113</v>
      </c>
      <c r="G418" s="76"/>
      <c r="H418" s="9" t="s">
        <v>180</v>
      </c>
      <c r="I418" s="9">
        <v>2</v>
      </c>
      <c r="J418" s="9">
        <v>150</v>
      </c>
      <c r="K418" s="79">
        <f t="shared" si="47"/>
        <v>300</v>
      </c>
      <c r="L418" s="78">
        <v>46112</v>
      </c>
      <c r="N418" s="85"/>
      <c r="O418" s="86"/>
      <c r="P418" s="83">
        <f t="shared" si="42"/>
        <v>150</v>
      </c>
      <c r="Q418" s="83">
        <f t="shared" si="43"/>
        <v>300</v>
      </c>
      <c r="R418" s="83"/>
      <c r="S418" s="83"/>
      <c r="T418" s="87"/>
      <c r="U418" s="83">
        <f t="shared" si="44"/>
        <v>150</v>
      </c>
      <c r="V418" s="83">
        <f t="shared" si="45"/>
        <v>2</v>
      </c>
      <c r="W418" s="84">
        <f t="shared" si="46"/>
        <v>300</v>
      </c>
      <c r="X418" s="84" t="s">
        <v>181</v>
      </c>
      <c r="Y418" s="24" t="s">
        <v>176</v>
      </c>
    </row>
    <row r="419" spans="1:25" s="24" customFormat="1" ht="11.1" customHeight="1" x14ac:dyDescent="0.2">
      <c r="A419" s="76">
        <f t="shared" si="48"/>
        <v>417</v>
      </c>
      <c r="B419" s="77" t="s">
        <v>261</v>
      </c>
      <c r="C419" s="76" t="str">
        <f>IF($B419&lt;&gt;"",_xlfn.IFNA(VLOOKUP($B419,'Node Details'!$B:$U,C$1,0),"Check"),"")</f>
        <v>AXY050105-AXY050202</v>
      </c>
      <c r="D419" s="76" t="str">
        <f>IF($B419&lt;&gt;"",_xlfn.IFNA(VLOOKUP($B419,'Node Details'!$B:$U,D$1,0),"Check"),"")</f>
        <v>AXY</v>
      </c>
      <c r="E419" s="76" t="str">
        <f>IF($B419&lt;&gt;"",_xlfn.IFNA(VLOOKUP($B419,'Node Details'!$B:$U,E$1,0),"Check"),"")</f>
        <v>Airtel</v>
      </c>
      <c r="F419" s="78">
        <v>46113</v>
      </c>
      <c r="G419" s="76"/>
      <c r="H419" s="9" t="s">
        <v>180</v>
      </c>
      <c r="I419" s="9">
        <v>2</v>
      </c>
      <c r="J419" s="9">
        <v>150</v>
      </c>
      <c r="K419" s="79">
        <f t="shared" si="47"/>
        <v>300</v>
      </c>
      <c r="L419" s="78">
        <v>46112</v>
      </c>
      <c r="N419" s="85"/>
      <c r="O419" s="86"/>
      <c r="P419" s="83">
        <f t="shared" si="42"/>
        <v>150</v>
      </c>
      <c r="Q419" s="83">
        <f t="shared" si="43"/>
        <v>300</v>
      </c>
      <c r="R419" s="83"/>
      <c r="S419" s="83"/>
      <c r="T419" s="87"/>
      <c r="U419" s="83">
        <f t="shared" si="44"/>
        <v>150</v>
      </c>
      <c r="V419" s="83">
        <f t="shared" si="45"/>
        <v>2</v>
      </c>
      <c r="W419" s="84">
        <f t="shared" si="46"/>
        <v>300</v>
      </c>
      <c r="X419" s="84" t="s">
        <v>181</v>
      </c>
      <c r="Y419" s="24" t="s">
        <v>176</v>
      </c>
    </row>
    <row r="420" spans="1:25" s="24" customFormat="1" ht="11.1" customHeight="1" x14ac:dyDescent="0.2">
      <c r="A420" s="76">
        <f t="shared" si="48"/>
        <v>418</v>
      </c>
      <c r="B420" s="77" t="s">
        <v>262</v>
      </c>
      <c r="C420" s="76" t="str">
        <f>IF($B420&lt;&gt;"",_xlfn.IFNA(VLOOKUP($B420,'Node Details'!$B:$U,C$1,0),"Check"),"")</f>
        <v>000000AXY-0000AXY12</v>
      </c>
      <c r="D420" s="76" t="str">
        <f>IF($B420&lt;&gt;"",_xlfn.IFNA(VLOOKUP($B420,'Node Details'!$B:$U,D$1,0),"Check"),"")</f>
        <v>AXY</v>
      </c>
      <c r="E420" s="76" t="str">
        <f>IF($B420&lt;&gt;"",_xlfn.IFNA(VLOOKUP($B420,'Node Details'!$B:$U,E$1,0),"Check"),"")</f>
        <v>Airtel</v>
      </c>
      <c r="F420" s="78">
        <v>46113</v>
      </c>
      <c r="G420" s="76"/>
      <c r="H420" s="9" t="s">
        <v>180</v>
      </c>
      <c r="I420" s="9">
        <v>2</v>
      </c>
      <c r="J420" s="9">
        <v>150</v>
      </c>
      <c r="K420" s="79">
        <f t="shared" si="47"/>
        <v>300</v>
      </c>
      <c r="L420" s="78">
        <v>46112</v>
      </c>
      <c r="N420" s="85"/>
      <c r="O420" s="86"/>
      <c r="P420" s="83">
        <f t="shared" si="42"/>
        <v>150</v>
      </c>
      <c r="Q420" s="83">
        <f t="shared" si="43"/>
        <v>300</v>
      </c>
      <c r="R420" s="83"/>
      <c r="S420" s="83"/>
      <c r="T420" s="87"/>
      <c r="U420" s="83">
        <f t="shared" si="44"/>
        <v>150</v>
      </c>
      <c r="V420" s="83">
        <f t="shared" si="45"/>
        <v>2</v>
      </c>
      <c r="W420" s="84">
        <f t="shared" si="46"/>
        <v>300</v>
      </c>
      <c r="X420" s="84" t="s">
        <v>181</v>
      </c>
      <c r="Y420" s="24" t="s">
        <v>176</v>
      </c>
    </row>
    <row r="421" spans="1:25" s="24" customFormat="1" ht="11.1" customHeight="1" x14ac:dyDescent="0.2">
      <c r="A421" s="76">
        <f t="shared" si="48"/>
        <v>419</v>
      </c>
      <c r="B421" s="77" t="s">
        <v>263</v>
      </c>
      <c r="C421" s="76" t="str">
        <f>IF($B421&lt;&gt;"",_xlfn.IFNA(VLOOKUP($B421,'Node Details'!$B:$U,C$1,0),"Check"),"")</f>
        <v>0000AXY06-AXY060102</v>
      </c>
      <c r="D421" s="76" t="str">
        <f>IF($B421&lt;&gt;"",_xlfn.IFNA(VLOOKUP($B421,'Node Details'!$B:$U,D$1,0),"Check"),"")</f>
        <v>AXY</v>
      </c>
      <c r="E421" s="76" t="str">
        <f>IF($B421&lt;&gt;"",_xlfn.IFNA(VLOOKUP($B421,'Node Details'!$B:$U,E$1,0),"Check"),"")</f>
        <v>Airtel</v>
      </c>
      <c r="F421" s="78">
        <v>46113</v>
      </c>
      <c r="G421" s="76"/>
      <c r="H421" s="9" t="s">
        <v>180</v>
      </c>
      <c r="I421" s="9">
        <v>2</v>
      </c>
      <c r="J421" s="9">
        <v>150</v>
      </c>
      <c r="K421" s="79">
        <f t="shared" si="47"/>
        <v>300</v>
      </c>
      <c r="L421" s="78">
        <v>46112</v>
      </c>
      <c r="N421" s="85"/>
      <c r="O421" s="86"/>
      <c r="P421" s="83">
        <f t="shared" si="42"/>
        <v>150</v>
      </c>
      <c r="Q421" s="83">
        <f t="shared" si="43"/>
        <v>300</v>
      </c>
      <c r="R421" s="83"/>
      <c r="S421" s="83"/>
      <c r="T421" s="87"/>
      <c r="U421" s="83">
        <f t="shared" si="44"/>
        <v>150</v>
      </c>
      <c r="V421" s="83">
        <f t="shared" si="45"/>
        <v>2</v>
      </c>
      <c r="W421" s="84">
        <f t="shared" si="46"/>
        <v>300</v>
      </c>
      <c r="X421" s="84" t="s">
        <v>181</v>
      </c>
      <c r="Y421" s="24" t="s">
        <v>176</v>
      </c>
    </row>
    <row r="422" spans="1:25" s="24" customFormat="1" ht="11.1" customHeight="1" x14ac:dyDescent="0.2">
      <c r="A422" s="76">
        <f t="shared" si="48"/>
        <v>420</v>
      </c>
      <c r="B422" s="77" t="s">
        <v>264</v>
      </c>
      <c r="C422" s="76" t="str">
        <f>IF($B422&lt;&gt;"",_xlfn.IFNA(VLOOKUP($B422,'Node Details'!$B:$U,C$1,0),"Check"),"")</f>
        <v>0000AXY06-AXY060102</v>
      </c>
      <c r="D422" s="76" t="str">
        <f>IF($B422&lt;&gt;"",_xlfn.IFNA(VLOOKUP($B422,'Node Details'!$B:$U,D$1,0),"Check"),"")</f>
        <v>AXY</v>
      </c>
      <c r="E422" s="76" t="str">
        <f>IF($B422&lt;&gt;"",_xlfn.IFNA(VLOOKUP($B422,'Node Details'!$B:$U,E$1,0),"Check"),"")</f>
        <v>Airtel</v>
      </c>
      <c r="F422" s="78">
        <v>46113</v>
      </c>
      <c r="G422" s="76"/>
      <c r="H422" s="9" t="s">
        <v>180</v>
      </c>
      <c r="I422" s="9">
        <v>2</v>
      </c>
      <c r="J422" s="9">
        <v>150</v>
      </c>
      <c r="K422" s="79">
        <f t="shared" si="47"/>
        <v>300</v>
      </c>
      <c r="L422" s="78">
        <v>46112</v>
      </c>
      <c r="N422" s="85"/>
      <c r="O422" s="86"/>
      <c r="P422" s="83">
        <f t="shared" si="42"/>
        <v>150</v>
      </c>
      <c r="Q422" s="83">
        <f t="shared" si="43"/>
        <v>300</v>
      </c>
      <c r="R422" s="83"/>
      <c r="S422" s="83"/>
      <c r="T422" s="87"/>
      <c r="U422" s="83">
        <f t="shared" si="44"/>
        <v>150</v>
      </c>
      <c r="V422" s="83">
        <f t="shared" si="45"/>
        <v>2</v>
      </c>
      <c r="W422" s="84">
        <f t="shared" si="46"/>
        <v>300</v>
      </c>
      <c r="X422" s="84" t="s">
        <v>181</v>
      </c>
      <c r="Y422" s="24" t="s">
        <v>176</v>
      </c>
    </row>
    <row r="423" spans="1:25" s="24" customFormat="1" ht="11.1" customHeight="1" x14ac:dyDescent="0.2">
      <c r="A423" s="76">
        <f t="shared" si="48"/>
        <v>421</v>
      </c>
      <c r="B423" s="77" t="s">
        <v>265</v>
      </c>
      <c r="C423" s="76" t="str">
        <f>IF($B423&lt;&gt;"",_xlfn.IFNA(VLOOKUP($B423,'Node Details'!$B:$U,C$1,0),"Check"),"")</f>
        <v>0000AXY06-AXY060105</v>
      </c>
      <c r="D423" s="76" t="str">
        <f>IF($B423&lt;&gt;"",_xlfn.IFNA(VLOOKUP($B423,'Node Details'!$B:$U,D$1,0),"Check"),"")</f>
        <v>AXY</v>
      </c>
      <c r="E423" s="76" t="str">
        <f>IF($B423&lt;&gt;"",_xlfn.IFNA(VLOOKUP($B423,'Node Details'!$B:$U,E$1,0),"Check"),"")</f>
        <v>Airtel</v>
      </c>
      <c r="F423" s="78">
        <v>46113</v>
      </c>
      <c r="G423" s="76"/>
      <c r="H423" s="9" t="s">
        <v>180</v>
      </c>
      <c r="I423" s="9">
        <v>2</v>
      </c>
      <c r="J423" s="9">
        <v>150</v>
      </c>
      <c r="K423" s="79">
        <f t="shared" si="47"/>
        <v>300</v>
      </c>
      <c r="L423" s="78">
        <v>46112</v>
      </c>
      <c r="N423" s="85"/>
      <c r="O423" s="86"/>
      <c r="P423" s="83">
        <f t="shared" si="42"/>
        <v>150</v>
      </c>
      <c r="Q423" s="83">
        <f t="shared" si="43"/>
        <v>300</v>
      </c>
      <c r="R423" s="83"/>
      <c r="S423" s="83"/>
      <c r="T423" s="87"/>
      <c r="U423" s="83">
        <f t="shared" si="44"/>
        <v>150</v>
      </c>
      <c r="V423" s="83">
        <f t="shared" si="45"/>
        <v>2</v>
      </c>
      <c r="W423" s="84">
        <f t="shared" si="46"/>
        <v>300</v>
      </c>
      <c r="X423" s="84" t="s">
        <v>181</v>
      </c>
      <c r="Y423" s="24" t="s">
        <v>176</v>
      </c>
    </row>
    <row r="424" spans="1:25" s="24" customFormat="1" ht="11.1" customHeight="1" x14ac:dyDescent="0.2">
      <c r="A424" s="76">
        <f t="shared" si="48"/>
        <v>422</v>
      </c>
      <c r="B424" s="77" t="s">
        <v>266</v>
      </c>
      <c r="C424" s="76" t="str">
        <f>IF($B424&lt;&gt;"",_xlfn.IFNA(VLOOKUP($B424,'Node Details'!$B:$U,C$1,0),"Check"),"")</f>
        <v>0000AXY06-AXY060105</v>
      </c>
      <c r="D424" s="76" t="str">
        <f>IF($B424&lt;&gt;"",_xlfn.IFNA(VLOOKUP($B424,'Node Details'!$B:$U,D$1,0),"Check"),"")</f>
        <v>AXY</v>
      </c>
      <c r="E424" s="76" t="str">
        <f>IF($B424&lt;&gt;"",_xlfn.IFNA(VLOOKUP($B424,'Node Details'!$B:$U,E$1,0),"Check"),"")</f>
        <v>Airtel</v>
      </c>
      <c r="F424" s="78">
        <v>46113</v>
      </c>
      <c r="G424" s="76"/>
      <c r="H424" s="9" t="s">
        <v>180</v>
      </c>
      <c r="I424" s="9">
        <v>2</v>
      </c>
      <c r="J424" s="9">
        <v>150</v>
      </c>
      <c r="K424" s="79">
        <f t="shared" si="47"/>
        <v>300</v>
      </c>
      <c r="L424" s="78">
        <v>46112</v>
      </c>
      <c r="N424" s="85"/>
      <c r="O424" s="86"/>
      <c r="P424" s="83">
        <f t="shared" si="42"/>
        <v>150</v>
      </c>
      <c r="Q424" s="83">
        <f t="shared" si="43"/>
        <v>300</v>
      </c>
      <c r="R424" s="83"/>
      <c r="S424" s="83"/>
      <c r="T424" s="87"/>
      <c r="U424" s="83">
        <f t="shared" si="44"/>
        <v>150</v>
      </c>
      <c r="V424" s="83">
        <f t="shared" si="45"/>
        <v>2</v>
      </c>
      <c r="W424" s="84">
        <f t="shared" si="46"/>
        <v>300</v>
      </c>
      <c r="X424" s="84" t="s">
        <v>181</v>
      </c>
      <c r="Y424" s="24" t="s">
        <v>176</v>
      </c>
    </row>
    <row r="425" spans="1:25" s="24" customFormat="1" ht="11.1" customHeight="1" x14ac:dyDescent="0.2">
      <c r="A425" s="76">
        <f t="shared" si="48"/>
        <v>423</v>
      </c>
      <c r="B425" s="77" t="s">
        <v>267</v>
      </c>
      <c r="C425" s="76" t="str">
        <f>IF($B425&lt;&gt;"",_xlfn.IFNA(VLOOKUP($B425,'Node Details'!$B:$U,C$1,0),"Check"),"")</f>
        <v>0000AXY06-AXY060105</v>
      </c>
      <c r="D425" s="76" t="str">
        <f>IF($B425&lt;&gt;"",_xlfn.IFNA(VLOOKUP($B425,'Node Details'!$B:$U,D$1,0),"Check"),"")</f>
        <v>AXY</v>
      </c>
      <c r="E425" s="76" t="str">
        <f>IF($B425&lt;&gt;"",_xlfn.IFNA(VLOOKUP($B425,'Node Details'!$B:$U,E$1,0),"Check"),"")</f>
        <v>Airtel</v>
      </c>
      <c r="F425" s="78">
        <v>46113</v>
      </c>
      <c r="G425" s="76"/>
      <c r="H425" s="9" t="s">
        <v>180</v>
      </c>
      <c r="I425" s="9">
        <v>2</v>
      </c>
      <c r="J425" s="9">
        <v>150</v>
      </c>
      <c r="K425" s="79">
        <f t="shared" si="47"/>
        <v>300</v>
      </c>
      <c r="L425" s="78">
        <v>46112</v>
      </c>
      <c r="N425" s="85"/>
      <c r="O425" s="86"/>
      <c r="P425" s="83">
        <f t="shared" si="42"/>
        <v>150</v>
      </c>
      <c r="Q425" s="83">
        <f t="shared" si="43"/>
        <v>300</v>
      </c>
      <c r="R425" s="83"/>
      <c r="S425" s="83"/>
      <c r="T425" s="87"/>
      <c r="U425" s="83">
        <f t="shared" si="44"/>
        <v>150</v>
      </c>
      <c r="V425" s="83">
        <f t="shared" si="45"/>
        <v>2</v>
      </c>
      <c r="W425" s="84">
        <f t="shared" si="46"/>
        <v>300</v>
      </c>
      <c r="X425" s="84" t="s">
        <v>181</v>
      </c>
      <c r="Y425" s="24" t="s">
        <v>176</v>
      </c>
    </row>
    <row r="426" spans="1:25" s="24" customFormat="1" ht="11.1" customHeight="1" x14ac:dyDescent="0.2">
      <c r="A426" s="76">
        <f t="shared" si="48"/>
        <v>424</v>
      </c>
      <c r="B426" s="77" t="s">
        <v>268</v>
      </c>
      <c r="C426" s="76" t="str">
        <f>IF($B426&lt;&gt;"",_xlfn.IFNA(VLOOKUP($B426,'Node Details'!$B:$U,C$1,0),"Check"),"")</f>
        <v>0000AXY06-AXY060201</v>
      </c>
      <c r="D426" s="76" t="str">
        <f>IF($B426&lt;&gt;"",_xlfn.IFNA(VLOOKUP($B426,'Node Details'!$B:$U,D$1,0),"Check"),"")</f>
        <v>AXY</v>
      </c>
      <c r="E426" s="76" t="str">
        <f>IF($B426&lt;&gt;"",_xlfn.IFNA(VLOOKUP($B426,'Node Details'!$B:$U,E$1,0),"Check"),"")</f>
        <v>Airtel</v>
      </c>
      <c r="F426" s="78">
        <v>46113</v>
      </c>
      <c r="G426" s="76"/>
      <c r="H426" s="9" t="s">
        <v>180</v>
      </c>
      <c r="I426" s="9">
        <v>2</v>
      </c>
      <c r="J426" s="9">
        <v>150</v>
      </c>
      <c r="K426" s="79">
        <f t="shared" si="47"/>
        <v>300</v>
      </c>
      <c r="L426" s="78">
        <v>46112</v>
      </c>
      <c r="N426" s="85"/>
      <c r="O426" s="86"/>
      <c r="P426" s="83">
        <f t="shared" si="42"/>
        <v>150</v>
      </c>
      <c r="Q426" s="83">
        <f t="shared" si="43"/>
        <v>300</v>
      </c>
      <c r="R426" s="83"/>
      <c r="S426" s="83"/>
      <c r="T426" s="87"/>
      <c r="U426" s="83">
        <f t="shared" si="44"/>
        <v>150</v>
      </c>
      <c r="V426" s="83">
        <f t="shared" si="45"/>
        <v>2</v>
      </c>
      <c r="W426" s="84">
        <f t="shared" si="46"/>
        <v>300</v>
      </c>
      <c r="X426" s="84" t="s">
        <v>181</v>
      </c>
      <c r="Y426" s="24" t="s">
        <v>176</v>
      </c>
    </row>
    <row r="427" spans="1:25" s="24" customFormat="1" ht="11.1" customHeight="1" x14ac:dyDescent="0.2">
      <c r="A427" s="76">
        <f t="shared" si="48"/>
        <v>425</v>
      </c>
      <c r="B427" s="77" t="s">
        <v>269</v>
      </c>
      <c r="C427" s="76" t="str">
        <f>IF($B427&lt;&gt;"",_xlfn.IFNA(VLOOKUP($B427,'Node Details'!$B:$U,C$1,0),"Check"),"")</f>
        <v>0000AXY06-AXY060201</v>
      </c>
      <c r="D427" s="76" t="str">
        <f>IF($B427&lt;&gt;"",_xlfn.IFNA(VLOOKUP($B427,'Node Details'!$B:$U,D$1,0),"Check"),"")</f>
        <v>AXY</v>
      </c>
      <c r="E427" s="76" t="str">
        <f>IF($B427&lt;&gt;"",_xlfn.IFNA(VLOOKUP($B427,'Node Details'!$B:$U,E$1,0),"Check"),"")</f>
        <v>Airtel</v>
      </c>
      <c r="F427" s="78">
        <v>46113</v>
      </c>
      <c r="G427" s="76"/>
      <c r="H427" s="9" t="s">
        <v>180</v>
      </c>
      <c r="I427" s="9">
        <v>2</v>
      </c>
      <c r="J427" s="9">
        <v>150</v>
      </c>
      <c r="K427" s="79">
        <f t="shared" si="47"/>
        <v>300</v>
      </c>
      <c r="L427" s="78">
        <v>46112</v>
      </c>
      <c r="N427" s="85"/>
      <c r="O427" s="86"/>
      <c r="P427" s="83">
        <f t="shared" si="42"/>
        <v>150</v>
      </c>
      <c r="Q427" s="83">
        <f t="shared" si="43"/>
        <v>300</v>
      </c>
      <c r="R427" s="83"/>
      <c r="S427" s="83"/>
      <c r="T427" s="87"/>
      <c r="U427" s="83">
        <f t="shared" si="44"/>
        <v>150</v>
      </c>
      <c r="V427" s="83">
        <f t="shared" si="45"/>
        <v>2</v>
      </c>
      <c r="W427" s="84">
        <f t="shared" si="46"/>
        <v>300</v>
      </c>
      <c r="X427" s="84" t="s">
        <v>181</v>
      </c>
      <c r="Y427" s="24" t="s">
        <v>176</v>
      </c>
    </row>
    <row r="428" spans="1:25" s="24" customFormat="1" ht="11.1" customHeight="1" x14ac:dyDescent="0.2">
      <c r="A428" s="76">
        <f t="shared" si="48"/>
        <v>426</v>
      </c>
      <c r="B428" s="77" t="s">
        <v>270</v>
      </c>
      <c r="C428" s="76" t="str">
        <f>IF($B428&lt;&gt;"",_xlfn.IFNA(VLOOKUP($B428,'Node Details'!$B:$U,C$1,0),"Check"),"")</f>
        <v>0000AXY06-AXY060201</v>
      </c>
      <c r="D428" s="76" t="str">
        <f>IF($B428&lt;&gt;"",_xlfn.IFNA(VLOOKUP($B428,'Node Details'!$B:$U,D$1,0),"Check"),"")</f>
        <v>AXY</v>
      </c>
      <c r="E428" s="76" t="str">
        <f>IF($B428&lt;&gt;"",_xlfn.IFNA(VLOOKUP($B428,'Node Details'!$B:$U,E$1,0),"Check"),"")</f>
        <v>Airtel</v>
      </c>
      <c r="F428" s="78">
        <v>46113</v>
      </c>
      <c r="G428" s="76"/>
      <c r="H428" s="9" t="s">
        <v>180</v>
      </c>
      <c r="I428" s="9">
        <v>2</v>
      </c>
      <c r="J428" s="9">
        <v>150</v>
      </c>
      <c r="K428" s="79">
        <f t="shared" si="47"/>
        <v>300</v>
      </c>
      <c r="L428" s="78">
        <v>46112</v>
      </c>
      <c r="N428" s="85"/>
      <c r="O428" s="86"/>
      <c r="P428" s="83">
        <f t="shared" si="42"/>
        <v>150</v>
      </c>
      <c r="Q428" s="83">
        <f t="shared" si="43"/>
        <v>300</v>
      </c>
      <c r="R428" s="83"/>
      <c r="S428" s="83"/>
      <c r="T428" s="87"/>
      <c r="U428" s="83">
        <f t="shared" si="44"/>
        <v>150</v>
      </c>
      <c r="V428" s="83">
        <f t="shared" si="45"/>
        <v>2</v>
      </c>
      <c r="W428" s="84">
        <f t="shared" si="46"/>
        <v>300</v>
      </c>
      <c r="X428" s="84" t="s">
        <v>181</v>
      </c>
      <c r="Y428" s="24" t="s">
        <v>176</v>
      </c>
    </row>
    <row r="429" spans="1:25" s="24" customFormat="1" ht="11.1" customHeight="1" x14ac:dyDescent="0.2">
      <c r="A429" s="76">
        <f t="shared" si="48"/>
        <v>427</v>
      </c>
      <c r="B429" s="77" t="s">
        <v>271</v>
      </c>
      <c r="C429" s="76" t="str">
        <f>IF($B429&lt;&gt;"",_xlfn.IFNA(VLOOKUP($B429,'Node Details'!$B:$U,C$1,0),"Check"),"")</f>
        <v>0000AXY06-AXY060201</v>
      </c>
      <c r="D429" s="76" t="str">
        <f>IF($B429&lt;&gt;"",_xlfn.IFNA(VLOOKUP($B429,'Node Details'!$B:$U,D$1,0),"Check"),"")</f>
        <v>AXY</v>
      </c>
      <c r="E429" s="76" t="str">
        <f>IF($B429&lt;&gt;"",_xlfn.IFNA(VLOOKUP($B429,'Node Details'!$B:$U,E$1,0),"Check"),"")</f>
        <v>Airtel</v>
      </c>
      <c r="F429" s="78">
        <v>46113</v>
      </c>
      <c r="G429" s="76"/>
      <c r="H429" s="9" t="s">
        <v>180</v>
      </c>
      <c r="I429" s="9">
        <v>2</v>
      </c>
      <c r="J429" s="9">
        <v>150</v>
      </c>
      <c r="K429" s="79">
        <f t="shared" si="47"/>
        <v>300</v>
      </c>
      <c r="L429" s="78">
        <v>46112</v>
      </c>
      <c r="N429" s="85"/>
      <c r="O429" s="86"/>
      <c r="P429" s="83">
        <f t="shared" si="42"/>
        <v>150</v>
      </c>
      <c r="Q429" s="83">
        <f t="shared" si="43"/>
        <v>300</v>
      </c>
      <c r="R429" s="83"/>
      <c r="S429" s="83"/>
      <c r="T429" s="87"/>
      <c r="U429" s="83">
        <f t="shared" si="44"/>
        <v>150</v>
      </c>
      <c r="V429" s="83">
        <f t="shared" si="45"/>
        <v>2</v>
      </c>
      <c r="W429" s="84">
        <f t="shared" si="46"/>
        <v>300</v>
      </c>
      <c r="X429" s="84" t="s">
        <v>181</v>
      </c>
      <c r="Y429" s="24" t="s">
        <v>176</v>
      </c>
    </row>
    <row r="430" spans="1:25" s="24" customFormat="1" ht="11.1" customHeight="1" x14ac:dyDescent="0.2">
      <c r="A430" s="76">
        <f t="shared" si="48"/>
        <v>428</v>
      </c>
      <c r="B430" s="77" t="s">
        <v>272</v>
      </c>
      <c r="C430" s="76" t="str">
        <f>IF($B430&lt;&gt;"",_xlfn.IFNA(VLOOKUP($B430,'Node Details'!$B:$U,C$1,0),"Check"),"")</f>
        <v>000000AXY-0000AXY12</v>
      </c>
      <c r="D430" s="76" t="str">
        <f>IF($B430&lt;&gt;"",_xlfn.IFNA(VLOOKUP($B430,'Node Details'!$B:$U,D$1,0),"Check"),"")</f>
        <v>AXY</v>
      </c>
      <c r="E430" s="76" t="str">
        <f>IF($B430&lt;&gt;"",_xlfn.IFNA(VLOOKUP($B430,'Node Details'!$B:$U,E$1,0),"Check"),"")</f>
        <v>Airtel</v>
      </c>
      <c r="F430" s="78">
        <v>46113</v>
      </c>
      <c r="G430" s="76"/>
      <c r="H430" s="9" t="s">
        <v>180</v>
      </c>
      <c r="I430" s="9">
        <v>2</v>
      </c>
      <c r="J430" s="9">
        <v>150</v>
      </c>
      <c r="K430" s="79">
        <f t="shared" si="47"/>
        <v>300</v>
      </c>
      <c r="L430" s="78">
        <v>46112</v>
      </c>
      <c r="N430" s="85"/>
      <c r="O430" s="86"/>
      <c r="P430" s="83">
        <f t="shared" si="42"/>
        <v>150</v>
      </c>
      <c r="Q430" s="83">
        <f t="shared" si="43"/>
        <v>300</v>
      </c>
      <c r="R430" s="83"/>
      <c r="S430" s="83"/>
      <c r="T430" s="87"/>
      <c r="U430" s="83">
        <f t="shared" si="44"/>
        <v>150</v>
      </c>
      <c r="V430" s="83">
        <f t="shared" si="45"/>
        <v>2</v>
      </c>
      <c r="W430" s="84">
        <f t="shared" si="46"/>
        <v>300</v>
      </c>
      <c r="X430" s="84" t="s">
        <v>181</v>
      </c>
      <c r="Y430" s="24" t="s">
        <v>176</v>
      </c>
    </row>
    <row r="431" spans="1:25" s="24" customFormat="1" ht="11.1" customHeight="1" x14ac:dyDescent="0.2">
      <c r="A431" s="76">
        <f t="shared" si="48"/>
        <v>429</v>
      </c>
      <c r="B431" s="77" t="s">
        <v>273</v>
      </c>
      <c r="C431" s="76" t="str">
        <f>IF($B431&lt;&gt;"",_xlfn.IFNA(VLOOKUP($B431,'Node Details'!$B:$U,C$1,0),"Check"),"")</f>
        <v>0000AXY07-AXY070101</v>
      </c>
      <c r="D431" s="76" t="str">
        <f>IF($B431&lt;&gt;"",_xlfn.IFNA(VLOOKUP($B431,'Node Details'!$B:$U,D$1,0),"Check"),"")</f>
        <v>AXY</v>
      </c>
      <c r="E431" s="76" t="str">
        <f>IF($B431&lt;&gt;"",_xlfn.IFNA(VLOOKUP($B431,'Node Details'!$B:$U,E$1,0),"Check"),"")</f>
        <v>Airtel</v>
      </c>
      <c r="F431" s="78">
        <v>46113</v>
      </c>
      <c r="G431" s="76"/>
      <c r="H431" s="9" t="s">
        <v>180</v>
      </c>
      <c r="I431" s="9">
        <v>2</v>
      </c>
      <c r="J431" s="9">
        <v>150</v>
      </c>
      <c r="K431" s="79">
        <f t="shared" si="47"/>
        <v>300</v>
      </c>
      <c r="L431" s="78">
        <v>46112</v>
      </c>
      <c r="N431" s="85"/>
      <c r="O431" s="86"/>
      <c r="P431" s="83">
        <f t="shared" ref="P431:P494" si="49">J431</f>
        <v>150</v>
      </c>
      <c r="Q431" s="83">
        <f t="shared" ref="Q431:Q494" si="50">P431*I431</f>
        <v>300</v>
      </c>
      <c r="R431" s="83"/>
      <c r="S431" s="83"/>
      <c r="T431" s="87"/>
      <c r="U431" s="83">
        <f t="shared" ref="U431:U494" si="51">J431</f>
        <v>150</v>
      </c>
      <c r="V431" s="83">
        <f t="shared" ref="V431:V494" si="52">I431</f>
        <v>2</v>
      </c>
      <c r="W431" s="84">
        <f t="shared" ref="W431:W494" si="53">IF(V431&lt;&gt;"",V431*U431,0)</f>
        <v>300</v>
      </c>
      <c r="X431" s="84" t="s">
        <v>181</v>
      </c>
      <c r="Y431" s="24" t="s">
        <v>176</v>
      </c>
    </row>
    <row r="432" spans="1:25" s="24" customFormat="1" ht="11.1" customHeight="1" x14ac:dyDescent="0.2">
      <c r="A432" s="76">
        <f t="shared" si="48"/>
        <v>430</v>
      </c>
      <c r="B432" s="77" t="s">
        <v>274</v>
      </c>
      <c r="C432" s="76" t="str">
        <f>IF($B432&lt;&gt;"",_xlfn.IFNA(VLOOKUP($B432,'Node Details'!$B:$U,C$1,0),"Check"),"")</f>
        <v>0000AXY07-AXY070102</v>
      </c>
      <c r="D432" s="76" t="str">
        <f>IF($B432&lt;&gt;"",_xlfn.IFNA(VLOOKUP($B432,'Node Details'!$B:$U,D$1,0),"Check"),"")</f>
        <v>AXY</v>
      </c>
      <c r="E432" s="76" t="str">
        <f>IF($B432&lt;&gt;"",_xlfn.IFNA(VLOOKUP($B432,'Node Details'!$B:$U,E$1,0),"Check"),"")</f>
        <v>Airtel</v>
      </c>
      <c r="F432" s="78">
        <v>46113</v>
      </c>
      <c r="G432" s="76"/>
      <c r="H432" s="9" t="s">
        <v>180</v>
      </c>
      <c r="I432" s="9">
        <v>2</v>
      </c>
      <c r="J432" s="9">
        <v>150</v>
      </c>
      <c r="K432" s="79">
        <f t="shared" ref="K432:K495" si="54">IF(I432&lt;&gt;"",J432*I432,0)</f>
        <v>300</v>
      </c>
      <c r="L432" s="78">
        <v>46112</v>
      </c>
      <c r="N432" s="85"/>
      <c r="O432" s="86"/>
      <c r="P432" s="83">
        <f t="shared" si="49"/>
        <v>150</v>
      </c>
      <c r="Q432" s="83">
        <f t="shared" si="50"/>
        <v>300</v>
      </c>
      <c r="R432" s="83"/>
      <c r="S432" s="83"/>
      <c r="T432" s="87"/>
      <c r="U432" s="83">
        <f t="shared" si="51"/>
        <v>150</v>
      </c>
      <c r="V432" s="83">
        <f t="shared" si="52"/>
        <v>2</v>
      </c>
      <c r="W432" s="84">
        <f t="shared" si="53"/>
        <v>300</v>
      </c>
      <c r="X432" s="84" t="s">
        <v>181</v>
      </c>
      <c r="Y432" s="24" t="s">
        <v>176</v>
      </c>
    </row>
    <row r="433" spans="1:25" s="24" customFormat="1" ht="11.1" customHeight="1" x14ac:dyDescent="0.2">
      <c r="A433" s="76">
        <f t="shared" si="48"/>
        <v>431</v>
      </c>
      <c r="B433" s="77" t="s">
        <v>275</v>
      </c>
      <c r="C433" s="76" t="str">
        <f>IF($B433&lt;&gt;"",_xlfn.IFNA(VLOOKUP($B433,'Node Details'!$B:$U,C$1,0),"Check"),"")</f>
        <v>0000AXY07-AXY070105</v>
      </c>
      <c r="D433" s="76" t="str">
        <f>IF($B433&lt;&gt;"",_xlfn.IFNA(VLOOKUP($B433,'Node Details'!$B:$U,D$1,0),"Check"),"")</f>
        <v>AXY</v>
      </c>
      <c r="E433" s="76" t="str">
        <f>IF($B433&lt;&gt;"",_xlfn.IFNA(VLOOKUP($B433,'Node Details'!$B:$U,E$1,0),"Check"),"")</f>
        <v>Airtel</v>
      </c>
      <c r="F433" s="78">
        <v>46113</v>
      </c>
      <c r="G433" s="76"/>
      <c r="H433" s="9" t="s">
        <v>180</v>
      </c>
      <c r="I433" s="9">
        <v>2</v>
      </c>
      <c r="J433" s="9">
        <v>150</v>
      </c>
      <c r="K433" s="79">
        <f t="shared" si="54"/>
        <v>300</v>
      </c>
      <c r="L433" s="78">
        <v>46112</v>
      </c>
      <c r="N433" s="85"/>
      <c r="O433" s="86"/>
      <c r="P433" s="83">
        <f t="shared" si="49"/>
        <v>150</v>
      </c>
      <c r="Q433" s="83">
        <f t="shared" si="50"/>
        <v>300</v>
      </c>
      <c r="R433" s="83"/>
      <c r="S433" s="83"/>
      <c r="T433" s="87"/>
      <c r="U433" s="83">
        <f t="shared" si="51"/>
        <v>150</v>
      </c>
      <c r="V433" s="83">
        <f t="shared" si="52"/>
        <v>2</v>
      </c>
      <c r="W433" s="84">
        <f t="shared" si="53"/>
        <v>300</v>
      </c>
      <c r="X433" s="84" t="s">
        <v>181</v>
      </c>
      <c r="Y433" s="24" t="s">
        <v>176</v>
      </c>
    </row>
    <row r="434" spans="1:25" s="24" customFormat="1" ht="11.1" customHeight="1" x14ac:dyDescent="0.2">
      <c r="A434" s="76">
        <f t="shared" si="48"/>
        <v>432</v>
      </c>
      <c r="B434" s="77" t="s">
        <v>276</v>
      </c>
      <c r="C434" s="76" t="str">
        <f>IF($B434&lt;&gt;"",_xlfn.IFNA(VLOOKUP($B434,'Node Details'!$B:$U,C$1,0),"Check"),"")</f>
        <v>0000AXY07-AXY070105</v>
      </c>
      <c r="D434" s="76" t="str">
        <f>IF($B434&lt;&gt;"",_xlfn.IFNA(VLOOKUP($B434,'Node Details'!$B:$U,D$1,0),"Check"),"")</f>
        <v>AXY</v>
      </c>
      <c r="E434" s="76" t="str">
        <f>IF($B434&lt;&gt;"",_xlfn.IFNA(VLOOKUP($B434,'Node Details'!$B:$U,E$1,0),"Check"),"")</f>
        <v>Airtel</v>
      </c>
      <c r="F434" s="78">
        <v>46113</v>
      </c>
      <c r="G434" s="76"/>
      <c r="H434" s="9" t="s">
        <v>180</v>
      </c>
      <c r="I434" s="9">
        <v>2</v>
      </c>
      <c r="J434" s="9">
        <v>150</v>
      </c>
      <c r="K434" s="79">
        <f t="shared" si="54"/>
        <v>300</v>
      </c>
      <c r="L434" s="78">
        <v>46112</v>
      </c>
      <c r="N434" s="85"/>
      <c r="O434" s="86"/>
      <c r="P434" s="83">
        <f t="shared" si="49"/>
        <v>150</v>
      </c>
      <c r="Q434" s="83">
        <f t="shared" si="50"/>
        <v>300</v>
      </c>
      <c r="R434" s="83"/>
      <c r="S434" s="83"/>
      <c r="T434" s="87"/>
      <c r="U434" s="83">
        <f t="shared" si="51"/>
        <v>150</v>
      </c>
      <c r="V434" s="83">
        <f t="shared" si="52"/>
        <v>2</v>
      </c>
      <c r="W434" s="84">
        <f t="shared" si="53"/>
        <v>300</v>
      </c>
      <c r="X434" s="84" t="s">
        <v>181</v>
      </c>
      <c r="Y434" s="24" t="s">
        <v>176</v>
      </c>
    </row>
    <row r="435" spans="1:25" s="24" customFormat="1" ht="11.1" customHeight="1" x14ac:dyDescent="0.2">
      <c r="A435" s="76">
        <f t="shared" si="48"/>
        <v>433</v>
      </c>
      <c r="B435" s="77" t="s">
        <v>277</v>
      </c>
      <c r="C435" s="76" t="str">
        <f>IF($B435&lt;&gt;"",_xlfn.IFNA(VLOOKUP($B435,'Node Details'!$B:$U,C$1,0),"Check"),"")</f>
        <v>0000AXY07-AXY070105</v>
      </c>
      <c r="D435" s="76" t="str">
        <f>IF($B435&lt;&gt;"",_xlfn.IFNA(VLOOKUP($B435,'Node Details'!$B:$U,D$1,0),"Check"),"")</f>
        <v>AXY</v>
      </c>
      <c r="E435" s="76" t="str">
        <f>IF($B435&lt;&gt;"",_xlfn.IFNA(VLOOKUP($B435,'Node Details'!$B:$U,E$1,0),"Check"),"")</f>
        <v>Airtel</v>
      </c>
      <c r="F435" s="78">
        <v>46113</v>
      </c>
      <c r="G435" s="76"/>
      <c r="H435" s="9" t="s">
        <v>180</v>
      </c>
      <c r="I435" s="9">
        <v>2</v>
      </c>
      <c r="J435" s="9">
        <v>150</v>
      </c>
      <c r="K435" s="79">
        <f t="shared" si="54"/>
        <v>300</v>
      </c>
      <c r="L435" s="78">
        <v>46112</v>
      </c>
      <c r="N435" s="85"/>
      <c r="O435" s="86"/>
      <c r="P435" s="83">
        <f t="shared" si="49"/>
        <v>150</v>
      </c>
      <c r="Q435" s="83">
        <f t="shared" si="50"/>
        <v>300</v>
      </c>
      <c r="R435" s="83"/>
      <c r="S435" s="83"/>
      <c r="T435" s="87"/>
      <c r="U435" s="83">
        <f t="shared" si="51"/>
        <v>150</v>
      </c>
      <c r="V435" s="83">
        <f t="shared" si="52"/>
        <v>2</v>
      </c>
      <c r="W435" s="84">
        <f t="shared" si="53"/>
        <v>300</v>
      </c>
      <c r="X435" s="84" t="s">
        <v>181</v>
      </c>
      <c r="Y435" s="24" t="s">
        <v>176</v>
      </c>
    </row>
    <row r="436" spans="1:25" s="24" customFormat="1" ht="11.1" customHeight="1" x14ac:dyDescent="0.2">
      <c r="A436" s="76">
        <f t="shared" si="48"/>
        <v>434</v>
      </c>
      <c r="B436" s="77" t="s">
        <v>278</v>
      </c>
      <c r="C436" s="76" t="str">
        <f>IF($B436&lt;&gt;"",_xlfn.IFNA(VLOOKUP($B436,'Node Details'!$B:$U,C$1,0),"Check"),"")</f>
        <v>000000AXY-0000AXY12</v>
      </c>
      <c r="D436" s="76" t="str">
        <f>IF($B436&lt;&gt;"",_xlfn.IFNA(VLOOKUP($B436,'Node Details'!$B:$U,D$1,0),"Check"),"")</f>
        <v>AXY</v>
      </c>
      <c r="E436" s="76" t="str">
        <f>IF($B436&lt;&gt;"",_xlfn.IFNA(VLOOKUP($B436,'Node Details'!$B:$U,E$1,0),"Check"),"")</f>
        <v>Airtel</v>
      </c>
      <c r="F436" s="78">
        <v>46113</v>
      </c>
      <c r="G436" s="76"/>
      <c r="H436" s="9" t="s">
        <v>180</v>
      </c>
      <c r="I436" s="9">
        <v>2</v>
      </c>
      <c r="J436" s="9">
        <v>150</v>
      </c>
      <c r="K436" s="79">
        <f t="shared" si="54"/>
        <v>300</v>
      </c>
      <c r="L436" s="78">
        <v>46112</v>
      </c>
      <c r="N436" s="85"/>
      <c r="O436" s="86"/>
      <c r="P436" s="83">
        <f t="shared" si="49"/>
        <v>150</v>
      </c>
      <c r="Q436" s="83">
        <f t="shared" si="50"/>
        <v>300</v>
      </c>
      <c r="R436" s="83"/>
      <c r="S436" s="83"/>
      <c r="T436" s="87"/>
      <c r="U436" s="83">
        <f t="shared" si="51"/>
        <v>150</v>
      </c>
      <c r="V436" s="83">
        <f t="shared" si="52"/>
        <v>2</v>
      </c>
      <c r="W436" s="84">
        <f t="shared" si="53"/>
        <v>300</v>
      </c>
      <c r="X436" s="84" t="s">
        <v>181</v>
      </c>
      <c r="Y436" s="24" t="s">
        <v>176</v>
      </c>
    </row>
    <row r="437" spans="1:25" s="24" customFormat="1" ht="11.1" customHeight="1" x14ac:dyDescent="0.2">
      <c r="A437" s="76">
        <f t="shared" si="48"/>
        <v>435</v>
      </c>
      <c r="B437" s="77" t="s">
        <v>279</v>
      </c>
      <c r="C437" s="76" t="str">
        <f>IF($B437&lt;&gt;"",_xlfn.IFNA(VLOOKUP($B437,'Node Details'!$B:$U,C$1,0),"Check"),"")</f>
        <v>0000AXY08-AXY080104</v>
      </c>
      <c r="D437" s="76" t="str">
        <f>IF($B437&lt;&gt;"",_xlfn.IFNA(VLOOKUP($B437,'Node Details'!$B:$U,D$1,0),"Check"),"")</f>
        <v>AXY</v>
      </c>
      <c r="E437" s="76" t="str">
        <f>IF($B437&lt;&gt;"",_xlfn.IFNA(VLOOKUP($B437,'Node Details'!$B:$U,E$1,0),"Check"),"")</f>
        <v>Airtel</v>
      </c>
      <c r="F437" s="78">
        <v>46113</v>
      </c>
      <c r="G437" s="76"/>
      <c r="H437" s="9" t="s">
        <v>180</v>
      </c>
      <c r="I437" s="9">
        <v>2</v>
      </c>
      <c r="J437" s="9">
        <v>150</v>
      </c>
      <c r="K437" s="79">
        <f t="shared" si="54"/>
        <v>300</v>
      </c>
      <c r="L437" s="78">
        <v>46112</v>
      </c>
      <c r="N437" s="85"/>
      <c r="O437" s="86"/>
      <c r="P437" s="83">
        <f t="shared" si="49"/>
        <v>150</v>
      </c>
      <c r="Q437" s="83">
        <f t="shared" si="50"/>
        <v>300</v>
      </c>
      <c r="R437" s="83"/>
      <c r="S437" s="83"/>
      <c r="T437" s="87"/>
      <c r="U437" s="83">
        <f t="shared" si="51"/>
        <v>150</v>
      </c>
      <c r="V437" s="83">
        <f t="shared" si="52"/>
        <v>2</v>
      </c>
      <c r="W437" s="84">
        <f t="shared" si="53"/>
        <v>300</v>
      </c>
      <c r="X437" s="84" t="s">
        <v>181</v>
      </c>
      <c r="Y437" s="24" t="s">
        <v>176</v>
      </c>
    </row>
    <row r="438" spans="1:25" s="24" customFormat="1" ht="11.1" customHeight="1" x14ac:dyDescent="0.2">
      <c r="A438" s="76">
        <f t="shared" si="48"/>
        <v>436</v>
      </c>
      <c r="B438" s="77" t="s">
        <v>280</v>
      </c>
      <c r="C438" s="76" t="str">
        <f>IF($B438&lt;&gt;"",_xlfn.IFNA(VLOOKUP($B438,'Node Details'!$B:$U,C$1,0),"Check"),"")</f>
        <v>0000AXY08-AXY080103</v>
      </c>
      <c r="D438" s="76" t="str">
        <f>IF($B438&lt;&gt;"",_xlfn.IFNA(VLOOKUP($B438,'Node Details'!$B:$U,D$1,0),"Check"),"")</f>
        <v>AXY</v>
      </c>
      <c r="E438" s="76" t="str">
        <f>IF($B438&lt;&gt;"",_xlfn.IFNA(VLOOKUP($B438,'Node Details'!$B:$U,E$1,0),"Check"),"")</f>
        <v>Airtel</v>
      </c>
      <c r="F438" s="78">
        <v>46113</v>
      </c>
      <c r="G438" s="76"/>
      <c r="H438" s="9" t="s">
        <v>180</v>
      </c>
      <c r="I438" s="9">
        <v>2</v>
      </c>
      <c r="J438" s="9">
        <v>150</v>
      </c>
      <c r="K438" s="79">
        <f t="shared" si="54"/>
        <v>300</v>
      </c>
      <c r="L438" s="78">
        <v>46112</v>
      </c>
      <c r="N438" s="85"/>
      <c r="O438" s="86"/>
      <c r="P438" s="83">
        <f t="shared" si="49"/>
        <v>150</v>
      </c>
      <c r="Q438" s="83">
        <f t="shared" si="50"/>
        <v>300</v>
      </c>
      <c r="R438" s="83"/>
      <c r="S438" s="83"/>
      <c r="T438" s="87"/>
      <c r="U438" s="83">
        <f t="shared" si="51"/>
        <v>150</v>
      </c>
      <c r="V438" s="83">
        <f t="shared" si="52"/>
        <v>2</v>
      </c>
      <c r="W438" s="84">
        <f t="shared" si="53"/>
        <v>300</v>
      </c>
      <c r="X438" s="84" t="s">
        <v>181</v>
      </c>
      <c r="Y438" s="24" t="s">
        <v>176</v>
      </c>
    </row>
    <row r="439" spans="1:25" s="24" customFormat="1" ht="11.1" customHeight="1" x14ac:dyDescent="0.2">
      <c r="A439" s="76">
        <f t="shared" si="48"/>
        <v>437</v>
      </c>
      <c r="B439" s="77" t="s">
        <v>281</v>
      </c>
      <c r="C439" s="76" t="str">
        <f>IF($B439&lt;&gt;"",_xlfn.IFNA(VLOOKUP($B439,'Node Details'!$B:$U,C$1,0),"Check"),"")</f>
        <v>0000AXY08-AXY080103</v>
      </c>
      <c r="D439" s="76" t="str">
        <f>IF($B439&lt;&gt;"",_xlfn.IFNA(VLOOKUP($B439,'Node Details'!$B:$U,D$1,0),"Check"),"")</f>
        <v>AXY</v>
      </c>
      <c r="E439" s="76" t="str">
        <f>IF($B439&lt;&gt;"",_xlfn.IFNA(VLOOKUP($B439,'Node Details'!$B:$U,E$1,0),"Check"),"")</f>
        <v>Airtel</v>
      </c>
      <c r="F439" s="78">
        <v>46113</v>
      </c>
      <c r="G439" s="76"/>
      <c r="H439" s="9" t="s">
        <v>180</v>
      </c>
      <c r="I439" s="9">
        <v>2</v>
      </c>
      <c r="J439" s="9">
        <v>150</v>
      </c>
      <c r="K439" s="79">
        <f t="shared" si="54"/>
        <v>300</v>
      </c>
      <c r="L439" s="78">
        <v>46112</v>
      </c>
      <c r="N439" s="85"/>
      <c r="O439" s="86"/>
      <c r="P439" s="83">
        <f t="shared" si="49"/>
        <v>150</v>
      </c>
      <c r="Q439" s="83">
        <f t="shared" si="50"/>
        <v>300</v>
      </c>
      <c r="R439" s="83"/>
      <c r="S439" s="83"/>
      <c r="T439" s="87"/>
      <c r="U439" s="83">
        <f t="shared" si="51"/>
        <v>150</v>
      </c>
      <c r="V439" s="83">
        <f t="shared" si="52"/>
        <v>2</v>
      </c>
      <c r="W439" s="84">
        <f t="shared" si="53"/>
        <v>300</v>
      </c>
      <c r="X439" s="84" t="s">
        <v>181</v>
      </c>
      <c r="Y439" s="24" t="s">
        <v>176</v>
      </c>
    </row>
    <row r="440" spans="1:25" s="24" customFormat="1" ht="11.1" customHeight="1" x14ac:dyDescent="0.2">
      <c r="A440" s="76">
        <f t="shared" si="48"/>
        <v>438</v>
      </c>
      <c r="B440" s="77" t="s">
        <v>282</v>
      </c>
      <c r="C440" s="76" t="str">
        <f>IF($B440&lt;&gt;"",_xlfn.IFNA(VLOOKUP($B440,'Node Details'!$B:$U,C$1,0),"Check"),"")</f>
        <v>0000AXY08-AXY080103</v>
      </c>
      <c r="D440" s="76" t="str">
        <f>IF($B440&lt;&gt;"",_xlfn.IFNA(VLOOKUP($B440,'Node Details'!$B:$U,D$1,0),"Check"),"")</f>
        <v>AXY</v>
      </c>
      <c r="E440" s="76" t="str">
        <f>IF($B440&lt;&gt;"",_xlfn.IFNA(VLOOKUP($B440,'Node Details'!$B:$U,E$1,0),"Check"),"")</f>
        <v>Airtel</v>
      </c>
      <c r="F440" s="78">
        <v>46113</v>
      </c>
      <c r="G440" s="76"/>
      <c r="H440" s="9" t="s">
        <v>180</v>
      </c>
      <c r="I440" s="9">
        <v>2</v>
      </c>
      <c r="J440" s="9">
        <v>150</v>
      </c>
      <c r="K440" s="79">
        <f t="shared" si="54"/>
        <v>300</v>
      </c>
      <c r="L440" s="78">
        <v>46112</v>
      </c>
      <c r="N440" s="85"/>
      <c r="O440" s="86"/>
      <c r="P440" s="83">
        <f t="shared" si="49"/>
        <v>150</v>
      </c>
      <c r="Q440" s="83">
        <f t="shared" si="50"/>
        <v>300</v>
      </c>
      <c r="R440" s="83"/>
      <c r="S440" s="83"/>
      <c r="T440" s="87"/>
      <c r="U440" s="83">
        <f t="shared" si="51"/>
        <v>150</v>
      </c>
      <c r="V440" s="83">
        <f t="shared" si="52"/>
        <v>2</v>
      </c>
      <c r="W440" s="84">
        <f t="shared" si="53"/>
        <v>300</v>
      </c>
      <c r="X440" s="84" t="s">
        <v>181</v>
      </c>
      <c r="Y440" s="24" t="s">
        <v>176</v>
      </c>
    </row>
    <row r="441" spans="1:25" s="24" customFormat="1" ht="11.1" customHeight="1" x14ac:dyDescent="0.2">
      <c r="A441" s="76">
        <f t="shared" si="48"/>
        <v>439</v>
      </c>
      <c r="B441" s="77" t="s">
        <v>283</v>
      </c>
      <c r="C441" s="76" t="str">
        <f>IF($B441&lt;&gt;"",_xlfn.IFNA(VLOOKUP($B441,'Node Details'!$B:$U,C$1,0),"Check"),"")</f>
        <v>0000AXY08-AXY080105</v>
      </c>
      <c r="D441" s="76" t="str">
        <f>IF($B441&lt;&gt;"",_xlfn.IFNA(VLOOKUP($B441,'Node Details'!$B:$U,D$1,0),"Check"),"")</f>
        <v>AXY</v>
      </c>
      <c r="E441" s="76" t="str">
        <f>IF($B441&lt;&gt;"",_xlfn.IFNA(VLOOKUP($B441,'Node Details'!$B:$U,E$1,0),"Check"),"")</f>
        <v>Airtel</v>
      </c>
      <c r="F441" s="78">
        <v>46113</v>
      </c>
      <c r="G441" s="76"/>
      <c r="H441" s="9" t="s">
        <v>180</v>
      </c>
      <c r="I441" s="9">
        <v>2</v>
      </c>
      <c r="J441" s="9">
        <v>150</v>
      </c>
      <c r="K441" s="79">
        <f t="shared" si="54"/>
        <v>300</v>
      </c>
      <c r="L441" s="78">
        <v>46112</v>
      </c>
      <c r="N441" s="85"/>
      <c r="O441" s="86"/>
      <c r="P441" s="83">
        <f t="shared" si="49"/>
        <v>150</v>
      </c>
      <c r="Q441" s="83">
        <f t="shared" si="50"/>
        <v>300</v>
      </c>
      <c r="R441" s="83"/>
      <c r="S441" s="83"/>
      <c r="T441" s="87"/>
      <c r="U441" s="83">
        <f t="shared" si="51"/>
        <v>150</v>
      </c>
      <c r="V441" s="83">
        <f t="shared" si="52"/>
        <v>2</v>
      </c>
      <c r="W441" s="84">
        <f t="shared" si="53"/>
        <v>300</v>
      </c>
      <c r="X441" s="84" t="s">
        <v>181</v>
      </c>
      <c r="Y441" s="24" t="s">
        <v>176</v>
      </c>
    </row>
    <row r="442" spans="1:25" s="24" customFormat="1" ht="11.1" customHeight="1" x14ac:dyDescent="0.2">
      <c r="A442" s="76">
        <f t="shared" si="48"/>
        <v>440</v>
      </c>
      <c r="B442" s="77" t="s">
        <v>284</v>
      </c>
      <c r="C442" s="76" t="str">
        <f>IF($B442&lt;&gt;"",_xlfn.IFNA(VLOOKUP($B442,'Node Details'!$B:$U,C$1,0),"Check"),"")</f>
        <v>0000AXY08-AXY080106</v>
      </c>
      <c r="D442" s="76" t="str">
        <f>IF($B442&lt;&gt;"",_xlfn.IFNA(VLOOKUP($B442,'Node Details'!$B:$U,D$1,0),"Check"),"")</f>
        <v>AXY</v>
      </c>
      <c r="E442" s="76" t="str">
        <f>IF($B442&lt;&gt;"",_xlfn.IFNA(VLOOKUP($B442,'Node Details'!$B:$U,E$1,0),"Check"),"")</f>
        <v>Airtel</v>
      </c>
      <c r="F442" s="78">
        <v>46113</v>
      </c>
      <c r="G442" s="76"/>
      <c r="H442" s="9" t="s">
        <v>180</v>
      </c>
      <c r="I442" s="9">
        <v>2</v>
      </c>
      <c r="J442" s="9">
        <v>150</v>
      </c>
      <c r="K442" s="79">
        <f t="shared" si="54"/>
        <v>300</v>
      </c>
      <c r="L442" s="78">
        <v>46112</v>
      </c>
      <c r="N442" s="85"/>
      <c r="O442" s="86"/>
      <c r="P442" s="83">
        <f t="shared" si="49"/>
        <v>150</v>
      </c>
      <c r="Q442" s="83">
        <f t="shared" si="50"/>
        <v>300</v>
      </c>
      <c r="R442" s="83"/>
      <c r="S442" s="83"/>
      <c r="T442" s="87"/>
      <c r="U442" s="83">
        <f t="shared" si="51"/>
        <v>150</v>
      </c>
      <c r="V442" s="83">
        <f t="shared" si="52"/>
        <v>2</v>
      </c>
      <c r="W442" s="84">
        <f t="shared" si="53"/>
        <v>300</v>
      </c>
      <c r="X442" s="84" t="s">
        <v>181</v>
      </c>
      <c r="Y442" s="24" t="s">
        <v>176</v>
      </c>
    </row>
    <row r="443" spans="1:25" s="24" customFormat="1" ht="11.1" customHeight="1" x14ac:dyDescent="0.2">
      <c r="A443" s="76">
        <f t="shared" si="48"/>
        <v>441</v>
      </c>
      <c r="B443" s="77" t="s">
        <v>285</v>
      </c>
      <c r="C443" s="76" t="str">
        <f>IF($B443&lt;&gt;"",_xlfn.IFNA(VLOOKUP($B443,'Node Details'!$B:$U,C$1,0),"Check"),"")</f>
        <v>AXY080106-AXY080203</v>
      </c>
      <c r="D443" s="76" t="str">
        <f>IF($B443&lt;&gt;"",_xlfn.IFNA(VLOOKUP($B443,'Node Details'!$B:$U,D$1,0),"Check"),"")</f>
        <v>AXY</v>
      </c>
      <c r="E443" s="76" t="str">
        <f>IF($B443&lt;&gt;"",_xlfn.IFNA(VLOOKUP($B443,'Node Details'!$B:$U,E$1,0),"Check"),"")</f>
        <v>Airtel</v>
      </c>
      <c r="F443" s="78">
        <v>46113</v>
      </c>
      <c r="G443" s="76"/>
      <c r="H443" s="9" t="s">
        <v>180</v>
      </c>
      <c r="I443" s="9">
        <v>2</v>
      </c>
      <c r="J443" s="9">
        <v>150</v>
      </c>
      <c r="K443" s="79">
        <f t="shared" si="54"/>
        <v>300</v>
      </c>
      <c r="L443" s="78">
        <v>46112</v>
      </c>
      <c r="N443" s="85"/>
      <c r="O443" s="86"/>
      <c r="P443" s="83">
        <f t="shared" si="49"/>
        <v>150</v>
      </c>
      <c r="Q443" s="83">
        <f t="shared" si="50"/>
        <v>300</v>
      </c>
      <c r="R443" s="83"/>
      <c r="S443" s="83"/>
      <c r="T443" s="87"/>
      <c r="U443" s="83">
        <f t="shared" si="51"/>
        <v>150</v>
      </c>
      <c r="V443" s="83">
        <f t="shared" si="52"/>
        <v>2</v>
      </c>
      <c r="W443" s="84">
        <f t="shared" si="53"/>
        <v>300</v>
      </c>
      <c r="X443" s="84" t="s">
        <v>181</v>
      </c>
      <c r="Y443" s="24" t="s">
        <v>176</v>
      </c>
    </row>
    <row r="444" spans="1:25" s="24" customFormat="1" ht="11.1" customHeight="1" x14ac:dyDescent="0.2">
      <c r="A444" s="76">
        <f t="shared" si="48"/>
        <v>442</v>
      </c>
      <c r="B444" s="77" t="s">
        <v>286</v>
      </c>
      <c r="C444" s="76" t="str">
        <f>IF($B444&lt;&gt;"",_xlfn.IFNA(VLOOKUP($B444,'Node Details'!$B:$U,C$1,0),"Check"),"")</f>
        <v>AXY080106-AXY080203</v>
      </c>
      <c r="D444" s="76" t="str">
        <f>IF($B444&lt;&gt;"",_xlfn.IFNA(VLOOKUP($B444,'Node Details'!$B:$U,D$1,0),"Check"),"")</f>
        <v>AXY</v>
      </c>
      <c r="E444" s="76" t="str">
        <f>IF($B444&lt;&gt;"",_xlfn.IFNA(VLOOKUP($B444,'Node Details'!$B:$U,E$1,0),"Check"),"")</f>
        <v>Airtel</v>
      </c>
      <c r="F444" s="78">
        <v>46113</v>
      </c>
      <c r="G444" s="76"/>
      <c r="H444" s="9" t="s">
        <v>180</v>
      </c>
      <c r="I444" s="9">
        <v>2</v>
      </c>
      <c r="J444" s="9">
        <v>150</v>
      </c>
      <c r="K444" s="79">
        <f t="shared" si="54"/>
        <v>300</v>
      </c>
      <c r="L444" s="78">
        <v>46112</v>
      </c>
      <c r="N444" s="85"/>
      <c r="O444" s="86"/>
      <c r="P444" s="83">
        <f t="shared" si="49"/>
        <v>150</v>
      </c>
      <c r="Q444" s="83">
        <f t="shared" si="50"/>
        <v>300</v>
      </c>
      <c r="R444" s="83"/>
      <c r="S444" s="83"/>
      <c r="T444" s="87"/>
      <c r="U444" s="83">
        <f t="shared" si="51"/>
        <v>150</v>
      </c>
      <c r="V444" s="83">
        <f t="shared" si="52"/>
        <v>2</v>
      </c>
      <c r="W444" s="84">
        <f t="shared" si="53"/>
        <v>300</v>
      </c>
      <c r="X444" s="84" t="s">
        <v>181</v>
      </c>
      <c r="Y444" s="24" t="s">
        <v>176</v>
      </c>
    </row>
    <row r="445" spans="1:25" s="24" customFormat="1" ht="11.1" customHeight="1" x14ac:dyDescent="0.2">
      <c r="A445" s="76">
        <f t="shared" si="48"/>
        <v>443</v>
      </c>
      <c r="B445" s="77" t="s">
        <v>287</v>
      </c>
      <c r="C445" s="76" t="str">
        <f>IF($B445&lt;&gt;"",_xlfn.IFNA(VLOOKUP($B445,'Node Details'!$B:$U,C$1,0),"Check"),"")</f>
        <v>AXY080106-AXY080201</v>
      </c>
      <c r="D445" s="76" t="str">
        <f>IF($B445&lt;&gt;"",_xlfn.IFNA(VLOOKUP($B445,'Node Details'!$B:$U,D$1,0),"Check"),"")</f>
        <v>AXY</v>
      </c>
      <c r="E445" s="76" t="str">
        <f>IF($B445&lt;&gt;"",_xlfn.IFNA(VLOOKUP($B445,'Node Details'!$B:$U,E$1,0),"Check"),"")</f>
        <v>Airtel</v>
      </c>
      <c r="F445" s="78">
        <v>46113</v>
      </c>
      <c r="G445" s="76"/>
      <c r="H445" s="9" t="s">
        <v>180</v>
      </c>
      <c r="I445" s="9">
        <v>2</v>
      </c>
      <c r="J445" s="9">
        <v>150</v>
      </c>
      <c r="K445" s="79">
        <f t="shared" si="54"/>
        <v>300</v>
      </c>
      <c r="L445" s="78">
        <v>46112</v>
      </c>
      <c r="N445" s="85"/>
      <c r="O445" s="86"/>
      <c r="P445" s="83">
        <f t="shared" si="49"/>
        <v>150</v>
      </c>
      <c r="Q445" s="83">
        <f t="shared" si="50"/>
        <v>300</v>
      </c>
      <c r="R445" s="83"/>
      <c r="S445" s="83"/>
      <c r="T445" s="87"/>
      <c r="U445" s="83">
        <f t="shared" si="51"/>
        <v>150</v>
      </c>
      <c r="V445" s="83">
        <f t="shared" si="52"/>
        <v>2</v>
      </c>
      <c r="W445" s="84">
        <f t="shared" si="53"/>
        <v>300</v>
      </c>
      <c r="X445" s="84" t="s">
        <v>181</v>
      </c>
      <c r="Y445" s="24" t="s">
        <v>176</v>
      </c>
    </row>
    <row r="446" spans="1:25" s="24" customFormat="1" ht="11.1" customHeight="1" x14ac:dyDescent="0.2">
      <c r="A446" s="76">
        <f t="shared" si="48"/>
        <v>444</v>
      </c>
      <c r="B446" s="77" t="s">
        <v>288</v>
      </c>
      <c r="C446" s="76" t="str">
        <f>IF($B446&lt;&gt;"",_xlfn.IFNA(VLOOKUP($B446,'Node Details'!$B:$U,C$1,0),"Check"),"")</f>
        <v>AXY080106-AXY080201</v>
      </c>
      <c r="D446" s="76" t="str">
        <f>IF($B446&lt;&gt;"",_xlfn.IFNA(VLOOKUP($B446,'Node Details'!$B:$U,D$1,0),"Check"),"")</f>
        <v>AXY</v>
      </c>
      <c r="E446" s="76" t="str">
        <f>IF($B446&lt;&gt;"",_xlfn.IFNA(VLOOKUP($B446,'Node Details'!$B:$U,E$1,0),"Check"),"")</f>
        <v>Airtel</v>
      </c>
      <c r="F446" s="78">
        <v>46113</v>
      </c>
      <c r="G446" s="76"/>
      <c r="H446" s="9" t="s">
        <v>180</v>
      </c>
      <c r="I446" s="9">
        <v>2</v>
      </c>
      <c r="J446" s="9">
        <v>150</v>
      </c>
      <c r="K446" s="79">
        <f t="shared" si="54"/>
        <v>300</v>
      </c>
      <c r="L446" s="78">
        <v>46112</v>
      </c>
      <c r="N446" s="85"/>
      <c r="O446" s="86"/>
      <c r="P446" s="83">
        <f t="shared" si="49"/>
        <v>150</v>
      </c>
      <c r="Q446" s="83">
        <f t="shared" si="50"/>
        <v>300</v>
      </c>
      <c r="R446" s="83"/>
      <c r="S446" s="83"/>
      <c r="T446" s="87"/>
      <c r="U446" s="83">
        <f t="shared" si="51"/>
        <v>150</v>
      </c>
      <c r="V446" s="83">
        <f t="shared" si="52"/>
        <v>2</v>
      </c>
      <c r="W446" s="84">
        <f t="shared" si="53"/>
        <v>300</v>
      </c>
      <c r="X446" s="84" t="s">
        <v>181</v>
      </c>
      <c r="Y446" s="24" t="s">
        <v>176</v>
      </c>
    </row>
    <row r="447" spans="1:25" s="24" customFormat="1" ht="11.1" customHeight="1" x14ac:dyDescent="0.2">
      <c r="A447" s="76">
        <f t="shared" si="48"/>
        <v>445</v>
      </c>
      <c r="B447" s="77" t="s">
        <v>289</v>
      </c>
      <c r="C447" s="76" t="str">
        <f>IF($B447&lt;&gt;"",_xlfn.IFNA(VLOOKUP($B447,'Node Details'!$B:$U,C$1,0),"Check"),"")</f>
        <v>000000AXY-0000AXY12</v>
      </c>
      <c r="D447" s="76" t="str">
        <f>IF($B447&lt;&gt;"",_xlfn.IFNA(VLOOKUP($B447,'Node Details'!$B:$U,D$1,0),"Check"),"")</f>
        <v>AXY</v>
      </c>
      <c r="E447" s="76" t="str">
        <f>IF($B447&lt;&gt;"",_xlfn.IFNA(VLOOKUP($B447,'Node Details'!$B:$U,E$1,0),"Check"),"")</f>
        <v>Airtel</v>
      </c>
      <c r="F447" s="78">
        <v>46113</v>
      </c>
      <c r="G447" s="76"/>
      <c r="H447" s="9" t="s">
        <v>180</v>
      </c>
      <c r="I447" s="9">
        <v>2</v>
      </c>
      <c r="J447" s="9">
        <v>150</v>
      </c>
      <c r="K447" s="79">
        <f t="shared" si="54"/>
        <v>300</v>
      </c>
      <c r="L447" s="78">
        <v>46112</v>
      </c>
      <c r="N447" s="85"/>
      <c r="O447" s="86"/>
      <c r="P447" s="83">
        <f t="shared" si="49"/>
        <v>150</v>
      </c>
      <c r="Q447" s="83">
        <f t="shared" si="50"/>
        <v>300</v>
      </c>
      <c r="R447" s="83"/>
      <c r="S447" s="83"/>
      <c r="T447" s="87"/>
      <c r="U447" s="83">
        <f t="shared" si="51"/>
        <v>150</v>
      </c>
      <c r="V447" s="83">
        <f t="shared" si="52"/>
        <v>2</v>
      </c>
      <c r="W447" s="84">
        <f t="shared" si="53"/>
        <v>300</v>
      </c>
      <c r="X447" s="84" t="s">
        <v>181</v>
      </c>
      <c r="Y447" s="24" t="s">
        <v>176</v>
      </c>
    </row>
    <row r="448" spans="1:25" s="24" customFormat="1" ht="11.1" customHeight="1" x14ac:dyDescent="0.2">
      <c r="A448" s="76">
        <f t="shared" si="48"/>
        <v>446</v>
      </c>
      <c r="B448" s="77" t="s">
        <v>290</v>
      </c>
      <c r="C448" s="76" t="str">
        <f>IF($B448&lt;&gt;"",_xlfn.IFNA(VLOOKUP($B448,'Node Details'!$B:$U,C$1,0),"Check"),"")</f>
        <v>0000AXY09-AXY090101</v>
      </c>
      <c r="D448" s="76" t="str">
        <f>IF($B448&lt;&gt;"",_xlfn.IFNA(VLOOKUP($B448,'Node Details'!$B:$U,D$1,0),"Check"),"")</f>
        <v>AXY</v>
      </c>
      <c r="E448" s="76" t="str">
        <f>IF($B448&lt;&gt;"",_xlfn.IFNA(VLOOKUP($B448,'Node Details'!$B:$U,E$1,0),"Check"),"")</f>
        <v>Airtel</v>
      </c>
      <c r="F448" s="78">
        <v>46113</v>
      </c>
      <c r="G448" s="76"/>
      <c r="H448" s="9" t="s">
        <v>180</v>
      </c>
      <c r="I448" s="9">
        <v>2</v>
      </c>
      <c r="J448" s="9">
        <v>150</v>
      </c>
      <c r="K448" s="79">
        <f t="shared" si="54"/>
        <v>300</v>
      </c>
      <c r="L448" s="78">
        <v>46112</v>
      </c>
      <c r="N448" s="85"/>
      <c r="O448" s="86"/>
      <c r="P448" s="83">
        <f t="shared" si="49"/>
        <v>150</v>
      </c>
      <c r="Q448" s="83">
        <f t="shared" si="50"/>
        <v>300</v>
      </c>
      <c r="R448" s="83"/>
      <c r="S448" s="83"/>
      <c r="T448" s="87"/>
      <c r="U448" s="83">
        <f t="shared" si="51"/>
        <v>150</v>
      </c>
      <c r="V448" s="83">
        <f t="shared" si="52"/>
        <v>2</v>
      </c>
      <c r="W448" s="84">
        <f t="shared" si="53"/>
        <v>300</v>
      </c>
      <c r="X448" s="84" t="s">
        <v>181</v>
      </c>
      <c r="Y448" s="24" t="s">
        <v>176</v>
      </c>
    </row>
    <row r="449" spans="1:25" s="24" customFormat="1" ht="11.1" customHeight="1" x14ac:dyDescent="0.2">
      <c r="A449" s="76">
        <f t="shared" si="48"/>
        <v>447</v>
      </c>
      <c r="B449" s="77" t="s">
        <v>291</v>
      </c>
      <c r="C449" s="76" t="str">
        <f>IF($B449&lt;&gt;"",_xlfn.IFNA(VLOOKUP($B449,'Node Details'!$B:$U,C$1,0),"Check"),"")</f>
        <v>0000AXY09-AXY090105</v>
      </c>
      <c r="D449" s="76" t="str">
        <f>IF($B449&lt;&gt;"",_xlfn.IFNA(VLOOKUP($B449,'Node Details'!$B:$U,D$1,0),"Check"),"")</f>
        <v>AXY</v>
      </c>
      <c r="E449" s="76" t="str">
        <f>IF($B449&lt;&gt;"",_xlfn.IFNA(VLOOKUP($B449,'Node Details'!$B:$U,E$1,0),"Check"),"")</f>
        <v>Airtel</v>
      </c>
      <c r="F449" s="78">
        <v>46113</v>
      </c>
      <c r="G449" s="76"/>
      <c r="H449" s="9" t="s">
        <v>180</v>
      </c>
      <c r="I449" s="9">
        <v>2</v>
      </c>
      <c r="J449" s="9">
        <v>150</v>
      </c>
      <c r="K449" s="79">
        <f t="shared" si="54"/>
        <v>300</v>
      </c>
      <c r="L449" s="78">
        <v>46112</v>
      </c>
      <c r="N449" s="85"/>
      <c r="O449" s="86"/>
      <c r="P449" s="83">
        <f t="shared" si="49"/>
        <v>150</v>
      </c>
      <c r="Q449" s="83">
        <f t="shared" si="50"/>
        <v>300</v>
      </c>
      <c r="R449" s="83"/>
      <c r="S449" s="83"/>
      <c r="T449" s="87"/>
      <c r="U449" s="83">
        <f t="shared" si="51"/>
        <v>150</v>
      </c>
      <c r="V449" s="83">
        <f t="shared" si="52"/>
        <v>2</v>
      </c>
      <c r="W449" s="84">
        <f t="shared" si="53"/>
        <v>300</v>
      </c>
      <c r="X449" s="84" t="s">
        <v>181</v>
      </c>
      <c r="Y449" s="24" t="s">
        <v>176</v>
      </c>
    </row>
    <row r="450" spans="1:25" s="24" customFormat="1" ht="11.1" customHeight="1" x14ac:dyDescent="0.2">
      <c r="A450" s="76">
        <f t="shared" si="48"/>
        <v>448</v>
      </c>
      <c r="B450" s="77" t="s">
        <v>292</v>
      </c>
      <c r="C450" s="76" t="str">
        <f>IF($B450&lt;&gt;"",_xlfn.IFNA(VLOOKUP($B450,'Node Details'!$B:$U,C$1,0),"Check"),"")</f>
        <v>0000AXY09-AXY090105</v>
      </c>
      <c r="D450" s="76" t="str">
        <f>IF($B450&lt;&gt;"",_xlfn.IFNA(VLOOKUP($B450,'Node Details'!$B:$U,D$1,0),"Check"),"")</f>
        <v>AXY</v>
      </c>
      <c r="E450" s="76" t="str">
        <f>IF($B450&lt;&gt;"",_xlfn.IFNA(VLOOKUP($B450,'Node Details'!$B:$U,E$1,0),"Check"),"")</f>
        <v>Airtel</v>
      </c>
      <c r="F450" s="78">
        <v>46113</v>
      </c>
      <c r="G450" s="76"/>
      <c r="H450" s="9" t="s">
        <v>180</v>
      </c>
      <c r="I450" s="9">
        <v>2</v>
      </c>
      <c r="J450" s="9">
        <v>150</v>
      </c>
      <c r="K450" s="79">
        <f t="shared" si="54"/>
        <v>300</v>
      </c>
      <c r="L450" s="78">
        <v>46112</v>
      </c>
      <c r="N450" s="85"/>
      <c r="O450" s="86"/>
      <c r="P450" s="83">
        <f t="shared" si="49"/>
        <v>150</v>
      </c>
      <c r="Q450" s="83">
        <f t="shared" si="50"/>
        <v>300</v>
      </c>
      <c r="R450" s="83"/>
      <c r="S450" s="83"/>
      <c r="T450" s="87"/>
      <c r="U450" s="83">
        <f t="shared" si="51"/>
        <v>150</v>
      </c>
      <c r="V450" s="83">
        <f t="shared" si="52"/>
        <v>2</v>
      </c>
      <c r="W450" s="84">
        <f t="shared" si="53"/>
        <v>300</v>
      </c>
      <c r="X450" s="84" t="s">
        <v>181</v>
      </c>
      <c r="Y450" s="24" t="s">
        <v>176</v>
      </c>
    </row>
    <row r="451" spans="1:25" s="24" customFormat="1" ht="11.1" customHeight="1" x14ac:dyDescent="0.2">
      <c r="A451" s="76">
        <f t="shared" si="48"/>
        <v>449</v>
      </c>
      <c r="B451" s="77" t="s">
        <v>293</v>
      </c>
      <c r="C451" s="76" t="str">
        <f>IF($B451&lt;&gt;"",_xlfn.IFNA(VLOOKUP($B451,'Node Details'!$B:$U,C$1,0),"Check"),"")</f>
        <v>0000AXY09-AXY090105</v>
      </c>
      <c r="D451" s="76" t="str">
        <f>IF($B451&lt;&gt;"",_xlfn.IFNA(VLOOKUP($B451,'Node Details'!$B:$U,D$1,0),"Check"),"")</f>
        <v>AXY</v>
      </c>
      <c r="E451" s="76" t="str">
        <f>IF($B451&lt;&gt;"",_xlfn.IFNA(VLOOKUP($B451,'Node Details'!$B:$U,E$1,0),"Check"),"")</f>
        <v>Airtel</v>
      </c>
      <c r="F451" s="78">
        <v>46113</v>
      </c>
      <c r="G451" s="76"/>
      <c r="H451" s="9" t="s">
        <v>180</v>
      </c>
      <c r="I451" s="9">
        <v>2</v>
      </c>
      <c r="J451" s="9">
        <v>150</v>
      </c>
      <c r="K451" s="79">
        <f t="shared" si="54"/>
        <v>300</v>
      </c>
      <c r="L451" s="78">
        <v>46112</v>
      </c>
      <c r="N451" s="85"/>
      <c r="O451" s="86"/>
      <c r="P451" s="83">
        <f t="shared" si="49"/>
        <v>150</v>
      </c>
      <c r="Q451" s="83">
        <f t="shared" si="50"/>
        <v>300</v>
      </c>
      <c r="R451" s="83"/>
      <c r="S451" s="83"/>
      <c r="T451" s="87"/>
      <c r="U451" s="83">
        <f t="shared" si="51"/>
        <v>150</v>
      </c>
      <c r="V451" s="83">
        <f t="shared" si="52"/>
        <v>2</v>
      </c>
      <c r="W451" s="84">
        <f t="shared" si="53"/>
        <v>300</v>
      </c>
      <c r="X451" s="84" t="s">
        <v>181</v>
      </c>
      <c r="Y451" s="24" t="s">
        <v>176</v>
      </c>
    </row>
    <row r="452" spans="1:25" s="24" customFormat="1" ht="11.1" customHeight="1" x14ac:dyDescent="0.2">
      <c r="A452" s="76">
        <f t="shared" ref="A452:A515" si="55">A451+1</f>
        <v>450</v>
      </c>
      <c r="B452" s="77" t="s">
        <v>294</v>
      </c>
      <c r="C452" s="76" t="str">
        <f>IF($B452&lt;&gt;"",_xlfn.IFNA(VLOOKUP($B452,'Node Details'!$B:$U,C$1,0),"Check"),"")</f>
        <v>0000AXY09-AXY090201</v>
      </c>
      <c r="D452" s="76" t="str">
        <f>IF($B452&lt;&gt;"",_xlfn.IFNA(VLOOKUP($B452,'Node Details'!$B:$U,D$1,0),"Check"),"")</f>
        <v>AXY</v>
      </c>
      <c r="E452" s="76" t="str">
        <f>IF($B452&lt;&gt;"",_xlfn.IFNA(VLOOKUP($B452,'Node Details'!$B:$U,E$1,0),"Check"),"")</f>
        <v>Airtel</v>
      </c>
      <c r="F452" s="78">
        <v>46113</v>
      </c>
      <c r="G452" s="76"/>
      <c r="H452" s="9" t="s">
        <v>180</v>
      </c>
      <c r="I452" s="9">
        <v>2</v>
      </c>
      <c r="J452" s="9">
        <v>150</v>
      </c>
      <c r="K452" s="79">
        <f t="shared" si="54"/>
        <v>300</v>
      </c>
      <c r="L452" s="78">
        <v>46112</v>
      </c>
      <c r="N452" s="85"/>
      <c r="O452" s="86"/>
      <c r="P452" s="83">
        <f t="shared" si="49"/>
        <v>150</v>
      </c>
      <c r="Q452" s="83">
        <f t="shared" si="50"/>
        <v>300</v>
      </c>
      <c r="R452" s="83"/>
      <c r="S452" s="83"/>
      <c r="T452" s="87"/>
      <c r="U452" s="83">
        <f t="shared" si="51"/>
        <v>150</v>
      </c>
      <c r="V452" s="83">
        <f t="shared" si="52"/>
        <v>2</v>
      </c>
      <c r="W452" s="84">
        <f t="shared" si="53"/>
        <v>300</v>
      </c>
      <c r="X452" s="84" t="s">
        <v>181</v>
      </c>
      <c r="Y452" s="24" t="s">
        <v>176</v>
      </c>
    </row>
    <row r="453" spans="1:25" s="24" customFormat="1" ht="11.1" customHeight="1" x14ac:dyDescent="0.2">
      <c r="A453" s="76">
        <f t="shared" si="55"/>
        <v>451</v>
      </c>
      <c r="B453" s="77" t="s">
        <v>295</v>
      </c>
      <c r="C453" s="76" t="str">
        <f>IF($B453&lt;&gt;"",_xlfn.IFNA(VLOOKUP($B453,'Node Details'!$B:$U,C$1,0),"Check"),"")</f>
        <v>0000AXY09-AXY090201</v>
      </c>
      <c r="D453" s="76" t="str">
        <f>IF($B453&lt;&gt;"",_xlfn.IFNA(VLOOKUP($B453,'Node Details'!$B:$U,D$1,0),"Check"),"")</f>
        <v>AXY</v>
      </c>
      <c r="E453" s="76" t="str">
        <f>IF($B453&lt;&gt;"",_xlfn.IFNA(VLOOKUP($B453,'Node Details'!$B:$U,E$1,0),"Check"),"")</f>
        <v>Airtel</v>
      </c>
      <c r="F453" s="78">
        <v>46113</v>
      </c>
      <c r="G453" s="76"/>
      <c r="H453" s="9" t="s">
        <v>180</v>
      </c>
      <c r="I453" s="9">
        <v>2</v>
      </c>
      <c r="J453" s="9">
        <v>150</v>
      </c>
      <c r="K453" s="79">
        <f t="shared" si="54"/>
        <v>300</v>
      </c>
      <c r="L453" s="78">
        <v>46112</v>
      </c>
      <c r="N453" s="85"/>
      <c r="O453" s="86"/>
      <c r="P453" s="83">
        <f t="shared" si="49"/>
        <v>150</v>
      </c>
      <c r="Q453" s="83">
        <f t="shared" si="50"/>
        <v>300</v>
      </c>
      <c r="R453" s="83"/>
      <c r="S453" s="83"/>
      <c r="T453" s="87"/>
      <c r="U453" s="83">
        <f t="shared" si="51"/>
        <v>150</v>
      </c>
      <c r="V453" s="83">
        <f t="shared" si="52"/>
        <v>2</v>
      </c>
      <c r="W453" s="84">
        <f t="shared" si="53"/>
        <v>300</v>
      </c>
      <c r="X453" s="84" t="s">
        <v>181</v>
      </c>
      <c r="Y453" s="24" t="s">
        <v>176</v>
      </c>
    </row>
    <row r="454" spans="1:25" s="24" customFormat="1" ht="11.1" customHeight="1" x14ac:dyDescent="0.2">
      <c r="A454" s="76">
        <f t="shared" si="55"/>
        <v>452</v>
      </c>
      <c r="B454" s="77" t="s">
        <v>296</v>
      </c>
      <c r="C454" s="76" t="str">
        <f>IF($B454&lt;&gt;"",_xlfn.IFNA(VLOOKUP($B454,'Node Details'!$B:$U,C$1,0),"Check"),"")</f>
        <v>0000AXY09-AXY090201</v>
      </c>
      <c r="D454" s="76" t="str">
        <f>IF($B454&lt;&gt;"",_xlfn.IFNA(VLOOKUP($B454,'Node Details'!$B:$U,D$1,0),"Check"),"")</f>
        <v>AXY</v>
      </c>
      <c r="E454" s="76" t="str">
        <f>IF($B454&lt;&gt;"",_xlfn.IFNA(VLOOKUP($B454,'Node Details'!$B:$U,E$1,0),"Check"),"")</f>
        <v>Airtel</v>
      </c>
      <c r="F454" s="78">
        <v>46113</v>
      </c>
      <c r="G454" s="76"/>
      <c r="H454" s="9" t="s">
        <v>180</v>
      </c>
      <c r="I454" s="9">
        <v>2</v>
      </c>
      <c r="J454" s="9">
        <v>150</v>
      </c>
      <c r="K454" s="79">
        <f t="shared" si="54"/>
        <v>300</v>
      </c>
      <c r="L454" s="78">
        <v>46112</v>
      </c>
      <c r="N454" s="85"/>
      <c r="O454" s="86"/>
      <c r="P454" s="83">
        <f t="shared" si="49"/>
        <v>150</v>
      </c>
      <c r="Q454" s="83">
        <f t="shared" si="50"/>
        <v>300</v>
      </c>
      <c r="R454" s="83"/>
      <c r="S454" s="83"/>
      <c r="T454" s="87"/>
      <c r="U454" s="83">
        <f t="shared" si="51"/>
        <v>150</v>
      </c>
      <c r="V454" s="83">
        <f t="shared" si="52"/>
        <v>2</v>
      </c>
      <c r="W454" s="84">
        <f t="shared" si="53"/>
        <v>300</v>
      </c>
      <c r="X454" s="84" t="s">
        <v>181</v>
      </c>
      <c r="Y454" s="24" t="s">
        <v>176</v>
      </c>
    </row>
    <row r="455" spans="1:25" s="24" customFormat="1" ht="11.1" customHeight="1" x14ac:dyDescent="0.2">
      <c r="A455" s="76">
        <f t="shared" si="55"/>
        <v>453</v>
      </c>
      <c r="B455" s="77" t="s">
        <v>297</v>
      </c>
      <c r="C455" s="76" t="str">
        <f>IF($B455&lt;&gt;"",_xlfn.IFNA(VLOOKUP($B455,'Node Details'!$B:$U,C$1,0),"Check"),"")</f>
        <v>0000AXY09-AXY090201</v>
      </c>
      <c r="D455" s="76" t="str">
        <f>IF($B455&lt;&gt;"",_xlfn.IFNA(VLOOKUP($B455,'Node Details'!$B:$U,D$1,0),"Check"),"")</f>
        <v>AXY</v>
      </c>
      <c r="E455" s="76" t="str">
        <f>IF($B455&lt;&gt;"",_xlfn.IFNA(VLOOKUP($B455,'Node Details'!$B:$U,E$1,0),"Check"),"")</f>
        <v>Airtel</v>
      </c>
      <c r="F455" s="78">
        <v>46113</v>
      </c>
      <c r="G455" s="76"/>
      <c r="H455" s="9" t="s">
        <v>180</v>
      </c>
      <c r="I455" s="9">
        <v>2</v>
      </c>
      <c r="J455" s="9">
        <v>150</v>
      </c>
      <c r="K455" s="79">
        <f t="shared" si="54"/>
        <v>300</v>
      </c>
      <c r="L455" s="78">
        <v>46112</v>
      </c>
      <c r="N455" s="85"/>
      <c r="O455" s="86"/>
      <c r="P455" s="83">
        <f t="shared" si="49"/>
        <v>150</v>
      </c>
      <c r="Q455" s="83">
        <f t="shared" si="50"/>
        <v>300</v>
      </c>
      <c r="R455" s="83"/>
      <c r="S455" s="83"/>
      <c r="T455" s="87"/>
      <c r="U455" s="83">
        <f t="shared" si="51"/>
        <v>150</v>
      </c>
      <c r="V455" s="83">
        <f t="shared" si="52"/>
        <v>2</v>
      </c>
      <c r="W455" s="84">
        <f t="shared" si="53"/>
        <v>300</v>
      </c>
      <c r="X455" s="84" t="s">
        <v>181</v>
      </c>
      <c r="Y455" s="24" t="s">
        <v>176</v>
      </c>
    </row>
    <row r="456" spans="1:25" s="24" customFormat="1" ht="11.1" customHeight="1" x14ac:dyDescent="0.2">
      <c r="A456" s="76">
        <f t="shared" si="55"/>
        <v>454</v>
      </c>
      <c r="B456" s="77" t="s">
        <v>298</v>
      </c>
      <c r="C456" s="76" t="str">
        <f>IF($B456&lt;&gt;"",_xlfn.IFNA(VLOOKUP($B456,'Node Details'!$B:$U,C$1,0),"Check"),"")</f>
        <v>AXY090201-AXY090204</v>
      </c>
      <c r="D456" s="76" t="str">
        <f>IF($B456&lt;&gt;"",_xlfn.IFNA(VLOOKUP($B456,'Node Details'!$B:$U,D$1,0),"Check"),"")</f>
        <v>AXY</v>
      </c>
      <c r="E456" s="76" t="str">
        <f>IF($B456&lt;&gt;"",_xlfn.IFNA(VLOOKUP($B456,'Node Details'!$B:$U,E$1,0),"Check"),"")</f>
        <v>Airtel</v>
      </c>
      <c r="F456" s="78">
        <v>46113</v>
      </c>
      <c r="G456" s="76"/>
      <c r="H456" s="9" t="s">
        <v>180</v>
      </c>
      <c r="I456" s="9">
        <v>2</v>
      </c>
      <c r="J456" s="9">
        <v>150</v>
      </c>
      <c r="K456" s="79">
        <f t="shared" si="54"/>
        <v>300</v>
      </c>
      <c r="L456" s="78">
        <v>46112</v>
      </c>
      <c r="N456" s="85"/>
      <c r="O456" s="86"/>
      <c r="P456" s="83">
        <f t="shared" si="49"/>
        <v>150</v>
      </c>
      <c r="Q456" s="83">
        <f t="shared" si="50"/>
        <v>300</v>
      </c>
      <c r="R456" s="83"/>
      <c r="S456" s="83"/>
      <c r="T456" s="87"/>
      <c r="U456" s="83">
        <f t="shared" si="51"/>
        <v>150</v>
      </c>
      <c r="V456" s="83">
        <f t="shared" si="52"/>
        <v>2</v>
      </c>
      <c r="W456" s="84">
        <f t="shared" si="53"/>
        <v>300</v>
      </c>
      <c r="X456" s="84" t="s">
        <v>181</v>
      </c>
      <c r="Y456" s="24" t="s">
        <v>176</v>
      </c>
    </row>
    <row r="457" spans="1:25" s="24" customFormat="1" ht="11.1" customHeight="1" x14ac:dyDescent="0.2">
      <c r="A457" s="76">
        <f t="shared" si="55"/>
        <v>455</v>
      </c>
      <c r="B457" s="77" t="s">
        <v>299</v>
      </c>
      <c r="C457" s="76" t="str">
        <f>IF($B457&lt;&gt;"",_xlfn.IFNA(VLOOKUP($B457,'Node Details'!$B:$U,C$1,0),"Check"),"")</f>
        <v>AXY090201-AXY090204</v>
      </c>
      <c r="D457" s="76" t="str">
        <f>IF($B457&lt;&gt;"",_xlfn.IFNA(VLOOKUP($B457,'Node Details'!$B:$U,D$1,0),"Check"),"")</f>
        <v>AXY</v>
      </c>
      <c r="E457" s="76" t="str">
        <f>IF($B457&lt;&gt;"",_xlfn.IFNA(VLOOKUP($B457,'Node Details'!$B:$U,E$1,0),"Check"),"")</f>
        <v>Airtel</v>
      </c>
      <c r="F457" s="78">
        <v>46113</v>
      </c>
      <c r="G457" s="76"/>
      <c r="H457" s="9" t="s">
        <v>180</v>
      </c>
      <c r="I457" s="9">
        <v>2</v>
      </c>
      <c r="J457" s="9">
        <v>150</v>
      </c>
      <c r="K457" s="79">
        <f t="shared" si="54"/>
        <v>300</v>
      </c>
      <c r="L457" s="78">
        <v>46112</v>
      </c>
      <c r="N457" s="85"/>
      <c r="O457" s="86"/>
      <c r="P457" s="83">
        <f t="shared" si="49"/>
        <v>150</v>
      </c>
      <c r="Q457" s="83">
        <f t="shared" si="50"/>
        <v>300</v>
      </c>
      <c r="R457" s="83"/>
      <c r="S457" s="83"/>
      <c r="T457" s="87"/>
      <c r="U457" s="83">
        <f t="shared" si="51"/>
        <v>150</v>
      </c>
      <c r="V457" s="83">
        <f t="shared" si="52"/>
        <v>2</v>
      </c>
      <c r="W457" s="84">
        <f t="shared" si="53"/>
        <v>300</v>
      </c>
      <c r="X457" s="84" t="s">
        <v>181</v>
      </c>
      <c r="Y457" s="24" t="s">
        <v>176</v>
      </c>
    </row>
    <row r="458" spans="1:25" s="24" customFormat="1" ht="11.1" customHeight="1" x14ac:dyDescent="0.2">
      <c r="A458" s="76">
        <f t="shared" si="55"/>
        <v>456</v>
      </c>
      <c r="B458" s="77" t="s">
        <v>300</v>
      </c>
      <c r="C458" s="76" t="str">
        <f>IF($B458&lt;&gt;"",_xlfn.IFNA(VLOOKUP($B458,'Node Details'!$B:$U,C$1,0),"Check"),"")</f>
        <v>AXY090201-AXY090204</v>
      </c>
      <c r="D458" s="76" t="str">
        <f>IF($B458&lt;&gt;"",_xlfn.IFNA(VLOOKUP($B458,'Node Details'!$B:$U,D$1,0),"Check"),"")</f>
        <v>AXY</v>
      </c>
      <c r="E458" s="76" t="str">
        <f>IF($B458&lt;&gt;"",_xlfn.IFNA(VLOOKUP($B458,'Node Details'!$B:$U,E$1,0),"Check"),"")</f>
        <v>Airtel</v>
      </c>
      <c r="F458" s="78">
        <v>46113</v>
      </c>
      <c r="G458" s="76"/>
      <c r="H458" s="9" t="s">
        <v>180</v>
      </c>
      <c r="I458" s="9">
        <v>2</v>
      </c>
      <c r="J458" s="9">
        <v>150</v>
      </c>
      <c r="K458" s="79">
        <f t="shared" si="54"/>
        <v>300</v>
      </c>
      <c r="L458" s="78">
        <v>46112</v>
      </c>
      <c r="N458" s="85"/>
      <c r="O458" s="86"/>
      <c r="P458" s="83">
        <f t="shared" si="49"/>
        <v>150</v>
      </c>
      <c r="Q458" s="83">
        <f t="shared" si="50"/>
        <v>300</v>
      </c>
      <c r="R458" s="83"/>
      <c r="S458" s="83"/>
      <c r="T458" s="87"/>
      <c r="U458" s="83">
        <f t="shared" si="51"/>
        <v>150</v>
      </c>
      <c r="V458" s="83">
        <f t="shared" si="52"/>
        <v>2</v>
      </c>
      <c r="W458" s="84">
        <f t="shared" si="53"/>
        <v>300</v>
      </c>
      <c r="X458" s="84" t="s">
        <v>181</v>
      </c>
      <c r="Y458" s="24" t="s">
        <v>176</v>
      </c>
    </row>
    <row r="459" spans="1:25" s="24" customFormat="1" ht="11.1" customHeight="1" x14ac:dyDescent="0.2">
      <c r="A459" s="76">
        <f t="shared" si="55"/>
        <v>457</v>
      </c>
      <c r="B459" s="77" t="s">
        <v>301</v>
      </c>
      <c r="C459" s="76" t="str">
        <f>IF($B459&lt;&gt;"",_xlfn.IFNA(VLOOKUP($B459,'Node Details'!$B:$U,C$1,0),"Check"),"")</f>
        <v>000000AXY-0000AXY12</v>
      </c>
      <c r="D459" s="76" t="str">
        <f>IF($B459&lt;&gt;"",_xlfn.IFNA(VLOOKUP($B459,'Node Details'!$B:$U,D$1,0),"Check"),"")</f>
        <v>AXY</v>
      </c>
      <c r="E459" s="76" t="str">
        <f>IF($B459&lt;&gt;"",_xlfn.IFNA(VLOOKUP($B459,'Node Details'!$B:$U,E$1,0),"Check"),"")</f>
        <v>Airtel</v>
      </c>
      <c r="F459" s="78">
        <v>46113</v>
      </c>
      <c r="G459" s="76"/>
      <c r="H459" s="9" t="s">
        <v>180</v>
      </c>
      <c r="I459" s="9">
        <v>2</v>
      </c>
      <c r="J459" s="9">
        <v>150</v>
      </c>
      <c r="K459" s="79">
        <f t="shared" si="54"/>
        <v>300</v>
      </c>
      <c r="L459" s="78">
        <v>46112</v>
      </c>
      <c r="N459" s="85"/>
      <c r="O459" s="86"/>
      <c r="P459" s="83">
        <f t="shared" si="49"/>
        <v>150</v>
      </c>
      <c r="Q459" s="83">
        <f t="shared" si="50"/>
        <v>300</v>
      </c>
      <c r="R459" s="83"/>
      <c r="S459" s="83"/>
      <c r="T459" s="87"/>
      <c r="U459" s="83">
        <f t="shared" si="51"/>
        <v>150</v>
      </c>
      <c r="V459" s="83">
        <f t="shared" si="52"/>
        <v>2</v>
      </c>
      <c r="W459" s="84">
        <f t="shared" si="53"/>
        <v>300</v>
      </c>
      <c r="X459" s="84" t="s">
        <v>181</v>
      </c>
      <c r="Y459" s="24" t="s">
        <v>176</v>
      </c>
    </row>
    <row r="460" spans="1:25" s="24" customFormat="1" ht="11.1" customHeight="1" x14ac:dyDescent="0.2">
      <c r="A460" s="76">
        <f t="shared" si="55"/>
        <v>458</v>
      </c>
      <c r="B460" s="77" t="s">
        <v>302</v>
      </c>
      <c r="C460" s="76" t="str">
        <f>IF($B460&lt;&gt;"",_xlfn.IFNA(VLOOKUP($B460,'Node Details'!$B:$U,C$1,0),"Check"),"")</f>
        <v>0000AXY10-AXY100104</v>
      </c>
      <c r="D460" s="76" t="str">
        <f>IF($B460&lt;&gt;"",_xlfn.IFNA(VLOOKUP($B460,'Node Details'!$B:$U,D$1,0),"Check"),"")</f>
        <v>AXY</v>
      </c>
      <c r="E460" s="76" t="str">
        <f>IF($B460&lt;&gt;"",_xlfn.IFNA(VLOOKUP($B460,'Node Details'!$B:$U,E$1,0),"Check"),"")</f>
        <v>Airtel</v>
      </c>
      <c r="F460" s="78">
        <v>46113</v>
      </c>
      <c r="G460" s="76"/>
      <c r="H460" s="9" t="s">
        <v>180</v>
      </c>
      <c r="I460" s="9">
        <v>2</v>
      </c>
      <c r="J460" s="9">
        <v>150</v>
      </c>
      <c r="K460" s="79">
        <f t="shared" si="54"/>
        <v>300</v>
      </c>
      <c r="L460" s="78">
        <v>46112</v>
      </c>
      <c r="N460" s="85"/>
      <c r="O460" s="86"/>
      <c r="P460" s="83">
        <f t="shared" si="49"/>
        <v>150</v>
      </c>
      <c r="Q460" s="83">
        <f t="shared" si="50"/>
        <v>300</v>
      </c>
      <c r="R460" s="83"/>
      <c r="S460" s="83"/>
      <c r="T460" s="87"/>
      <c r="U460" s="83">
        <f t="shared" si="51"/>
        <v>150</v>
      </c>
      <c r="V460" s="83">
        <f t="shared" si="52"/>
        <v>2</v>
      </c>
      <c r="W460" s="84">
        <f t="shared" si="53"/>
        <v>300</v>
      </c>
      <c r="X460" s="84" t="s">
        <v>181</v>
      </c>
      <c r="Y460" s="24" t="s">
        <v>176</v>
      </c>
    </row>
    <row r="461" spans="1:25" s="24" customFormat="1" ht="11.1" customHeight="1" x14ac:dyDescent="0.2">
      <c r="A461" s="76">
        <f t="shared" si="55"/>
        <v>459</v>
      </c>
      <c r="B461" s="77" t="s">
        <v>303</v>
      </c>
      <c r="C461" s="76" t="str">
        <f>IF($B461&lt;&gt;"",_xlfn.IFNA(VLOOKUP($B461,'Node Details'!$B:$U,C$1,0),"Check"),"")</f>
        <v>0000AXY10-AXY100104</v>
      </c>
      <c r="D461" s="76" t="str">
        <f>IF($B461&lt;&gt;"",_xlfn.IFNA(VLOOKUP($B461,'Node Details'!$B:$U,D$1,0),"Check"),"")</f>
        <v>AXY</v>
      </c>
      <c r="E461" s="76" t="str">
        <f>IF($B461&lt;&gt;"",_xlfn.IFNA(VLOOKUP($B461,'Node Details'!$B:$U,E$1,0),"Check"),"")</f>
        <v>Airtel</v>
      </c>
      <c r="F461" s="78">
        <v>46113</v>
      </c>
      <c r="G461" s="76"/>
      <c r="H461" s="9" t="s">
        <v>180</v>
      </c>
      <c r="I461" s="9">
        <v>2</v>
      </c>
      <c r="J461" s="9">
        <v>150</v>
      </c>
      <c r="K461" s="79">
        <f t="shared" si="54"/>
        <v>300</v>
      </c>
      <c r="L461" s="78">
        <v>46112</v>
      </c>
      <c r="N461" s="85"/>
      <c r="O461" s="86"/>
      <c r="P461" s="83">
        <f t="shared" si="49"/>
        <v>150</v>
      </c>
      <c r="Q461" s="83">
        <f t="shared" si="50"/>
        <v>300</v>
      </c>
      <c r="R461" s="83"/>
      <c r="S461" s="83"/>
      <c r="T461" s="87"/>
      <c r="U461" s="83">
        <f t="shared" si="51"/>
        <v>150</v>
      </c>
      <c r="V461" s="83">
        <f t="shared" si="52"/>
        <v>2</v>
      </c>
      <c r="W461" s="84">
        <f t="shared" si="53"/>
        <v>300</v>
      </c>
      <c r="X461" s="84" t="s">
        <v>181</v>
      </c>
      <c r="Y461" s="24" t="s">
        <v>176</v>
      </c>
    </row>
    <row r="462" spans="1:25" s="24" customFormat="1" ht="11.1" customHeight="1" x14ac:dyDescent="0.2">
      <c r="A462" s="76">
        <f t="shared" si="55"/>
        <v>460</v>
      </c>
      <c r="B462" s="77" t="s">
        <v>304</v>
      </c>
      <c r="C462" s="76" t="str">
        <f>IF($B462&lt;&gt;"",_xlfn.IFNA(VLOOKUP($B462,'Node Details'!$B:$U,C$1,0),"Check"),"")</f>
        <v>0000AXY10-AXY100104</v>
      </c>
      <c r="D462" s="76" t="str">
        <f>IF($B462&lt;&gt;"",_xlfn.IFNA(VLOOKUP($B462,'Node Details'!$B:$U,D$1,0),"Check"),"")</f>
        <v>AXY</v>
      </c>
      <c r="E462" s="76" t="str">
        <f>IF($B462&lt;&gt;"",_xlfn.IFNA(VLOOKUP($B462,'Node Details'!$B:$U,E$1,0),"Check"),"")</f>
        <v>Airtel</v>
      </c>
      <c r="F462" s="78">
        <v>46113</v>
      </c>
      <c r="G462" s="76"/>
      <c r="H462" s="9" t="s">
        <v>180</v>
      </c>
      <c r="I462" s="9">
        <v>2</v>
      </c>
      <c r="J462" s="9">
        <v>150</v>
      </c>
      <c r="K462" s="79">
        <f t="shared" si="54"/>
        <v>300</v>
      </c>
      <c r="L462" s="78">
        <v>46112</v>
      </c>
      <c r="N462" s="85"/>
      <c r="O462" s="86"/>
      <c r="P462" s="83">
        <f t="shared" si="49"/>
        <v>150</v>
      </c>
      <c r="Q462" s="83">
        <f t="shared" si="50"/>
        <v>300</v>
      </c>
      <c r="R462" s="83"/>
      <c r="S462" s="83"/>
      <c r="T462" s="87"/>
      <c r="U462" s="83">
        <f t="shared" si="51"/>
        <v>150</v>
      </c>
      <c r="V462" s="83">
        <f t="shared" si="52"/>
        <v>2</v>
      </c>
      <c r="W462" s="84">
        <f t="shared" si="53"/>
        <v>300</v>
      </c>
      <c r="X462" s="84" t="s">
        <v>181</v>
      </c>
      <c r="Y462" s="24" t="s">
        <v>176</v>
      </c>
    </row>
    <row r="463" spans="1:25" s="24" customFormat="1" ht="11.1" customHeight="1" x14ac:dyDescent="0.2">
      <c r="A463" s="76">
        <f t="shared" si="55"/>
        <v>461</v>
      </c>
      <c r="B463" s="77" t="s">
        <v>305</v>
      </c>
      <c r="C463" s="76" t="str">
        <f>IF($B463&lt;&gt;"",_xlfn.IFNA(VLOOKUP($B463,'Node Details'!$B:$U,C$1,0),"Check"),"")</f>
        <v>0000AXY10-AXY100105</v>
      </c>
      <c r="D463" s="76" t="str">
        <f>IF($B463&lt;&gt;"",_xlfn.IFNA(VLOOKUP($B463,'Node Details'!$B:$U,D$1,0),"Check"),"")</f>
        <v>AXY</v>
      </c>
      <c r="E463" s="76" t="str">
        <f>IF($B463&lt;&gt;"",_xlfn.IFNA(VLOOKUP($B463,'Node Details'!$B:$U,E$1,0),"Check"),"")</f>
        <v>Airtel</v>
      </c>
      <c r="F463" s="78">
        <v>46113</v>
      </c>
      <c r="G463" s="76"/>
      <c r="H463" s="9" t="s">
        <v>180</v>
      </c>
      <c r="I463" s="9">
        <v>2</v>
      </c>
      <c r="J463" s="9">
        <v>150</v>
      </c>
      <c r="K463" s="79">
        <f t="shared" si="54"/>
        <v>300</v>
      </c>
      <c r="L463" s="78">
        <v>46112</v>
      </c>
      <c r="N463" s="85"/>
      <c r="O463" s="86"/>
      <c r="P463" s="83">
        <f t="shared" si="49"/>
        <v>150</v>
      </c>
      <c r="Q463" s="83">
        <f t="shared" si="50"/>
        <v>300</v>
      </c>
      <c r="R463" s="83"/>
      <c r="S463" s="83"/>
      <c r="T463" s="87"/>
      <c r="U463" s="83">
        <f t="shared" si="51"/>
        <v>150</v>
      </c>
      <c r="V463" s="83">
        <f t="shared" si="52"/>
        <v>2</v>
      </c>
      <c r="W463" s="84">
        <f t="shared" si="53"/>
        <v>300</v>
      </c>
      <c r="X463" s="84" t="s">
        <v>181</v>
      </c>
      <c r="Y463" s="24" t="s">
        <v>176</v>
      </c>
    </row>
    <row r="464" spans="1:25" s="24" customFormat="1" ht="11.1" customHeight="1" x14ac:dyDescent="0.2">
      <c r="A464" s="76">
        <f t="shared" si="55"/>
        <v>462</v>
      </c>
      <c r="B464" s="77" t="s">
        <v>306</v>
      </c>
      <c r="C464" s="76" t="str">
        <f>IF($B464&lt;&gt;"",_xlfn.IFNA(VLOOKUP($B464,'Node Details'!$B:$U,C$1,0),"Check"),"")</f>
        <v>0000AXY10-AXY100105</v>
      </c>
      <c r="D464" s="76" t="str">
        <f>IF($B464&lt;&gt;"",_xlfn.IFNA(VLOOKUP($B464,'Node Details'!$B:$U,D$1,0),"Check"),"")</f>
        <v>AXY</v>
      </c>
      <c r="E464" s="76" t="str">
        <f>IF($B464&lt;&gt;"",_xlfn.IFNA(VLOOKUP($B464,'Node Details'!$B:$U,E$1,0),"Check"),"")</f>
        <v>Airtel</v>
      </c>
      <c r="F464" s="78">
        <v>46113</v>
      </c>
      <c r="G464" s="76"/>
      <c r="H464" s="9" t="s">
        <v>180</v>
      </c>
      <c r="I464" s="9">
        <v>2</v>
      </c>
      <c r="J464" s="9">
        <v>150</v>
      </c>
      <c r="K464" s="79">
        <f t="shared" si="54"/>
        <v>300</v>
      </c>
      <c r="L464" s="78">
        <v>46112</v>
      </c>
      <c r="N464" s="85"/>
      <c r="O464" s="86"/>
      <c r="P464" s="83">
        <f t="shared" si="49"/>
        <v>150</v>
      </c>
      <c r="Q464" s="83">
        <f t="shared" si="50"/>
        <v>300</v>
      </c>
      <c r="R464" s="83"/>
      <c r="S464" s="83"/>
      <c r="T464" s="87"/>
      <c r="U464" s="83">
        <f t="shared" si="51"/>
        <v>150</v>
      </c>
      <c r="V464" s="83">
        <f t="shared" si="52"/>
        <v>2</v>
      </c>
      <c r="W464" s="84">
        <f t="shared" si="53"/>
        <v>300</v>
      </c>
      <c r="X464" s="84" t="s">
        <v>181</v>
      </c>
      <c r="Y464" s="24" t="s">
        <v>176</v>
      </c>
    </row>
    <row r="465" spans="1:25" s="24" customFormat="1" ht="11.1" customHeight="1" x14ac:dyDescent="0.2">
      <c r="A465" s="76">
        <f t="shared" si="55"/>
        <v>463</v>
      </c>
      <c r="B465" s="77" t="s">
        <v>307</v>
      </c>
      <c r="C465" s="76" t="str">
        <f>IF($B465&lt;&gt;"",_xlfn.IFNA(VLOOKUP($B465,'Node Details'!$B:$U,C$1,0),"Check"),"")</f>
        <v>AXY100106-AXY100201</v>
      </c>
      <c r="D465" s="76" t="str">
        <f>IF($B465&lt;&gt;"",_xlfn.IFNA(VLOOKUP($B465,'Node Details'!$B:$U,D$1,0),"Check"),"")</f>
        <v>AXY</v>
      </c>
      <c r="E465" s="76" t="str">
        <f>IF($B465&lt;&gt;"",_xlfn.IFNA(VLOOKUP($B465,'Node Details'!$B:$U,E$1,0),"Check"),"")</f>
        <v>Airtel</v>
      </c>
      <c r="F465" s="78">
        <v>46113</v>
      </c>
      <c r="G465" s="76"/>
      <c r="H465" s="9" t="s">
        <v>180</v>
      </c>
      <c r="I465" s="9">
        <v>2</v>
      </c>
      <c r="J465" s="9">
        <v>150</v>
      </c>
      <c r="K465" s="79">
        <f t="shared" si="54"/>
        <v>300</v>
      </c>
      <c r="L465" s="78">
        <v>46112</v>
      </c>
      <c r="N465" s="85"/>
      <c r="O465" s="86"/>
      <c r="P465" s="83">
        <f t="shared" si="49"/>
        <v>150</v>
      </c>
      <c r="Q465" s="83">
        <f t="shared" si="50"/>
        <v>300</v>
      </c>
      <c r="R465" s="83"/>
      <c r="S465" s="83"/>
      <c r="T465" s="87"/>
      <c r="U465" s="83">
        <f t="shared" si="51"/>
        <v>150</v>
      </c>
      <c r="V465" s="83">
        <f t="shared" si="52"/>
        <v>2</v>
      </c>
      <c r="W465" s="84">
        <f t="shared" si="53"/>
        <v>300</v>
      </c>
      <c r="X465" s="84" t="s">
        <v>181</v>
      </c>
      <c r="Y465" s="24" t="s">
        <v>176</v>
      </c>
    </row>
    <row r="466" spans="1:25" s="24" customFormat="1" ht="11.1" customHeight="1" x14ac:dyDescent="0.2">
      <c r="A466" s="76">
        <f t="shared" si="55"/>
        <v>464</v>
      </c>
      <c r="B466" s="77" t="s">
        <v>308</v>
      </c>
      <c r="C466" s="76" t="str">
        <f>IF($B466&lt;&gt;"",_xlfn.IFNA(VLOOKUP($B466,'Node Details'!$B:$U,C$1,0),"Check"),"")</f>
        <v>AXY100106-AXY100201</v>
      </c>
      <c r="D466" s="76" t="str">
        <f>IF($B466&lt;&gt;"",_xlfn.IFNA(VLOOKUP($B466,'Node Details'!$B:$U,D$1,0),"Check"),"")</f>
        <v>AXY</v>
      </c>
      <c r="E466" s="76" t="str">
        <f>IF($B466&lt;&gt;"",_xlfn.IFNA(VLOOKUP($B466,'Node Details'!$B:$U,E$1,0),"Check"),"")</f>
        <v>Airtel</v>
      </c>
      <c r="F466" s="78">
        <v>46113</v>
      </c>
      <c r="G466" s="76"/>
      <c r="H466" s="9" t="s">
        <v>180</v>
      </c>
      <c r="I466" s="9">
        <v>2</v>
      </c>
      <c r="J466" s="9">
        <v>150</v>
      </c>
      <c r="K466" s="79">
        <f t="shared" si="54"/>
        <v>300</v>
      </c>
      <c r="L466" s="78">
        <v>46112</v>
      </c>
      <c r="N466" s="85"/>
      <c r="O466" s="86"/>
      <c r="P466" s="83">
        <f t="shared" si="49"/>
        <v>150</v>
      </c>
      <c r="Q466" s="83">
        <f t="shared" si="50"/>
        <v>300</v>
      </c>
      <c r="R466" s="83"/>
      <c r="S466" s="83"/>
      <c r="T466" s="87"/>
      <c r="U466" s="83">
        <f t="shared" si="51"/>
        <v>150</v>
      </c>
      <c r="V466" s="83">
        <f t="shared" si="52"/>
        <v>2</v>
      </c>
      <c r="W466" s="84">
        <f t="shared" si="53"/>
        <v>300</v>
      </c>
      <c r="X466" s="84" t="s">
        <v>181</v>
      </c>
      <c r="Y466" s="24" t="s">
        <v>176</v>
      </c>
    </row>
    <row r="467" spans="1:25" s="24" customFormat="1" ht="11.1" customHeight="1" x14ac:dyDescent="0.2">
      <c r="A467" s="76">
        <f t="shared" si="55"/>
        <v>465</v>
      </c>
      <c r="B467" s="77" t="s">
        <v>309</v>
      </c>
      <c r="C467" s="76" t="str">
        <f>IF($B467&lt;&gt;"",_xlfn.IFNA(VLOOKUP($B467,'Node Details'!$B:$U,C$1,0),"Check"),"")</f>
        <v>000000AXY-0000AXY12</v>
      </c>
      <c r="D467" s="76" t="str">
        <f>IF($B467&lt;&gt;"",_xlfn.IFNA(VLOOKUP($B467,'Node Details'!$B:$U,D$1,0),"Check"),"")</f>
        <v>AXY</v>
      </c>
      <c r="E467" s="76" t="str">
        <f>IF($B467&lt;&gt;"",_xlfn.IFNA(VLOOKUP($B467,'Node Details'!$B:$U,E$1,0),"Check"),"")</f>
        <v>Airtel</v>
      </c>
      <c r="F467" s="78">
        <v>46113</v>
      </c>
      <c r="G467" s="76"/>
      <c r="H467" s="9" t="s">
        <v>180</v>
      </c>
      <c r="I467" s="9">
        <v>2</v>
      </c>
      <c r="J467" s="9">
        <v>150</v>
      </c>
      <c r="K467" s="79">
        <f t="shared" si="54"/>
        <v>300</v>
      </c>
      <c r="L467" s="78">
        <v>46112</v>
      </c>
      <c r="N467" s="85"/>
      <c r="O467" s="86"/>
      <c r="P467" s="83">
        <f t="shared" si="49"/>
        <v>150</v>
      </c>
      <c r="Q467" s="83">
        <f t="shared" si="50"/>
        <v>300</v>
      </c>
      <c r="R467" s="83"/>
      <c r="S467" s="83"/>
      <c r="T467" s="87"/>
      <c r="U467" s="83">
        <f t="shared" si="51"/>
        <v>150</v>
      </c>
      <c r="V467" s="83">
        <f t="shared" si="52"/>
        <v>2</v>
      </c>
      <c r="W467" s="84">
        <f t="shared" si="53"/>
        <v>300</v>
      </c>
      <c r="X467" s="84" t="s">
        <v>181</v>
      </c>
      <c r="Y467" s="24" t="s">
        <v>176</v>
      </c>
    </row>
    <row r="468" spans="1:25" s="24" customFormat="1" ht="11.1" customHeight="1" x14ac:dyDescent="0.2">
      <c r="A468" s="76">
        <f t="shared" si="55"/>
        <v>466</v>
      </c>
      <c r="B468" s="77" t="s">
        <v>310</v>
      </c>
      <c r="C468" s="76" t="str">
        <f>IF($B468&lt;&gt;"",_xlfn.IFNA(VLOOKUP($B468,'Node Details'!$B:$U,C$1,0),"Check"),"")</f>
        <v>0000AXY11-AXY110102</v>
      </c>
      <c r="D468" s="76" t="str">
        <f>IF($B468&lt;&gt;"",_xlfn.IFNA(VLOOKUP($B468,'Node Details'!$B:$U,D$1,0),"Check"),"")</f>
        <v>AXY</v>
      </c>
      <c r="E468" s="76" t="str">
        <f>IF($B468&lt;&gt;"",_xlfn.IFNA(VLOOKUP($B468,'Node Details'!$B:$U,E$1,0),"Check"),"")</f>
        <v>Airtel</v>
      </c>
      <c r="F468" s="78">
        <v>46113</v>
      </c>
      <c r="G468" s="76"/>
      <c r="H468" s="9" t="s">
        <v>180</v>
      </c>
      <c r="I468" s="9">
        <v>2</v>
      </c>
      <c r="J468" s="9">
        <v>150</v>
      </c>
      <c r="K468" s="79">
        <f t="shared" si="54"/>
        <v>300</v>
      </c>
      <c r="L468" s="78">
        <v>46112</v>
      </c>
      <c r="N468" s="85"/>
      <c r="O468" s="86"/>
      <c r="P468" s="83">
        <f t="shared" si="49"/>
        <v>150</v>
      </c>
      <c r="Q468" s="83">
        <f t="shared" si="50"/>
        <v>300</v>
      </c>
      <c r="R468" s="83"/>
      <c r="S468" s="83"/>
      <c r="T468" s="87"/>
      <c r="U468" s="83">
        <f t="shared" si="51"/>
        <v>150</v>
      </c>
      <c r="V468" s="83">
        <f t="shared" si="52"/>
        <v>2</v>
      </c>
      <c r="W468" s="84">
        <f t="shared" si="53"/>
        <v>300</v>
      </c>
      <c r="X468" s="84" t="s">
        <v>181</v>
      </c>
      <c r="Y468" s="24" t="s">
        <v>176</v>
      </c>
    </row>
    <row r="469" spans="1:25" s="24" customFormat="1" ht="11.1" customHeight="1" x14ac:dyDescent="0.2">
      <c r="A469" s="76">
        <f t="shared" si="55"/>
        <v>467</v>
      </c>
      <c r="B469" s="77" t="s">
        <v>311</v>
      </c>
      <c r="C469" s="76" t="str">
        <f>IF($B469&lt;&gt;"",_xlfn.IFNA(VLOOKUP($B469,'Node Details'!$B:$U,C$1,0),"Check"),"")</f>
        <v>0000AXY11-AXY110102</v>
      </c>
      <c r="D469" s="76" t="str">
        <f>IF($B469&lt;&gt;"",_xlfn.IFNA(VLOOKUP($B469,'Node Details'!$B:$U,D$1,0),"Check"),"")</f>
        <v>AXY</v>
      </c>
      <c r="E469" s="76" t="str">
        <f>IF($B469&lt;&gt;"",_xlfn.IFNA(VLOOKUP($B469,'Node Details'!$B:$U,E$1,0),"Check"),"")</f>
        <v>Airtel</v>
      </c>
      <c r="F469" s="78">
        <v>46113</v>
      </c>
      <c r="G469" s="76"/>
      <c r="H469" s="9" t="s">
        <v>180</v>
      </c>
      <c r="I469" s="9">
        <v>2</v>
      </c>
      <c r="J469" s="9">
        <v>150</v>
      </c>
      <c r="K469" s="79">
        <f t="shared" si="54"/>
        <v>300</v>
      </c>
      <c r="L469" s="78">
        <v>46112</v>
      </c>
      <c r="N469" s="85"/>
      <c r="O469" s="86"/>
      <c r="P469" s="83">
        <f t="shared" si="49"/>
        <v>150</v>
      </c>
      <c r="Q469" s="83">
        <f t="shared" si="50"/>
        <v>300</v>
      </c>
      <c r="R469" s="83"/>
      <c r="S469" s="83"/>
      <c r="T469" s="87"/>
      <c r="U469" s="83">
        <f t="shared" si="51"/>
        <v>150</v>
      </c>
      <c r="V469" s="83">
        <f t="shared" si="52"/>
        <v>2</v>
      </c>
      <c r="W469" s="84">
        <f t="shared" si="53"/>
        <v>300</v>
      </c>
      <c r="X469" s="84" t="s">
        <v>181</v>
      </c>
      <c r="Y469" s="24" t="s">
        <v>176</v>
      </c>
    </row>
    <row r="470" spans="1:25" s="24" customFormat="1" ht="11.1" customHeight="1" x14ac:dyDescent="0.2">
      <c r="A470" s="76">
        <f t="shared" si="55"/>
        <v>468</v>
      </c>
      <c r="B470" s="77" t="s">
        <v>312</v>
      </c>
      <c r="C470" s="76" t="str">
        <f>IF($B470&lt;&gt;"",_xlfn.IFNA(VLOOKUP($B470,'Node Details'!$B:$U,C$1,0),"Check"),"")</f>
        <v>0000AXY11-AXY110107</v>
      </c>
      <c r="D470" s="76" t="str">
        <f>IF($B470&lt;&gt;"",_xlfn.IFNA(VLOOKUP($B470,'Node Details'!$B:$U,D$1,0),"Check"),"")</f>
        <v>AXY</v>
      </c>
      <c r="E470" s="76" t="str">
        <f>IF($B470&lt;&gt;"",_xlfn.IFNA(VLOOKUP($B470,'Node Details'!$B:$U,E$1,0),"Check"),"")</f>
        <v>Airtel</v>
      </c>
      <c r="F470" s="78">
        <v>46113</v>
      </c>
      <c r="G470" s="76"/>
      <c r="H470" s="9" t="s">
        <v>180</v>
      </c>
      <c r="I470" s="9">
        <v>2</v>
      </c>
      <c r="J470" s="9">
        <v>150</v>
      </c>
      <c r="K470" s="79">
        <f t="shared" si="54"/>
        <v>300</v>
      </c>
      <c r="L470" s="78">
        <v>46112</v>
      </c>
      <c r="N470" s="85"/>
      <c r="O470" s="86"/>
      <c r="P470" s="83">
        <f t="shared" si="49"/>
        <v>150</v>
      </c>
      <c r="Q470" s="83">
        <f t="shared" si="50"/>
        <v>300</v>
      </c>
      <c r="R470" s="83"/>
      <c r="S470" s="83"/>
      <c r="T470" s="87"/>
      <c r="U470" s="83">
        <f t="shared" si="51"/>
        <v>150</v>
      </c>
      <c r="V470" s="83">
        <f t="shared" si="52"/>
        <v>2</v>
      </c>
      <c r="W470" s="84">
        <f t="shared" si="53"/>
        <v>300</v>
      </c>
      <c r="X470" s="84" t="s">
        <v>181</v>
      </c>
      <c r="Y470" s="24" t="s">
        <v>176</v>
      </c>
    </row>
    <row r="471" spans="1:25" s="24" customFormat="1" ht="11.1" customHeight="1" x14ac:dyDescent="0.2">
      <c r="A471" s="76">
        <f t="shared" si="55"/>
        <v>469</v>
      </c>
      <c r="B471" s="77" t="s">
        <v>313</v>
      </c>
      <c r="C471" s="76" t="str">
        <f>IF($B471&lt;&gt;"",_xlfn.IFNA(VLOOKUP($B471,'Node Details'!$B:$U,C$1,0),"Check"),"")</f>
        <v>0000AXY11-AXY110107</v>
      </c>
      <c r="D471" s="76" t="str">
        <f>IF($B471&lt;&gt;"",_xlfn.IFNA(VLOOKUP($B471,'Node Details'!$B:$U,D$1,0),"Check"),"")</f>
        <v>AXY</v>
      </c>
      <c r="E471" s="76" t="str">
        <f>IF($B471&lt;&gt;"",_xlfn.IFNA(VLOOKUP($B471,'Node Details'!$B:$U,E$1,0),"Check"),"")</f>
        <v>Airtel</v>
      </c>
      <c r="F471" s="78">
        <v>46113</v>
      </c>
      <c r="G471" s="76"/>
      <c r="H471" s="9" t="s">
        <v>180</v>
      </c>
      <c r="I471" s="9">
        <v>2</v>
      </c>
      <c r="J471" s="9">
        <v>150</v>
      </c>
      <c r="K471" s="79">
        <f t="shared" si="54"/>
        <v>300</v>
      </c>
      <c r="L471" s="78">
        <v>46112</v>
      </c>
      <c r="N471" s="85"/>
      <c r="O471" s="86"/>
      <c r="P471" s="83">
        <f t="shared" si="49"/>
        <v>150</v>
      </c>
      <c r="Q471" s="83">
        <f t="shared" si="50"/>
        <v>300</v>
      </c>
      <c r="R471" s="83"/>
      <c r="S471" s="83"/>
      <c r="T471" s="87"/>
      <c r="U471" s="83">
        <f t="shared" si="51"/>
        <v>150</v>
      </c>
      <c r="V471" s="83">
        <f t="shared" si="52"/>
        <v>2</v>
      </c>
      <c r="W471" s="84">
        <f t="shared" si="53"/>
        <v>300</v>
      </c>
      <c r="X471" s="84" t="s">
        <v>181</v>
      </c>
      <c r="Y471" s="24" t="s">
        <v>176</v>
      </c>
    </row>
    <row r="472" spans="1:25" s="24" customFormat="1" ht="11.1" customHeight="1" x14ac:dyDescent="0.2">
      <c r="A472" s="76">
        <f t="shared" si="55"/>
        <v>470</v>
      </c>
      <c r="B472" s="77" t="s">
        <v>314</v>
      </c>
      <c r="C472" s="76" t="str">
        <f>IF($B472&lt;&gt;"",_xlfn.IFNA(VLOOKUP($B472,'Node Details'!$B:$U,C$1,0),"Check"),"")</f>
        <v>AXY110103-AXY110106</v>
      </c>
      <c r="D472" s="76" t="str">
        <f>IF($B472&lt;&gt;"",_xlfn.IFNA(VLOOKUP($B472,'Node Details'!$B:$U,D$1,0),"Check"),"")</f>
        <v>AXY</v>
      </c>
      <c r="E472" s="76" t="str">
        <f>IF($B472&lt;&gt;"",_xlfn.IFNA(VLOOKUP($B472,'Node Details'!$B:$U,E$1,0),"Check"),"")</f>
        <v>Airtel</v>
      </c>
      <c r="F472" s="78">
        <v>46113</v>
      </c>
      <c r="G472" s="76"/>
      <c r="H472" s="9" t="s">
        <v>180</v>
      </c>
      <c r="I472" s="9">
        <v>2</v>
      </c>
      <c r="J472" s="9">
        <v>150</v>
      </c>
      <c r="K472" s="79">
        <f t="shared" si="54"/>
        <v>300</v>
      </c>
      <c r="L472" s="78">
        <v>46112</v>
      </c>
      <c r="N472" s="85"/>
      <c r="O472" s="86"/>
      <c r="P472" s="83">
        <f t="shared" si="49"/>
        <v>150</v>
      </c>
      <c r="Q472" s="83">
        <f t="shared" si="50"/>
        <v>300</v>
      </c>
      <c r="R472" s="83"/>
      <c r="S472" s="83"/>
      <c r="T472" s="87"/>
      <c r="U472" s="83">
        <f t="shared" si="51"/>
        <v>150</v>
      </c>
      <c r="V472" s="83">
        <f t="shared" si="52"/>
        <v>2</v>
      </c>
      <c r="W472" s="84">
        <f t="shared" si="53"/>
        <v>300</v>
      </c>
      <c r="X472" s="84" t="s">
        <v>181</v>
      </c>
      <c r="Y472" s="24" t="s">
        <v>176</v>
      </c>
    </row>
    <row r="473" spans="1:25" s="24" customFormat="1" ht="11.1" customHeight="1" x14ac:dyDescent="0.2">
      <c r="A473" s="76">
        <f t="shared" si="55"/>
        <v>471</v>
      </c>
      <c r="B473" s="77" t="s">
        <v>315</v>
      </c>
      <c r="C473" s="76" t="str">
        <f>IF($B473&lt;&gt;"",_xlfn.IFNA(VLOOKUP($B473,'Node Details'!$B:$U,C$1,0),"Check"),"")</f>
        <v>AXY110103-AXY110106</v>
      </c>
      <c r="D473" s="76" t="str">
        <f>IF($B473&lt;&gt;"",_xlfn.IFNA(VLOOKUP($B473,'Node Details'!$B:$U,D$1,0),"Check"),"")</f>
        <v>AXY</v>
      </c>
      <c r="E473" s="76" t="str">
        <f>IF($B473&lt;&gt;"",_xlfn.IFNA(VLOOKUP($B473,'Node Details'!$B:$U,E$1,0),"Check"),"")</f>
        <v>Airtel</v>
      </c>
      <c r="F473" s="78">
        <v>46113</v>
      </c>
      <c r="G473" s="76"/>
      <c r="H473" s="9" t="s">
        <v>180</v>
      </c>
      <c r="I473" s="9">
        <v>2</v>
      </c>
      <c r="J473" s="9">
        <v>150</v>
      </c>
      <c r="K473" s="79">
        <f t="shared" si="54"/>
        <v>300</v>
      </c>
      <c r="L473" s="78">
        <v>46112</v>
      </c>
      <c r="N473" s="85"/>
      <c r="O473" s="86"/>
      <c r="P473" s="83">
        <f t="shared" si="49"/>
        <v>150</v>
      </c>
      <c r="Q473" s="83">
        <f t="shared" si="50"/>
        <v>300</v>
      </c>
      <c r="R473" s="83"/>
      <c r="S473" s="83"/>
      <c r="T473" s="87"/>
      <c r="U473" s="83">
        <f t="shared" si="51"/>
        <v>150</v>
      </c>
      <c r="V473" s="83">
        <f t="shared" si="52"/>
        <v>2</v>
      </c>
      <c r="W473" s="84">
        <f t="shared" si="53"/>
        <v>300</v>
      </c>
      <c r="X473" s="84" t="s">
        <v>181</v>
      </c>
      <c r="Y473" s="24" t="s">
        <v>176</v>
      </c>
    </row>
    <row r="474" spans="1:25" s="24" customFormat="1" ht="11.1" customHeight="1" x14ac:dyDescent="0.2">
      <c r="A474" s="76">
        <f t="shared" si="55"/>
        <v>472</v>
      </c>
      <c r="B474" s="77" t="s">
        <v>316</v>
      </c>
      <c r="C474" s="76" t="str">
        <f>IF($B474&lt;&gt;"",_xlfn.IFNA(VLOOKUP($B474,'Node Details'!$B:$U,C$1,0),"Check"),"")</f>
        <v>AXY110107-AXY110202</v>
      </c>
      <c r="D474" s="76" t="str">
        <f>IF($B474&lt;&gt;"",_xlfn.IFNA(VLOOKUP($B474,'Node Details'!$B:$U,D$1,0),"Check"),"")</f>
        <v>AXY</v>
      </c>
      <c r="E474" s="76" t="str">
        <f>IF($B474&lt;&gt;"",_xlfn.IFNA(VLOOKUP($B474,'Node Details'!$B:$U,E$1,0),"Check"),"")</f>
        <v>Airtel</v>
      </c>
      <c r="F474" s="78">
        <v>46113</v>
      </c>
      <c r="G474" s="76"/>
      <c r="H474" s="9" t="s">
        <v>180</v>
      </c>
      <c r="I474" s="9">
        <v>2</v>
      </c>
      <c r="J474" s="9">
        <v>150</v>
      </c>
      <c r="K474" s="79">
        <f t="shared" si="54"/>
        <v>300</v>
      </c>
      <c r="L474" s="78">
        <v>46112</v>
      </c>
      <c r="N474" s="85"/>
      <c r="O474" s="86"/>
      <c r="P474" s="83">
        <f t="shared" si="49"/>
        <v>150</v>
      </c>
      <c r="Q474" s="83">
        <f t="shared" si="50"/>
        <v>300</v>
      </c>
      <c r="R474" s="83"/>
      <c r="S474" s="83"/>
      <c r="T474" s="87"/>
      <c r="U474" s="83">
        <f t="shared" si="51"/>
        <v>150</v>
      </c>
      <c r="V474" s="83">
        <f t="shared" si="52"/>
        <v>2</v>
      </c>
      <c r="W474" s="84">
        <f t="shared" si="53"/>
        <v>300</v>
      </c>
      <c r="X474" s="84" t="s">
        <v>181</v>
      </c>
      <c r="Y474" s="24" t="s">
        <v>176</v>
      </c>
    </row>
    <row r="475" spans="1:25" s="24" customFormat="1" ht="11.1" customHeight="1" x14ac:dyDescent="0.2">
      <c r="A475" s="76">
        <f t="shared" si="55"/>
        <v>473</v>
      </c>
      <c r="B475" s="77" t="s">
        <v>317</v>
      </c>
      <c r="C475" s="76" t="str">
        <f>IF($B475&lt;&gt;"",_xlfn.IFNA(VLOOKUP($B475,'Node Details'!$B:$U,C$1,0),"Check"),"")</f>
        <v>AXY110107-AXY110202</v>
      </c>
      <c r="D475" s="76" t="str">
        <f>IF($B475&lt;&gt;"",_xlfn.IFNA(VLOOKUP($B475,'Node Details'!$B:$U,D$1,0),"Check"),"")</f>
        <v>AXY</v>
      </c>
      <c r="E475" s="76" t="str">
        <f>IF($B475&lt;&gt;"",_xlfn.IFNA(VLOOKUP($B475,'Node Details'!$B:$U,E$1,0),"Check"),"")</f>
        <v>Airtel</v>
      </c>
      <c r="F475" s="78">
        <v>46113</v>
      </c>
      <c r="G475" s="76"/>
      <c r="H475" s="9" t="s">
        <v>180</v>
      </c>
      <c r="I475" s="9">
        <v>2</v>
      </c>
      <c r="J475" s="9">
        <v>150</v>
      </c>
      <c r="K475" s="79">
        <f t="shared" si="54"/>
        <v>300</v>
      </c>
      <c r="L475" s="78">
        <v>46112</v>
      </c>
      <c r="N475" s="85"/>
      <c r="O475" s="86"/>
      <c r="P475" s="83">
        <f t="shared" si="49"/>
        <v>150</v>
      </c>
      <c r="Q475" s="83">
        <f t="shared" si="50"/>
        <v>300</v>
      </c>
      <c r="R475" s="83"/>
      <c r="S475" s="83"/>
      <c r="T475" s="87"/>
      <c r="U475" s="83">
        <f t="shared" si="51"/>
        <v>150</v>
      </c>
      <c r="V475" s="83">
        <f t="shared" si="52"/>
        <v>2</v>
      </c>
      <c r="W475" s="84">
        <f t="shared" si="53"/>
        <v>300</v>
      </c>
      <c r="X475" s="84" t="s">
        <v>181</v>
      </c>
      <c r="Y475" s="24" t="s">
        <v>176</v>
      </c>
    </row>
    <row r="476" spans="1:25" s="24" customFormat="1" ht="11.1" customHeight="1" x14ac:dyDescent="0.2">
      <c r="A476" s="76">
        <f t="shared" si="55"/>
        <v>474</v>
      </c>
      <c r="B476" s="77" t="s">
        <v>318</v>
      </c>
      <c r="C476" s="76" t="str">
        <f>IF($B476&lt;&gt;"",_xlfn.IFNA(VLOOKUP($B476,'Node Details'!$B:$U,C$1,0),"Check"),"")</f>
        <v>AXY110108-AXY110201</v>
      </c>
      <c r="D476" s="76" t="str">
        <f>IF($B476&lt;&gt;"",_xlfn.IFNA(VLOOKUP($B476,'Node Details'!$B:$U,D$1,0),"Check"),"")</f>
        <v>AXY</v>
      </c>
      <c r="E476" s="76" t="str">
        <f>IF($B476&lt;&gt;"",_xlfn.IFNA(VLOOKUP($B476,'Node Details'!$B:$U,E$1,0),"Check"),"")</f>
        <v>Airtel</v>
      </c>
      <c r="F476" s="78">
        <v>46113</v>
      </c>
      <c r="G476" s="76"/>
      <c r="H476" s="9" t="s">
        <v>180</v>
      </c>
      <c r="I476" s="9">
        <v>2</v>
      </c>
      <c r="J476" s="9">
        <v>150</v>
      </c>
      <c r="K476" s="79">
        <f t="shared" si="54"/>
        <v>300</v>
      </c>
      <c r="L476" s="78">
        <v>46112</v>
      </c>
      <c r="N476" s="85"/>
      <c r="O476" s="86"/>
      <c r="P476" s="83">
        <f t="shared" si="49"/>
        <v>150</v>
      </c>
      <c r="Q476" s="83">
        <f t="shared" si="50"/>
        <v>300</v>
      </c>
      <c r="R476" s="83"/>
      <c r="S476" s="83"/>
      <c r="T476" s="87"/>
      <c r="U476" s="83">
        <f t="shared" si="51"/>
        <v>150</v>
      </c>
      <c r="V476" s="83">
        <f t="shared" si="52"/>
        <v>2</v>
      </c>
      <c r="W476" s="84">
        <f t="shared" si="53"/>
        <v>300</v>
      </c>
      <c r="X476" s="84" t="s">
        <v>181</v>
      </c>
      <c r="Y476" s="24" t="s">
        <v>176</v>
      </c>
    </row>
    <row r="477" spans="1:25" s="24" customFormat="1" ht="11.1" customHeight="1" x14ac:dyDescent="0.2">
      <c r="A477" s="76">
        <f t="shared" si="55"/>
        <v>475</v>
      </c>
      <c r="B477" s="77" t="s">
        <v>319</v>
      </c>
      <c r="C477" s="76" t="str">
        <f>IF($B477&lt;&gt;"",_xlfn.IFNA(VLOOKUP($B477,'Node Details'!$B:$U,C$1,0),"Check"),"")</f>
        <v>000000AXY-0000AXY12</v>
      </c>
      <c r="D477" s="76" t="str">
        <f>IF($B477&lt;&gt;"",_xlfn.IFNA(VLOOKUP($B477,'Node Details'!$B:$U,D$1,0),"Check"),"")</f>
        <v>AXY</v>
      </c>
      <c r="E477" s="76" t="str">
        <f>IF($B477&lt;&gt;"",_xlfn.IFNA(VLOOKUP($B477,'Node Details'!$B:$U,E$1,0),"Check"),"")</f>
        <v>Airtel</v>
      </c>
      <c r="F477" s="78">
        <v>46113</v>
      </c>
      <c r="G477" s="76"/>
      <c r="H477" s="9" t="s">
        <v>180</v>
      </c>
      <c r="I477" s="9">
        <v>2</v>
      </c>
      <c r="J477" s="9">
        <v>150</v>
      </c>
      <c r="K477" s="79">
        <f t="shared" si="54"/>
        <v>300</v>
      </c>
      <c r="L477" s="78">
        <v>46112</v>
      </c>
      <c r="N477" s="85"/>
      <c r="O477" s="86"/>
      <c r="P477" s="83">
        <f t="shared" si="49"/>
        <v>150</v>
      </c>
      <c r="Q477" s="83">
        <f t="shared" si="50"/>
        <v>300</v>
      </c>
      <c r="R477" s="83"/>
      <c r="S477" s="83"/>
      <c r="T477" s="87"/>
      <c r="U477" s="83">
        <f t="shared" si="51"/>
        <v>150</v>
      </c>
      <c r="V477" s="83">
        <f t="shared" si="52"/>
        <v>2</v>
      </c>
      <c r="W477" s="84">
        <f t="shared" si="53"/>
        <v>300</v>
      </c>
      <c r="X477" s="84" t="s">
        <v>181</v>
      </c>
      <c r="Y477" s="24" t="s">
        <v>176</v>
      </c>
    </row>
    <row r="478" spans="1:25" s="24" customFormat="1" ht="11.1" customHeight="1" x14ac:dyDescent="0.2">
      <c r="A478" s="76">
        <f t="shared" si="55"/>
        <v>476</v>
      </c>
      <c r="B478" s="77" t="s">
        <v>320</v>
      </c>
      <c r="C478" s="76" t="str">
        <f>IF($B478&lt;&gt;"",_xlfn.IFNA(VLOOKUP($B478,'Node Details'!$B:$U,C$1,0),"Check"),"")</f>
        <v>0000AXY12-AXY120101</v>
      </c>
      <c r="D478" s="76" t="str">
        <f>IF($B478&lt;&gt;"",_xlfn.IFNA(VLOOKUP($B478,'Node Details'!$B:$U,D$1,0),"Check"),"")</f>
        <v>AXY</v>
      </c>
      <c r="E478" s="76" t="str">
        <f>IF($B478&lt;&gt;"",_xlfn.IFNA(VLOOKUP($B478,'Node Details'!$B:$U,E$1,0),"Check"),"")</f>
        <v>Airtel</v>
      </c>
      <c r="F478" s="78">
        <v>46113</v>
      </c>
      <c r="G478" s="76"/>
      <c r="H478" s="9" t="s">
        <v>180</v>
      </c>
      <c r="I478" s="9">
        <v>2</v>
      </c>
      <c r="J478" s="9">
        <v>150</v>
      </c>
      <c r="K478" s="79">
        <f t="shared" si="54"/>
        <v>300</v>
      </c>
      <c r="L478" s="78">
        <v>46112</v>
      </c>
      <c r="N478" s="85"/>
      <c r="O478" s="86"/>
      <c r="P478" s="83">
        <f t="shared" si="49"/>
        <v>150</v>
      </c>
      <c r="Q478" s="83">
        <f t="shared" si="50"/>
        <v>300</v>
      </c>
      <c r="R478" s="83"/>
      <c r="S478" s="83"/>
      <c r="T478" s="87"/>
      <c r="U478" s="83">
        <f t="shared" si="51"/>
        <v>150</v>
      </c>
      <c r="V478" s="83">
        <f t="shared" si="52"/>
        <v>2</v>
      </c>
      <c r="W478" s="84">
        <f t="shared" si="53"/>
        <v>300</v>
      </c>
      <c r="X478" s="84" t="s">
        <v>181</v>
      </c>
      <c r="Y478" s="24" t="s">
        <v>176</v>
      </c>
    </row>
    <row r="479" spans="1:25" s="24" customFormat="1" ht="11.1" customHeight="1" x14ac:dyDescent="0.2">
      <c r="A479" s="76">
        <f t="shared" si="55"/>
        <v>477</v>
      </c>
      <c r="B479" s="77" t="s">
        <v>321</v>
      </c>
      <c r="C479" s="76" t="str">
        <f>IF($B479&lt;&gt;"",_xlfn.IFNA(VLOOKUP($B479,'Node Details'!$B:$U,C$1,0),"Check"),"")</f>
        <v>0000AXY12-AXY120102</v>
      </c>
      <c r="D479" s="76" t="str">
        <f>IF($B479&lt;&gt;"",_xlfn.IFNA(VLOOKUP($B479,'Node Details'!$B:$U,D$1,0),"Check"),"")</f>
        <v>AXY</v>
      </c>
      <c r="E479" s="76" t="str">
        <f>IF($B479&lt;&gt;"",_xlfn.IFNA(VLOOKUP($B479,'Node Details'!$B:$U,E$1,0),"Check"),"")</f>
        <v>Airtel</v>
      </c>
      <c r="F479" s="78">
        <v>46113</v>
      </c>
      <c r="G479" s="76"/>
      <c r="H479" s="9" t="s">
        <v>180</v>
      </c>
      <c r="I479" s="9">
        <v>2</v>
      </c>
      <c r="J479" s="9">
        <v>150</v>
      </c>
      <c r="K479" s="79">
        <f t="shared" si="54"/>
        <v>300</v>
      </c>
      <c r="L479" s="78">
        <v>46112</v>
      </c>
      <c r="N479" s="85"/>
      <c r="O479" s="86"/>
      <c r="P479" s="83">
        <f t="shared" si="49"/>
        <v>150</v>
      </c>
      <c r="Q479" s="83">
        <f t="shared" si="50"/>
        <v>300</v>
      </c>
      <c r="R479" s="83"/>
      <c r="S479" s="83"/>
      <c r="T479" s="87"/>
      <c r="U479" s="83">
        <f t="shared" si="51"/>
        <v>150</v>
      </c>
      <c r="V479" s="83">
        <f t="shared" si="52"/>
        <v>2</v>
      </c>
      <c r="W479" s="84">
        <f t="shared" si="53"/>
        <v>300</v>
      </c>
      <c r="X479" s="84" t="s">
        <v>181</v>
      </c>
      <c r="Y479" s="24" t="s">
        <v>176</v>
      </c>
    </row>
    <row r="480" spans="1:25" s="24" customFormat="1" ht="11.1" customHeight="1" x14ac:dyDescent="0.2">
      <c r="A480" s="76">
        <f t="shared" si="55"/>
        <v>478</v>
      </c>
      <c r="B480" s="77" t="s">
        <v>322</v>
      </c>
      <c r="C480" s="76" t="str">
        <f>IF($B480&lt;&gt;"",_xlfn.IFNA(VLOOKUP($B480,'Node Details'!$B:$U,C$1,0),"Check"),"")</f>
        <v>0000AXY12-AXY120105</v>
      </c>
      <c r="D480" s="76" t="str">
        <f>IF($B480&lt;&gt;"",_xlfn.IFNA(VLOOKUP($B480,'Node Details'!$B:$U,D$1,0),"Check"),"")</f>
        <v>AXY</v>
      </c>
      <c r="E480" s="76" t="str">
        <f>IF($B480&lt;&gt;"",_xlfn.IFNA(VLOOKUP($B480,'Node Details'!$B:$U,E$1,0),"Check"),"")</f>
        <v>Airtel</v>
      </c>
      <c r="F480" s="78">
        <v>46113</v>
      </c>
      <c r="G480" s="76"/>
      <c r="H480" s="9" t="s">
        <v>180</v>
      </c>
      <c r="I480" s="9">
        <v>2</v>
      </c>
      <c r="J480" s="9">
        <v>150</v>
      </c>
      <c r="K480" s="79">
        <f t="shared" si="54"/>
        <v>300</v>
      </c>
      <c r="L480" s="78">
        <v>46112</v>
      </c>
      <c r="N480" s="85"/>
      <c r="O480" s="86"/>
      <c r="P480" s="83">
        <f t="shared" si="49"/>
        <v>150</v>
      </c>
      <c r="Q480" s="83">
        <f t="shared" si="50"/>
        <v>300</v>
      </c>
      <c r="R480" s="83"/>
      <c r="S480" s="83"/>
      <c r="T480" s="87"/>
      <c r="U480" s="83">
        <f t="shared" si="51"/>
        <v>150</v>
      </c>
      <c r="V480" s="83">
        <f t="shared" si="52"/>
        <v>2</v>
      </c>
      <c r="W480" s="84">
        <f t="shared" si="53"/>
        <v>300</v>
      </c>
      <c r="X480" s="84" t="s">
        <v>181</v>
      </c>
      <c r="Y480" s="24" t="s">
        <v>176</v>
      </c>
    </row>
    <row r="481" spans="1:25" s="24" customFormat="1" ht="11.1" customHeight="1" x14ac:dyDescent="0.2">
      <c r="A481" s="76">
        <f t="shared" si="55"/>
        <v>479</v>
      </c>
      <c r="B481" s="77" t="s">
        <v>323</v>
      </c>
      <c r="C481" s="76" t="str">
        <f>IF($B481&lt;&gt;"",_xlfn.IFNA(VLOOKUP($B481,'Node Details'!$B:$U,C$1,0),"Check"),"")</f>
        <v>0000AXY12-AXY120105</v>
      </c>
      <c r="D481" s="76" t="str">
        <f>IF($B481&lt;&gt;"",_xlfn.IFNA(VLOOKUP($B481,'Node Details'!$B:$U,D$1,0),"Check"),"")</f>
        <v>AXY</v>
      </c>
      <c r="E481" s="76" t="str">
        <f>IF($B481&lt;&gt;"",_xlfn.IFNA(VLOOKUP($B481,'Node Details'!$B:$U,E$1,0),"Check"),"")</f>
        <v>Airtel</v>
      </c>
      <c r="F481" s="78">
        <v>46113</v>
      </c>
      <c r="G481" s="76"/>
      <c r="H481" s="9" t="s">
        <v>180</v>
      </c>
      <c r="I481" s="9">
        <v>2</v>
      </c>
      <c r="J481" s="9">
        <v>150</v>
      </c>
      <c r="K481" s="79">
        <f t="shared" si="54"/>
        <v>300</v>
      </c>
      <c r="L481" s="78">
        <v>46112</v>
      </c>
      <c r="N481" s="85"/>
      <c r="O481" s="86"/>
      <c r="P481" s="83">
        <f t="shared" si="49"/>
        <v>150</v>
      </c>
      <c r="Q481" s="83">
        <f t="shared" si="50"/>
        <v>300</v>
      </c>
      <c r="R481" s="83"/>
      <c r="S481" s="83"/>
      <c r="T481" s="87"/>
      <c r="U481" s="83">
        <f t="shared" si="51"/>
        <v>150</v>
      </c>
      <c r="V481" s="83">
        <f t="shared" si="52"/>
        <v>2</v>
      </c>
      <c r="W481" s="84">
        <f t="shared" si="53"/>
        <v>300</v>
      </c>
      <c r="X481" s="84" t="s">
        <v>181</v>
      </c>
      <c r="Y481" s="24" t="s">
        <v>176</v>
      </c>
    </row>
    <row r="482" spans="1:25" s="24" customFormat="1" ht="11.1" customHeight="1" x14ac:dyDescent="0.2">
      <c r="A482" s="76">
        <f t="shared" si="55"/>
        <v>480</v>
      </c>
      <c r="B482" s="77" t="s">
        <v>324</v>
      </c>
      <c r="C482" s="76" t="str">
        <f>IF($B482&lt;&gt;"",_xlfn.IFNA(VLOOKUP($B482,'Node Details'!$B:$U,C$1,0),"Check"),"")</f>
        <v>000000AXY-0000AXY17</v>
      </c>
      <c r="D482" s="76" t="str">
        <f>IF($B482&lt;&gt;"",_xlfn.IFNA(VLOOKUP($B482,'Node Details'!$B:$U,D$1,0),"Check"),"")</f>
        <v>AXY</v>
      </c>
      <c r="E482" s="76" t="str">
        <f>IF($B482&lt;&gt;"",_xlfn.IFNA(VLOOKUP($B482,'Node Details'!$B:$U,E$1,0),"Check"),"")</f>
        <v>Airtel</v>
      </c>
      <c r="F482" s="78">
        <v>46113</v>
      </c>
      <c r="G482" s="76"/>
      <c r="H482" s="9" t="s">
        <v>180</v>
      </c>
      <c r="I482" s="9">
        <v>2</v>
      </c>
      <c r="J482" s="9">
        <v>150</v>
      </c>
      <c r="K482" s="79">
        <f t="shared" si="54"/>
        <v>300</v>
      </c>
      <c r="L482" s="78">
        <v>46112</v>
      </c>
      <c r="N482" s="85"/>
      <c r="O482" s="86"/>
      <c r="P482" s="83">
        <f t="shared" si="49"/>
        <v>150</v>
      </c>
      <c r="Q482" s="83">
        <f t="shared" si="50"/>
        <v>300</v>
      </c>
      <c r="R482" s="83"/>
      <c r="S482" s="83"/>
      <c r="T482" s="87"/>
      <c r="U482" s="83">
        <f t="shared" si="51"/>
        <v>150</v>
      </c>
      <c r="V482" s="83">
        <f t="shared" si="52"/>
        <v>2</v>
      </c>
      <c r="W482" s="84">
        <f t="shared" si="53"/>
        <v>300</v>
      </c>
      <c r="X482" s="84" t="s">
        <v>181</v>
      </c>
      <c r="Y482" s="24" t="s">
        <v>176</v>
      </c>
    </row>
    <row r="483" spans="1:25" s="24" customFormat="1" ht="11.1" customHeight="1" x14ac:dyDescent="0.2">
      <c r="A483" s="76">
        <f t="shared" si="55"/>
        <v>481</v>
      </c>
      <c r="B483" s="77" t="s">
        <v>325</v>
      </c>
      <c r="C483" s="76" t="str">
        <f>IF($B483&lt;&gt;"",_xlfn.IFNA(VLOOKUP($B483,'Node Details'!$B:$U,C$1,0),"Check"),"")</f>
        <v>0000AXY13-AXY130101</v>
      </c>
      <c r="D483" s="76" t="str">
        <f>IF($B483&lt;&gt;"",_xlfn.IFNA(VLOOKUP($B483,'Node Details'!$B:$U,D$1,0),"Check"),"")</f>
        <v>AXY</v>
      </c>
      <c r="E483" s="76" t="str">
        <f>IF($B483&lt;&gt;"",_xlfn.IFNA(VLOOKUP($B483,'Node Details'!$B:$U,E$1,0),"Check"),"")</f>
        <v>Airtel</v>
      </c>
      <c r="F483" s="78">
        <v>46113</v>
      </c>
      <c r="G483" s="76"/>
      <c r="H483" s="9" t="s">
        <v>180</v>
      </c>
      <c r="I483" s="9">
        <v>2</v>
      </c>
      <c r="J483" s="9">
        <v>150</v>
      </c>
      <c r="K483" s="79">
        <f t="shared" si="54"/>
        <v>300</v>
      </c>
      <c r="L483" s="78">
        <v>46112</v>
      </c>
      <c r="N483" s="85"/>
      <c r="O483" s="86"/>
      <c r="P483" s="83">
        <f t="shared" si="49"/>
        <v>150</v>
      </c>
      <c r="Q483" s="83">
        <f t="shared" si="50"/>
        <v>300</v>
      </c>
      <c r="R483" s="83"/>
      <c r="S483" s="83"/>
      <c r="T483" s="87"/>
      <c r="U483" s="83">
        <f t="shared" si="51"/>
        <v>150</v>
      </c>
      <c r="V483" s="83">
        <f t="shared" si="52"/>
        <v>2</v>
      </c>
      <c r="W483" s="84">
        <f t="shared" si="53"/>
        <v>300</v>
      </c>
      <c r="X483" s="84" t="s">
        <v>181</v>
      </c>
      <c r="Y483" s="24" t="s">
        <v>176</v>
      </c>
    </row>
    <row r="484" spans="1:25" s="24" customFormat="1" ht="11.1" customHeight="1" x14ac:dyDescent="0.2">
      <c r="A484" s="76">
        <f t="shared" si="55"/>
        <v>482</v>
      </c>
      <c r="B484" s="77" t="s">
        <v>326</v>
      </c>
      <c r="C484" s="76" t="str">
        <f>IF($B484&lt;&gt;"",_xlfn.IFNA(VLOOKUP($B484,'Node Details'!$B:$U,C$1,0),"Check"),"")</f>
        <v>0000AXY13-AXY130104</v>
      </c>
      <c r="D484" s="76" t="str">
        <f>IF($B484&lt;&gt;"",_xlfn.IFNA(VLOOKUP($B484,'Node Details'!$B:$U,D$1,0),"Check"),"")</f>
        <v>AXY</v>
      </c>
      <c r="E484" s="76" t="str">
        <f>IF($B484&lt;&gt;"",_xlfn.IFNA(VLOOKUP($B484,'Node Details'!$B:$U,E$1,0),"Check"),"")</f>
        <v>Airtel</v>
      </c>
      <c r="F484" s="78">
        <v>46113</v>
      </c>
      <c r="G484" s="76"/>
      <c r="H484" s="9" t="s">
        <v>180</v>
      </c>
      <c r="I484" s="9">
        <v>2</v>
      </c>
      <c r="J484" s="9">
        <v>150</v>
      </c>
      <c r="K484" s="79">
        <f t="shared" si="54"/>
        <v>300</v>
      </c>
      <c r="L484" s="78">
        <v>46112</v>
      </c>
      <c r="N484" s="85"/>
      <c r="O484" s="86"/>
      <c r="P484" s="83">
        <f t="shared" si="49"/>
        <v>150</v>
      </c>
      <c r="Q484" s="83">
        <f t="shared" si="50"/>
        <v>300</v>
      </c>
      <c r="R484" s="83"/>
      <c r="S484" s="83"/>
      <c r="T484" s="87"/>
      <c r="U484" s="83">
        <f t="shared" si="51"/>
        <v>150</v>
      </c>
      <c r="V484" s="83">
        <f t="shared" si="52"/>
        <v>2</v>
      </c>
      <c r="W484" s="84">
        <f t="shared" si="53"/>
        <v>300</v>
      </c>
      <c r="X484" s="84" t="s">
        <v>181</v>
      </c>
      <c r="Y484" s="24" t="s">
        <v>176</v>
      </c>
    </row>
    <row r="485" spans="1:25" s="24" customFormat="1" ht="11.1" customHeight="1" x14ac:dyDescent="0.2">
      <c r="A485" s="76">
        <f t="shared" si="55"/>
        <v>483</v>
      </c>
      <c r="B485" s="77" t="s">
        <v>327</v>
      </c>
      <c r="C485" s="76" t="str">
        <f>IF($B485&lt;&gt;"",_xlfn.IFNA(VLOOKUP($B485,'Node Details'!$B:$U,C$1,0),"Check"),"")</f>
        <v>0000AXY13-AXY130104</v>
      </c>
      <c r="D485" s="76" t="str">
        <f>IF($B485&lt;&gt;"",_xlfn.IFNA(VLOOKUP($B485,'Node Details'!$B:$U,D$1,0),"Check"),"")</f>
        <v>AXY</v>
      </c>
      <c r="E485" s="76" t="str">
        <f>IF($B485&lt;&gt;"",_xlfn.IFNA(VLOOKUP($B485,'Node Details'!$B:$U,E$1,0),"Check"),"")</f>
        <v>Airtel</v>
      </c>
      <c r="F485" s="78">
        <v>46113</v>
      </c>
      <c r="G485" s="76"/>
      <c r="H485" s="9" t="s">
        <v>180</v>
      </c>
      <c r="I485" s="9">
        <v>2</v>
      </c>
      <c r="J485" s="9">
        <v>150</v>
      </c>
      <c r="K485" s="79">
        <f t="shared" si="54"/>
        <v>300</v>
      </c>
      <c r="L485" s="78">
        <v>46112</v>
      </c>
      <c r="N485" s="85"/>
      <c r="O485" s="86"/>
      <c r="P485" s="83">
        <f t="shared" si="49"/>
        <v>150</v>
      </c>
      <c r="Q485" s="83">
        <f t="shared" si="50"/>
        <v>300</v>
      </c>
      <c r="R485" s="83"/>
      <c r="S485" s="83"/>
      <c r="T485" s="87"/>
      <c r="U485" s="83">
        <f t="shared" si="51"/>
        <v>150</v>
      </c>
      <c r="V485" s="83">
        <f t="shared" si="52"/>
        <v>2</v>
      </c>
      <c r="W485" s="84">
        <f t="shared" si="53"/>
        <v>300</v>
      </c>
      <c r="X485" s="84" t="s">
        <v>181</v>
      </c>
      <c r="Y485" s="24" t="s">
        <v>176</v>
      </c>
    </row>
    <row r="486" spans="1:25" s="24" customFormat="1" ht="11.1" customHeight="1" x14ac:dyDescent="0.2">
      <c r="A486" s="76">
        <f t="shared" si="55"/>
        <v>484</v>
      </c>
      <c r="B486" s="77" t="s">
        <v>328</v>
      </c>
      <c r="C486" s="76" t="str">
        <f>IF($B486&lt;&gt;"",_xlfn.IFNA(VLOOKUP($B486,'Node Details'!$B:$U,C$1,0),"Check"),"")</f>
        <v>0000AXY13-AXY130104</v>
      </c>
      <c r="D486" s="76" t="str">
        <f>IF($B486&lt;&gt;"",_xlfn.IFNA(VLOOKUP($B486,'Node Details'!$B:$U,D$1,0),"Check"),"")</f>
        <v>AXY</v>
      </c>
      <c r="E486" s="76" t="str">
        <f>IF($B486&lt;&gt;"",_xlfn.IFNA(VLOOKUP($B486,'Node Details'!$B:$U,E$1,0),"Check"),"")</f>
        <v>Airtel</v>
      </c>
      <c r="F486" s="78">
        <v>46113</v>
      </c>
      <c r="G486" s="76"/>
      <c r="H486" s="9" t="s">
        <v>180</v>
      </c>
      <c r="I486" s="9">
        <v>2</v>
      </c>
      <c r="J486" s="9">
        <v>150</v>
      </c>
      <c r="K486" s="79">
        <f t="shared" si="54"/>
        <v>300</v>
      </c>
      <c r="L486" s="78">
        <v>46112</v>
      </c>
      <c r="N486" s="85"/>
      <c r="O486" s="86"/>
      <c r="P486" s="83">
        <f t="shared" si="49"/>
        <v>150</v>
      </c>
      <c r="Q486" s="83">
        <f t="shared" si="50"/>
        <v>300</v>
      </c>
      <c r="R486" s="83"/>
      <c r="S486" s="83"/>
      <c r="T486" s="87"/>
      <c r="U486" s="83">
        <f t="shared" si="51"/>
        <v>150</v>
      </c>
      <c r="V486" s="83">
        <f t="shared" si="52"/>
        <v>2</v>
      </c>
      <c r="W486" s="84">
        <f t="shared" si="53"/>
        <v>300</v>
      </c>
      <c r="X486" s="84" t="s">
        <v>181</v>
      </c>
      <c r="Y486" s="24" t="s">
        <v>176</v>
      </c>
    </row>
    <row r="487" spans="1:25" s="24" customFormat="1" ht="11.1" customHeight="1" x14ac:dyDescent="0.2">
      <c r="A487" s="76">
        <f t="shared" si="55"/>
        <v>485</v>
      </c>
      <c r="B487" s="77" t="s">
        <v>329</v>
      </c>
      <c r="C487" s="76" t="str">
        <f>IF($B487&lt;&gt;"",_xlfn.IFNA(VLOOKUP($B487,'Node Details'!$B:$U,C$1,0),"Check"),"")</f>
        <v>0000AXY13-AXY130108</v>
      </c>
      <c r="D487" s="76" t="str">
        <f>IF($B487&lt;&gt;"",_xlfn.IFNA(VLOOKUP($B487,'Node Details'!$B:$U,D$1,0),"Check"),"")</f>
        <v>AXY</v>
      </c>
      <c r="E487" s="76" t="str">
        <f>IF($B487&lt;&gt;"",_xlfn.IFNA(VLOOKUP($B487,'Node Details'!$B:$U,E$1,0),"Check"),"")</f>
        <v>Airtel</v>
      </c>
      <c r="F487" s="78">
        <v>46113</v>
      </c>
      <c r="G487" s="76"/>
      <c r="H487" s="9" t="s">
        <v>180</v>
      </c>
      <c r="I487" s="9">
        <v>2</v>
      </c>
      <c r="J487" s="9">
        <v>150</v>
      </c>
      <c r="K487" s="79">
        <f t="shared" si="54"/>
        <v>300</v>
      </c>
      <c r="L487" s="78">
        <v>46112</v>
      </c>
      <c r="N487" s="85"/>
      <c r="O487" s="86"/>
      <c r="P487" s="83">
        <f t="shared" si="49"/>
        <v>150</v>
      </c>
      <c r="Q487" s="83">
        <f t="shared" si="50"/>
        <v>300</v>
      </c>
      <c r="R487" s="83"/>
      <c r="S487" s="83"/>
      <c r="T487" s="87"/>
      <c r="U487" s="83">
        <f t="shared" si="51"/>
        <v>150</v>
      </c>
      <c r="V487" s="83">
        <f t="shared" si="52"/>
        <v>2</v>
      </c>
      <c r="W487" s="84">
        <f t="shared" si="53"/>
        <v>300</v>
      </c>
      <c r="X487" s="84" t="s">
        <v>181</v>
      </c>
      <c r="Y487" s="24" t="s">
        <v>176</v>
      </c>
    </row>
    <row r="488" spans="1:25" s="24" customFormat="1" ht="11.1" customHeight="1" x14ac:dyDescent="0.2">
      <c r="A488" s="76">
        <f t="shared" si="55"/>
        <v>486</v>
      </c>
      <c r="B488" s="77" t="s">
        <v>330</v>
      </c>
      <c r="C488" s="76" t="str">
        <f>IF($B488&lt;&gt;"",_xlfn.IFNA(VLOOKUP($B488,'Node Details'!$B:$U,C$1,0),"Check"),"")</f>
        <v>0000AXY13-AXY130108</v>
      </c>
      <c r="D488" s="76" t="str">
        <f>IF($B488&lt;&gt;"",_xlfn.IFNA(VLOOKUP($B488,'Node Details'!$B:$U,D$1,0),"Check"),"")</f>
        <v>AXY</v>
      </c>
      <c r="E488" s="76" t="str">
        <f>IF($B488&lt;&gt;"",_xlfn.IFNA(VLOOKUP($B488,'Node Details'!$B:$U,E$1,0),"Check"),"")</f>
        <v>Airtel</v>
      </c>
      <c r="F488" s="78">
        <v>46113</v>
      </c>
      <c r="G488" s="76"/>
      <c r="H488" s="9" t="s">
        <v>180</v>
      </c>
      <c r="I488" s="9">
        <v>2</v>
      </c>
      <c r="J488" s="9">
        <v>150</v>
      </c>
      <c r="K488" s="79">
        <f t="shared" si="54"/>
        <v>300</v>
      </c>
      <c r="L488" s="78">
        <v>46112</v>
      </c>
      <c r="N488" s="85"/>
      <c r="O488" s="86"/>
      <c r="P488" s="83">
        <f t="shared" si="49"/>
        <v>150</v>
      </c>
      <c r="Q488" s="83">
        <f t="shared" si="50"/>
        <v>300</v>
      </c>
      <c r="R488" s="83"/>
      <c r="S488" s="83"/>
      <c r="T488" s="87"/>
      <c r="U488" s="83">
        <f t="shared" si="51"/>
        <v>150</v>
      </c>
      <c r="V488" s="83">
        <f t="shared" si="52"/>
        <v>2</v>
      </c>
      <c r="W488" s="84">
        <f t="shared" si="53"/>
        <v>300</v>
      </c>
      <c r="X488" s="84" t="s">
        <v>181</v>
      </c>
      <c r="Y488" s="24" t="s">
        <v>176</v>
      </c>
    </row>
    <row r="489" spans="1:25" s="24" customFormat="1" ht="11.1" customHeight="1" x14ac:dyDescent="0.2">
      <c r="A489" s="76">
        <f t="shared" si="55"/>
        <v>487</v>
      </c>
      <c r="B489" s="77" t="s">
        <v>331</v>
      </c>
      <c r="C489" s="76" t="str">
        <f>IF($B489&lt;&gt;"",_xlfn.IFNA(VLOOKUP($B489,'Node Details'!$B:$U,C$1,0),"Check"),"")</f>
        <v>0000AXY13-AXY130108</v>
      </c>
      <c r="D489" s="76" t="str">
        <f>IF($B489&lt;&gt;"",_xlfn.IFNA(VLOOKUP($B489,'Node Details'!$B:$U,D$1,0),"Check"),"")</f>
        <v>AXY</v>
      </c>
      <c r="E489" s="76" t="str">
        <f>IF($B489&lt;&gt;"",_xlfn.IFNA(VLOOKUP($B489,'Node Details'!$B:$U,E$1,0),"Check"),"")</f>
        <v>Airtel</v>
      </c>
      <c r="F489" s="78">
        <v>46113</v>
      </c>
      <c r="G489" s="76"/>
      <c r="H489" s="9" t="s">
        <v>180</v>
      </c>
      <c r="I489" s="9">
        <v>2</v>
      </c>
      <c r="J489" s="9">
        <v>150</v>
      </c>
      <c r="K489" s="79">
        <f t="shared" si="54"/>
        <v>300</v>
      </c>
      <c r="L489" s="78">
        <v>46112</v>
      </c>
      <c r="N489" s="85"/>
      <c r="O489" s="86"/>
      <c r="P489" s="83">
        <f t="shared" si="49"/>
        <v>150</v>
      </c>
      <c r="Q489" s="83">
        <f t="shared" si="50"/>
        <v>300</v>
      </c>
      <c r="R489" s="83"/>
      <c r="S489" s="83"/>
      <c r="T489" s="87"/>
      <c r="U489" s="83">
        <f t="shared" si="51"/>
        <v>150</v>
      </c>
      <c r="V489" s="83">
        <f t="shared" si="52"/>
        <v>2</v>
      </c>
      <c r="W489" s="84">
        <f t="shared" si="53"/>
        <v>300</v>
      </c>
      <c r="X489" s="84" t="s">
        <v>181</v>
      </c>
      <c r="Y489" s="24" t="s">
        <v>176</v>
      </c>
    </row>
    <row r="490" spans="1:25" s="24" customFormat="1" ht="11.1" customHeight="1" x14ac:dyDescent="0.2">
      <c r="A490" s="76">
        <f t="shared" si="55"/>
        <v>488</v>
      </c>
      <c r="B490" s="77" t="s">
        <v>332</v>
      </c>
      <c r="C490" s="76" t="str">
        <f>IF($B490&lt;&gt;"",_xlfn.IFNA(VLOOKUP($B490,'Node Details'!$B:$U,C$1,0),"Check"),"")</f>
        <v>0000AXY13-AXY130108</v>
      </c>
      <c r="D490" s="76" t="str">
        <f>IF($B490&lt;&gt;"",_xlfn.IFNA(VLOOKUP($B490,'Node Details'!$B:$U,D$1,0),"Check"),"")</f>
        <v>AXY</v>
      </c>
      <c r="E490" s="76" t="str">
        <f>IF($B490&lt;&gt;"",_xlfn.IFNA(VLOOKUP($B490,'Node Details'!$B:$U,E$1,0),"Check"),"")</f>
        <v>Airtel</v>
      </c>
      <c r="F490" s="78">
        <v>46113</v>
      </c>
      <c r="G490" s="76"/>
      <c r="H490" s="9" t="s">
        <v>180</v>
      </c>
      <c r="I490" s="9">
        <v>2</v>
      </c>
      <c r="J490" s="9">
        <v>150</v>
      </c>
      <c r="K490" s="79">
        <f t="shared" si="54"/>
        <v>300</v>
      </c>
      <c r="L490" s="78">
        <v>46112</v>
      </c>
      <c r="N490" s="85"/>
      <c r="O490" s="86"/>
      <c r="P490" s="83">
        <f t="shared" si="49"/>
        <v>150</v>
      </c>
      <c r="Q490" s="83">
        <f t="shared" si="50"/>
        <v>300</v>
      </c>
      <c r="R490" s="83"/>
      <c r="S490" s="83"/>
      <c r="T490" s="87"/>
      <c r="U490" s="83">
        <f t="shared" si="51"/>
        <v>150</v>
      </c>
      <c r="V490" s="83">
        <f t="shared" si="52"/>
        <v>2</v>
      </c>
      <c r="W490" s="84">
        <f t="shared" si="53"/>
        <v>300</v>
      </c>
      <c r="X490" s="84" t="s">
        <v>181</v>
      </c>
      <c r="Y490" s="24" t="s">
        <v>176</v>
      </c>
    </row>
    <row r="491" spans="1:25" s="24" customFormat="1" ht="11.1" customHeight="1" x14ac:dyDescent="0.2">
      <c r="A491" s="76">
        <f t="shared" si="55"/>
        <v>489</v>
      </c>
      <c r="B491" s="77" t="s">
        <v>333</v>
      </c>
      <c r="C491" s="76" t="str">
        <f>IF($B491&lt;&gt;"",_xlfn.IFNA(VLOOKUP($B491,'Node Details'!$B:$U,C$1,0),"Check"),"")</f>
        <v>000000AXY-0000AXY17</v>
      </c>
      <c r="D491" s="76" t="str">
        <f>IF($B491&lt;&gt;"",_xlfn.IFNA(VLOOKUP($B491,'Node Details'!$B:$U,D$1,0),"Check"),"")</f>
        <v>AXY</v>
      </c>
      <c r="E491" s="76" t="str">
        <f>IF($B491&lt;&gt;"",_xlfn.IFNA(VLOOKUP($B491,'Node Details'!$B:$U,E$1,0),"Check"),"")</f>
        <v>Airtel</v>
      </c>
      <c r="F491" s="78">
        <v>46113</v>
      </c>
      <c r="G491" s="76"/>
      <c r="H491" s="9" t="s">
        <v>180</v>
      </c>
      <c r="I491" s="9">
        <v>2</v>
      </c>
      <c r="J491" s="9">
        <v>150</v>
      </c>
      <c r="K491" s="79">
        <f t="shared" si="54"/>
        <v>300</v>
      </c>
      <c r="L491" s="78">
        <v>46112</v>
      </c>
      <c r="N491" s="85"/>
      <c r="O491" s="86"/>
      <c r="P491" s="83">
        <f t="shared" si="49"/>
        <v>150</v>
      </c>
      <c r="Q491" s="83">
        <f t="shared" si="50"/>
        <v>300</v>
      </c>
      <c r="R491" s="83"/>
      <c r="S491" s="83"/>
      <c r="T491" s="87"/>
      <c r="U491" s="83">
        <f t="shared" si="51"/>
        <v>150</v>
      </c>
      <c r="V491" s="83">
        <f t="shared" si="52"/>
        <v>2</v>
      </c>
      <c r="W491" s="84">
        <f t="shared" si="53"/>
        <v>300</v>
      </c>
      <c r="X491" s="84" t="s">
        <v>181</v>
      </c>
      <c r="Y491" s="24" t="s">
        <v>176</v>
      </c>
    </row>
    <row r="492" spans="1:25" s="24" customFormat="1" ht="11.1" customHeight="1" x14ac:dyDescent="0.2">
      <c r="A492" s="76">
        <f t="shared" si="55"/>
        <v>490</v>
      </c>
      <c r="B492" s="77" t="s">
        <v>334</v>
      </c>
      <c r="C492" s="76" t="str">
        <f>IF($B492&lt;&gt;"",_xlfn.IFNA(VLOOKUP($B492,'Node Details'!$B:$U,C$1,0),"Check"),"")</f>
        <v>0000AXY14-AXY140102</v>
      </c>
      <c r="D492" s="76" t="str">
        <f>IF($B492&lt;&gt;"",_xlfn.IFNA(VLOOKUP($B492,'Node Details'!$B:$U,D$1,0),"Check"),"")</f>
        <v>AXY</v>
      </c>
      <c r="E492" s="76" t="str">
        <f>IF($B492&lt;&gt;"",_xlfn.IFNA(VLOOKUP($B492,'Node Details'!$B:$U,E$1,0),"Check"),"")</f>
        <v>Airtel</v>
      </c>
      <c r="F492" s="78">
        <v>46113</v>
      </c>
      <c r="G492" s="76"/>
      <c r="H492" s="9" t="s">
        <v>180</v>
      </c>
      <c r="I492" s="9">
        <v>2</v>
      </c>
      <c r="J492" s="9">
        <v>150</v>
      </c>
      <c r="K492" s="79">
        <f t="shared" si="54"/>
        <v>300</v>
      </c>
      <c r="L492" s="78">
        <v>46112</v>
      </c>
      <c r="N492" s="85"/>
      <c r="O492" s="86"/>
      <c r="P492" s="83">
        <f t="shared" si="49"/>
        <v>150</v>
      </c>
      <c r="Q492" s="83">
        <f t="shared" si="50"/>
        <v>300</v>
      </c>
      <c r="R492" s="83"/>
      <c r="S492" s="83"/>
      <c r="T492" s="87"/>
      <c r="U492" s="83">
        <f t="shared" si="51"/>
        <v>150</v>
      </c>
      <c r="V492" s="83">
        <f t="shared" si="52"/>
        <v>2</v>
      </c>
      <c r="W492" s="84">
        <f t="shared" si="53"/>
        <v>300</v>
      </c>
      <c r="X492" s="84" t="s">
        <v>181</v>
      </c>
      <c r="Y492" s="24" t="s">
        <v>176</v>
      </c>
    </row>
    <row r="493" spans="1:25" s="24" customFormat="1" ht="11.1" customHeight="1" x14ac:dyDescent="0.2">
      <c r="A493" s="76">
        <f t="shared" si="55"/>
        <v>491</v>
      </c>
      <c r="B493" s="77" t="s">
        <v>335</v>
      </c>
      <c r="C493" s="76" t="str">
        <f>IF($B493&lt;&gt;"",_xlfn.IFNA(VLOOKUP($B493,'Node Details'!$B:$U,C$1,0),"Check"),"")</f>
        <v>0000AXY14-AXY140101</v>
      </c>
      <c r="D493" s="76" t="str">
        <f>IF($B493&lt;&gt;"",_xlfn.IFNA(VLOOKUP($B493,'Node Details'!$B:$U,D$1,0),"Check"),"")</f>
        <v>AXY</v>
      </c>
      <c r="E493" s="76" t="str">
        <f>IF($B493&lt;&gt;"",_xlfn.IFNA(VLOOKUP($B493,'Node Details'!$B:$U,E$1,0),"Check"),"")</f>
        <v>Airtel</v>
      </c>
      <c r="F493" s="78">
        <v>46113</v>
      </c>
      <c r="G493" s="76"/>
      <c r="H493" s="9" t="s">
        <v>180</v>
      </c>
      <c r="I493" s="9">
        <v>2</v>
      </c>
      <c r="J493" s="9">
        <v>150</v>
      </c>
      <c r="K493" s="79">
        <f t="shared" si="54"/>
        <v>300</v>
      </c>
      <c r="L493" s="78">
        <v>46112</v>
      </c>
      <c r="N493" s="85"/>
      <c r="O493" s="86"/>
      <c r="P493" s="83">
        <f t="shared" si="49"/>
        <v>150</v>
      </c>
      <c r="Q493" s="83">
        <f t="shared" si="50"/>
        <v>300</v>
      </c>
      <c r="R493" s="83"/>
      <c r="S493" s="83"/>
      <c r="T493" s="87"/>
      <c r="U493" s="83">
        <f t="shared" si="51"/>
        <v>150</v>
      </c>
      <c r="V493" s="83">
        <f t="shared" si="52"/>
        <v>2</v>
      </c>
      <c r="W493" s="84">
        <f t="shared" si="53"/>
        <v>300</v>
      </c>
      <c r="X493" s="84" t="s">
        <v>181</v>
      </c>
      <c r="Y493" s="24" t="s">
        <v>176</v>
      </c>
    </row>
    <row r="494" spans="1:25" s="24" customFormat="1" ht="11.1" customHeight="1" x14ac:dyDescent="0.2">
      <c r="A494" s="76">
        <f t="shared" si="55"/>
        <v>492</v>
      </c>
      <c r="B494" s="77" t="s">
        <v>336</v>
      </c>
      <c r="C494" s="76" t="str">
        <f>IF($B494&lt;&gt;"",_xlfn.IFNA(VLOOKUP($B494,'Node Details'!$B:$U,C$1,0),"Check"),"")</f>
        <v>0000AXY14-AXY140202</v>
      </c>
      <c r="D494" s="76" t="str">
        <f>IF($B494&lt;&gt;"",_xlfn.IFNA(VLOOKUP($B494,'Node Details'!$B:$U,D$1,0),"Check"),"")</f>
        <v>AXY</v>
      </c>
      <c r="E494" s="76" t="str">
        <f>IF($B494&lt;&gt;"",_xlfn.IFNA(VLOOKUP($B494,'Node Details'!$B:$U,E$1,0),"Check"),"")</f>
        <v>Airtel</v>
      </c>
      <c r="F494" s="78">
        <v>46113</v>
      </c>
      <c r="G494" s="76"/>
      <c r="H494" s="9" t="s">
        <v>180</v>
      </c>
      <c r="I494" s="9">
        <v>2</v>
      </c>
      <c r="J494" s="9">
        <v>150</v>
      </c>
      <c r="K494" s="79">
        <f t="shared" si="54"/>
        <v>300</v>
      </c>
      <c r="L494" s="78">
        <v>46112</v>
      </c>
      <c r="N494" s="85"/>
      <c r="O494" s="86"/>
      <c r="P494" s="83">
        <f t="shared" si="49"/>
        <v>150</v>
      </c>
      <c r="Q494" s="83">
        <f t="shared" si="50"/>
        <v>300</v>
      </c>
      <c r="R494" s="83"/>
      <c r="S494" s="83"/>
      <c r="T494" s="87"/>
      <c r="U494" s="83">
        <f t="shared" si="51"/>
        <v>150</v>
      </c>
      <c r="V494" s="83">
        <f t="shared" si="52"/>
        <v>2</v>
      </c>
      <c r="W494" s="84">
        <f t="shared" si="53"/>
        <v>300</v>
      </c>
      <c r="X494" s="84" t="s">
        <v>181</v>
      </c>
      <c r="Y494" s="24" t="s">
        <v>176</v>
      </c>
    </row>
    <row r="495" spans="1:25" s="24" customFormat="1" ht="11.1" customHeight="1" x14ac:dyDescent="0.2">
      <c r="A495" s="76">
        <f t="shared" si="55"/>
        <v>493</v>
      </c>
      <c r="B495" s="77" t="s">
        <v>337</v>
      </c>
      <c r="C495" s="76" t="str">
        <f>IF($B495&lt;&gt;"",_xlfn.IFNA(VLOOKUP($B495,'Node Details'!$B:$U,C$1,0),"Check"),"")</f>
        <v>0000AXY14-AXY140202</v>
      </c>
      <c r="D495" s="76" t="str">
        <f>IF($B495&lt;&gt;"",_xlfn.IFNA(VLOOKUP($B495,'Node Details'!$B:$U,D$1,0),"Check"),"")</f>
        <v>AXY</v>
      </c>
      <c r="E495" s="76" t="str">
        <f>IF($B495&lt;&gt;"",_xlfn.IFNA(VLOOKUP($B495,'Node Details'!$B:$U,E$1,0),"Check"),"")</f>
        <v>Airtel</v>
      </c>
      <c r="F495" s="78">
        <v>46113</v>
      </c>
      <c r="G495" s="76"/>
      <c r="H495" s="9" t="s">
        <v>180</v>
      </c>
      <c r="I495" s="9">
        <v>2</v>
      </c>
      <c r="J495" s="9">
        <v>150</v>
      </c>
      <c r="K495" s="79">
        <f t="shared" si="54"/>
        <v>300</v>
      </c>
      <c r="L495" s="78">
        <v>46112</v>
      </c>
      <c r="N495" s="85"/>
      <c r="O495" s="86"/>
      <c r="P495" s="83">
        <f t="shared" ref="P495:P526" si="56">J495</f>
        <v>150</v>
      </c>
      <c r="Q495" s="83">
        <f t="shared" ref="Q495:Q526" si="57">P495*I495</f>
        <v>300</v>
      </c>
      <c r="R495" s="83"/>
      <c r="S495" s="83"/>
      <c r="T495" s="87"/>
      <c r="U495" s="83">
        <f t="shared" ref="U495:U526" si="58">J495</f>
        <v>150</v>
      </c>
      <c r="V495" s="83">
        <f t="shared" ref="V495:V526" si="59">I495</f>
        <v>2</v>
      </c>
      <c r="W495" s="84">
        <f t="shared" ref="W495:W526" si="60">IF(V495&lt;&gt;"",V495*U495,0)</f>
        <v>300</v>
      </c>
      <c r="X495" s="84" t="s">
        <v>181</v>
      </c>
      <c r="Y495" s="24" t="s">
        <v>176</v>
      </c>
    </row>
    <row r="496" spans="1:25" s="24" customFormat="1" ht="11.1" customHeight="1" x14ac:dyDescent="0.2">
      <c r="A496" s="76">
        <f t="shared" si="55"/>
        <v>494</v>
      </c>
      <c r="B496" s="77" t="s">
        <v>338</v>
      </c>
      <c r="C496" s="76" t="str">
        <f>IF($B496&lt;&gt;"",_xlfn.IFNA(VLOOKUP($B496,'Node Details'!$B:$U,C$1,0),"Check"),"")</f>
        <v>0000AXY14-AXY140202</v>
      </c>
      <c r="D496" s="76" t="str">
        <f>IF($B496&lt;&gt;"",_xlfn.IFNA(VLOOKUP($B496,'Node Details'!$B:$U,D$1,0),"Check"),"")</f>
        <v>AXY</v>
      </c>
      <c r="E496" s="76" t="str">
        <f>IF($B496&lt;&gt;"",_xlfn.IFNA(VLOOKUP($B496,'Node Details'!$B:$U,E$1,0),"Check"),"")</f>
        <v>Airtel</v>
      </c>
      <c r="F496" s="78">
        <v>46113</v>
      </c>
      <c r="G496" s="76"/>
      <c r="H496" s="9" t="s">
        <v>180</v>
      </c>
      <c r="I496" s="9">
        <v>2</v>
      </c>
      <c r="J496" s="9">
        <v>150</v>
      </c>
      <c r="K496" s="79">
        <f t="shared" ref="K496:K526" si="61">IF(I496&lt;&gt;"",J496*I496,0)</f>
        <v>300</v>
      </c>
      <c r="L496" s="78">
        <v>46112</v>
      </c>
      <c r="N496" s="85"/>
      <c r="O496" s="86"/>
      <c r="P496" s="83">
        <f t="shared" si="56"/>
        <v>150</v>
      </c>
      <c r="Q496" s="83">
        <f t="shared" si="57"/>
        <v>300</v>
      </c>
      <c r="R496" s="83"/>
      <c r="S496" s="83"/>
      <c r="T496" s="87"/>
      <c r="U496" s="83">
        <f t="shared" si="58"/>
        <v>150</v>
      </c>
      <c r="V496" s="83">
        <f t="shared" si="59"/>
        <v>2</v>
      </c>
      <c r="W496" s="84">
        <f t="shared" si="60"/>
        <v>300</v>
      </c>
      <c r="X496" s="84" t="s">
        <v>181</v>
      </c>
      <c r="Y496" s="24" t="s">
        <v>176</v>
      </c>
    </row>
    <row r="497" spans="1:25" s="24" customFormat="1" ht="11.1" customHeight="1" x14ac:dyDescent="0.2">
      <c r="A497" s="76">
        <f t="shared" si="55"/>
        <v>495</v>
      </c>
      <c r="B497" s="77" t="s">
        <v>339</v>
      </c>
      <c r="C497" s="76" t="str">
        <f>IF($B497&lt;&gt;"",_xlfn.IFNA(VLOOKUP($B497,'Node Details'!$B:$U,C$1,0),"Check"),"")</f>
        <v>AXY140202-AXY140203</v>
      </c>
      <c r="D497" s="76" t="str">
        <f>IF($B497&lt;&gt;"",_xlfn.IFNA(VLOOKUP($B497,'Node Details'!$B:$U,D$1,0),"Check"),"")</f>
        <v>AXY</v>
      </c>
      <c r="E497" s="76" t="str">
        <f>IF($B497&lt;&gt;"",_xlfn.IFNA(VLOOKUP($B497,'Node Details'!$B:$U,E$1,0),"Check"),"")</f>
        <v>Airtel</v>
      </c>
      <c r="F497" s="78">
        <v>46113</v>
      </c>
      <c r="G497" s="76"/>
      <c r="H497" s="9" t="s">
        <v>180</v>
      </c>
      <c r="I497" s="9">
        <v>2</v>
      </c>
      <c r="J497" s="9">
        <v>150</v>
      </c>
      <c r="K497" s="79">
        <f t="shared" si="61"/>
        <v>300</v>
      </c>
      <c r="L497" s="78">
        <v>46112</v>
      </c>
      <c r="N497" s="85"/>
      <c r="O497" s="86"/>
      <c r="P497" s="83">
        <f t="shared" si="56"/>
        <v>150</v>
      </c>
      <c r="Q497" s="83">
        <f t="shared" si="57"/>
        <v>300</v>
      </c>
      <c r="R497" s="83"/>
      <c r="S497" s="83"/>
      <c r="T497" s="87"/>
      <c r="U497" s="83">
        <f t="shared" si="58"/>
        <v>150</v>
      </c>
      <c r="V497" s="83">
        <f t="shared" si="59"/>
        <v>2</v>
      </c>
      <c r="W497" s="84">
        <f t="shared" si="60"/>
        <v>300</v>
      </c>
      <c r="X497" s="84" t="s">
        <v>181</v>
      </c>
      <c r="Y497" s="24" t="s">
        <v>176</v>
      </c>
    </row>
    <row r="498" spans="1:25" s="24" customFormat="1" ht="11.1" customHeight="1" x14ac:dyDescent="0.2">
      <c r="A498" s="76">
        <f t="shared" si="55"/>
        <v>496</v>
      </c>
      <c r="B498" s="77" t="s">
        <v>340</v>
      </c>
      <c r="C498" s="76" t="str">
        <f>IF($B498&lt;&gt;"",_xlfn.IFNA(VLOOKUP($B498,'Node Details'!$B:$U,C$1,0),"Check"),"")</f>
        <v>AXY140108-AXY140104</v>
      </c>
      <c r="D498" s="76" t="str">
        <f>IF($B498&lt;&gt;"",_xlfn.IFNA(VLOOKUP($B498,'Node Details'!$B:$U,D$1,0),"Check"),"")</f>
        <v>AXY</v>
      </c>
      <c r="E498" s="76" t="str">
        <f>IF($B498&lt;&gt;"",_xlfn.IFNA(VLOOKUP($B498,'Node Details'!$B:$U,E$1,0),"Check"),"")</f>
        <v>Airtel</v>
      </c>
      <c r="F498" s="78">
        <v>46113</v>
      </c>
      <c r="G498" s="76"/>
      <c r="H498" s="9" t="s">
        <v>180</v>
      </c>
      <c r="I498" s="9">
        <v>2</v>
      </c>
      <c r="J498" s="9">
        <v>150</v>
      </c>
      <c r="K498" s="79">
        <f t="shared" si="61"/>
        <v>300</v>
      </c>
      <c r="L498" s="78">
        <v>46112</v>
      </c>
      <c r="N498" s="85"/>
      <c r="O498" s="86"/>
      <c r="P498" s="83">
        <f t="shared" si="56"/>
        <v>150</v>
      </c>
      <c r="Q498" s="83">
        <f t="shared" si="57"/>
        <v>300</v>
      </c>
      <c r="R498" s="83"/>
      <c r="S498" s="83"/>
      <c r="T498" s="87"/>
      <c r="U498" s="83">
        <f t="shared" si="58"/>
        <v>150</v>
      </c>
      <c r="V498" s="83">
        <f t="shared" si="59"/>
        <v>2</v>
      </c>
      <c r="W498" s="84">
        <f t="shared" si="60"/>
        <v>300</v>
      </c>
      <c r="X498" s="84" t="s">
        <v>181</v>
      </c>
      <c r="Y498" s="24" t="s">
        <v>176</v>
      </c>
    </row>
    <row r="499" spans="1:25" s="24" customFormat="1" ht="11.1" customHeight="1" x14ac:dyDescent="0.2">
      <c r="A499" s="76">
        <f t="shared" si="55"/>
        <v>497</v>
      </c>
      <c r="B499" s="77" t="s">
        <v>341</v>
      </c>
      <c r="C499" s="76" t="str">
        <f>IF($B499&lt;&gt;"",_xlfn.IFNA(VLOOKUP($B499,'Node Details'!$B:$U,C$1,0),"Check"),"")</f>
        <v>AXY140108-AXY140104</v>
      </c>
      <c r="D499" s="76" t="str">
        <f>IF($B499&lt;&gt;"",_xlfn.IFNA(VLOOKUP($B499,'Node Details'!$B:$U,D$1,0),"Check"),"")</f>
        <v>AXY</v>
      </c>
      <c r="E499" s="76" t="str">
        <f>IF($B499&lt;&gt;"",_xlfn.IFNA(VLOOKUP($B499,'Node Details'!$B:$U,E$1,0),"Check"),"")</f>
        <v>Airtel</v>
      </c>
      <c r="F499" s="78">
        <v>46113</v>
      </c>
      <c r="G499" s="76"/>
      <c r="H499" s="9" t="s">
        <v>180</v>
      </c>
      <c r="I499" s="9">
        <v>2</v>
      </c>
      <c r="J499" s="9">
        <v>150</v>
      </c>
      <c r="K499" s="79">
        <f t="shared" si="61"/>
        <v>300</v>
      </c>
      <c r="L499" s="78">
        <v>46112</v>
      </c>
      <c r="N499" s="85"/>
      <c r="O499" s="86"/>
      <c r="P499" s="83">
        <f t="shared" si="56"/>
        <v>150</v>
      </c>
      <c r="Q499" s="83">
        <f t="shared" si="57"/>
        <v>300</v>
      </c>
      <c r="R499" s="83"/>
      <c r="S499" s="83"/>
      <c r="T499" s="87"/>
      <c r="U499" s="83">
        <f t="shared" si="58"/>
        <v>150</v>
      </c>
      <c r="V499" s="83">
        <f t="shared" si="59"/>
        <v>2</v>
      </c>
      <c r="W499" s="84">
        <f t="shared" si="60"/>
        <v>300</v>
      </c>
      <c r="X499" s="84" t="s">
        <v>181</v>
      </c>
      <c r="Y499" s="24" t="s">
        <v>176</v>
      </c>
    </row>
    <row r="500" spans="1:25" s="24" customFormat="1" ht="11.1" customHeight="1" x14ac:dyDescent="0.2">
      <c r="A500" s="76">
        <f t="shared" si="55"/>
        <v>498</v>
      </c>
      <c r="B500" s="77" t="s">
        <v>342</v>
      </c>
      <c r="C500" s="76" t="str">
        <f>IF($B500&lt;&gt;"",_xlfn.IFNA(VLOOKUP($B500,'Node Details'!$B:$U,C$1,0),"Check"),"")</f>
        <v>AXY140108-AXY140104</v>
      </c>
      <c r="D500" s="76" t="str">
        <f>IF($B500&lt;&gt;"",_xlfn.IFNA(VLOOKUP($B500,'Node Details'!$B:$U,D$1,0),"Check"),"")</f>
        <v>AXY</v>
      </c>
      <c r="E500" s="76" t="str">
        <f>IF($B500&lt;&gt;"",_xlfn.IFNA(VLOOKUP($B500,'Node Details'!$B:$U,E$1,0),"Check"),"")</f>
        <v>Airtel</v>
      </c>
      <c r="F500" s="78">
        <v>46113</v>
      </c>
      <c r="G500" s="76"/>
      <c r="H500" s="9" t="s">
        <v>180</v>
      </c>
      <c r="I500" s="9">
        <v>2</v>
      </c>
      <c r="J500" s="9">
        <v>150</v>
      </c>
      <c r="K500" s="79">
        <f t="shared" si="61"/>
        <v>300</v>
      </c>
      <c r="L500" s="78">
        <v>46112</v>
      </c>
      <c r="N500" s="85"/>
      <c r="O500" s="86"/>
      <c r="P500" s="83">
        <f t="shared" si="56"/>
        <v>150</v>
      </c>
      <c r="Q500" s="83">
        <f t="shared" si="57"/>
        <v>300</v>
      </c>
      <c r="R500" s="83"/>
      <c r="S500" s="83"/>
      <c r="T500" s="87"/>
      <c r="U500" s="83">
        <f t="shared" si="58"/>
        <v>150</v>
      </c>
      <c r="V500" s="83">
        <f t="shared" si="59"/>
        <v>2</v>
      </c>
      <c r="W500" s="84">
        <f t="shared" si="60"/>
        <v>300</v>
      </c>
      <c r="X500" s="84" t="s">
        <v>181</v>
      </c>
      <c r="Y500" s="24" t="s">
        <v>176</v>
      </c>
    </row>
    <row r="501" spans="1:25" s="24" customFormat="1" ht="11.1" customHeight="1" x14ac:dyDescent="0.2">
      <c r="A501" s="76">
        <f t="shared" si="55"/>
        <v>499</v>
      </c>
      <c r="B501" s="77" t="s">
        <v>343</v>
      </c>
      <c r="C501" s="76" t="str">
        <f>IF($B501&lt;&gt;"",_xlfn.IFNA(VLOOKUP($B501,'Node Details'!$B:$U,C$1,0),"Check"),"")</f>
        <v>AXY140108-AXY140104</v>
      </c>
      <c r="D501" s="76" t="str">
        <f>IF($B501&lt;&gt;"",_xlfn.IFNA(VLOOKUP($B501,'Node Details'!$B:$U,D$1,0),"Check"),"")</f>
        <v>AXY</v>
      </c>
      <c r="E501" s="76" t="str">
        <f>IF($B501&lt;&gt;"",_xlfn.IFNA(VLOOKUP($B501,'Node Details'!$B:$U,E$1,0),"Check"),"")</f>
        <v>Airtel</v>
      </c>
      <c r="F501" s="78">
        <v>46113</v>
      </c>
      <c r="G501" s="76"/>
      <c r="H501" s="9" t="s">
        <v>180</v>
      </c>
      <c r="I501" s="9">
        <v>2</v>
      </c>
      <c r="J501" s="9">
        <v>150</v>
      </c>
      <c r="K501" s="79">
        <f t="shared" si="61"/>
        <v>300</v>
      </c>
      <c r="L501" s="78">
        <v>46112</v>
      </c>
      <c r="N501" s="85"/>
      <c r="O501" s="86"/>
      <c r="P501" s="83">
        <f t="shared" si="56"/>
        <v>150</v>
      </c>
      <c r="Q501" s="83">
        <f t="shared" si="57"/>
        <v>300</v>
      </c>
      <c r="R501" s="83"/>
      <c r="S501" s="83"/>
      <c r="T501" s="87"/>
      <c r="U501" s="83">
        <f t="shared" si="58"/>
        <v>150</v>
      </c>
      <c r="V501" s="83">
        <f t="shared" si="59"/>
        <v>2</v>
      </c>
      <c r="W501" s="84">
        <f t="shared" si="60"/>
        <v>300</v>
      </c>
      <c r="X501" s="84" t="s">
        <v>181</v>
      </c>
      <c r="Y501" s="24" t="s">
        <v>176</v>
      </c>
    </row>
    <row r="502" spans="1:25" s="24" customFormat="1" ht="11.1" customHeight="1" x14ac:dyDescent="0.2">
      <c r="A502" s="76">
        <f t="shared" si="55"/>
        <v>500</v>
      </c>
      <c r="B502" s="77" t="s">
        <v>344</v>
      </c>
      <c r="C502" s="76" t="str">
        <f>IF($B502&lt;&gt;"",_xlfn.IFNA(VLOOKUP($B502,'Node Details'!$B:$U,C$1,0),"Check"),"")</f>
        <v>000000AXY-0000AXY17</v>
      </c>
      <c r="D502" s="76" t="str">
        <f>IF($B502&lt;&gt;"",_xlfn.IFNA(VLOOKUP($B502,'Node Details'!$B:$U,D$1,0),"Check"),"")</f>
        <v>AXY</v>
      </c>
      <c r="E502" s="76" t="str">
        <f>IF($B502&lt;&gt;"",_xlfn.IFNA(VLOOKUP($B502,'Node Details'!$B:$U,E$1,0),"Check"),"")</f>
        <v>Airtel</v>
      </c>
      <c r="F502" s="78">
        <v>46113</v>
      </c>
      <c r="G502" s="76"/>
      <c r="H502" s="9" t="s">
        <v>180</v>
      </c>
      <c r="I502" s="9">
        <v>2</v>
      </c>
      <c r="J502" s="9">
        <v>150</v>
      </c>
      <c r="K502" s="79">
        <f t="shared" si="61"/>
        <v>300</v>
      </c>
      <c r="L502" s="78">
        <v>46112</v>
      </c>
      <c r="N502" s="85"/>
      <c r="O502" s="86"/>
      <c r="P502" s="83">
        <f t="shared" si="56"/>
        <v>150</v>
      </c>
      <c r="Q502" s="83">
        <f t="shared" si="57"/>
        <v>300</v>
      </c>
      <c r="R502" s="83"/>
      <c r="S502" s="83"/>
      <c r="T502" s="87"/>
      <c r="U502" s="83">
        <f t="shared" si="58"/>
        <v>150</v>
      </c>
      <c r="V502" s="83">
        <f t="shared" si="59"/>
        <v>2</v>
      </c>
      <c r="W502" s="84">
        <f t="shared" si="60"/>
        <v>300</v>
      </c>
      <c r="X502" s="84" t="s">
        <v>181</v>
      </c>
      <c r="Y502" s="24" t="s">
        <v>176</v>
      </c>
    </row>
    <row r="503" spans="1:25" s="24" customFormat="1" ht="11.1" customHeight="1" x14ac:dyDescent="0.2">
      <c r="A503" s="76">
        <f t="shared" si="55"/>
        <v>501</v>
      </c>
      <c r="B503" s="77" t="s">
        <v>345</v>
      </c>
      <c r="C503" s="76" t="str">
        <f>IF($B503&lt;&gt;"",_xlfn.IFNA(VLOOKUP($B503,'Node Details'!$B:$U,C$1,0),"Check"),"")</f>
        <v>0000AXY15-AXY150103</v>
      </c>
      <c r="D503" s="76" t="str">
        <f>IF($B503&lt;&gt;"",_xlfn.IFNA(VLOOKUP($B503,'Node Details'!$B:$U,D$1,0),"Check"),"")</f>
        <v>AXY</v>
      </c>
      <c r="E503" s="76" t="str">
        <f>IF($B503&lt;&gt;"",_xlfn.IFNA(VLOOKUP($B503,'Node Details'!$B:$U,E$1,0),"Check"),"")</f>
        <v>Airtel</v>
      </c>
      <c r="F503" s="78">
        <v>46113</v>
      </c>
      <c r="G503" s="76"/>
      <c r="H503" s="9" t="s">
        <v>180</v>
      </c>
      <c r="I503" s="9">
        <v>2</v>
      </c>
      <c r="J503" s="9">
        <v>150</v>
      </c>
      <c r="K503" s="79">
        <f t="shared" si="61"/>
        <v>300</v>
      </c>
      <c r="L503" s="78">
        <v>46112</v>
      </c>
      <c r="N503" s="85"/>
      <c r="O503" s="86"/>
      <c r="P503" s="83">
        <f t="shared" si="56"/>
        <v>150</v>
      </c>
      <c r="Q503" s="83">
        <f t="shared" si="57"/>
        <v>300</v>
      </c>
      <c r="R503" s="83"/>
      <c r="S503" s="83"/>
      <c r="T503" s="87"/>
      <c r="U503" s="83">
        <f t="shared" si="58"/>
        <v>150</v>
      </c>
      <c r="V503" s="83">
        <f t="shared" si="59"/>
        <v>2</v>
      </c>
      <c r="W503" s="84">
        <f t="shared" si="60"/>
        <v>300</v>
      </c>
      <c r="X503" s="84" t="s">
        <v>181</v>
      </c>
      <c r="Y503" s="24" t="s">
        <v>176</v>
      </c>
    </row>
    <row r="504" spans="1:25" s="24" customFormat="1" ht="11.1" customHeight="1" x14ac:dyDescent="0.2">
      <c r="A504" s="76">
        <f t="shared" si="55"/>
        <v>502</v>
      </c>
      <c r="B504" s="77" t="s">
        <v>346</v>
      </c>
      <c r="C504" s="76" t="str">
        <f>IF($B504&lt;&gt;"",_xlfn.IFNA(VLOOKUP($B504,'Node Details'!$B:$U,C$1,0),"Check"),"")</f>
        <v>0000AXY15-AXY150103</v>
      </c>
      <c r="D504" s="76" t="str">
        <f>IF($B504&lt;&gt;"",_xlfn.IFNA(VLOOKUP($B504,'Node Details'!$B:$U,D$1,0),"Check"),"")</f>
        <v>AXY</v>
      </c>
      <c r="E504" s="76" t="str">
        <f>IF($B504&lt;&gt;"",_xlfn.IFNA(VLOOKUP($B504,'Node Details'!$B:$U,E$1,0),"Check"),"")</f>
        <v>Airtel</v>
      </c>
      <c r="F504" s="78">
        <v>46113</v>
      </c>
      <c r="G504" s="76"/>
      <c r="H504" s="9" t="s">
        <v>180</v>
      </c>
      <c r="I504" s="9">
        <v>2</v>
      </c>
      <c r="J504" s="9">
        <v>150</v>
      </c>
      <c r="K504" s="79">
        <f t="shared" si="61"/>
        <v>300</v>
      </c>
      <c r="L504" s="78">
        <v>46112</v>
      </c>
      <c r="N504" s="85"/>
      <c r="O504" s="86"/>
      <c r="P504" s="83">
        <f t="shared" si="56"/>
        <v>150</v>
      </c>
      <c r="Q504" s="83">
        <f t="shared" si="57"/>
        <v>300</v>
      </c>
      <c r="R504" s="83"/>
      <c r="S504" s="83"/>
      <c r="T504" s="87"/>
      <c r="U504" s="83">
        <f t="shared" si="58"/>
        <v>150</v>
      </c>
      <c r="V504" s="83">
        <f t="shared" si="59"/>
        <v>2</v>
      </c>
      <c r="W504" s="84">
        <f t="shared" si="60"/>
        <v>300</v>
      </c>
      <c r="X504" s="84" t="s">
        <v>181</v>
      </c>
      <c r="Y504" s="24" t="s">
        <v>176</v>
      </c>
    </row>
    <row r="505" spans="1:25" s="24" customFormat="1" ht="11.1" customHeight="1" x14ac:dyDescent="0.2">
      <c r="A505" s="76">
        <f t="shared" si="55"/>
        <v>503</v>
      </c>
      <c r="B505" s="77" t="s">
        <v>347</v>
      </c>
      <c r="C505" s="76" t="str">
        <f>IF($B505&lt;&gt;"",_xlfn.IFNA(VLOOKUP($B505,'Node Details'!$B:$U,C$1,0),"Check"),"")</f>
        <v>0000AXY15-AXY150103</v>
      </c>
      <c r="D505" s="76" t="str">
        <f>IF($B505&lt;&gt;"",_xlfn.IFNA(VLOOKUP($B505,'Node Details'!$B:$U,D$1,0),"Check"),"")</f>
        <v>AXY</v>
      </c>
      <c r="E505" s="76" t="str">
        <f>IF($B505&lt;&gt;"",_xlfn.IFNA(VLOOKUP($B505,'Node Details'!$B:$U,E$1,0),"Check"),"")</f>
        <v>Airtel</v>
      </c>
      <c r="F505" s="78">
        <v>46113</v>
      </c>
      <c r="G505" s="76"/>
      <c r="H505" s="9" t="s">
        <v>180</v>
      </c>
      <c r="I505" s="9">
        <v>2</v>
      </c>
      <c r="J505" s="9">
        <v>150</v>
      </c>
      <c r="K505" s="79">
        <f t="shared" si="61"/>
        <v>300</v>
      </c>
      <c r="L505" s="78">
        <v>46112</v>
      </c>
      <c r="N505" s="85"/>
      <c r="O505" s="86"/>
      <c r="P505" s="83">
        <f t="shared" si="56"/>
        <v>150</v>
      </c>
      <c r="Q505" s="83">
        <f t="shared" si="57"/>
        <v>300</v>
      </c>
      <c r="R505" s="83"/>
      <c r="S505" s="83"/>
      <c r="T505" s="87"/>
      <c r="U505" s="83">
        <f t="shared" si="58"/>
        <v>150</v>
      </c>
      <c r="V505" s="83">
        <f t="shared" si="59"/>
        <v>2</v>
      </c>
      <c r="W505" s="84">
        <f t="shared" si="60"/>
        <v>300</v>
      </c>
      <c r="X505" s="84" t="s">
        <v>181</v>
      </c>
      <c r="Y505" s="24" t="s">
        <v>176</v>
      </c>
    </row>
    <row r="506" spans="1:25" s="24" customFormat="1" ht="11.1" customHeight="1" x14ac:dyDescent="0.2">
      <c r="A506" s="76">
        <f t="shared" si="55"/>
        <v>504</v>
      </c>
      <c r="B506" s="77" t="s">
        <v>348</v>
      </c>
      <c r="C506" s="76" t="str">
        <f>IF($B506&lt;&gt;"",_xlfn.IFNA(VLOOKUP($B506,'Node Details'!$B:$U,C$1,0),"Check"),"")</f>
        <v>0000AXY15-AXY150104</v>
      </c>
      <c r="D506" s="76" t="str">
        <f>IF($B506&lt;&gt;"",_xlfn.IFNA(VLOOKUP($B506,'Node Details'!$B:$U,D$1,0),"Check"),"")</f>
        <v>AXY</v>
      </c>
      <c r="E506" s="76" t="str">
        <f>IF($B506&lt;&gt;"",_xlfn.IFNA(VLOOKUP($B506,'Node Details'!$B:$U,E$1,0),"Check"),"")</f>
        <v>Airtel</v>
      </c>
      <c r="F506" s="78">
        <v>46113</v>
      </c>
      <c r="G506" s="76"/>
      <c r="H506" s="9" t="s">
        <v>180</v>
      </c>
      <c r="I506" s="9">
        <v>2</v>
      </c>
      <c r="J506" s="9">
        <v>150</v>
      </c>
      <c r="K506" s="79">
        <f t="shared" si="61"/>
        <v>300</v>
      </c>
      <c r="L506" s="78">
        <v>46112</v>
      </c>
      <c r="N506" s="85"/>
      <c r="O506" s="86"/>
      <c r="P506" s="83">
        <f t="shared" si="56"/>
        <v>150</v>
      </c>
      <c r="Q506" s="83">
        <f t="shared" si="57"/>
        <v>300</v>
      </c>
      <c r="R506" s="83"/>
      <c r="S506" s="83"/>
      <c r="T506" s="87"/>
      <c r="U506" s="83">
        <f t="shared" si="58"/>
        <v>150</v>
      </c>
      <c r="V506" s="83">
        <f t="shared" si="59"/>
        <v>2</v>
      </c>
      <c r="W506" s="84">
        <f t="shared" si="60"/>
        <v>300</v>
      </c>
      <c r="X506" s="84" t="s">
        <v>181</v>
      </c>
      <c r="Y506" s="24" t="s">
        <v>176</v>
      </c>
    </row>
    <row r="507" spans="1:25" s="24" customFormat="1" ht="11.1" customHeight="1" x14ac:dyDescent="0.2">
      <c r="A507" s="76">
        <f t="shared" si="55"/>
        <v>505</v>
      </c>
      <c r="B507" s="77" t="s">
        <v>349</v>
      </c>
      <c r="C507" s="76" t="str">
        <f>IF($B507&lt;&gt;"",_xlfn.IFNA(VLOOKUP($B507,'Node Details'!$B:$U,C$1,0),"Check"),"")</f>
        <v>0000AXY15-AXY150108</v>
      </c>
      <c r="D507" s="76" t="str">
        <f>IF($B507&lt;&gt;"",_xlfn.IFNA(VLOOKUP($B507,'Node Details'!$B:$U,D$1,0),"Check"),"")</f>
        <v>AXY</v>
      </c>
      <c r="E507" s="76" t="str">
        <f>IF($B507&lt;&gt;"",_xlfn.IFNA(VLOOKUP($B507,'Node Details'!$B:$U,E$1,0),"Check"),"")</f>
        <v>Airtel</v>
      </c>
      <c r="F507" s="78">
        <v>46113</v>
      </c>
      <c r="G507" s="76"/>
      <c r="H507" s="9" t="s">
        <v>180</v>
      </c>
      <c r="I507" s="9">
        <v>2</v>
      </c>
      <c r="J507" s="9">
        <v>150</v>
      </c>
      <c r="K507" s="79">
        <f t="shared" si="61"/>
        <v>300</v>
      </c>
      <c r="L507" s="78">
        <v>46112</v>
      </c>
      <c r="N507" s="85"/>
      <c r="O507" s="86"/>
      <c r="P507" s="83">
        <f t="shared" si="56"/>
        <v>150</v>
      </c>
      <c r="Q507" s="83">
        <f t="shared" si="57"/>
        <v>300</v>
      </c>
      <c r="R507" s="83"/>
      <c r="S507" s="83"/>
      <c r="T507" s="87"/>
      <c r="U507" s="83">
        <f t="shared" si="58"/>
        <v>150</v>
      </c>
      <c r="V507" s="83">
        <f t="shared" si="59"/>
        <v>2</v>
      </c>
      <c r="W507" s="84">
        <f t="shared" si="60"/>
        <v>300</v>
      </c>
      <c r="X507" s="84" t="s">
        <v>181</v>
      </c>
      <c r="Y507" s="24" t="s">
        <v>176</v>
      </c>
    </row>
    <row r="508" spans="1:25" s="24" customFormat="1" ht="11.1" customHeight="1" x14ac:dyDescent="0.2">
      <c r="A508" s="76">
        <f t="shared" si="55"/>
        <v>506</v>
      </c>
      <c r="B508" s="77" t="s">
        <v>350</v>
      </c>
      <c r="C508" s="76" t="str">
        <f>IF($B508&lt;&gt;"",_xlfn.IFNA(VLOOKUP($B508,'Node Details'!$B:$U,C$1,0),"Check"),"")</f>
        <v>0000AXY15-AXY150108</v>
      </c>
      <c r="D508" s="76" t="str">
        <f>IF($B508&lt;&gt;"",_xlfn.IFNA(VLOOKUP($B508,'Node Details'!$B:$U,D$1,0),"Check"),"")</f>
        <v>AXY</v>
      </c>
      <c r="E508" s="76" t="str">
        <f>IF($B508&lt;&gt;"",_xlfn.IFNA(VLOOKUP($B508,'Node Details'!$B:$U,E$1,0),"Check"),"")</f>
        <v>Airtel</v>
      </c>
      <c r="F508" s="78">
        <v>46113</v>
      </c>
      <c r="G508" s="76"/>
      <c r="H508" s="9" t="s">
        <v>180</v>
      </c>
      <c r="I508" s="9">
        <v>2</v>
      </c>
      <c r="J508" s="9">
        <v>150</v>
      </c>
      <c r="K508" s="79">
        <f t="shared" si="61"/>
        <v>300</v>
      </c>
      <c r="L508" s="78">
        <v>46112</v>
      </c>
      <c r="N508" s="85"/>
      <c r="O508" s="86"/>
      <c r="P508" s="83">
        <f t="shared" si="56"/>
        <v>150</v>
      </c>
      <c r="Q508" s="83">
        <f t="shared" si="57"/>
        <v>300</v>
      </c>
      <c r="R508" s="83"/>
      <c r="S508" s="83"/>
      <c r="T508" s="87"/>
      <c r="U508" s="83">
        <f t="shared" si="58"/>
        <v>150</v>
      </c>
      <c r="V508" s="83">
        <f t="shared" si="59"/>
        <v>2</v>
      </c>
      <c r="W508" s="84">
        <f t="shared" si="60"/>
        <v>300</v>
      </c>
      <c r="X508" s="84" t="s">
        <v>181</v>
      </c>
      <c r="Y508" s="24" t="s">
        <v>176</v>
      </c>
    </row>
    <row r="509" spans="1:25" s="24" customFormat="1" ht="11.1" customHeight="1" x14ac:dyDescent="0.2">
      <c r="A509" s="76">
        <f t="shared" si="55"/>
        <v>507</v>
      </c>
      <c r="B509" s="77" t="s">
        <v>351</v>
      </c>
      <c r="C509" s="76" t="str">
        <f>IF($B509&lt;&gt;"",_xlfn.IFNA(VLOOKUP($B509,'Node Details'!$B:$U,C$1,0),"Check"),"")</f>
        <v>0000AXY15-AXY150108</v>
      </c>
      <c r="D509" s="76" t="str">
        <f>IF($B509&lt;&gt;"",_xlfn.IFNA(VLOOKUP($B509,'Node Details'!$B:$U,D$1,0),"Check"),"")</f>
        <v>AXY</v>
      </c>
      <c r="E509" s="76" t="str">
        <f>IF($B509&lt;&gt;"",_xlfn.IFNA(VLOOKUP($B509,'Node Details'!$B:$U,E$1,0),"Check"),"")</f>
        <v>Airtel</v>
      </c>
      <c r="F509" s="78">
        <v>46113</v>
      </c>
      <c r="G509" s="76"/>
      <c r="H509" s="9" t="s">
        <v>180</v>
      </c>
      <c r="I509" s="9">
        <v>2</v>
      </c>
      <c r="J509" s="9">
        <v>150</v>
      </c>
      <c r="K509" s="79">
        <f t="shared" si="61"/>
        <v>300</v>
      </c>
      <c r="L509" s="78">
        <v>46112</v>
      </c>
      <c r="N509" s="85"/>
      <c r="O509" s="86"/>
      <c r="P509" s="83">
        <f t="shared" si="56"/>
        <v>150</v>
      </c>
      <c r="Q509" s="83">
        <f t="shared" si="57"/>
        <v>300</v>
      </c>
      <c r="R509" s="83"/>
      <c r="S509" s="83"/>
      <c r="T509" s="87"/>
      <c r="U509" s="83">
        <f t="shared" si="58"/>
        <v>150</v>
      </c>
      <c r="V509" s="83">
        <f t="shared" si="59"/>
        <v>2</v>
      </c>
      <c r="W509" s="84">
        <f t="shared" si="60"/>
        <v>300</v>
      </c>
      <c r="X509" s="84" t="s">
        <v>181</v>
      </c>
      <c r="Y509" s="24" t="s">
        <v>176</v>
      </c>
    </row>
    <row r="510" spans="1:25" s="24" customFormat="1" ht="11.1" customHeight="1" x14ac:dyDescent="0.2">
      <c r="A510" s="76">
        <f t="shared" si="55"/>
        <v>508</v>
      </c>
      <c r="B510" s="77" t="s">
        <v>352</v>
      </c>
      <c r="C510" s="76" t="str">
        <f>IF($B510&lt;&gt;"",_xlfn.IFNA(VLOOKUP($B510,'Node Details'!$B:$U,C$1,0),"Check"),"")</f>
        <v>000000AXY-0000AXY17</v>
      </c>
      <c r="D510" s="76" t="str">
        <f>IF($B510&lt;&gt;"",_xlfn.IFNA(VLOOKUP($B510,'Node Details'!$B:$U,D$1,0),"Check"),"")</f>
        <v>AXY</v>
      </c>
      <c r="E510" s="76" t="str">
        <f>IF($B510&lt;&gt;"",_xlfn.IFNA(VLOOKUP($B510,'Node Details'!$B:$U,E$1,0),"Check"),"")</f>
        <v>Airtel</v>
      </c>
      <c r="F510" s="78">
        <v>46113</v>
      </c>
      <c r="G510" s="76"/>
      <c r="H510" s="9" t="s">
        <v>180</v>
      </c>
      <c r="I510" s="9">
        <v>2</v>
      </c>
      <c r="J510" s="9">
        <v>150</v>
      </c>
      <c r="K510" s="79">
        <f t="shared" si="61"/>
        <v>300</v>
      </c>
      <c r="L510" s="78">
        <v>46112</v>
      </c>
      <c r="N510" s="85"/>
      <c r="O510" s="86"/>
      <c r="P510" s="83">
        <f t="shared" si="56"/>
        <v>150</v>
      </c>
      <c r="Q510" s="83">
        <f t="shared" si="57"/>
        <v>300</v>
      </c>
      <c r="R510" s="83"/>
      <c r="S510" s="83"/>
      <c r="T510" s="87"/>
      <c r="U510" s="83">
        <f t="shared" si="58"/>
        <v>150</v>
      </c>
      <c r="V510" s="83">
        <f t="shared" si="59"/>
        <v>2</v>
      </c>
      <c r="W510" s="84">
        <f t="shared" si="60"/>
        <v>300</v>
      </c>
      <c r="X510" s="84" t="s">
        <v>181</v>
      </c>
      <c r="Y510" s="24" t="s">
        <v>176</v>
      </c>
    </row>
    <row r="511" spans="1:25" s="24" customFormat="1" ht="11.1" customHeight="1" x14ac:dyDescent="0.2">
      <c r="A511" s="76">
        <f t="shared" si="55"/>
        <v>509</v>
      </c>
      <c r="B511" s="77" t="s">
        <v>353</v>
      </c>
      <c r="C511" s="76" t="str">
        <f>IF($B511&lt;&gt;"",_xlfn.IFNA(VLOOKUP($B511,'Node Details'!$B:$U,C$1,0),"Check"),"")</f>
        <v>0000AXY16-AXY160104</v>
      </c>
      <c r="D511" s="76" t="str">
        <f>IF($B511&lt;&gt;"",_xlfn.IFNA(VLOOKUP($B511,'Node Details'!$B:$U,D$1,0),"Check"),"")</f>
        <v>AXY</v>
      </c>
      <c r="E511" s="76" t="str">
        <f>IF($B511&lt;&gt;"",_xlfn.IFNA(VLOOKUP($B511,'Node Details'!$B:$U,E$1,0),"Check"),"")</f>
        <v>Airtel</v>
      </c>
      <c r="F511" s="78">
        <v>46113</v>
      </c>
      <c r="G511" s="76"/>
      <c r="H511" s="9" t="s">
        <v>180</v>
      </c>
      <c r="I511" s="9">
        <v>2</v>
      </c>
      <c r="J511" s="9">
        <v>150</v>
      </c>
      <c r="K511" s="79">
        <f t="shared" si="61"/>
        <v>300</v>
      </c>
      <c r="L511" s="78">
        <v>46112</v>
      </c>
      <c r="N511" s="85"/>
      <c r="O511" s="86"/>
      <c r="P511" s="83">
        <f t="shared" si="56"/>
        <v>150</v>
      </c>
      <c r="Q511" s="83">
        <f t="shared" si="57"/>
        <v>300</v>
      </c>
      <c r="R511" s="83"/>
      <c r="S511" s="83"/>
      <c r="T511" s="87"/>
      <c r="U511" s="83">
        <f t="shared" si="58"/>
        <v>150</v>
      </c>
      <c r="V511" s="83">
        <f t="shared" si="59"/>
        <v>2</v>
      </c>
      <c r="W511" s="84">
        <f t="shared" si="60"/>
        <v>300</v>
      </c>
      <c r="X511" s="84" t="s">
        <v>181</v>
      </c>
      <c r="Y511" s="24" t="s">
        <v>176</v>
      </c>
    </row>
    <row r="512" spans="1:25" s="24" customFormat="1" ht="11.1" customHeight="1" x14ac:dyDescent="0.2">
      <c r="A512" s="76">
        <f t="shared" si="55"/>
        <v>510</v>
      </c>
      <c r="B512" s="77" t="s">
        <v>354</v>
      </c>
      <c r="C512" s="76" t="str">
        <f>IF($B512&lt;&gt;"",_xlfn.IFNA(VLOOKUP($B512,'Node Details'!$B:$U,C$1,0),"Check"),"")</f>
        <v>0000AXY16-AXY160103</v>
      </c>
      <c r="D512" s="76" t="str">
        <f>IF($B512&lt;&gt;"",_xlfn.IFNA(VLOOKUP($B512,'Node Details'!$B:$U,D$1,0),"Check"),"")</f>
        <v>AXY</v>
      </c>
      <c r="E512" s="76" t="str">
        <f>IF($B512&lt;&gt;"",_xlfn.IFNA(VLOOKUP($B512,'Node Details'!$B:$U,E$1,0),"Check"),"")</f>
        <v>Airtel</v>
      </c>
      <c r="F512" s="78">
        <v>46113</v>
      </c>
      <c r="G512" s="76"/>
      <c r="H512" s="9" t="s">
        <v>180</v>
      </c>
      <c r="I512" s="9">
        <v>2</v>
      </c>
      <c r="J512" s="9">
        <v>150</v>
      </c>
      <c r="K512" s="79">
        <f t="shared" si="61"/>
        <v>300</v>
      </c>
      <c r="L512" s="78">
        <v>46112</v>
      </c>
      <c r="N512" s="85"/>
      <c r="O512" s="86"/>
      <c r="P512" s="83">
        <f t="shared" si="56"/>
        <v>150</v>
      </c>
      <c r="Q512" s="83">
        <f t="shared" si="57"/>
        <v>300</v>
      </c>
      <c r="R512" s="83"/>
      <c r="S512" s="83"/>
      <c r="T512" s="87"/>
      <c r="U512" s="83">
        <f t="shared" si="58"/>
        <v>150</v>
      </c>
      <c r="V512" s="83">
        <f t="shared" si="59"/>
        <v>2</v>
      </c>
      <c r="W512" s="84">
        <f t="shared" si="60"/>
        <v>300</v>
      </c>
      <c r="X512" s="84" t="s">
        <v>181</v>
      </c>
      <c r="Y512" s="24" t="s">
        <v>176</v>
      </c>
    </row>
    <row r="513" spans="1:25" s="24" customFormat="1" ht="11.1" customHeight="1" x14ac:dyDescent="0.2">
      <c r="A513" s="76">
        <f t="shared" si="55"/>
        <v>511</v>
      </c>
      <c r="B513" s="77" t="s">
        <v>355</v>
      </c>
      <c r="C513" s="76" t="str">
        <f>IF($B513&lt;&gt;"",_xlfn.IFNA(VLOOKUP($B513,'Node Details'!$B:$U,C$1,0),"Check"),"")</f>
        <v>0000AXY16-AXY160103</v>
      </c>
      <c r="D513" s="76" t="str">
        <f>IF($B513&lt;&gt;"",_xlfn.IFNA(VLOOKUP($B513,'Node Details'!$B:$U,D$1,0),"Check"),"")</f>
        <v>AXY</v>
      </c>
      <c r="E513" s="76" t="str">
        <f>IF($B513&lt;&gt;"",_xlfn.IFNA(VLOOKUP($B513,'Node Details'!$B:$U,E$1,0),"Check"),"")</f>
        <v>Airtel</v>
      </c>
      <c r="F513" s="78">
        <v>46113</v>
      </c>
      <c r="G513" s="76"/>
      <c r="H513" s="9" t="s">
        <v>180</v>
      </c>
      <c r="I513" s="9">
        <v>2</v>
      </c>
      <c r="J513" s="9">
        <v>150</v>
      </c>
      <c r="K513" s="79">
        <f t="shared" si="61"/>
        <v>300</v>
      </c>
      <c r="L513" s="78">
        <v>46112</v>
      </c>
      <c r="N513" s="85"/>
      <c r="O513" s="86"/>
      <c r="P513" s="83">
        <f t="shared" si="56"/>
        <v>150</v>
      </c>
      <c r="Q513" s="83">
        <f t="shared" si="57"/>
        <v>300</v>
      </c>
      <c r="R513" s="83"/>
      <c r="S513" s="83"/>
      <c r="T513" s="87"/>
      <c r="U513" s="83">
        <f t="shared" si="58"/>
        <v>150</v>
      </c>
      <c r="V513" s="83">
        <f t="shared" si="59"/>
        <v>2</v>
      </c>
      <c r="W513" s="84">
        <f t="shared" si="60"/>
        <v>300</v>
      </c>
      <c r="X513" s="84" t="s">
        <v>181</v>
      </c>
      <c r="Y513" s="24" t="s">
        <v>176</v>
      </c>
    </row>
    <row r="514" spans="1:25" s="24" customFormat="1" ht="11.1" customHeight="1" x14ac:dyDescent="0.2">
      <c r="A514" s="76">
        <f t="shared" si="55"/>
        <v>512</v>
      </c>
      <c r="B514" s="77" t="s">
        <v>356</v>
      </c>
      <c r="C514" s="76" t="str">
        <f>IF($B514&lt;&gt;"",_xlfn.IFNA(VLOOKUP($B514,'Node Details'!$B:$U,C$1,0),"Check"),"")</f>
        <v>0000AXY16-AXY160103</v>
      </c>
      <c r="D514" s="76" t="str">
        <f>IF($B514&lt;&gt;"",_xlfn.IFNA(VLOOKUP($B514,'Node Details'!$B:$U,D$1,0),"Check"),"")</f>
        <v>AXY</v>
      </c>
      <c r="E514" s="76" t="str">
        <f>IF($B514&lt;&gt;"",_xlfn.IFNA(VLOOKUP($B514,'Node Details'!$B:$U,E$1,0),"Check"),"")</f>
        <v>Airtel</v>
      </c>
      <c r="F514" s="78">
        <v>46113</v>
      </c>
      <c r="G514" s="76"/>
      <c r="H514" s="9" t="s">
        <v>180</v>
      </c>
      <c r="I514" s="9">
        <v>2</v>
      </c>
      <c r="J514" s="9">
        <v>150</v>
      </c>
      <c r="K514" s="79">
        <f t="shared" si="61"/>
        <v>300</v>
      </c>
      <c r="L514" s="78">
        <v>46112</v>
      </c>
      <c r="N514" s="85"/>
      <c r="O514" s="86"/>
      <c r="P514" s="83">
        <f t="shared" si="56"/>
        <v>150</v>
      </c>
      <c r="Q514" s="83">
        <f t="shared" si="57"/>
        <v>300</v>
      </c>
      <c r="R514" s="83"/>
      <c r="S514" s="83"/>
      <c r="T514" s="87"/>
      <c r="U514" s="83">
        <f t="shared" si="58"/>
        <v>150</v>
      </c>
      <c r="V514" s="83">
        <f t="shared" si="59"/>
        <v>2</v>
      </c>
      <c r="W514" s="84">
        <f t="shared" si="60"/>
        <v>300</v>
      </c>
      <c r="X514" s="84" t="s">
        <v>181</v>
      </c>
      <c r="Y514" s="24" t="s">
        <v>176</v>
      </c>
    </row>
    <row r="515" spans="1:25" s="24" customFormat="1" ht="11.1" customHeight="1" x14ac:dyDescent="0.2">
      <c r="A515" s="76">
        <f t="shared" si="55"/>
        <v>513</v>
      </c>
      <c r="B515" s="77" t="s">
        <v>357</v>
      </c>
      <c r="C515" s="76" t="str">
        <f>IF($B515&lt;&gt;"",_xlfn.IFNA(VLOOKUP($B515,'Node Details'!$B:$U,C$1,0),"Check"),"")</f>
        <v>0000AXY16-AXY160107</v>
      </c>
      <c r="D515" s="76" t="str">
        <f>IF($B515&lt;&gt;"",_xlfn.IFNA(VLOOKUP($B515,'Node Details'!$B:$U,D$1,0),"Check"),"")</f>
        <v>AXY</v>
      </c>
      <c r="E515" s="76" t="str">
        <f>IF($B515&lt;&gt;"",_xlfn.IFNA(VLOOKUP($B515,'Node Details'!$B:$U,E$1,0),"Check"),"")</f>
        <v>Airtel</v>
      </c>
      <c r="F515" s="78">
        <v>46113</v>
      </c>
      <c r="G515" s="76"/>
      <c r="H515" s="9" t="s">
        <v>180</v>
      </c>
      <c r="I515" s="9">
        <v>2</v>
      </c>
      <c r="J515" s="9">
        <v>150</v>
      </c>
      <c r="K515" s="79">
        <f t="shared" si="61"/>
        <v>300</v>
      </c>
      <c r="L515" s="78">
        <v>46112</v>
      </c>
      <c r="N515" s="85"/>
      <c r="O515" s="86"/>
      <c r="P515" s="83">
        <f t="shared" si="56"/>
        <v>150</v>
      </c>
      <c r="Q515" s="83">
        <f t="shared" si="57"/>
        <v>300</v>
      </c>
      <c r="R515" s="83"/>
      <c r="S515" s="83"/>
      <c r="T515" s="87"/>
      <c r="U515" s="83">
        <f t="shared" si="58"/>
        <v>150</v>
      </c>
      <c r="V515" s="83">
        <f t="shared" si="59"/>
        <v>2</v>
      </c>
      <c r="W515" s="84">
        <f t="shared" si="60"/>
        <v>300</v>
      </c>
      <c r="X515" s="84" t="s">
        <v>181</v>
      </c>
      <c r="Y515" s="24" t="s">
        <v>176</v>
      </c>
    </row>
    <row r="516" spans="1:25" s="24" customFormat="1" ht="11.1" customHeight="1" x14ac:dyDescent="0.2">
      <c r="A516" s="76">
        <f t="shared" ref="A516:A526" si="62">A515+1</f>
        <v>514</v>
      </c>
      <c r="B516" s="77" t="s">
        <v>358</v>
      </c>
      <c r="C516" s="76" t="str">
        <f>IF($B516&lt;&gt;"",_xlfn.IFNA(VLOOKUP($B516,'Node Details'!$B:$U,C$1,0),"Check"),"")</f>
        <v>0000AXY16-AXY160107</v>
      </c>
      <c r="D516" s="76" t="str">
        <f>IF($B516&lt;&gt;"",_xlfn.IFNA(VLOOKUP($B516,'Node Details'!$B:$U,D$1,0),"Check"),"")</f>
        <v>AXY</v>
      </c>
      <c r="E516" s="76" t="str">
        <f>IF($B516&lt;&gt;"",_xlfn.IFNA(VLOOKUP($B516,'Node Details'!$B:$U,E$1,0),"Check"),"")</f>
        <v>Airtel</v>
      </c>
      <c r="F516" s="78">
        <v>46113</v>
      </c>
      <c r="G516" s="76"/>
      <c r="H516" s="9" t="s">
        <v>180</v>
      </c>
      <c r="I516" s="9">
        <v>2</v>
      </c>
      <c r="J516" s="9">
        <v>150</v>
      </c>
      <c r="K516" s="79">
        <f t="shared" si="61"/>
        <v>300</v>
      </c>
      <c r="L516" s="78">
        <v>46112</v>
      </c>
      <c r="N516" s="85"/>
      <c r="O516" s="86"/>
      <c r="P516" s="83">
        <f t="shared" si="56"/>
        <v>150</v>
      </c>
      <c r="Q516" s="83">
        <f t="shared" si="57"/>
        <v>300</v>
      </c>
      <c r="R516" s="83"/>
      <c r="S516" s="83"/>
      <c r="T516" s="87"/>
      <c r="U516" s="83">
        <f t="shared" si="58"/>
        <v>150</v>
      </c>
      <c r="V516" s="83">
        <f t="shared" si="59"/>
        <v>2</v>
      </c>
      <c r="W516" s="84">
        <f t="shared" si="60"/>
        <v>300</v>
      </c>
      <c r="X516" s="84" t="s">
        <v>181</v>
      </c>
      <c r="Y516" s="24" t="s">
        <v>176</v>
      </c>
    </row>
    <row r="517" spans="1:25" s="24" customFormat="1" ht="11.1" customHeight="1" x14ac:dyDescent="0.2">
      <c r="A517" s="76">
        <f t="shared" si="62"/>
        <v>515</v>
      </c>
      <c r="B517" s="77" t="s">
        <v>359</v>
      </c>
      <c r="C517" s="76" t="str">
        <f>IF($B517&lt;&gt;"",_xlfn.IFNA(VLOOKUP($B517,'Node Details'!$B:$U,C$1,0),"Check"),"")</f>
        <v>0000AXY16-AXY160107</v>
      </c>
      <c r="D517" s="76" t="str">
        <f>IF($B517&lt;&gt;"",_xlfn.IFNA(VLOOKUP($B517,'Node Details'!$B:$U,D$1,0),"Check"),"")</f>
        <v>AXY</v>
      </c>
      <c r="E517" s="76" t="str">
        <f>IF($B517&lt;&gt;"",_xlfn.IFNA(VLOOKUP($B517,'Node Details'!$B:$U,E$1,0),"Check"),"")</f>
        <v>Airtel</v>
      </c>
      <c r="F517" s="78">
        <v>46113</v>
      </c>
      <c r="G517" s="76"/>
      <c r="H517" s="9" t="s">
        <v>180</v>
      </c>
      <c r="I517" s="9">
        <v>2</v>
      </c>
      <c r="J517" s="9">
        <v>150</v>
      </c>
      <c r="K517" s="79">
        <f t="shared" si="61"/>
        <v>300</v>
      </c>
      <c r="L517" s="78">
        <v>46112</v>
      </c>
      <c r="N517" s="85"/>
      <c r="O517" s="86"/>
      <c r="P517" s="83">
        <f t="shared" si="56"/>
        <v>150</v>
      </c>
      <c r="Q517" s="83">
        <f t="shared" si="57"/>
        <v>300</v>
      </c>
      <c r="R517" s="83"/>
      <c r="S517" s="83"/>
      <c r="T517" s="87"/>
      <c r="U517" s="83">
        <f t="shared" si="58"/>
        <v>150</v>
      </c>
      <c r="V517" s="83">
        <f t="shared" si="59"/>
        <v>2</v>
      </c>
      <c r="W517" s="84">
        <f t="shared" si="60"/>
        <v>300</v>
      </c>
      <c r="X517" s="84" t="s">
        <v>181</v>
      </c>
      <c r="Y517" s="24" t="s">
        <v>176</v>
      </c>
    </row>
    <row r="518" spans="1:25" s="24" customFormat="1" ht="11.1" customHeight="1" x14ac:dyDescent="0.2">
      <c r="A518" s="76">
        <f t="shared" si="62"/>
        <v>516</v>
      </c>
      <c r="B518" s="77" t="s">
        <v>360</v>
      </c>
      <c r="C518" s="76" t="str">
        <f>IF($B518&lt;&gt;"",_xlfn.IFNA(VLOOKUP($B518,'Node Details'!$B:$U,C$1,0),"Check"),"")</f>
        <v>0000AXY16-AXY160108</v>
      </c>
      <c r="D518" s="76" t="str">
        <f>IF($B518&lt;&gt;"",_xlfn.IFNA(VLOOKUP($B518,'Node Details'!$B:$U,D$1,0),"Check"),"")</f>
        <v>AXY</v>
      </c>
      <c r="E518" s="76" t="str">
        <f>IF($B518&lt;&gt;"",_xlfn.IFNA(VLOOKUP($B518,'Node Details'!$B:$U,E$1,0),"Check"),"")</f>
        <v>Airtel</v>
      </c>
      <c r="F518" s="78">
        <v>46113</v>
      </c>
      <c r="G518" s="76"/>
      <c r="H518" s="9" t="s">
        <v>180</v>
      </c>
      <c r="I518" s="9">
        <v>2</v>
      </c>
      <c r="J518" s="9">
        <v>150</v>
      </c>
      <c r="K518" s="79">
        <f t="shared" si="61"/>
        <v>300</v>
      </c>
      <c r="L518" s="78">
        <v>46112</v>
      </c>
      <c r="N518" s="85"/>
      <c r="O518" s="86"/>
      <c r="P518" s="83">
        <f t="shared" si="56"/>
        <v>150</v>
      </c>
      <c r="Q518" s="83">
        <f t="shared" si="57"/>
        <v>300</v>
      </c>
      <c r="R518" s="83"/>
      <c r="S518" s="83"/>
      <c r="T518" s="87"/>
      <c r="U518" s="83">
        <f t="shared" si="58"/>
        <v>150</v>
      </c>
      <c r="V518" s="83">
        <f t="shared" si="59"/>
        <v>2</v>
      </c>
      <c r="W518" s="84">
        <f t="shared" si="60"/>
        <v>300</v>
      </c>
      <c r="X518" s="84" t="s">
        <v>181</v>
      </c>
      <c r="Y518" s="24" t="s">
        <v>176</v>
      </c>
    </row>
    <row r="519" spans="1:25" s="24" customFormat="1" ht="11.1" customHeight="1" x14ac:dyDescent="0.2">
      <c r="A519" s="76">
        <f t="shared" si="62"/>
        <v>517</v>
      </c>
      <c r="B519" s="77" t="s">
        <v>361</v>
      </c>
      <c r="C519" s="76" t="str">
        <f>IF($B519&lt;&gt;"",_xlfn.IFNA(VLOOKUP($B519,'Node Details'!$B:$U,C$1,0),"Check"),"")</f>
        <v>000000AXY-0000AXY17</v>
      </c>
      <c r="D519" s="76" t="str">
        <f>IF($B519&lt;&gt;"",_xlfn.IFNA(VLOOKUP($B519,'Node Details'!$B:$U,D$1,0),"Check"),"")</f>
        <v>AXY</v>
      </c>
      <c r="E519" s="76" t="str">
        <f>IF($B519&lt;&gt;"",_xlfn.IFNA(VLOOKUP($B519,'Node Details'!$B:$U,E$1,0),"Check"),"")</f>
        <v>Airtel</v>
      </c>
      <c r="F519" s="78">
        <v>46113</v>
      </c>
      <c r="G519" s="76"/>
      <c r="H519" s="9" t="s">
        <v>180</v>
      </c>
      <c r="I519" s="9">
        <v>2</v>
      </c>
      <c r="J519" s="9">
        <v>150</v>
      </c>
      <c r="K519" s="79">
        <f t="shared" si="61"/>
        <v>300</v>
      </c>
      <c r="L519" s="78">
        <v>46112</v>
      </c>
      <c r="N519" s="85"/>
      <c r="O519" s="86"/>
      <c r="P519" s="83">
        <f t="shared" si="56"/>
        <v>150</v>
      </c>
      <c r="Q519" s="83">
        <f t="shared" si="57"/>
        <v>300</v>
      </c>
      <c r="R519" s="83"/>
      <c r="S519" s="83"/>
      <c r="T519" s="87"/>
      <c r="U519" s="83">
        <f t="shared" si="58"/>
        <v>150</v>
      </c>
      <c r="V519" s="83">
        <f t="shared" si="59"/>
        <v>2</v>
      </c>
      <c r="W519" s="84">
        <f t="shared" si="60"/>
        <v>300</v>
      </c>
      <c r="X519" s="84" t="s">
        <v>181</v>
      </c>
      <c r="Y519" s="24" t="s">
        <v>176</v>
      </c>
    </row>
    <row r="520" spans="1:25" s="24" customFormat="1" ht="11.1" customHeight="1" x14ac:dyDescent="0.2">
      <c r="A520" s="76">
        <f t="shared" si="62"/>
        <v>518</v>
      </c>
      <c r="B520" s="77" t="s">
        <v>362</v>
      </c>
      <c r="C520" s="76" t="str">
        <f>IF($B520&lt;&gt;"",_xlfn.IFNA(VLOOKUP($B520,'Node Details'!$B:$U,C$1,0),"Check"),"")</f>
        <v>0000AXY17-AXY170101</v>
      </c>
      <c r="D520" s="76" t="str">
        <f>IF($B520&lt;&gt;"",_xlfn.IFNA(VLOOKUP($B520,'Node Details'!$B:$U,D$1,0),"Check"),"")</f>
        <v>AXY</v>
      </c>
      <c r="E520" s="76" t="str">
        <f>IF($B520&lt;&gt;"",_xlfn.IFNA(VLOOKUP($B520,'Node Details'!$B:$U,E$1,0),"Check"),"")</f>
        <v>Airtel</v>
      </c>
      <c r="F520" s="78">
        <v>46113</v>
      </c>
      <c r="G520" s="76"/>
      <c r="H520" s="9" t="s">
        <v>180</v>
      </c>
      <c r="I520" s="9">
        <v>2</v>
      </c>
      <c r="J520" s="9">
        <v>150</v>
      </c>
      <c r="K520" s="79">
        <f t="shared" si="61"/>
        <v>300</v>
      </c>
      <c r="L520" s="78">
        <v>46112</v>
      </c>
      <c r="N520" s="85"/>
      <c r="O520" s="86"/>
      <c r="P520" s="83">
        <f t="shared" si="56"/>
        <v>150</v>
      </c>
      <c r="Q520" s="83">
        <f t="shared" si="57"/>
        <v>300</v>
      </c>
      <c r="R520" s="83"/>
      <c r="S520" s="83"/>
      <c r="T520" s="87"/>
      <c r="U520" s="83">
        <f t="shared" si="58"/>
        <v>150</v>
      </c>
      <c r="V520" s="83">
        <f t="shared" si="59"/>
        <v>2</v>
      </c>
      <c r="W520" s="84">
        <f t="shared" si="60"/>
        <v>300</v>
      </c>
      <c r="X520" s="84" t="s">
        <v>181</v>
      </c>
      <c r="Y520" s="24" t="s">
        <v>176</v>
      </c>
    </row>
    <row r="521" spans="1:25" s="24" customFormat="1" ht="11.1" customHeight="1" x14ac:dyDescent="0.2">
      <c r="A521" s="76">
        <f t="shared" si="62"/>
        <v>519</v>
      </c>
      <c r="B521" s="77" t="s">
        <v>363</v>
      </c>
      <c r="C521" s="76" t="str">
        <f>IF($B521&lt;&gt;"",_xlfn.IFNA(VLOOKUP($B521,'Node Details'!$B:$U,C$1,0),"Check"),"")</f>
        <v>0000AXY17-AXY170107</v>
      </c>
      <c r="D521" s="76" t="str">
        <f>IF($B521&lt;&gt;"",_xlfn.IFNA(VLOOKUP($B521,'Node Details'!$B:$U,D$1,0),"Check"),"")</f>
        <v>AXY</v>
      </c>
      <c r="E521" s="76" t="str">
        <f>IF($B521&lt;&gt;"",_xlfn.IFNA(VLOOKUP($B521,'Node Details'!$B:$U,E$1,0),"Check"),"")</f>
        <v>Airtel</v>
      </c>
      <c r="F521" s="78">
        <v>46113</v>
      </c>
      <c r="G521" s="76"/>
      <c r="H521" s="9" t="s">
        <v>180</v>
      </c>
      <c r="I521" s="9">
        <v>2</v>
      </c>
      <c r="J521" s="9">
        <v>150</v>
      </c>
      <c r="K521" s="79">
        <f t="shared" si="61"/>
        <v>300</v>
      </c>
      <c r="L521" s="78">
        <v>46112</v>
      </c>
      <c r="N521" s="85"/>
      <c r="O521" s="86"/>
      <c r="P521" s="83">
        <f t="shared" si="56"/>
        <v>150</v>
      </c>
      <c r="Q521" s="83">
        <f t="shared" si="57"/>
        <v>300</v>
      </c>
      <c r="R521" s="83"/>
      <c r="S521" s="83"/>
      <c r="T521" s="87"/>
      <c r="U521" s="83">
        <f t="shared" si="58"/>
        <v>150</v>
      </c>
      <c r="V521" s="83">
        <f t="shared" si="59"/>
        <v>2</v>
      </c>
      <c r="W521" s="84">
        <f t="shared" si="60"/>
        <v>300</v>
      </c>
      <c r="X521" s="84" t="s">
        <v>181</v>
      </c>
      <c r="Y521" s="24" t="s">
        <v>176</v>
      </c>
    </row>
    <row r="522" spans="1:25" s="24" customFormat="1" ht="11.1" customHeight="1" x14ac:dyDescent="0.2">
      <c r="A522" s="76">
        <f t="shared" si="62"/>
        <v>520</v>
      </c>
      <c r="B522" s="77" t="s">
        <v>364</v>
      </c>
      <c r="C522" s="76" t="str">
        <f>IF($B522&lt;&gt;"",_xlfn.IFNA(VLOOKUP($B522,'Node Details'!$B:$U,C$1,0),"Check"),"")</f>
        <v>0000AXY17-AXY170107</v>
      </c>
      <c r="D522" s="76" t="str">
        <f>IF($B522&lt;&gt;"",_xlfn.IFNA(VLOOKUP($B522,'Node Details'!$B:$U,D$1,0),"Check"),"")</f>
        <v>AXY</v>
      </c>
      <c r="E522" s="76" t="str">
        <f>IF($B522&lt;&gt;"",_xlfn.IFNA(VLOOKUP($B522,'Node Details'!$B:$U,E$1,0),"Check"),"")</f>
        <v>Airtel</v>
      </c>
      <c r="F522" s="78">
        <v>46113</v>
      </c>
      <c r="G522" s="76"/>
      <c r="H522" s="9" t="s">
        <v>180</v>
      </c>
      <c r="I522" s="9">
        <v>2</v>
      </c>
      <c r="J522" s="9">
        <v>150</v>
      </c>
      <c r="K522" s="79">
        <f t="shared" si="61"/>
        <v>300</v>
      </c>
      <c r="L522" s="78">
        <v>46112</v>
      </c>
      <c r="N522" s="85"/>
      <c r="O522" s="86"/>
      <c r="P522" s="83">
        <f t="shared" si="56"/>
        <v>150</v>
      </c>
      <c r="Q522" s="83">
        <f t="shared" si="57"/>
        <v>300</v>
      </c>
      <c r="R522" s="83"/>
      <c r="S522" s="83"/>
      <c r="T522" s="87"/>
      <c r="U522" s="83">
        <f t="shared" si="58"/>
        <v>150</v>
      </c>
      <c r="V522" s="83">
        <f t="shared" si="59"/>
        <v>2</v>
      </c>
      <c r="W522" s="84">
        <f t="shared" si="60"/>
        <v>300</v>
      </c>
      <c r="X522" s="84" t="s">
        <v>181</v>
      </c>
      <c r="Y522" s="24" t="s">
        <v>176</v>
      </c>
    </row>
    <row r="523" spans="1:25" s="24" customFormat="1" ht="11.1" customHeight="1" x14ac:dyDescent="0.2">
      <c r="A523" s="76">
        <f t="shared" si="62"/>
        <v>521</v>
      </c>
      <c r="B523" s="77" t="s">
        <v>365</v>
      </c>
      <c r="C523" s="76" t="str">
        <f>IF($B523&lt;&gt;"",_xlfn.IFNA(VLOOKUP($B523,'Node Details'!$B:$U,C$1,0),"Check"),"")</f>
        <v>0000AXY17-AXY170201</v>
      </c>
      <c r="D523" s="76" t="str">
        <f>IF($B523&lt;&gt;"",_xlfn.IFNA(VLOOKUP($B523,'Node Details'!$B:$U,D$1,0),"Check"),"")</f>
        <v>AXY</v>
      </c>
      <c r="E523" s="76" t="str">
        <f>IF($B523&lt;&gt;"",_xlfn.IFNA(VLOOKUP($B523,'Node Details'!$B:$U,E$1,0),"Check"),"")</f>
        <v>Airtel</v>
      </c>
      <c r="F523" s="78">
        <v>46113</v>
      </c>
      <c r="G523" s="76"/>
      <c r="H523" s="9" t="s">
        <v>180</v>
      </c>
      <c r="I523" s="9">
        <v>2</v>
      </c>
      <c r="J523" s="9">
        <v>150</v>
      </c>
      <c r="K523" s="79">
        <f t="shared" si="61"/>
        <v>300</v>
      </c>
      <c r="L523" s="78">
        <v>46112</v>
      </c>
      <c r="N523" s="85"/>
      <c r="O523" s="86"/>
      <c r="P523" s="83">
        <f t="shared" si="56"/>
        <v>150</v>
      </c>
      <c r="Q523" s="83">
        <f t="shared" si="57"/>
        <v>300</v>
      </c>
      <c r="R523" s="83"/>
      <c r="S523" s="83"/>
      <c r="T523" s="87"/>
      <c r="U523" s="83">
        <f t="shared" si="58"/>
        <v>150</v>
      </c>
      <c r="V523" s="83">
        <f t="shared" si="59"/>
        <v>2</v>
      </c>
      <c r="W523" s="84">
        <f t="shared" si="60"/>
        <v>300</v>
      </c>
      <c r="X523" s="84" t="s">
        <v>181</v>
      </c>
      <c r="Y523" s="24" t="s">
        <v>176</v>
      </c>
    </row>
    <row r="524" spans="1:25" s="24" customFormat="1" ht="11.1" customHeight="1" x14ac:dyDescent="0.2">
      <c r="A524" s="76">
        <f t="shared" si="62"/>
        <v>522</v>
      </c>
      <c r="B524" s="77" t="s">
        <v>366</v>
      </c>
      <c r="C524" s="76" t="str">
        <f>IF($B524&lt;&gt;"",_xlfn.IFNA(VLOOKUP($B524,'Node Details'!$B:$U,C$1,0),"Check"),"")</f>
        <v>0000AXY17-AXY170201</v>
      </c>
      <c r="D524" s="76" t="str">
        <f>IF($B524&lt;&gt;"",_xlfn.IFNA(VLOOKUP($B524,'Node Details'!$B:$U,D$1,0),"Check"),"")</f>
        <v>AXY</v>
      </c>
      <c r="E524" s="76" t="str">
        <f>IF($B524&lt;&gt;"",_xlfn.IFNA(VLOOKUP($B524,'Node Details'!$B:$U,E$1,0),"Check"),"")</f>
        <v>Airtel</v>
      </c>
      <c r="F524" s="78">
        <v>46113</v>
      </c>
      <c r="G524" s="76"/>
      <c r="H524" s="9" t="s">
        <v>180</v>
      </c>
      <c r="I524" s="9">
        <v>2</v>
      </c>
      <c r="J524" s="9">
        <v>150</v>
      </c>
      <c r="K524" s="79">
        <f t="shared" si="61"/>
        <v>300</v>
      </c>
      <c r="L524" s="78">
        <v>46112</v>
      </c>
      <c r="N524" s="85"/>
      <c r="O524" s="86"/>
      <c r="P524" s="83">
        <f t="shared" si="56"/>
        <v>150</v>
      </c>
      <c r="Q524" s="83">
        <f t="shared" si="57"/>
        <v>300</v>
      </c>
      <c r="R524" s="83"/>
      <c r="S524" s="83"/>
      <c r="T524" s="87"/>
      <c r="U524" s="83">
        <f t="shared" si="58"/>
        <v>150</v>
      </c>
      <c r="V524" s="83">
        <f t="shared" si="59"/>
        <v>2</v>
      </c>
      <c r="W524" s="84">
        <f t="shared" si="60"/>
        <v>300</v>
      </c>
      <c r="X524" s="84" t="s">
        <v>181</v>
      </c>
      <c r="Y524" s="24" t="s">
        <v>176</v>
      </c>
    </row>
    <row r="525" spans="1:25" s="24" customFormat="1" ht="11.1" customHeight="1" x14ac:dyDescent="0.2">
      <c r="A525" s="76">
        <f t="shared" si="62"/>
        <v>523</v>
      </c>
      <c r="B525" s="77" t="s">
        <v>367</v>
      </c>
      <c r="C525" s="76" t="str">
        <f>IF($B525&lt;&gt;"",_xlfn.IFNA(VLOOKUP($B525,'Node Details'!$B:$U,C$1,0),"Check"),"")</f>
        <v>AXY170103-AXY170107</v>
      </c>
      <c r="D525" s="76" t="str">
        <f>IF($B525&lt;&gt;"",_xlfn.IFNA(VLOOKUP($B525,'Node Details'!$B:$U,D$1,0),"Check"),"")</f>
        <v>AXY</v>
      </c>
      <c r="E525" s="76" t="str">
        <f>IF($B525&lt;&gt;"",_xlfn.IFNA(VLOOKUP($B525,'Node Details'!$B:$U,E$1,0),"Check"),"")</f>
        <v>Airtel</v>
      </c>
      <c r="F525" s="78">
        <v>46113</v>
      </c>
      <c r="G525" s="76"/>
      <c r="H525" s="9" t="s">
        <v>180</v>
      </c>
      <c r="I525" s="9">
        <v>2</v>
      </c>
      <c r="J525" s="9">
        <v>150</v>
      </c>
      <c r="K525" s="79">
        <f t="shared" si="61"/>
        <v>300</v>
      </c>
      <c r="L525" s="78">
        <v>46112</v>
      </c>
      <c r="N525" s="85"/>
      <c r="O525" s="86"/>
      <c r="P525" s="83">
        <f t="shared" si="56"/>
        <v>150</v>
      </c>
      <c r="Q525" s="83">
        <f t="shared" si="57"/>
        <v>300</v>
      </c>
      <c r="R525" s="83"/>
      <c r="S525" s="83"/>
      <c r="T525" s="87"/>
      <c r="U525" s="83">
        <f t="shared" si="58"/>
        <v>150</v>
      </c>
      <c r="V525" s="83">
        <f t="shared" si="59"/>
        <v>2</v>
      </c>
      <c r="W525" s="84">
        <f t="shared" si="60"/>
        <v>300</v>
      </c>
      <c r="X525" s="84" t="s">
        <v>181</v>
      </c>
      <c r="Y525" s="24" t="s">
        <v>176</v>
      </c>
    </row>
    <row r="526" spans="1:25" s="24" customFormat="1" ht="11.1" customHeight="1" x14ac:dyDescent="0.2">
      <c r="A526" s="76">
        <f t="shared" si="62"/>
        <v>524</v>
      </c>
      <c r="B526" s="77" t="s">
        <v>368</v>
      </c>
      <c r="C526" s="76" t="str">
        <f>IF($B526&lt;&gt;"",_xlfn.IFNA(VLOOKUP($B526,'Node Details'!$B:$U,C$1,0),"Check"),"")</f>
        <v>AXY170103-AXY170107</v>
      </c>
      <c r="D526" s="76" t="str">
        <f>IF($B526&lt;&gt;"",_xlfn.IFNA(VLOOKUP($B526,'Node Details'!$B:$U,D$1,0),"Check"),"")</f>
        <v>AXY</v>
      </c>
      <c r="E526" s="76" t="str">
        <f>IF($B526&lt;&gt;"",_xlfn.IFNA(VLOOKUP($B526,'Node Details'!$B:$U,E$1,0),"Check"),"")</f>
        <v>Airtel</v>
      </c>
      <c r="F526" s="78">
        <v>46113</v>
      </c>
      <c r="G526" s="76"/>
      <c r="H526" s="9" t="s">
        <v>180</v>
      </c>
      <c r="I526" s="9">
        <v>2</v>
      </c>
      <c r="J526" s="9">
        <v>150</v>
      </c>
      <c r="K526" s="79">
        <f t="shared" si="61"/>
        <v>300</v>
      </c>
      <c r="L526" s="78">
        <v>46112</v>
      </c>
      <c r="N526" s="85"/>
      <c r="O526" s="86"/>
      <c r="P526" s="83">
        <f t="shared" si="56"/>
        <v>150</v>
      </c>
      <c r="Q526" s="83">
        <f t="shared" si="57"/>
        <v>300</v>
      </c>
      <c r="R526" s="83"/>
      <c r="S526" s="83"/>
      <c r="T526" s="87"/>
      <c r="U526" s="83">
        <f t="shared" si="58"/>
        <v>150</v>
      </c>
      <c r="V526" s="83">
        <f t="shared" si="59"/>
        <v>2</v>
      </c>
      <c r="W526" s="84">
        <f t="shared" si="60"/>
        <v>300</v>
      </c>
      <c r="X526" s="84" t="s">
        <v>181</v>
      </c>
      <c r="Y526" s="24" t="s">
        <v>176</v>
      </c>
    </row>
  </sheetData>
  <autoFilter ref="A2:X526" xr:uid="{00000000-0001-0000-0500-000000000000}"/>
  <conditionalFormatting sqref="B3:B57">
    <cfRule type="duplicateValues" dxfId="3" priority="11"/>
  </conditionalFormatting>
  <conditionalFormatting sqref="B69:B526">
    <cfRule type="duplicateValues" dxfId="2" priority="63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Z451"/>
  <sheetViews>
    <sheetView zoomScaleNormal="100" workbookViewId="0">
      <pane ySplit="2" topLeftCell="A82" activePane="bottomLeft" state="frozen"/>
      <selection pane="bottomLeft" activeCell="A92" sqref="A92:A451"/>
    </sheetView>
  </sheetViews>
  <sheetFormatPr defaultRowHeight="15" customHeight="1" x14ac:dyDescent="0.25"/>
  <cols>
    <col min="1" max="1" width="11.42578125" style="9" bestFit="1" customWidth="1"/>
    <col min="2" max="2" width="20.85546875" style="9" bestFit="1" customWidth="1"/>
    <col min="3" max="3" width="23.28515625" bestFit="1" customWidth="1"/>
    <col min="4" max="4" width="14.85546875" style="9" bestFit="1" customWidth="1"/>
    <col min="5" max="5" width="15" bestFit="1" customWidth="1"/>
    <col min="6" max="6" width="15" customWidth="1"/>
    <col min="7" max="7" width="1.7109375" customWidth="1"/>
    <col min="8" max="8" width="25.85546875" bestFit="1" customWidth="1"/>
    <col min="9" max="9" width="14.28515625" style="9" bestFit="1" customWidth="1"/>
    <col min="10" max="10" width="13.85546875" style="9" bestFit="1" customWidth="1"/>
    <col min="11" max="11" width="15.140625" style="9" bestFit="1" customWidth="1"/>
    <col min="12" max="12" width="16.28515625" style="8" bestFit="1" customWidth="1"/>
    <col min="13" max="13" width="1.85546875" customWidth="1"/>
    <col min="14" max="14" width="25.85546875" style="10" bestFit="1" customWidth="1"/>
    <col min="15" max="15" width="17.7109375" style="11" bestFit="1" customWidth="1"/>
    <col min="16" max="16" width="17.5703125" style="10" bestFit="1" customWidth="1"/>
    <col min="17" max="17" width="17.42578125" style="9" bestFit="1" customWidth="1"/>
    <col min="18" max="18" width="1.7109375" style="10" customWidth="1"/>
    <col min="19" max="19" width="20" style="10" bestFit="1" customWidth="1"/>
    <col min="20" max="20" width="21.5703125" style="11" bestFit="1" customWidth="1"/>
    <col min="21" max="21" width="21.42578125" style="10" bestFit="1" customWidth="1"/>
    <col min="22" max="22" width="18.140625" style="9" bestFit="1" customWidth="1"/>
    <col min="23" max="23" width="12.85546875" bestFit="1" customWidth="1"/>
    <col min="24" max="24" width="17.5703125" style="13" bestFit="1" customWidth="1"/>
  </cols>
  <sheetData>
    <row r="1" spans="1:26" s="26" customFormat="1" ht="15" customHeight="1" thickBot="1" x14ac:dyDescent="0.3">
      <c r="A1" s="29"/>
      <c r="B1" s="29"/>
      <c r="C1" s="26">
        <f>MATCH(C2,'Node Details'!$B$2:$U$2,0)</f>
        <v>3</v>
      </c>
      <c r="D1" s="29">
        <f>MATCH(D2,'Node Details'!$B$2:$U$2,0)</f>
        <v>9</v>
      </c>
      <c r="E1" s="26">
        <f>MATCH(E2,'Node Details'!$B$2:$U$2,0)</f>
        <v>4</v>
      </c>
      <c r="I1" s="29">
        <f>SUBTOTAL(9,I3:I1048576)</f>
        <v>1229</v>
      </c>
      <c r="J1" s="29"/>
      <c r="K1" s="29">
        <f>SUBTOTAL(9,K3:K1048576)</f>
        <v>131888</v>
      </c>
      <c r="N1" s="28"/>
      <c r="O1" s="28"/>
      <c r="P1" s="28"/>
      <c r="Q1" s="29">
        <f>SUBTOTAL(9,Q3:Q1048576)</f>
        <v>131888</v>
      </c>
      <c r="R1" s="28"/>
      <c r="S1" s="28"/>
      <c r="T1" s="28"/>
      <c r="U1" s="28"/>
      <c r="V1" s="29">
        <f>SUBTOTAL(9,V3:V1048576)</f>
        <v>1229</v>
      </c>
      <c r="W1" s="26">
        <f>SUBTOTAL(9,W3:W1048576)</f>
        <v>131888</v>
      </c>
      <c r="X1" s="27"/>
    </row>
    <row r="2" spans="1:26" s="19" customFormat="1" ht="37.5" customHeight="1" x14ac:dyDescent="0.25">
      <c r="A2" s="40" t="s">
        <v>86</v>
      </c>
      <c r="B2" s="64" t="s">
        <v>80</v>
      </c>
      <c r="C2" s="65" t="s">
        <v>78</v>
      </c>
      <c r="D2" s="65" t="s">
        <v>38</v>
      </c>
      <c r="E2" s="65" t="s">
        <v>32</v>
      </c>
      <c r="F2" s="99" t="s">
        <v>41</v>
      </c>
      <c r="G2" s="22"/>
      <c r="H2" s="63" t="s">
        <v>87</v>
      </c>
      <c r="I2" s="64" t="s">
        <v>81</v>
      </c>
      <c r="J2" s="64" t="s">
        <v>82</v>
      </c>
      <c r="K2" s="65" t="s">
        <v>83</v>
      </c>
      <c r="L2" s="100" t="s">
        <v>84</v>
      </c>
      <c r="M2" s="22"/>
      <c r="N2" s="63" t="s">
        <v>66</v>
      </c>
      <c r="O2" s="67" t="s">
        <v>67</v>
      </c>
      <c r="P2" s="65" t="s">
        <v>68</v>
      </c>
      <c r="Q2" s="70" t="s">
        <v>69</v>
      </c>
      <c r="R2" s="22"/>
      <c r="S2" s="63" t="s">
        <v>70</v>
      </c>
      <c r="T2" s="67" t="s">
        <v>71</v>
      </c>
      <c r="U2" s="65" t="s">
        <v>72</v>
      </c>
      <c r="V2" s="65" t="s">
        <v>73</v>
      </c>
      <c r="W2" s="65" t="s">
        <v>74</v>
      </c>
      <c r="X2" s="69" t="s">
        <v>88</v>
      </c>
      <c r="Y2" s="19" t="s">
        <v>85</v>
      </c>
      <c r="Z2" s="19" t="s">
        <v>175</v>
      </c>
    </row>
    <row r="3" spans="1:26" s="107" customFormat="1" ht="15" customHeight="1" x14ac:dyDescent="0.2">
      <c r="A3" s="101">
        <v>1</v>
      </c>
      <c r="B3" s="77" t="s">
        <v>137</v>
      </c>
      <c r="C3" s="102" t="str">
        <f>IF($B3&lt;&gt;"",_xlfn.IFNA(VLOOKUP($B3,'Node Details'!$B:$U,C$1,0),"Check"),"")</f>
        <v>0000AXZ01-AXZ010101</v>
      </c>
      <c r="D3" s="102" t="str">
        <f>IF($B3&lt;&gt;"",_xlfn.IFNA(VLOOKUP($B3,'Node Details'!$B:$U,D$1,0),"Check"),"")</f>
        <v>AXZ</v>
      </c>
      <c r="E3" s="102" t="str">
        <f>IF($B3&lt;&gt;"",_xlfn.IFNA(VLOOKUP($B3,'Node Details'!$B:$U,E$1,0),"Check"),"")</f>
        <v>Airtel</v>
      </c>
      <c r="F3" s="103">
        <v>46110</v>
      </c>
      <c r="G3" s="102"/>
      <c r="H3" s="104" t="s">
        <v>182</v>
      </c>
      <c r="I3" s="9">
        <v>1</v>
      </c>
      <c r="J3" s="9">
        <v>600</v>
      </c>
      <c r="K3" s="102">
        <f t="shared" ref="K3:K66" si="0">IF(I3&lt;&gt;"",J3*I3,0)</f>
        <v>600</v>
      </c>
      <c r="L3" s="80">
        <v>46110</v>
      </c>
      <c r="M3" s="105"/>
      <c r="N3" s="95" t="s">
        <v>372</v>
      </c>
      <c r="O3" s="96"/>
      <c r="P3" s="106">
        <f t="shared" ref="P3" si="1">J3</f>
        <v>600</v>
      </c>
      <c r="Q3" s="106">
        <f t="shared" ref="Q3" si="2">P3*I3</f>
        <v>600</v>
      </c>
      <c r="R3" s="105"/>
      <c r="S3" s="95" t="s">
        <v>185</v>
      </c>
      <c r="T3" s="96"/>
      <c r="U3" s="106">
        <f t="shared" ref="U3" si="3">J3</f>
        <v>600</v>
      </c>
      <c r="V3" s="106">
        <f t="shared" ref="V3" si="4">I3</f>
        <v>1</v>
      </c>
      <c r="W3" s="105">
        <f t="shared" ref="W3" si="5">IF(V3&lt;&gt;"",V3*U3,0)</f>
        <v>600</v>
      </c>
      <c r="X3" s="95" t="s">
        <v>186</v>
      </c>
      <c r="Y3" s="107" t="s">
        <v>181</v>
      </c>
      <c r="Z3" s="107" t="s">
        <v>176</v>
      </c>
    </row>
    <row r="4" spans="1:26" s="107" customFormat="1" ht="15" customHeight="1" x14ac:dyDescent="0.2">
      <c r="A4" s="101">
        <f t="shared" ref="A4:A67" si="6">A3+1</f>
        <v>2</v>
      </c>
      <c r="B4" s="77" t="s">
        <v>138</v>
      </c>
      <c r="C4" s="102" t="str">
        <f>IF($B4&lt;&gt;"",_xlfn.IFNA(VLOOKUP($B4,'Node Details'!$B:$U,C$1,0),"Check"),"")</f>
        <v>0000AXZ01-AXZ010102</v>
      </c>
      <c r="D4" s="102" t="str">
        <f>IF($B4&lt;&gt;"",_xlfn.IFNA(VLOOKUP($B4,'Node Details'!$B:$U,D$1,0),"Check"),"")</f>
        <v>AXZ</v>
      </c>
      <c r="E4" s="102" t="str">
        <f>IF($B4&lt;&gt;"",_xlfn.IFNA(VLOOKUP($B4,'Node Details'!$B:$U,E$1,0),"Check"),"")</f>
        <v>Airtel</v>
      </c>
      <c r="F4" s="103">
        <v>46110</v>
      </c>
      <c r="G4" s="102"/>
      <c r="H4" s="104" t="s">
        <v>182</v>
      </c>
      <c r="I4" s="9">
        <v>1</v>
      </c>
      <c r="J4" s="9">
        <v>600</v>
      </c>
      <c r="K4" s="102">
        <f t="shared" si="0"/>
        <v>600</v>
      </c>
      <c r="L4" s="80">
        <v>46110</v>
      </c>
      <c r="M4" s="105"/>
      <c r="N4" s="95" t="s">
        <v>372</v>
      </c>
      <c r="O4" s="96"/>
      <c r="P4" s="106">
        <f t="shared" ref="P4:P67" si="7">J4</f>
        <v>600</v>
      </c>
      <c r="Q4" s="106">
        <f t="shared" ref="Q4:Q67" si="8">P4*I4</f>
        <v>600</v>
      </c>
      <c r="R4" s="105"/>
      <c r="S4" s="95" t="s">
        <v>185</v>
      </c>
      <c r="T4" s="96"/>
      <c r="U4" s="106">
        <f t="shared" ref="U4:U67" si="9">J4</f>
        <v>600</v>
      </c>
      <c r="V4" s="106">
        <f t="shared" ref="V4:V67" si="10">I4</f>
        <v>1</v>
      </c>
      <c r="W4" s="105">
        <f t="shared" ref="W4:W67" si="11">IF(V4&lt;&gt;"",V4*U4,0)</f>
        <v>600</v>
      </c>
      <c r="X4" s="95" t="s">
        <v>186</v>
      </c>
      <c r="Y4" s="107" t="s">
        <v>181</v>
      </c>
      <c r="Z4" s="107" t="s">
        <v>176</v>
      </c>
    </row>
    <row r="5" spans="1:26" s="107" customFormat="1" ht="15" customHeight="1" x14ac:dyDescent="0.2">
      <c r="A5" s="101">
        <f t="shared" si="6"/>
        <v>3</v>
      </c>
      <c r="B5" s="77" t="s">
        <v>139</v>
      </c>
      <c r="C5" s="102" t="str">
        <f>IF($B5&lt;&gt;"",_xlfn.IFNA(VLOOKUP($B5,'Node Details'!$B:$U,C$1,0),"Check"),"")</f>
        <v>0000AXZ01-AXZ010105</v>
      </c>
      <c r="D5" s="102" t="str">
        <f>IF($B5&lt;&gt;"",_xlfn.IFNA(VLOOKUP($B5,'Node Details'!$B:$U,D$1,0),"Check"),"")</f>
        <v>AXZ</v>
      </c>
      <c r="E5" s="102" t="str">
        <f>IF($B5&lt;&gt;"",_xlfn.IFNA(VLOOKUP($B5,'Node Details'!$B:$U,E$1,0),"Check"),"")</f>
        <v>Airtel</v>
      </c>
      <c r="F5" s="103">
        <v>46110</v>
      </c>
      <c r="G5" s="102"/>
      <c r="H5" s="104" t="s">
        <v>182</v>
      </c>
      <c r="I5" s="9">
        <v>1</v>
      </c>
      <c r="J5" s="9">
        <v>600</v>
      </c>
      <c r="K5" s="102">
        <f t="shared" si="0"/>
        <v>600</v>
      </c>
      <c r="L5" s="80">
        <v>46110</v>
      </c>
      <c r="M5" s="105"/>
      <c r="N5" s="95" t="s">
        <v>372</v>
      </c>
      <c r="O5" s="96"/>
      <c r="P5" s="106">
        <f t="shared" si="7"/>
        <v>600</v>
      </c>
      <c r="Q5" s="106">
        <f t="shared" si="8"/>
        <v>600</v>
      </c>
      <c r="R5" s="105"/>
      <c r="S5" s="95" t="s">
        <v>185</v>
      </c>
      <c r="T5" s="96"/>
      <c r="U5" s="106">
        <f t="shared" si="9"/>
        <v>600</v>
      </c>
      <c r="V5" s="106">
        <f t="shared" si="10"/>
        <v>1</v>
      </c>
      <c r="W5" s="105">
        <f t="shared" si="11"/>
        <v>600</v>
      </c>
      <c r="X5" s="95" t="s">
        <v>186</v>
      </c>
      <c r="Y5" s="107" t="s">
        <v>181</v>
      </c>
      <c r="Z5" s="107" t="s">
        <v>176</v>
      </c>
    </row>
    <row r="6" spans="1:26" s="107" customFormat="1" ht="15" customHeight="1" x14ac:dyDescent="0.2">
      <c r="A6" s="101">
        <f t="shared" si="6"/>
        <v>4</v>
      </c>
      <c r="B6" s="77" t="s">
        <v>140</v>
      </c>
      <c r="C6" s="102" t="str">
        <f>IF($B6&lt;&gt;"",_xlfn.IFNA(VLOOKUP($B6,'Node Details'!$B:$U,C$1,0),"Check"),"")</f>
        <v>0000AXZ01-AXZ010105</v>
      </c>
      <c r="D6" s="102" t="str">
        <f>IF($B6&lt;&gt;"",_xlfn.IFNA(VLOOKUP($B6,'Node Details'!$B:$U,D$1,0),"Check"),"")</f>
        <v>AXZ</v>
      </c>
      <c r="E6" s="102" t="str">
        <f>IF($B6&lt;&gt;"",_xlfn.IFNA(VLOOKUP($B6,'Node Details'!$B:$U,E$1,0),"Check"),"")</f>
        <v>Airtel</v>
      </c>
      <c r="F6" s="103">
        <v>46110</v>
      </c>
      <c r="G6" s="102"/>
      <c r="H6" s="104" t="s">
        <v>182</v>
      </c>
      <c r="I6" s="9">
        <v>1</v>
      </c>
      <c r="J6" s="9">
        <v>600</v>
      </c>
      <c r="K6" s="102">
        <f t="shared" si="0"/>
        <v>600</v>
      </c>
      <c r="L6" s="80">
        <v>46110</v>
      </c>
      <c r="M6" s="105"/>
      <c r="N6" s="95" t="s">
        <v>372</v>
      </c>
      <c r="O6" s="96"/>
      <c r="P6" s="106">
        <f t="shared" si="7"/>
        <v>600</v>
      </c>
      <c r="Q6" s="106">
        <f t="shared" si="8"/>
        <v>600</v>
      </c>
      <c r="R6" s="105"/>
      <c r="S6" s="95" t="s">
        <v>185</v>
      </c>
      <c r="T6" s="96"/>
      <c r="U6" s="106">
        <f t="shared" si="9"/>
        <v>600</v>
      </c>
      <c r="V6" s="106">
        <f t="shared" si="10"/>
        <v>1</v>
      </c>
      <c r="W6" s="105">
        <f t="shared" si="11"/>
        <v>600</v>
      </c>
      <c r="X6" s="95" t="s">
        <v>186</v>
      </c>
      <c r="Y6" s="107" t="s">
        <v>181</v>
      </c>
      <c r="Z6" s="107" t="s">
        <v>176</v>
      </c>
    </row>
    <row r="7" spans="1:26" s="107" customFormat="1" ht="15" customHeight="1" x14ac:dyDescent="0.2">
      <c r="A7" s="101">
        <f t="shared" si="6"/>
        <v>5</v>
      </c>
      <c r="B7" s="77" t="s">
        <v>141</v>
      </c>
      <c r="C7" s="102" t="str">
        <f>IF($B7&lt;&gt;"",_xlfn.IFNA(VLOOKUP($B7,'Node Details'!$B:$U,C$1,0),"Check"),"")</f>
        <v>0000AXZ01-AXZ010105</v>
      </c>
      <c r="D7" s="102" t="str">
        <f>IF($B7&lt;&gt;"",_xlfn.IFNA(VLOOKUP($B7,'Node Details'!$B:$U,D$1,0),"Check"),"")</f>
        <v>AXZ</v>
      </c>
      <c r="E7" s="102" t="str">
        <f>IF($B7&lt;&gt;"",_xlfn.IFNA(VLOOKUP($B7,'Node Details'!$B:$U,E$1,0),"Check"),"")</f>
        <v>Airtel</v>
      </c>
      <c r="F7" s="103">
        <v>46110</v>
      </c>
      <c r="G7" s="102"/>
      <c r="H7" s="104" t="s">
        <v>182</v>
      </c>
      <c r="I7" s="9">
        <v>1</v>
      </c>
      <c r="J7" s="9">
        <v>600</v>
      </c>
      <c r="K7" s="102">
        <f t="shared" si="0"/>
        <v>600</v>
      </c>
      <c r="L7" s="80">
        <v>46110</v>
      </c>
      <c r="M7" s="105"/>
      <c r="N7" s="95" t="s">
        <v>372</v>
      </c>
      <c r="O7" s="96"/>
      <c r="P7" s="106">
        <f t="shared" si="7"/>
        <v>600</v>
      </c>
      <c r="Q7" s="106">
        <f t="shared" si="8"/>
        <v>600</v>
      </c>
      <c r="R7" s="105"/>
      <c r="S7" s="95" t="s">
        <v>185</v>
      </c>
      <c r="T7" s="96"/>
      <c r="U7" s="106">
        <f t="shared" si="9"/>
        <v>600</v>
      </c>
      <c r="V7" s="106">
        <f t="shared" si="10"/>
        <v>1</v>
      </c>
      <c r="W7" s="105">
        <f t="shared" si="11"/>
        <v>600</v>
      </c>
      <c r="X7" s="95" t="s">
        <v>186</v>
      </c>
      <c r="Y7" s="107" t="s">
        <v>181</v>
      </c>
      <c r="Z7" s="107" t="s">
        <v>176</v>
      </c>
    </row>
    <row r="8" spans="1:26" s="107" customFormat="1" ht="15" customHeight="1" x14ac:dyDescent="0.2">
      <c r="A8" s="101">
        <f t="shared" si="6"/>
        <v>6</v>
      </c>
      <c r="B8" s="77" t="s">
        <v>142</v>
      </c>
      <c r="C8" s="102" t="str">
        <f>IF($B8&lt;&gt;"",_xlfn.IFNA(VLOOKUP($B8,'Node Details'!$B:$U,C$1,0),"Check"),"")</f>
        <v>0000AXZ01-AXZ010202</v>
      </c>
      <c r="D8" s="102" t="str">
        <f>IF($B8&lt;&gt;"",_xlfn.IFNA(VLOOKUP($B8,'Node Details'!$B:$U,D$1,0),"Check"),"")</f>
        <v>AXZ</v>
      </c>
      <c r="E8" s="102" t="str">
        <f>IF($B8&lt;&gt;"",_xlfn.IFNA(VLOOKUP($B8,'Node Details'!$B:$U,E$1,0),"Check"),"")</f>
        <v>Airtel</v>
      </c>
      <c r="F8" s="103">
        <v>46110</v>
      </c>
      <c r="G8" s="102"/>
      <c r="H8" s="104" t="s">
        <v>182</v>
      </c>
      <c r="I8" s="9">
        <v>1</v>
      </c>
      <c r="J8" s="9">
        <v>600</v>
      </c>
      <c r="K8" s="102">
        <f t="shared" si="0"/>
        <v>600</v>
      </c>
      <c r="L8" s="80">
        <v>46110</v>
      </c>
      <c r="M8" s="105"/>
      <c r="N8" s="95" t="s">
        <v>372</v>
      </c>
      <c r="O8" s="96"/>
      <c r="P8" s="106">
        <f t="shared" si="7"/>
        <v>600</v>
      </c>
      <c r="Q8" s="106">
        <f t="shared" si="8"/>
        <v>600</v>
      </c>
      <c r="R8" s="105"/>
      <c r="S8" s="95" t="s">
        <v>185</v>
      </c>
      <c r="T8" s="96"/>
      <c r="U8" s="106">
        <f t="shared" si="9"/>
        <v>600</v>
      </c>
      <c r="V8" s="106">
        <f t="shared" si="10"/>
        <v>1</v>
      </c>
      <c r="W8" s="105">
        <f t="shared" si="11"/>
        <v>600</v>
      </c>
      <c r="X8" s="95" t="s">
        <v>186</v>
      </c>
      <c r="Y8" s="107" t="s">
        <v>181</v>
      </c>
      <c r="Z8" s="107" t="s">
        <v>176</v>
      </c>
    </row>
    <row r="9" spans="1:26" s="107" customFormat="1" ht="15" customHeight="1" x14ac:dyDescent="0.2">
      <c r="A9" s="101">
        <f t="shared" si="6"/>
        <v>7</v>
      </c>
      <c r="B9" s="77" t="s">
        <v>143</v>
      </c>
      <c r="C9" s="102" t="str">
        <f>IF($B9&lt;&gt;"",_xlfn.IFNA(VLOOKUP($B9,'Node Details'!$B:$U,C$1,0),"Check"),"")</f>
        <v>0000AXZ01-AXZ010202</v>
      </c>
      <c r="D9" s="102" t="str">
        <f>IF($B9&lt;&gt;"",_xlfn.IFNA(VLOOKUP($B9,'Node Details'!$B:$U,D$1,0),"Check"),"")</f>
        <v>AXZ</v>
      </c>
      <c r="E9" s="102" t="str">
        <f>IF($B9&lt;&gt;"",_xlfn.IFNA(VLOOKUP($B9,'Node Details'!$B:$U,E$1,0),"Check"),"")</f>
        <v>Airtel</v>
      </c>
      <c r="F9" s="103">
        <v>46110</v>
      </c>
      <c r="G9" s="102"/>
      <c r="H9" s="104" t="s">
        <v>182</v>
      </c>
      <c r="I9" s="9">
        <v>1</v>
      </c>
      <c r="J9" s="9">
        <v>600</v>
      </c>
      <c r="K9" s="102">
        <f t="shared" si="0"/>
        <v>600</v>
      </c>
      <c r="L9" s="80">
        <v>46110</v>
      </c>
      <c r="M9" s="105"/>
      <c r="N9" s="95" t="s">
        <v>372</v>
      </c>
      <c r="O9" s="96"/>
      <c r="P9" s="106">
        <f t="shared" si="7"/>
        <v>600</v>
      </c>
      <c r="Q9" s="106">
        <f t="shared" si="8"/>
        <v>600</v>
      </c>
      <c r="R9" s="105"/>
      <c r="S9" s="95" t="s">
        <v>185</v>
      </c>
      <c r="T9" s="96"/>
      <c r="U9" s="106">
        <f t="shared" si="9"/>
        <v>600</v>
      </c>
      <c r="V9" s="106">
        <f t="shared" si="10"/>
        <v>1</v>
      </c>
      <c r="W9" s="105">
        <f t="shared" si="11"/>
        <v>600</v>
      </c>
      <c r="X9" s="95" t="s">
        <v>186</v>
      </c>
      <c r="Y9" s="107" t="s">
        <v>181</v>
      </c>
      <c r="Z9" s="107" t="s">
        <v>176</v>
      </c>
    </row>
    <row r="10" spans="1:26" s="107" customFormat="1" ht="15" customHeight="1" x14ac:dyDescent="0.2">
      <c r="A10" s="101">
        <f t="shared" si="6"/>
        <v>8</v>
      </c>
      <c r="B10" s="77" t="s">
        <v>144</v>
      </c>
      <c r="C10" s="102" t="str">
        <f>IF($B10&lt;&gt;"",_xlfn.IFNA(VLOOKUP($B10,'Node Details'!$B:$U,C$1,0),"Check"),"")</f>
        <v>0000AXZ01-AXZ010202</v>
      </c>
      <c r="D10" s="102" t="str">
        <f>IF($B10&lt;&gt;"",_xlfn.IFNA(VLOOKUP($B10,'Node Details'!$B:$U,D$1,0),"Check"),"")</f>
        <v>AXZ</v>
      </c>
      <c r="E10" s="102" t="str">
        <f>IF($B10&lt;&gt;"",_xlfn.IFNA(VLOOKUP($B10,'Node Details'!$B:$U,E$1,0),"Check"),"")</f>
        <v>Airtel</v>
      </c>
      <c r="F10" s="103">
        <v>46110</v>
      </c>
      <c r="G10" s="102"/>
      <c r="H10" s="104" t="s">
        <v>182</v>
      </c>
      <c r="I10" s="9">
        <v>1</v>
      </c>
      <c r="J10" s="9">
        <v>600</v>
      </c>
      <c r="K10" s="102">
        <f t="shared" si="0"/>
        <v>600</v>
      </c>
      <c r="L10" s="80">
        <v>46110</v>
      </c>
      <c r="M10" s="105"/>
      <c r="N10" s="95" t="s">
        <v>372</v>
      </c>
      <c r="O10" s="96"/>
      <c r="P10" s="106">
        <f t="shared" si="7"/>
        <v>600</v>
      </c>
      <c r="Q10" s="106">
        <f t="shared" si="8"/>
        <v>600</v>
      </c>
      <c r="R10" s="105"/>
      <c r="S10" s="95" t="s">
        <v>185</v>
      </c>
      <c r="T10" s="96"/>
      <c r="U10" s="106">
        <f t="shared" si="9"/>
        <v>600</v>
      </c>
      <c r="V10" s="106">
        <f t="shared" si="10"/>
        <v>1</v>
      </c>
      <c r="W10" s="105">
        <f t="shared" si="11"/>
        <v>600</v>
      </c>
      <c r="X10" s="95" t="s">
        <v>186</v>
      </c>
      <c r="Y10" s="107" t="s">
        <v>181</v>
      </c>
      <c r="Z10" s="107" t="s">
        <v>176</v>
      </c>
    </row>
    <row r="11" spans="1:26" s="107" customFormat="1" ht="15" customHeight="1" x14ac:dyDescent="0.2">
      <c r="A11" s="101">
        <f t="shared" si="6"/>
        <v>9</v>
      </c>
      <c r="B11" s="77" t="s">
        <v>145</v>
      </c>
      <c r="C11" s="102" t="str">
        <f>IF($B11&lt;&gt;"",_xlfn.IFNA(VLOOKUP($B11,'Node Details'!$B:$U,C$1,0),"Check"),"")</f>
        <v>0000AXZ01-AXZ010202</v>
      </c>
      <c r="D11" s="102" t="str">
        <f>IF($B11&lt;&gt;"",_xlfn.IFNA(VLOOKUP($B11,'Node Details'!$B:$U,D$1,0),"Check"),"")</f>
        <v>AXZ</v>
      </c>
      <c r="E11" s="102" t="str">
        <f>IF($B11&lt;&gt;"",_xlfn.IFNA(VLOOKUP($B11,'Node Details'!$B:$U,E$1,0),"Check"),"")</f>
        <v>Airtel</v>
      </c>
      <c r="F11" s="103">
        <v>46110</v>
      </c>
      <c r="G11" s="102"/>
      <c r="H11" s="104" t="s">
        <v>182</v>
      </c>
      <c r="I11" s="9">
        <v>1</v>
      </c>
      <c r="J11" s="9">
        <v>600</v>
      </c>
      <c r="K11" s="102">
        <f t="shared" si="0"/>
        <v>600</v>
      </c>
      <c r="L11" s="80">
        <v>46110</v>
      </c>
      <c r="M11" s="105"/>
      <c r="N11" s="95" t="s">
        <v>372</v>
      </c>
      <c r="O11" s="96"/>
      <c r="P11" s="106">
        <f t="shared" si="7"/>
        <v>600</v>
      </c>
      <c r="Q11" s="106">
        <f t="shared" si="8"/>
        <v>600</v>
      </c>
      <c r="R11" s="105"/>
      <c r="S11" s="95" t="s">
        <v>185</v>
      </c>
      <c r="T11" s="96"/>
      <c r="U11" s="106">
        <f t="shared" si="9"/>
        <v>600</v>
      </c>
      <c r="V11" s="106">
        <f t="shared" si="10"/>
        <v>1</v>
      </c>
      <c r="W11" s="105">
        <f t="shared" si="11"/>
        <v>600</v>
      </c>
      <c r="X11" s="95" t="s">
        <v>186</v>
      </c>
      <c r="Y11" s="107" t="s">
        <v>181</v>
      </c>
      <c r="Z11" s="107" t="s">
        <v>176</v>
      </c>
    </row>
    <row r="12" spans="1:26" s="107" customFormat="1" ht="15" customHeight="1" x14ac:dyDescent="0.2">
      <c r="A12" s="101">
        <f t="shared" si="6"/>
        <v>10</v>
      </c>
      <c r="B12" s="77" t="s">
        <v>146</v>
      </c>
      <c r="C12" s="102" t="str">
        <f>IF($B12&lt;&gt;"",_xlfn.IFNA(VLOOKUP($B12,'Node Details'!$B:$U,C$1,0),"Check"),"")</f>
        <v>0000AXZ01-AXZ010202</v>
      </c>
      <c r="D12" s="102" t="str">
        <f>IF($B12&lt;&gt;"",_xlfn.IFNA(VLOOKUP($B12,'Node Details'!$B:$U,D$1,0),"Check"),"")</f>
        <v>AXZ</v>
      </c>
      <c r="E12" s="102" t="str">
        <f>IF($B12&lt;&gt;"",_xlfn.IFNA(VLOOKUP($B12,'Node Details'!$B:$U,E$1,0),"Check"),"")</f>
        <v>Airtel</v>
      </c>
      <c r="F12" s="103">
        <v>46110</v>
      </c>
      <c r="G12" s="102"/>
      <c r="H12" s="104" t="s">
        <v>182</v>
      </c>
      <c r="I12" s="9">
        <v>1</v>
      </c>
      <c r="J12" s="9">
        <v>600</v>
      </c>
      <c r="K12" s="102">
        <f t="shared" si="0"/>
        <v>600</v>
      </c>
      <c r="L12" s="80">
        <v>46110</v>
      </c>
      <c r="M12" s="105"/>
      <c r="N12" s="95" t="s">
        <v>372</v>
      </c>
      <c r="O12" s="96"/>
      <c r="P12" s="106">
        <f t="shared" si="7"/>
        <v>600</v>
      </c>
      <c r="Q12" s="106">
        <f t="shared" si="8"/>
        <v>600</v>
      </c>
      <c r="R12" s="105"/>
      <c r="S12" s="95" t="s">
        <v>185</v>
      </c>
      <c r="T12" s="96"/>
      <c r="U12" s="106">
        <f t="shared" si="9"/>
        <v>600</v>
      </c>
      <c r="V12" s="106">
        <f t="shared" si="10"/>
        <v>1</v>
      </c>
      <c r="W12" s="105">
        <f t="shared" si="11"/>
        <v>600</v>
      </c>
      <c r="X12" s="95" t="s">
        <v>186</v>
      </c>
      <c r="Y12" s="107" t="s">
        <v>181</v>
      </c>
      <c r="Z12" s="107" t="s">
        <v>176</v>
      </c>
    </row>
    <row r="13" spans="1:26" s="107" customFormat="1" ht="15" customHeight="1" x14ac:dyDescent="0.2">
      <c r="A13" s="101">
        <f t="shared" si="6"/>
        <v>11</v>
      </c>
      <c r="B13" s="77" t="s">
        <v>148</v>
      </c>
      <c r="C13" s="102" t="str">
        <f>IF($B13&lt;&gt;"",_xlfn.IFNA(VLOOKUP($B13,'Node Details'!$B:$U,C$1,0),"Check"),"")</f>
        <v>0000AXZ02-AXZ020101</v>
      </c>
      <c r="D13" s="102" t="str">
        <f>IF($B13&lt;&gt;"",_xlfn.IFNA(VLOOKUP($B13,'Node Details'!$B:$U,D$1,0),"Check"),"")</f>
        <v>AXZ</v>
      </c>
      <c r="E13" s="102" t="str">
        <f>IF($B13&lt;&gt;"",_xlfn.IFNA(VLOOKUP($B13,'Node Details'!$B:$U,E$1,0),"Check"),"")</f>
        <v>Airtel</v>
      </c>
      <c r="F13" s="103">
        <v>46110</v>
      </c>
      <c r="G13" s="102"/>
      <c r="H13" s="104" t="s">
        <v>182</v>
      </c>
      <c r="I13" s="9">
        <v>1</v>
      </c>
      <c r="J13" s="9">
        <v>600</v>
      </c>
      <c r="K13" s="102">
        <f t="shared" si="0"/>
        <v>600</v>
      </c>
      <c r="L13" s="80">
        <v>46110</v>
      </c>
      <c r="M13" s="105"/>
      <c r="N13" s="95" t="s">
        <v>372</v>
      </c>
      <c r="O13" s="96"/>
      <c r="P13" s="106">
        <f t="shared" si="7"/>
        <v>600</v>
      </c>
      <c r="Q13" s="106">
        <f t="shared" si="8"/>
        <v>600</v>
      </c>
      <c r="R13" s="105"/>
      <c r="S13" s="95" t="s">
        <v>185</v>
      </c>
      <c r="T13" s="96"/>
      <c r="U13" s="106">
        <f t="shared" si="9"/>
        <v>600</v>
      </c>
      <c r="V13" s="106">
        <f t="shared" si="10"/>
        <v>1</v>
      </c>
      <c r="W13" s="105">
        <f t="shared" si="11"/>
        <v>600</v>
      </c>
      <c r="X13" s="95" t="s">
        <v>186</v>
      </c>
      <c r="Y13" s="107" t="s">
        <v>181</v>
      </c>
      <c r="Z13" s="107" t="s">
        <v>176</v>
      </c>
    </row>
    <row r="14" spans="1:26" s="107" customFormat="1" ht="15" customHeight="1" x14ac:dyDescent="0.2">
      <c r="A14" s="101">
        <f t="shared" si="6"/>
        <v>12</v>
      </c>
      <c r="B14" s="77" t="s">
        <v>149</v>
      </c>
      <c r="C14" s="102" t="str">
        <f>IF($B14&lt;&gt;"",_xlfn.IFNA(VLOOKUP($B14,'Node Details'!$B:$U,C$1,0),"Check"),"")</f>
        <v>0000AXZ02-AXZ020103</v>
      </c>
      <c r="D14" s="102" t="str">
        <f>IF($B14&lt;&gt;"",_xlfn.IFNA(VLOOKUP($B14,'Node Details'!$B:$U,D$1,0),"Check"),"")</f>
        <v>AXZ</v>
      </c>
      <c r="E14" s="102" t="str">
        <f>IF($B14&lt;&gt;"",_xlfn.IFNA(VLOOKUP($B14,'Node Details'!$B:$U,E$1,0),"Check"),"")</f>
        <v>Airtel</v>
      </c>
      <c r="F14" s="103">
        <v>46110</v>
      </c>
      <c r="G14" s="102"/>
      <c r="H14" s="104" t="s">
        <v>182</v>
      </c>
      <c r="I14" s="9">
        <v>1</v>
      </c>
      <c r="J14" s="9">
        <v>600</v>
      </c>
      <c r="K14" s="102">
        <f t="shared" si="0"/>
        <v>600</v>
      </c>
      <c r="L14" s="80">
        <v>46110</v>
      </c>
      <c r="M14" s="105"/>
      <c r="N14" s="95" t="s">
        <v>372</v>
      </c>
      <c r="O14" s="96"/>
      <c r="P14" s="106">
        <f t="shared" si="7"/>
        <v>600</v>
      </c>
      <c r="Q14" s="106">
        <f t="shared" si="8"/>
        <v>600</v>
      </c>
      <c r="R14" s="105"/>
      <c r="S14" s="95" t="s">
        <v>185</v>
      </c>
      <c r="T14" s="96"/>
      <c r="U14" s="106">
        <f t="shared" si="9"/>
        <v>600</v>
      </c>
      <c r="V14" s="106">
        <f t="shared" si="10"/>
        <v>1</v>
      </c>
      <c r="W14" s="105">
        <f t="shared" si="11"/>
        <v>600</v>
      </c>
      <c r="X14" s="95" t="s">
        <v>186</v>
      </c>
      <c r="Y14" s="107" t="s">
        <v>181</v>
      </c>
      <c r="Z14" s="107" t="s">
        <v>176</v>
      </c>
    </row>
    <row r="15" spans="1:26" s="107" customFormat="1" ht="15" customHeight="1" x14ac:dyDescent="0.2">
      <c r="A15" s="101">
        <f t="shared" si="6"/>
        <v>13</v>
      </c>
      <c r="B15" s="77" t="s">
        <v>150</v>
      </c>
      <c r="C15" s="102" t="str">
        <f>IF($B15&lt;&gt;"",_xlfn.IFNA(VLOOKUP($B15,'Node Details'!$B:$U,C$1,0),"Check"),"")</f>
        <v>0000AXZ02-AXZ020103</v>
      </c>
      <c r="D15" s="102" t="str">
        <f>IF($B15&lt;&gt;"",_xlfn.IFNA(VLOOKUP($B15,'Node Details'!$B:$U,D$1,0),"Check"),"")</f>
        <v>AXZ</v>
      </c>
      <c r="E15" s="102" t="str">
        <f>IF($B15&lt;&gt;"",_xlfn.IFNA(VLOOKUP($B15,'Node Details'!$B:$U,E$1,0),"Check"),"")</f>
        <v>Airtel</v>
      </c>
      <c r="F15" s="103">
        <v>46110</v>
      </c>
      <c r="G15" s="102"/>
      <c r="H15" s="104" t="s">
        <v>182</v>
      </c>
      <c r="I15" s="9">
        <v>1</v>
      </c>
      <c r="J15" s="9">
        <v>600</v>
      </c>
      <c r="K15" s="102">
        <f t="shared" si="0"/>
        <v>600</v>
      </c>
      <c r="L15" s="80">
        <v>46110</v>
      </c>
      <c r="M15" s="105"/>
      <c r="N15" s="95" t="s">
        <v>372</v>
      </c>
      <c r="O15" s="96"/>
      <c r="P15" s="106">
        <f t="shared" si="7"/>
        <v>600</v>
      </c>
      <c r="Q15" s="106">
        <f t="shared" si="8"/>
        <v>600</v>
      </c>
      <c r="R15" s="105"/>
      <c r="S15" s="95" t="s">
        <v>185</v>
      </c>
      <c r="T15" s="96"/>
      <c r="U15" s="106">
        <f t="shared" si="9"/>
        <v>600</v>
      </c>
      <c r="V15" s="106">
        <f t="shared" si="10"/>
        <v>1</v>
      </c>
      <c r="W15" s="105">
        <f t="shared" si="11"/>
        <v>600</v>
      </c>
      <c r="X15" s="95" t="s">
        <v>186</v>
      </c>
      <c r="Y15" s="107" t="s">
        <v>181</v>
      </c>
      <c r="Z15" s="107" t="s">
        <v>176</v>
      </c>
    </row>
    <row r="16" spans="1:26" s="107" customFormat="1" ht="15" customHeight="1" x14ac:dyDescent="0.2">
      <c r="A16" s="101">
        <f t="shared" si="6"/>
        <v>14</v>
      </c>
      <c r="B16" s="77" t="s">
        <v>151</v>
      </c>
      <c r="C16" s="102" t="str">
        <f>IF($B16&lt;&gt;"",_xlfn.IFNA(VLOOKUP($B16,'Node Details'!$B:$U,C$1,0),"Check"),"")</f>
        <v>0000AXZ02-AXZ020203</v>
      </c>
      <c r="D16" s="102" t="str">
        <f>IF($B16&lt;&gt;"",_xlfn.IFNA(VLOOKUP($B16,'Node Details'!$B:$U,D$1,0),"Check"),"")</f>
        <v>AXZ</v>
      </c>
      <c r="E16" s="102" t="str">
        <f>IF($B16&lt;&gt;"",_xlfn.IFNA(VLOOKUP($B16,'Node Details'!$B:$U,E$1,0),"Check"),"")</f>
        <v>Airtel</v>
      </c>
      <c r="F16" s="103">
        <v>46110</v>
      </c>
      <c r="G16" s="102"/>
      <c r="H16" s="104" t="s">
        <v>182</v>
      </c>
      <c r="I16" s="9">
        <v>1</v>
      </c>
      <c r="J16" s="9">
        <v>600</v>
      </c>
      <c r="K16" s="102">
        <f t="shared" si="0"/>
        <v>600</v>
      </c>
      <c r="L16" s="80">
        <v>46110</v>
      </c>
      <c r="M16" s="105"/>
      <c r="N16" s="95" t="s">
        <v>372</v>
      </c>
      <c r="O16" s="96"/>
      <c r="P16" s="106">
        <f t="shared" si="7"/>
        <v>600</v>
      </c>
      <c r="Q16" s="106">
        <f t="shared" si="8"/>
        <v>600</v>
      </c>
      <c r="R16" s="105"/>
      <c r="S16" s="95" t="s">
        <v>185</v>
      </c>
      <c r="T16" s="96"/>
      <c r="U16" s="106">
        <f t="shared" si="9"/>
        <v>600</v>
      </c>
      <c r="V16" s="106">
        <f t="shared" si="10"/>
        <v>1</v>
      </c>
      <c r="W16" s="105">
        <f t="shared" si="11"/>
        <v>600</v>
      </c>
      <c r="X16" s="95" t="s">
        <v>186</v>
      </c>
      <c r="Y16" s="107" t="s">
        <v>181</v>
      </c>
      <c r="Z16" s="107" t="s">
        <v>176</v>
      </c>
    </row>
    <row r="17" spans="1:26" s="107" customFormat="1" ht="15" customHeight="1" x14ac:dyDescent="0.2">
      <c r="A17" s="101">
        <f t="shared" si="6"/>
        <v>15</v>
      </c>
      <c r="B17" s="77" t="s">
        <v>152</v>
      </c>
      <c r="C17" s="102" t="str">
        <f>IF($B17&lt;&gt;"",_xlfn.IFNA(VLOOKUP($B17,'Node Details'!$B:$U,C$1,0),"Check"),"")</f>
        <v>0000AXZ02-AXZ020203</v>
      </c>
      <c r="D17" s="102" t="str">
        <f>IF($B17&lt;&gt;"",_xlfn.IFNA(VLOOKUP($B17,'Node Details'!$B:$U,D$1,0),"Check"),"")</f>
        <v>AXZ</v>
      </c>
      <c r="E17" s="102" t="str">
        <f>IF($B17&lt;&gt;"",_xlfn.IFNA(VLOOKUP($B17,'Node Details'!$B:$U,E$1,0),"Check"),"")</f>
        <v>Airtel</v>
      </c>
      <c r="F17" s="103">
        <v>46110</v>
      </c>
      <c r="G17" s="102"/>
      <c r="H17" s="104" t="s">
        <v>182</v>
      </c>
      <c r="I17" s="9">
        <v>1</v>
      </c>
      <c r="J17" s="9">
        <v>600</v>
      </c>
      <c r="K17" s="102">
        <f t="shared" si="0"/>
        <v>600</v>
      </c>
      <c r="L17" s="80">
        <v>46110</v>
      </c>
      <c r="M17" s="105"/>
      <c r="N17" s="95" t="s">
        <v>372</v>
      </c>
      <c r="O17" s="96"/>
      <c r="P17" s="106">
        <f t="shared" si="7"/>
        <v>600</v>
      </c>
      <c r="Q17" s="106">
        <f t="shared" si="8"/>
        <v>600</v>
      </c>
      <c r="R17" s="105"/>
      <c r="S17" s="95" t="s">
        <v>185</v>
      </c>
      <c r="T17" s="96"/>
      <c r="U17" s="106">
        <f t="shared" si="9"/>
        <v>600</v>
      </c>
      <c r="V17" s="106">
        <f t="shared" si="10"/>
        <v>1</v>
      </c>
      <c r="W17" s="105">
        <f t="shared" si="11"/>
        <v>600</v>
      </c>
      <c r="X17" s="95" t="s">
        <v>186</v>
      </c>
      <c r="Y17" s="107" t="s">
        <v>181</v>
      </c>
      <c r="Z17" s="107" t="s">
        <v>176</v>
      </c>
    </row>
    <row r="18" spans="1:26" s="107" customFormat="1" ht="15" customHeight="1" x14ac:dyDescent="0.2">
      <c r="A18" s="101">
        <f t="shared" si="6"/>
        <v>16</v>
      </c>
      <c r="B18" s="77" t="s">
        <v>153</v>
      </c>
      <c r="C18" s="102" t="str">
        <f>IF($B18&lt;&gt;"",_xlfn.IFNA(VLOOKUP($B18,'Node Details'!$B:$U,C$1,0),"Check"),"")</f>
        <v>0000AXZ02-AXZ020203</v>
      </c>
      <c r="D18" s="102" t="str">
        <f>IF($B18&lt;&gt;"",_xlfn.IFNA(VLOOKUP($B18,'Node Details'!$B:$U,D$1,0),"Check"),"")</f>
        <v>AXZ</v>
      </c>
      <c r="E18" s="102" t="str">
        <f>IF($B18&lt;&gt;"",_xlfn.IFNA(VLOOKUP($B18,'Node Details'!$B:$U,E$1,0),"Check"),"")</f>
        <v>Airtel</v>
      </c>
      <c r="F18" s="103">
        <v>46110</v>
      </c>
      <c r="G18" s="102"/>
      <c r="H18" s="104" t="s">
        <v>182</v>
      </c>
      <c r="I18" s="9">
        <v>1</v>
      </c>
      <c r="J18" s="9">
        <v>600</v>
      </c>
      <c r="K18" s="102">
        <f t="shared" si="0"/>
        <v>600</v>
      </c>
      <c r="L18" s="80">
        <v>46110</v>
      </c>
      <c r="M18" s="105"/>
      <c r="N18" s="95" t="s">
        <v>372</v>
      </c>
      <c r="O18" s="96"/>
      <c r="P18" s="106">
        <f t="shared" si="7"/>
        <v>600</v>
      </c>
      <c r="Q18" s="106">
        <f t="shared" si="8"/>
        <v>600</v>
      </c>
      <c r="R18" s="105"/>
      <c r="S18" s="95" t="s">
        <v>185</v>
      </c>
      <c r="T18" s="96"/>
      <c r="U18" s="106">
        <f t="shared" si="9"/>
        <v>600</v>
      </c>
      <c r="V18" s="106">
        <f t="shared" si="10"/>
        <v>1</v>
      </c>
      <c r="W18" s="105">
        <f t="shared" si="11"/>
        <v>600</v>
      </c>
      <c r="X18" s="95" t="s">
        <v>186</v>
      </c>
      <c r="Y18" s="107" t="s">
        <v>181</v>
      </c>
      <c r="Z18" s="107" t="s">
        <v>176</v>
      </c>
    </row>
    <row r="19" spans="1:26" s="107" customFormat="1" ht="15" customHeight="1" x14ac:dyDescent="0.2">
      <c r="A19" s="101">
        <f t="shared" si="6"/>
        <v>17</v>
      </c>
      <c r="B19" s="77" t="s">
        <v>154</v>
      </c>
      <c r="C19" s="102" t="str">
        <f>IF($B19&lt;&gt;"",_xlfn.IFNA(VLOOKUP($B19,'Node Details'!$B:$U,C$1,0),"Check"),"")</f>
        <v>0000AXZ02-AXZ020203</v>
      </c>
      <c r="D19" s="102" t="str">
        <f>IF($B19&lt;&gt;"",_xlfn.IFNA(VLOOKUP($B19,'Node Details'!$B:$U,D$1,0),"Check"),"")</f>
        <v>AXZ</v>
      </c>
      <c r="E19" s="102" t="str">
        <f>IF($B19&lt;&gt;"",_xlfn.IFNA(VLOOKUP($B19,'Node Details'!$B:$U,E$1,0),"Check"),"")</f>
        <v>Airtel</v>
      </c>
      <c r="F19" s="103">
        <v>46110</v>
      </c>
      <c r="G19" s="102"/>
      <c r="H19" s="104" t="s">
        <v>182</v>
      </c>
      <c r="I19" s="9">
        <v>1</v>
      </c>
      <c r="J19" s="9">
        <v>600</v>
      </c>
      <c r="K19" s="102">
        <f t="shared" si="0"/>
        <v>600</v>
      </c>
      <c r="L19" s="80">
        <v>46110</v>
      </c>
      <c r="M19" s="105"/>
      <c r="N19" s="95" t="s">
        <v>372</v>
      </c>
      <c r="O19" s="96"/>
      <c r="P19" s="106">
        <f t="shared" si="7"/>
        <v>600</v>
      </c>
      <c r="Q19" s="106">
        <f t="shared" si="8"/>
        <v>600</v>
      </c>
      <c r="R19" s="105"/>
      <c r="S19" s="95" t="s">
        <v>185</v>
      </c>
      <c r="T19" s="96"/>
      <c r="U19" s="106">
        <f t="shared" si="9"/>
        <v>600</v>
      </c>
      <c r="V19" s="106">
        <f t="shared" si="10"/>
        <v>1</v>
      </c>
      <c r="W19" s="105">
        <f t="shared" si="11"/>
        <v>600</v>
      </c>
      <c r="X19" s="95" t="s">
        <v>186</v>
      </c>
      <c r="Y19" s="107" t="s">
        <v>181</v>
      </c>
      <c r="Z19" s="107" t="s">
        <v>176</v>
      </c>
    </row>
    <row r="20" spans="1:26" s="107" customFormat="1" ht="15" customHeight="1" x14ac:dyDescent="0.2">
      <c r="A20" s="101">
        <f t="shared" si="6"/>
        <v>18</v>
      </c>
      <c r="B20" s="77" t="s">
        <v>155</v>
      </c>
      <c r="C20" s="102" t="str">
        <f>IF($B20&lt;&gt;"",_xlfn.IFNA(VLOOKUP($B20,'Node Details'!$B:$U,C$1,0),"Check"),"")</f>
        <v>0000AXZ02-AXZ020203</v>
      </c>
      <c r="D20" s="102" t="str">
        <f>IF($B20&lt;&gt;"",_xlfn.IFNA(VLOOKUP($B20,'Node Details'!$B:$U,D$1,0),"Check"),"")</f>
        <v>AXZ</v>
      </c>
      <c r="E20" s="102" t="str">
        <f>IF($B20&lt;&gt;"",_xlfn.IFNA(VLOOKUP($B20,'Node Details'!$B:$U,E$1,0),"Check"),"")</f>
        <v>Airtel</v>
      </c>
      <c r="F20" s="103">
        <v>46110</v>
      </c>
      <c r="G20" s="102"/>
      <c r="H20" s="104" t="s">
        <v>182</v>
      </c>
      <c r="I20" s="9">
        <v>1</v>
      </c>
      <c r="J20" s="9">
        <v>600</v>
      </c>
      <c r="K20" s="102">
        <f t="shared" si="0"/>
        <v>600</v>
      </c>
      <c r="L20" s="80">
        <v>46110</v>
      </c>
      <c r="M20" s="105"/>
      <c r="N20" s="95" t="s">
        <v>372</v>
      </c>
      <c r="O20" s="96"/>
      <c r="P20" s="106">
        <f t="shared" si="7"/>
        <v>600</v>
      </c>
      <c r="Q20" s="106">
        <f t="shared" si="8"/>
        <v>600</v>
      </c>
      <c r="R20" s="105"/>
      <c r="S20" s="95" t="s">
        <v>185</v>
      </c>
      <c r="T20" s="96"/>
      <c r="U20" s="106">
        <f t="shared" si="9"/>
        <v>600</v>
      </c>
      <c r="V20" s="106">
        <f t="shared" si="10"/>
        <v>1</v>
      </c>
      <c r="W20" s="105">
        <f t="shared" si="11"/>
        <v>600</v>
      </c>
      <c r="X20" s="95" t="s">
        <v>186</v>
      </c>
      <c r="Y20" s="107" t="s">
        <v>181</v>
      </c>
      <c r="Z20" s="107" t="s">
        <v>176</v>
      </c>
    </row>
    <row r="21" spans="1:26" s="107" customFormat="1" ht="15" customHeight="1" x14ac:dyDescent="0.2">
      <c r="A21" s="101">
        <f t="shared" si="6"/>
        <v>19</v>
      </c>
      <c r="B21" s="77" t="s">
        <v>156</v>
      </c>
      <c r="C21" s="102" t="str">
        <f>IF($B21&lt;&gt;"",_xlfn.IFNA(VLOOKUP($B21,'Node Details'!$B:$U,C$1,0),"Check"),"")</f>
        <v>0000AXZ02-AXZ020203</v>
      </c>
      <c r="D21" s="102" t="str">
        <f>IF($B21&lt;&gt;"",_xlfn.IFNA(VLOOKUP($B21,'Node Details'!$B:$U,D$1,0),"Check"),"")</f>
        <v>AXZ</v>
      </c>
      <c r="E21" s="102" t="str">
        <f>IF($B21&lt;&gt;"",_xlfn.IFNA(VLOOKUP($B21,'Node Details'!$B:$U,E$1,0),"Check"),"")</f>
        <v>Airtel</v>
      </c>
      <c r="F21" s="103">
        <v>46110</v>
      </c>
      <c r="G21" s="102"/>
      <c r="H21" s="104" t="s">
        <v>182</v>
      </c>
      <c r="I21" s="9">
        <v>1</v>
      </c>
      <c r="J21" s="9">
        <v>600</v>
      </c>
      <c r="K21" s="102">
        <f t="shared" si="0"/>
        <v>600</v>
      </c>
      <c r="L21" s="80">
        <v>46110</v>
      </c>
      <c r="M21" s="105"/>
      <c r="N21" s="95" t="s">
        <v>372</v>
      </c>
      <c r="O21" s="96"/>
      <c r="P21" s="106">
        <f t="shared" si="7"/>
        <v>600</v>
      </c>
      <c r="Q21" s="106">
        <f t="shared" si="8"/>
        <v>600</v>
      </c>
      <c r="R21" s="105"/>
      <c r="S21" s="95" t="s">
        <v>185</v>
      </c>
      <c r="T21" s="96"/>
      <c r="U21" s="106">
        <f t="shared" si="9"/>
        <v>600</v>
      </c>
      <c r="V21" s="106">
        <f t="shared" si="10"/>
        <v>1</v>
      </c>
      <c r="W21" s="105">
        <f t="shared" si="11"/>
        <v>600</v>
      </c>
      <c r="X21" s="95" t="s">
        <v>186</v>
      </c>
      <c r="Y21" s="107" t="s">
        <v>181</v>
      </c>
      <c r="Z21" s="107" t="s">
        <v>176</v>
      </c>
    </row>
    <row r="22" spans="1:26" s="107" customFormat="1" ht="15" customHeight="1" x14ac:dyDescent="0.2">
      <c r="A22" s="101">
        <f t="shared" si="6"/>
        <v>20</v>
      </c>
      <c r="B22" s="77" t="s">
        <v>157</v>
      </c>
      <c r="C22" s="102" t="str">
        <f>IF($B22&lt;&gt;"",_xlfn.IFNA(VLOOKUP($B22,'Node Details'!$B:$U,C$1,0),"Check"),"")</f>
        <v>0000AXZ02-AXZ020203</v>
      </c>
      <c r="D22" s="102" t="str">
        <f>IF($B22&lt;&gt;"",_xlfn.IFNA(VLOOKUP($B22,'Node Details'!$B:$U,D$1,0),"Check"),"")</f>
        <v>AXZ</v>
      </c>
      <c r="E22" s="102" t="str">
        <f>IF($B22&lt;&gt;"",_xlfn.IFNA(VLOOKUP($B22,'Node Details'!$B:$U,E$1,0),"Check"),"")</f>
        <v>Airtel</v>
      </c>
      <c r="F22" s="103">
        <v>46110</v>
      </c>
      <c r="G22" s="102"/>
      <c r="H22" s="104" t="s">
        <v>182</v>
      </c>
      <c r="I22" s="9">
        <v>1</v>
      </c>
      <c r="J22" s="9">
        <v>600</v>
      </c>
      <c r="K22" s="102">
        <f t="shared" si="0"/>
        <v>600</v>
      </c>
      <c r="L22" s="80">
        <v>46110</v>
      </c>
      <c r="M22" s="105"/>
      <c r="N22" s="95" t="s">
        <v>372</v>
      </c>
      <c r="O22" s="96"/>
      <c r="P22" s="106">
        <f t="shared" si="7"/>
        <v>600</v>
      </c>
      <c r="Q22" s="106">
        <f t="shared" si="8"/>
        <v>600</v>
      </c>
      <c r="R22" s="105"/>
      <c r="S22" s="95" t="s">
        <v>185</v>
      </c>
      <c r="T22" s="96"/>
      <c r="U22" s="106">
        <f t="shared" si="9"/>
        <v>600</v>
      </c>
      <c r="V22" s="106">
        <f t="shared" si="10"/>
        <v>1</v>
      </c>
      <c r="W22" s="105">
        <f t="shared" si="11"/>
        <v>600</v>
      </c>
      <c r="X22" s="95" t="s">
        <v>186</v>
      </c>
      <c r="Y22" s="107" t="s">
        <v>181</v>
      </c>
      <c r="Z22" s="107" t="s">
        <v>176</v>
      </c>
    </row>
    <row r="23" spans="1:26" s="107" customFormat="1" ht="15" customHeight="1" x14ac:dyDescent="0.2">
      <c r="A23" s="101">
        <f t="shared" si="6"/>
        <v>21</v>
      </c>
      <c r="B23" s="77" t="s">
        <v>158</v>
      </c>
      <c r="C23" s="102" t="str">
        <f>IF($B23&lt;&gt;"",_xlfn.IFNA(VLOOKUP($B23,'Node Details'!$B:$U,C$1,0),"Check"),"")</f>
        <v>0000AXZ02-AXZ020203</v>
      </c>
      <c r="D23" s="102" t="str">
        <f>IF($B23&lt;&gt;"",_xlfn.IFNA(VLOOKUP($B23,'Node Details'!$B:$U,D$1,0),"Check"),"")</f>
        <v>AXZ</v>
      </c>
      <c r="E23" s="102" t="str">
        <f>IF($B23&lt;&gt;"",_xlfn.IFNA(VLOOKUP($B23,'Node Details'!$B:$U,E$1,0),"Check"),"")</f>
        <v>Airtel</v>
      </c>
      <c r="F23" s="103">
        <v>46110</v>
      </c>
      <c r="G23" s="102"/>
      <c r="H23" s="104" t="s">
        <v>182</v>
      </c>
      <c r="I23" s="9">
        <v>1</v>
      </c>
      <c r="J23" s="9">
        <v>600</v>
      </c>
      <c r="K23" s="102">
        <f t="shared" si="0"/>
        <v>600</v>
      </c>
      <c r="L23" s="80">
        <v>46110</v>
      </c>
      <c r="M23" s="105"/>
      <c r="N23" s="95" t="s">
        <v>372</v>
      </c>
      <c r="O23" s="96"/>
      <c r="P23" s="106">
        <f t="shared" si="7"/>
        <v>600</v>
      </c>
      <c r="Q23" s="106">
        <f t="shared" si="8"/>
        <v>600</v>
      </c>
      <c r="R23" s="105"/>
      <c r="S23" s="95" t="s">
        <v>185</v>
      </c>
      <c r="T23" s="96"/>
      <c r="U23" s="106">
        <f t="shared" si="9"/>
        <v>600</v>
      </c>
      <c r="V23" s="106">
        <f t="shared" si="10"/>
        <v>1</v>
      </c>
      <c r="W23" s="105">
        <f t="shared" si="11"/>
        <v>600</v>
      </c>
      <c r="X23" s="95" t="s">
        <v>186</v>
      </c>
      <c r="Y23" s="107" t="s">
        <v>181</v>
      </c>
      <c r="Z23" s="107" t="s">
        <v>176</v>
      </c>
    </row>
    <row r="24" spans="1:26" s="107" customFormat="1" ht="15" customHeight="1" x14ac:dyDescent="0.2">
      <c r="A24" s="101">
        <f t="shared" si="6"/>
        <v>22</v>
      </c>
      <c r="B24" s="77" t="s">
        <v>160</v>
      </c>
      <c r="C24" s="102" t="str">
        <f>IF($B24&lt;&gt;"",_xlfn.IFNA(VLOOKUP($B24,'Node Details'!$B:$U,C$1,0),"Check"),"")</f>
        <v>0000AXZ03-AXZ030101</v>
      </c>
      <c r="D24" s="102" t="str">
        <f>IF($B24&lt;&gt;"",_xlfn.IFNA(VLOOKUP($B24,'Node Details'!$B:$U,D$1,0),"Check"),"")</f>
        <v>AXZ</v>
      </c>
      <c r="E24" s="102" t="str">
        <f>IF($B24&lt;&gt;"",_xlfn.IFNA(VLOOKUP($B24,'Node Details'!$B:$U,E$1,0),"Check"),"")</f>
        <v>Airtel</v>
      </c>
      <c r="F24" s="103">
        <v>46110</v>
      </c>
      <c r="G24" s="102"/>
      <c r="H24" s="104" t="s">
        <v>182</v>
      </c>
      <c r="I24" s="9">
        <v>1</v>
      </c>
      <c r="J24" s="9">
        <v>600</v>
      </c>
      <c r="K24" s="102">
        <f t="shared" si="0"/>
        <v>600</v>
      </c>
      <c r="L24" s="80">
        <v>46110</v>
      </c>
      <c r="M24" s="105"/>
      <c r="N24" s="95" t="s">
        <v>372</v>
      </c>
      <c r="O24" s="96"/>
      <c r="P24" s="106">
        <f t="shared" si="7"/>
        <v>600</v>
      </c>
      <c r="Q24" s="106">
        <f t="shared" si="8"/>
        <v>600</v>
      </c>
      <c r="R24" s="105"/>
      <c r="S24" s="95" t="s">
        <v>185</v>
      </c>
      <c r="T24" s="96"/>
      <c r="U24" s="106">
        <f t="shared" si="9"/>
        <v>600</v>
      </c>
      <c r="V24" s="106">
        <f t="shared" si="10"/>
        <v>1</v>
      </c>
      <c r="W24" s="105">
        <f t="shared" si="11"/>
        <v>600</v>
      </c>
      <c r="X24" s="95" t="s">
        <v>186</v>
      </c>
      <c r="Y24" s="107" t="s">
        <v>181</v>
      </c>
      <c r="Z24" s="107" t="s">
        <v>176</v>
      </c>
    </row>
    <row r="25" spans="1:26" s="107" customFormat="1" ht="15" customHeight="1" x14ac:dyDescent="0.2">
      <c r="A25" s="101">
        <f t="shared" si="6"/>
        <v>23</v>
      </c>
      <c r="B25" s="77" t="s">
        <v>161</v>
      </c>
      <c r="C25" s="102" t="str">
        <f>IF($B25&lt;&gt;"",_xlfn.IFNA(VLOOKUP($B25,'Node Details'!$B:$U,C$1,0),"Check"),"")</f>
        <v>0000AXZ03-AXZ030102</v>
      </c>
      <c r="D25" s="102" t="str">
        <f>IF($B25&lt;&gt;"",_xlfn.IFNA(VLOOKUP($B25,'Node Details'!$B:$U,D$1,0),"Check"),"")</f>
        <v>AXZ</v>
      </c>
      <c r="E25" s="102" t="str">
        <f>IF($B25&lt;&gt;"",_xlfn.IFNA(VLOOKUP($B25,'Node Details'!$B:$U,E$1,0),"Check"),"")</f>
        <v>Airtel</v>
      </c>
      <c r="F25" s="103">
        <v>46110</v>
      </c>
      <c r="G25" s="102"/>
      <c r="H25" s="104" t="s">
        <v>182</v>
      </c>
      <c r="I25" s="9">
        <v>1</v>
      </c>
      <c r="J25" s="9">
        <v>600</v>
      </c>
      <c r="K25" s="102">
        <f t="shared" si="0"/>
        <v>600</v>
      </c>
      <c r="L25" s="80">
        <v>46110</v>
      </c>
      <c r="M25" s="105"/>
      <c r="N25" s="95" t="s">
        <v>372</v>
      </c>
      <c r="O25" s="96"/>
      <c r="P25" s="106">
        <f t="shared" si="7"/>
        <v>600</v>
      </c>
      <c r="Q25" s="106">
        <f t="shared" si="8"/>
        <v>600</v>
      </c>
      <c r="R25" s="105"/>
      <c r="S25" s="95" t="s">
        <v>185</v>
      </c>
      <c r="T25" s="96"/>
      <c r="U25" s="106">
        <f t="shared" si="9"/>
        <v>600</v>
      </c>
      <c r="V25" s="106">
        <f t="shared" si="10"/>
        <v>1</v>
      </c>
      <c r="W25" s="105">
        <f t="shared" si="11"/>
        <v>600</v>
      </c>
      <c r="X25" s="95" t="s">
        <v>186</v>
      </c>
      <c r="Y25" s="107" t="s">
        <v>181</v>
      </c>
      <c r="Z25" s="107" t="s">
        <v>176</v>
      </c>
    </row>
    <row r="26" spans="1:26" s="107" customFormat="1" ht="15" customHeight="1" x14ac:dyDescent="0.2">
      <c r="A26" s="101">
        <f t="shared" si="6"/>
        <v>24</v>
      </c>
      <c r="B26" s="77" t="s">
        <v>162</v>
      </c>
      <c r="C26" s="102" t="str">
        <f>IF($B26&lt;&gt;"",_xlfn.IFNA(VLOOKUP($B26,'Node Details'!$B:$U,C$1,0),"Check"),"")</f>
        <v>0000AXZ03-AXZ030104</v>
      </c>
      <c r="D26" s="102" t="str">
        <f>IF($B26&lt;&gt;"",_xlfn.IFNA(VLOOKUP($B26,'Node Details'!$B:$U,D$1,0),"Check"),"")</f>
        <v>AXZ</v>
      </c>
      <c r="E26" s="102" t="str">
        <f>IF($B26&lt;&gt;"",_xlfn.IFNA(VLOOKUP($B26,'Node Details'!$B:$U,E$1,0),"Check"),"")</f>
        <v>Airtel</v>
      </c>
      <c r="F26" s="103">
        <v>46110</v>
      </c>
      <c r="G26" s="102"/>
      <c r="H26" s="104" t="s">
        <v>182</v>
      </c>
      <c r="I26" s="9">
        <v>1</v>
      </c>
      <c r="J26" s="9">
        <v>600</v>
      </c>
      <c r="K26" s="102">
        <f t="shared" si="0"/>
        <v>600</v>
      </c>
      <c r="L26" s="80">
        <v>46110</v>
      </c>
      <c r="M26" s="105"/>
      <c r="N26" s="95" t="s">
        <v>372</v>
      </c>
      <c r="O26" s="96"/>
      <c r="P26" s="106">
        <f t="shared" si="7"/>
        <v>600</v>
      </c>
      <c r="Q26" s="106">
        <f t="shared" si="8"/>
        <v>600</v>
      </c>
      <c r="R26" s="105"/>
      <c r="S26" s="95" t="s">
        <v>185</v>
      </c>
      <c r="T26" s="96"/>
      <c r="U26" s="106">
        <f t="shared" si="9"/>
        <v>600</v>
      </c>
      <c r="V26" s="106">
        <f t="shared" si="10"/>
        <v>1</v>
      </c>
      <c r="W26" s="105">
        <f t="shared" si="11"/>
        <v>600</v>
      </c>
      <c r="X26" s="95" t="s">
        <v>186</v>
      </c>
      <c r="Y26" s="107" t="s">
        <v>181</v>
      </c>
      <c r="Z26" s="107" t="s">
        <v>176</v>
      </c>
    </row>
    <row r="27" spans="1:26" s="107" customFormat="1" ht="15" customHeight="1" x14ac:dyDescent="0.2">
      <c r="A27" s="101">
        <f t="shared" si="6"/>
        <v>25</v>
      </c>
      <c r="B27" s="77" t="s">
        <v>163</v>
      </c>
      <c r="C27" s="102" t="str">
        <f>IF($B27&lt;&gt;"",_xlfn.IFNA(VLOOKUP($B27,'Node Details'!$B:$U,C$1,0),"Check"),"")</f>
        <v>0000AXZ03-AXZ030104</v>
      </c>
      <c r="D27" s="102" t="str">
        <f>IF($B27&lt;&gt;"",_xlfn.IFNA(VLOOKUP($B27,'Node Details'!$B:$U,D$1,0),"Check"),"")</f>
        <v>AXZ</v>
      </c>
      <c r="E27" s="102" t="str">
        <f>IF($B27&lt;&gt;"",_xlfn.IFNA(VLOOKUP($B27,'Node Details'!$B:$U,E$1,0),"Check"),"")</f>
        <v>Airtel</v>
      </c>
      <c r="F27" s="103">
        <v>46110</v>
      </c>
      <c r="G27" s="102"/>
      <c r="H27" s="104" t="s">
        <v>182</v>
      </c>
      <c r="I27" s="9">
        <v>1</v>
      </c>
      <c r="J27" s="9">
        <v>600</v>
      </c>
      <c r="K27" s="102">
        <f t="shared" si="0"/>
        <v>600</v>
      </c>
      <c r="L27" s="80">
        <v>46110</v>
      </c>
      <c r="M27" s="105"/>
      <c r="N27" s="95" t="s">
        <v>372</v>
      </c>
      <c r="O27" s="96"/>
      <c r="P27" s="106">
        <f t="shared" si="7"/>
        <v>600</v>
      </c>
      <c r="Q27" s="106">
        <f t="shared" si="8"/>
        <v>600</v>
      </c>
      <c r="R27" s="105"/>
      <c r="S27" s="95" t="s">
        <v>185</v>
      </c>
      <c r="T27" s="96"/>
      <c r="U27" s="106">
        <f t="shared" si="9"/>
        <v>600</v>
      </c>
      <c r="V27" s="106">
        <f t="shared" si="10"/>
        <v>1</v>
      </c>
      <c r="W27" s="105">
        <f t="shared" si="11"/>
        <v>600</v>
      </c>
      <c r="X27" s="95" t="s">
        <v>186</v>
      </c>
      <c r="Y27" s="107" t="s">
        <v>181</v>
      </c>
      <c r="Z27" s="107" t="s">
        <v>176</v>
      </c>
    </row>
    <row r="28" spans="1:26" s="107" customFormat="1" ht="15" customHeight="1" x14ac:dyDescent="0.2">
      <c r="A28" s="101">
        <f t="shared" si="6"/>
        <v>26</v>
      </c>
      <c r="B28" s="77" t="s">
        <v>164</v>
      </c>
      <c r="C28" s="102" t="str">
        <f>IF($B28&lt;&gt;"",_xlfn.IFNA(VLOOKUP($B28,'Node Details'!$B:$U,C$1,0),"Check"),"")</f>
        <v>AXZ030104-AXZ030106</v>
      </c>
      <c r="D28" s="102" t="str">
        <f>IF($B28&lt;&gt;"",_xlfn.IFNA(VLOOKUP($B28,'Node Details'!$B:$U,D$1,0),"Check"),"")</f>
        <v>AXZ</v>
      </c>
      <c r="E28" s="102" t="str">
        <f>IF($B28&lt;&gt;"",_xlfn.IFNA(VLOOKUP($B28,'Node Details'!$B:$U,E$1,0),"Check"),"")</f>
        <v>Airtel</v>
      </c>
      <c r="F28" s="103">
        <v>46110</v>
      </c>
      <c r="G28" s="102"/>
      <c r="H28" s="104" t="s">
        <v>182</v>
      </c>
      <c r="I28" s="9">
        <v>1</v>
      </c>
      <c r="J28" s="9">
        <v>600</v>
      </c>
      <c r="K28" s="102">
        <f t="shared" si="0"/>
        <v>600</v>
      </c>
      <c r="L28" s="80">
        <v>46110</v>
      </c>
      <c r="M28" s="105"/>
      <c r="N28" s="95" t="s">
        <v>372</v>
      </c>
      <c r="O28" s="96"/>
      <c r="P28" s="106">
        <f t="shared" si="7"/>
        <v>600</v>
      </c>
      <c r="Q28" s="106">
        <f t="shared" si="8"/>
        <v>600</v>
      </c>
      <c r="R28" s="105"/>
      <c r="S28" s="95" t="s">
        <v>185</v>
      </c>
      <c r="T28" s="96"/>
      <c r="U28" s="106">
        <f t="shared" si="9"/>
        <v>600</v>
      </c>
      <c r="V28" s="106">
        <f t="shared" si="10"/>
        <v>1</v>
      </c>
      <c r="W28" s="105">
        <f t="shared" si="11"/>
        <v>600</v>
      </c>
      <c r="X28" s="95" t="s">
        <v>186</v>
      </c>
      <c r="Y28" s="107" t="s">
        <v>181</v>
      </c>
      <c r="Z28" s="107" t="s">
        <v>176</v>
      </c>
    </row>
    <row r="29" spans="1:26" s="107" customFormat="1" ht="15" customHeight="1" x14ac:dyDescent="0.2">
      <c r="A29" s="101">
        <f t="shared" si="6"/>
        <v>27</v>
      </c>
      <c r="B29" s="77" t="s">
        <v>165</v>
      </c>
      <c r="C29" s="102" t="str">
        <f>IF($B29&lt;&gt;"",_xlfn.IFNA(VLOOKUP($B29,'Node Details'!$B:$U,C$1,0),"Check"),"")</f>
        <v>AXZ030104-AXZ030106</v>
      </c>
      <c r="D29" s="102" t="str">
        <f>IF($B29&lt;&gt;"",_xlfn.IFNA(VLOOKUP($B29,'Node Details'!$B:$U,D$1,0),"Check"),"")</f>
        <v>AXZ</v>
      </c>
      <c r="E29" s="102" t="str">
        <f>IF($B29&lt;&gt;"",_xlfn.IFNA(VLOOKUP($B29,'Node Details'!$B:$U,E$1,0),"Check"),"")</f>
        <v>Airtel</v>
      </c>
      <c r="F29" s="103">
        <v>46110</v>
      </c>
      <c r="G29" s="102"/>
      <c r="H29" s="104" t="s">
        <v>182</v>
      </c>
      <c r="I29" s="9">
        <v>1</v>
      </c>
      <c r="J29" s="9">
        <v>600</v>
      </c>
      <c r="K29" s="102">
        <f t="shared" si="0"/>
        <v>600</v>
      </c>
      <c r="L29" s="80">
        <v>46110</v>
      </c>
      <c r="M29" s="105"/>
      <c r="N29" s="95" t="s">
        <v>372</v>
      </c>
      <c r="O29" s="96"/>
      <c r="P29" s="106">
        <f t="shared" si="7"/>
        <v>600</v>
      </c>
      <c r="Q29" s="106">
        <f t="shared" si="8"/>
        <v>600</v>
      </c>
      <c r="R29" s="105"/>
      <c r="S29" s="95" t="s">
        <v>185</v>
      </c>
      <c r="T29" s="96"/>
      <c r="U29" s="106">
        <f t="shared" si="9"/>
        <v>600</v>
      </c>
      <c r="V29" s="106">
        <f t="shared" si="10"/>
        <v>1</v>
      </c>
      <c r="W29" s="105">
        <f t="shared" si="11"/>
        <v>600</v>
      </c>
      <c r="X29" s="95" t="s">
        <v>186</v>
      </c>
      <c r="Y29" s="107" t="s">
        <v>181</v>
      </c>
      <c r="Z29" s="107" t="s">
        <v>176</v>
      </c>
    </row>
    <row r="30" spans="1:26" s="107" customFormat="1" ht="15" customHeight="1" x14ac:dyDescent="0.2">
      <c r="A30" s="101">
        <f t="shared" si="6"/>
        <v>28</v>
      </c>
      <c r="B30" s="77" t="s">
        <v>166</v>
      </c>
      <c r="C30" s="102" t="str">
        <f>IF($B30&lt;&gt;"",_xlfn.IFNA(VLOOKUP($B30,'Node Details'!$B:$U,C$1,0),"Check"),"")</f>
        <v>0000AXZ03-AXZ030201</v>
      </c>
      <c r="D30" s="102" t="str">
        <f>IF($B30&lt;&gt;"",_xlfn.IFNA(VLOOKUP($B30,'Node Details'!$B:$U,D$1,0),"Check"),"")</f>
        <v>AXZ</v>
      </c>
      <c r="E30" s="102" t="str">
        <f>IF($B30&lt;&gt;"",_xlfn.IFNA(VLOOKUP($B30,'Node Details'!$B:$U,E$1,0),"Check"),"")</f>
        <v>Airtel</v>
      </c>
      <c r="F30" s="103">
        <v>46110</v>
      </c>
      <c r="G30" s="102"/>
      <c r="H30" s="104" t="s">
        <v>182</v>
      </c>
      <c r="I30" s="9">
        <v>1</v>
      </c>
      <c r="J30" s="9">
        <v>600</v>
      </c>
      <c r="K30" s="102">
        <f t="shared" si="0"/>
        <v>600</v>
      </c>
      <c r="L30" s="80">
        <v>46110</v>
      </c>
      <c r="M30" s="105"/>
      <c r="N30" s="95" t="s">
        <v>372</v>
      </c>
      <c r="O30" s="96"/>
      <c r="P30" s="106">
        <f t="shared" si="7"/>
        <v>600</v>
      </c>
      <c r="Q30" s="106">
        <f t="shared" si="8"/>
        <v>600</v>
      </c>
      <c r="R30" s="105"/>
      <c r="S30" s="95" t="s">
        <v>185</v>
      </c>
      <c r="T30" s="96"/>
      <c r="U30" s="106">
        <f t="shared" si="9"/>
        <v>600</v>
      </c>
      <c r="V30" s="106">
        <f t="shared" si="10"/>
        <v>1</v>
      </c>
      <c r="W30" s="105">
        <f t="shared" si="11"/>
        <v>600</v>
      </c>
      <c r="X30" s="95" t="s">
        <v>186</v>
      </c>
      <c r="Y30" s="107" t="s">
        <v>181</v>
      </c>
      <c r="Z30" s="107" t="s">
        <v>176</v>
      </c>
    </row>
    <row r="31" spans="1:26" s="107" customFormat="1" ht="15" customHeight="1" x14ac:dyDescent="0.2">
      <c r="A31" s="101">
        <f t="shared" si="6"/>
        <v>29</v>
      </c>
      <c r="B31" s="77" t="s">
        <v>167</v>
      </c>
      <c r="C31" s="102" t="str">
        <f>IF($B31&lt;&gt;"",_xlfn.IFNA(VLOOKUP($B31,'Node Details'!$B:$U,C$1,0),"Check"),"")</f>
        <v>0000AXZ03-AXZ030201</v>
      </c>
      <c r="D31" s="102" t="str">
        <f>IF($B31&lt;&gt;"",_xlfn.IFNA(VLOOKUP($B31,'Node Details'!$B:$U,D$1,0),"Check"),"")</f>
        <v>AXZ</v>
      </c>
      <c r="E31" s="102" t="str">
        <f>IF($B31&lt;&gt;"",_xlfn.IFNA(VLOOKUP($B31,'Node Details'!$B:$U,E$1,0),"Check"),"")</f>
        <v>Airtel</v>
      </c>
      <c r="F31" s="103">
        <v>46110</v>
      </c>
      <c r="G31" s="102"/>
      <c r="H31" s="104" t="s">
        <v>182</v>
      </c>
      <c r="I31" s="9">
        <v>1</v>
      </c>
      <c r="J31" s="9">
        <v>600</v>
      </c>
      <c r="K31" s="102">
        <f t="shared" si="0"/>
        <v>600</v>
      </c>
      <c r="L31" s="80">
        <v>46110</v>
      </c>
      <c r="M31" s="105"/>
      <c r="N31" s="95" t="s">
        <v>372</v>
      </c>
      <c r="O31" s="96"/>
      <c r="P31" s="106">
        <f t="shared" si="7"/>
        <v>600</v>
      </c>
      <c r="Q31" s="106">
        <f t="shared" si="8"/>
        <v>600</v>
      </c>
      <c r="R31" s="105"/>
      <c r="S31" s="95" t="s">
        <v>185</v>
      </c>
      <c r="T31" s="96"/>
      <c r="U31" s="106">
        <f t="shared" si="9"/>
        <v>600</v>
      </c>
      <c r="V31" s="106">
        <f t="shared" si="10"/>
        <v>1</v>
      </c>
      <c r="W31" s="105">
        <f t="shared" si="11"/>
        <v>600</v>
      </c>
      <c r="X31" s="95" t="s">
        <v>186</v>
      </c>
      <c r="Y31" s="107" t="s">
        <v>181</v>
      </c>
      <c r="Z31" s="107" t="s">
        <v>176</v>
      </c>
    </row>
    <row r="32" spans="1:26" s="107" customFormat="1" ht="15" customHeight="1" x14ac:dyDescent="0.2">
      <c r="A32" s="101">
        <f t="shared" si="6"/>
        <v>30</v>
      </c>
      <c r="B32" s="77" t="s">
        <v>168</v>
      </c>
      <c r="C32" s="102" t="str">
        <f>IF($B32&lt;&gt;"",_xlfn.IFNA(VLOOKUP($B32,'Node Details'!$B:$U,C$1,0),"Check"),"")</f>
        <v>0000AXZ03-AXZ030201</v>
      </c>
      <c r="D32" s="102" t="str">
        <f>IF($B32&lt;&gt;"",_xlfn.IFNA(VLOOKUP($B32,'Node Details'!$B:$U,D$1,0),"Check"),"")</f>
        <v>AXZ</v>
      </c>
      <c r="E32" s="102" t="str">
        <f>IF($B32&lt;&gt;"",_xlfn.IFNA(VLOOKUP($B32,'Node Details'!$B:$U,E$1,0),"Check"),"")</f>
        <v>Airtel</v>
      </c>
      <c r="F32" s="103">
        <v>46110</v>
      </c>
      <c r="G32" s="102"/>
      <c r="H32" s="104" t="s">
        <v>182</v>
      </c>
      <c r="I32" s="9">
        <v>1</v>
      </c>
      <c r="J32" s="9">
        <v>600</v>
      </c>
      <c r="K32" s="102">
        <f t="shared" si="0"/>
        <v>600</v>
      </c>
      <c r="L32" s="80">
        <v>46110</v>
      </c>
      <c r="M32" s="105"/>
      <c r="N32" s="95" t="s">
        <v>372</v>
      </c>
      <c r="O32" s="96"/>
      <c r="P32" s="106">
        <f t="shared" si="7"/>
        <v>600</v>
      </c>
      <c r="Q32" s="106">
        <f t="shared" si="8"/>
        <v>600</v>
      </c>
      <c r="R32" s="105"/>
      <c r="S32" s="95" t="s">
        <v>185</v>
      </c>
      <c r="T32" s="96"/>
      <c r="U32" s="106">
        <f t="shared" si="9"/>
        <v>600</v>
      </c>
      <c r="V32" s="106">
        <f t="shared" si="10"/>
        <v>1</v>
      </c>
      <c r="W32" s="105">
        <f t="shared" si="11"/>
        <v>600</v>
      </c>
      <c r="X32" s="95" t="s">
        <v>186</v>
      </c>
      <c r="Y32" s="107" t="s">
        <v>181</v>
      </c>
      <c r="Z32" s="107" t="s">
        <v>176</v>
      </c>
    </row>
    <row r="33" spans="1:26" s="107" customFormat="1" ht="15" customHeight="1" x14ac:dyDescent="0.2">
      <c r="A33" s="101">
        <f t="shared" si="6"/>
        <v>31</v>
      </c>
      <c r="B33" s="77" t="s">
        <v>169</v>
      </c>
      <c r="C33" s="102" t="str">
        <f>IF($B33&lt;&gt;"",_xlfn.IFNA(VLOOKUP($B33,'Node Details'!$B:$U,C$1,0),"Check"),"")</f>
        <v>AXZ030201-AXZ030205</v>
      </c>
      <c r="D33" s="102" t="str">
        <f>IF($B33&lt;&gt;"",_xlfn.IFNA(VLOOKUP($B33,'Node Details'!$B:$U,D$1,0),"Check"),"")</f>
        <v>AXZ</v>
      </c>
      <c r="E33" s="102" t="str">
        <f>IF($B33&lt;&gt;"",_xlfn.IFNA(VLOOKUP($B33,'Node Details'!$B:$U,E$1,0),"Check"),"")</f>
        <v>Airtel</v>
      </c>
      <c r="F33" s="103">
        <v>46110</v>
      </c>
      <c r="G33" s="102"/>
      <c r="H33" s="104" t="s">
        <v>182</v>
      </c>
      <c r="I33" s="9">
        <v>1</v>
      </c>
      <c r="J33" s="9">
        <v>600</v>
      </c>
      <c r="K33" s="102">
        <f t="shared" si="0"/>
        <v>600</v>
      </c>
      <c r="L33" s="80">
        <v>46110</v>
      </c>
      <c r="M33" s="105"/>
      <c r="N33" s="95" t="s">
        <v>372</v>
      </c>
      <c r="O33" s="96"/>
      <c r="P33" s="106">
        <f t="shared" si="7"/>
        <v>600</v>
      </c>
      <c r="Q33" s="106">
        <f t="shared" si="8"/>
        <v>600</v>
      </c>
      <c r="R33" s="105"/>
      <c r="S33" s="95" t="s">
        <v>185</v>
      </c>
      <c r="T33" s="96"/>
      <c r="U33" s="106">
        <f t="shared" si="9"/>
        <v>600</v>
      </c>
      <c r="V33" s="106">
        <f t="shared" si="10"/>
        <v>1</v>
      </c>
      <c r="W33" s="105">
        <f t="shared" si="11"/>
        <v>600</v>
      </c>
      <c r="X33" s="95" t="s">
        <v>186</v>
      </c>
      <c r="Y33" s="107" t="s">
        <v>181</v>
      </c>
      <c r="Z33" s="107" t="s">
        <v>176</v>
      </c>
    </row>
    <row r="34" spans="1:26" s="107" customFormat="1" ht="15" customHeight="1" x14ac:dyDescent="0.2">
      <c r="A34" s="101">
        <f t="shared" si="6"/>
        <v>32</v>
      </c>
      <c r="B34" s="77" t="s">
        <v>170</v>
      </c>
      <c r="C34" s="102" t="str">
        <f>IF($B34&lt;&gt;"",_xlfn.IFNA(VLOOKUP($B34,'Node Details'!$B:$U,C$1,0),"Check"),"")</f>
        <v>AXZ030201-AXZ030205</v>
      </c>
      <c r="D34" s="102" t="str">
        <f>IF($B34&lt;&gt;"",_xlfn.IFNA(VLOOKUP($B34,'Node Details'!$B:$U,D$1,0),"Check"),"")</f>
        <v>AXZ</v>
      </c>
      <c r="E34" s="102" t="str">
        <f>IF($B34&lt;&gt;"",_xlfn.IFNA(VLOOKUP($B34,'Node Details'!$B:$U,E$1,0),"Check"),"")</f>
        <v>Airtel</v>
      </c>
      <c r="F34" s="103">
        <v>46110</v>
      </c>
      <c r="G34" s="102"/>
      <c r="H34" s="104" t="s">
        <v>182</v>
      </c>
      <c r="I34" s="9">
        <v>1</v>
      </c>
      <c r="J34" s="9">
        <v>600</v>
      </c>
      <c r="K34" s="102">
        <f t="shared" si="0"/>
        <v>600</v>
      </c>
      <c r="L34" s="80">
        <v>46110</v>
      </c>
      <c r="M34" s="105"/>
      <c r="N34" s="95" t="s">
        <v>372</v>
      </c>
      <c r="O34" s="96"/>
      <c r="P34" s="106">
        <f t="shared" si="7"/>
        <v>600</v>
      </c>
      <c r="Q34" s="106">
        <f t="shared" si="8"/>
        <v>600</v>
      </c>
      <c r="R34" s="105"/>
      <c r="S34" s="95" t="s">
        <v>185</v>
      </c>
      <c r="T34" s="96"/>
      <c r="U34" s="106">
        <f t="shared" si="9"/>
        <v>600</v>
      </c>
      <c r="V34" s="106">
        <f t="shared" si="10"/>
        <v>1</v>
      </c>
      <c r="W34" s="105">
        <f t="shared" si="11"/>
        <v>600</v>
      </c>
      <c r="X34" s="95" t="s">
        <v>186</v>
      </c>
      <c r="Y34" s="107" t="s">
        <v>181</v>
      </c>
      <c r="Z34" s="107" t="s">
        <v>176</v>
      </c>
    </row>
    <row r="35" spans="1:26" s="107" customFormat="1" ht="15" customHeight="1" x14ac:dyDescent="0.2">
      <c r="A35" s="101">
        <f t="shared" si="6"/>
        <v>33</v>
      </c>
      <c r="B35" s="77" t="s">
        <v>171</v>
      </c>
      <c r="C35" s="102" t="str">
        <f>IF($B35&lt;&gt;"",_xlfn.IFNA(VLOOKUP($B35,'Node Details'!$B:$U,C$1,0),"Check"),"")</f>
        <v>AXZ030201-AXZ030205</v>
      </c>
      <c r="D35" s="102" t="str">
        <f>IF($B35&lt;&gt;"",_xlfn.IFNA(VLOOKUP($B35,'Node Details'!$B:$U,D$1,0),"Check"),"")</f>
        <v>AXZ</v>
      </c>
      <c r="E35" s="102" t="str">
        <f>IF($B35&lt;&gt;"",_xlfn.IFNA(VLOOKUP($B35,'Node Details'!$B:$U,E$1,0),"Check"),"")</f>
        <v>Airtel</v>
      </c>
      <c r="F35" s="103">
        <v>46110</v>
      </c>
      <c r="G35" s="102"/>
      <c r="H35" s="104" t="s">
        <v>182</v>
      </c>
      <c r="I35" s="9">
        <v>1</v>
      </c>
      <c r="J35" s="9">
        <v>600</v>
      </c>
      <c r="K35" s="102">
        <f t="shared" si="0"/>
        <v>600</v>
      </c>
      <c r="L35" s="80">
        <v>46110</v>
      </c>
      <c r="M35" s="105"/>
      <c r="N35" s="95" t="s">
        <v>372</v>
      </c>
      <c r="O35" s="96"/>
      <c r="P35" s="106">
        <f t="shared" si="7"/>
        <v>600</v>
      </c>
      <c r="Q35" s="106">
        <f t="shared" si="8"/>
        <v>600</v>
      </c>
      <c r="R35" s="105"/>
      <c r="S35" s="95" t="s">
        <v>185</v>
      </c>
      <c r="T35" s="96"/>
      <c r="U35" s="106">
        <f t="shared" si="9"/>
        <v>600</v>
      </c>
      <c r="V35" s="106">
        <f t="shared" si="10"/>
        <v>1</v>
      </c>
      <c r="W35" s="105">
        <f t="shared" si="11"/>
        <v>600</v>
      </c>
      <c r="X35" s="95" t="s">
        <v>186</v>
      </c>
      <c r="Y35" s="107" t="s">
        <v>181</v>
      </c>
      <c r="Z35" s="107" t="s">
        <v>176</v>
      </c>
    </row>
    <row r="36" spans="1:26" s="107" customFormat="1" ht="15" customHeight="1" x14ac:dyDescent="0.2">
      <c r="A36" s="101">
        <f t="shared" si="6"/>
        <v>34</v>
      </c>
      <c r="B36" s="77" t="s">
        <v>172</v>
      </c>
      <c r="C36" s="102" t="str">
        <f>IF($B36&lt;&gt;"",_xlfn.IFNA(VLOOKUP($B36,'Node Details'!$B:$U,C$1,0),"Check"),"")</f>
        <v>AXZ030201-AXZ030205</v>
      </c>
      <c r="D36" s="102" t="str">
        <f>IF($B36&lt;&gt;"",_xlfn.IFNA(VLOOKUP($B36,'Node Details'!$B:$U,D$1,0),"Check"),"")</f>
        <v>AXZ</v>
      </c>
      <c r="E36" s="102" t="str">
        <f>IF($B36&lt;&gt;"",_xlfn.IFNA(VLOOKUP($B36,'Node Details'!$B:$U,E$1,0),"Check"),"")</f>
        <v>Airtel</v>
      </c>
      <c r="F36" s="103">
        <v>46110</v>
      </c>
      <c r="G36" s="102"/>
      <c r="H36" s="104" t="s">
        <v>182</v>
      </c>
      <c r="I36" s="9">
        <v>1</v>
      </c>
      <c r="J36" s="9">
        <v>600</v>
      </c>
      <c r="K36" s="102">
        <f t="shared" si="0"/>
        <v>600</v>
      </c>
      <c r="L36" s="80">
        <v>46110</v>
      </c>
      <c r="M36" s="105"/>
      <c r="N36" s="95" t="s">
        <v>372</v>
      </c>
      <c r="O36" s="96"/>
      <c r="P36" s="106">
        <f t="shared" si="7"/>
        <v>600</v>
      </c>
      <c r="Q36" s="106">
        <f t="shared" si="8"/>
        <v>600</v>
      </c>
      <c r="R36" s="105"/>
      <c r="S36" s="95" t="s">
        <v>185</v>
      </c>
      <c r="T36" s="96"/>
      <c r="U36" s="106">
        <f t="shared" si="9"/>
        <v>600</v>
      </c>
      <c r="V36" s="106">
        <f t="shared" si="10"/>
        <v>1</v>
      </c>
      <c r="W36" s="105">
        <f t="shared" si="11"/>
        <v>600</v>
      </c>
      <c r="X36" s="95" t="s">
        <v>186</v>
      </c>
      <c r="Y36" s="107" t="s">
        <v>181</v>
      </c>
      <c r="Z36" s="107" t="s">
        <v>176</v>
      </c>
    </row>
    <row r="37" spans="1:26" s="107" customFormat="1" ht="15" customHeight="1" x14ac:dyDescent="0.2">
      <c r="A37" s="101">
        <f t="shared" si="6"/>
        <v>35</v>
      </c>
      <c r="B37" s="77" t="s">
        <v>136</v>
      </c>
      <c r="C37" s="102" t="str">
        <f>IF($B37&lt;&gt;"",_xlfn.IFNA(VLOOKUP($B37,'Node Details'!$B:$U,C$1,0),"Check"),"")</f>
        <v>000000AXZ-0000AXZ01</v>
      </c>
      <c r="D37" s="102" t="str">
        <f>IF($B37&lt;&gt;"",_xlfn.IFNA(VLOOKUP($B37,'Node Details'!$B:$U,D$1,0),"Check"),"")</f>
        <v>AXZ</v>
      </c>
      <c r="E37" s="102" t="str">
        <f>IF($B37&lt;&gt;"",_xlfn.IFNA(VLOOKUP($B37,'Node Details'!$B:$U,E$1,0),"Check"),"")</f>
        <v>Airtel</v>
      </c>
      <c r="F37" s="103">
        <v>46110</v>
      </c>
      <c r="G37" s="102"/>
      <c r="H37" s="104" t="s">
        <v>183</v>
      </c>
      <c r="I37" s="9">
        <v>1</v>
      </c>
      <c r="J37" s="9">
        <v>600</v>
      </c>
      <c r="K37" s="102">
        <f t="shared" si="0"/>
        <v>600</v>
      </c>
      <c r="L37" s="80">
        <v>46110</v>
      </c>
      <c r="M37" s="105"/>
      <c r="N37" s="95" t="s">
        <v>372</v>
      </c>
      <c r="O37" s="96"/>
      <c r="P37" s="106">
        <f t="shared" si="7"/>
        <v>600</v>
      </c>
      <c r="Q37" s="106">
        <f t="shared" si="8"/>
        <v>600</v>
      </c>
      <c r="R37" s="105"/>
      <c r="S37" s="95" t="s">
        <v>185</v>
      </c>
      <c r="T37" s="96"/>
      <c r="U37" s="106">
        <f t="shared" si="9"/>
        <v>600</v>
      </c>
      <c r="V37" s="106">
        <f t="shared" si="10"/>
        <v>1</v>
      </c>
      <c r="W37" s="105">
        <f t="shared" si="11"/>
        <v>600</v>
      </c>
      <c r="X37" s="95" t="s">
        <v>186</v>
      </c>
      <c r="Y37" s="107" t="s">
        <v>181</v>
      </c>
      <c r="Z37" s="107" t="s">
        <v>176</v>
      </c>
    </row>
    <row r="38" spans="1:26" s="107" customFormat="1" ht="15" customHeight="1" x14ac:dyDescent="0.2">
      <c r="A38" s="101">
        <f t="shared" si="6"/>
        <v>36</v>
      </c>
      <c r="B38" s="77" t="s">
        <v>147</v>
      </c>
      <c r="C38" s="102" t="str">
        <f>IF($B38&lt;&gt;"",_xlfn.IFNA(VLOOKUP($B38,'Node Details'!$B:$U,C$1,0),"Check"),"")</f>
        <v>000000AXZ-0000AXZ03</v>
      </c>
      <c r="D38" s="102" t="str">
        <f>IF($B38&lt;&gt;"",_xlfn.IFNA(VLOOKUP($B38,'Node Details'!$B:$U,D$1,0),"Check"),"")</f>
        <v>AXZ</v>
      </c>
      <c r="E38" s="102" t="str">
        <f>IF($B38&lt;&gt;"",_xlfn.IFNA(VLOOKUP($B38,'Node Details'!$B:$U,E$1,0),"Check"),"")</f>
        <v>Airtel</v>
      </c>
      <c r="F38" s="103">
        <v>46110</v>
      </c>
      <c r="G38" s="102"/>
      <c r="H38" s="104" t="s">
        <v>183</v>
      </c>
      <c r="I38" s="9">
        <v>1</v>
      </c>
      <c r="J38" s="9">
        <v>600</v>
      </c>
      <c r="K38" s="102">
        <f t="shared" si="0"/>
        <v>600</v>
      </c>
      <c r="L38" s="80">
        <v>46110</v>
      </c>
      <c r="M38" s="105"/>
      <c r="N38" s="95" t="s">
        <v>372</v>
      </c>
      <c r="O38" s="96"/>
      <c r="P38" s="106">
        <f t="shared" si="7"/>
        <v>600</v>
      </c>
      <c r="Q38" s="106">
        <f t="shared" si="8"/>
        <v>600</v>
      </c>
      <c r="R38" s="105"/>
      <c r="S38" s="95" t="s">
        <v>185</v>
      </c>
      <c r="T38" s="96"/>
      <c r="U38" s="106">
        <f t="shared" si="9"/>
        <v>600</v>
      </c>
      <c r="V38" s="106">
        <f t="shared" si="10"/>
        <v>1</v>
      </c>
      <c r="W38" s="105">
        <f t="shared" si="11"/>
        <v>600</v>
      </c>
      <c r="X38" s="95" t="s">
        <v>186</v>
      </c>
      <c r="Y38" s="107" t="s">
        <v>181</v>
      </c>
      <c r="Z38" s="107" t="s">
        <v>176</v>
      </c>
    </row>
    <row r="39" spans="1:26" s="107" customFormat="1" ht="15" customHeight="1" x14ac:dyDescent="0.2">
      <c r="A39" s="101">
        <f t="shared" si="6"/>
        <v>37</v>
      </c>
      <c r="B39" s="77" t="s">
        <v>159</v>
      </c>
      <c r="C39" s="102" t="str">
        <f>IF($B39&lt;&gt;"",_xlfn.IFNA(VLOOKUP($B39,'Node Details'!$B:$U,C$1,0),"Check"),"")</f>
        <v>000000AXZ-0000AXZ03</v>
      </c>
      <c r="D39" s="102" t="str">
        <f>IF($B39&lt;&gt;"",_xlfn.IFNA(VLOOKUP($B39,'Node Details'!$B:$U,D$1,0),"Check"),"")</f>
        <v>AXZ</v>
      </c>
      <c r="E39" s="102" t="str">
        <f>IF($B39&lt;&gt;"",_xlfn.IFNA(VLOOKUP($B39,'Node Details'!$B:$U,E$1,0),"Check"),"")</f>
        <v>Airtel</v>
      </c>
      <c r="F39" s="103">
        <v>46110</v>
      </c>
      <c r="G39" s="102"/>
      <c r="H39" s="104" t="s">
        <v>183</v>
      </c>
      <c r="I39" s="9">
        <v>1</v>
      </c>
      <c r="J39" s="9">
        <v>600</v>
      </c>
      <c r="K39" s="102">
        <f t="shared" si="0"/>
        <v>600</v>
      </c>
      <c r="L39" s="80">
        <v>46110</v>
      </c>
      <c r="M39" s="105"/>
      <c r="N39" s="95" t="s">
        <v>372</v>
      </c>
      <c r="O39" s="96"/>
      <c r="P39" s="106">
        <f t="shared" si="7"/>
        <v>600</v>
      </c>
      <c r="Q39" s="106">
        <f t="shared" si="8"/>
        <v>600</v>
      </c>
      <c r="R39" s="105"/>
      <c r="S39" s="95" t="s">
        <v>185</v>
      </c>
      <c r="T39" s="96"/>
      <c r="U39" s="106">
        <f t="shared" si="9"/>
        <v>600</v>
      </c>
      <c r="V39" s="106">
        <f t="shared" si="10"/>
        <v>1</v>
      </c>
      <c r="W39" s="105">
        <f t="shared" si="11"/>
        <v>600</v>
      </c>
      <c r="X39" s="95" t="s">
        <v>186</v>
      </c>
      <c r="Y39" s="107" t="s">
        <v>181</v>
      </c>
      <c r="Z39" s="107" t="s">
        <v>176</v>
      </c>
    </row>
    <row r="40" spans="1:26" s="107" customFormat="1" ht="15" customHeight="1" x14ac:dyDescent="0.2">
      <c r="A40" s="101">
        <f t="shared" si="6"/>
        <v>38</v>
      </c>
      <c r="B40" s="77" t="s">
        <v>136</v>
      </c>
      <c r="C40" s="102" t="str">
        <f>IF($B40&lt;&gt;"",_xlfn.IFNA(VLOOKUP($B40,'Node Details'!$B:$U,C$1,0),"Check"),"")</f>
        <v>000000AXZ-0000AXZ01</v>
      </c>
      <c r="D40" s="102" t="str">
        <f>IF($B40&lt;&gt;"",_xlfn.IFNA(VLOOKUP($B40,'Node Details'!$B:$U,D$1,0),"Check"),"")</f>
        <v>AXZ</v>
      </c>
      <c r="E40" s="102" t="str">
        <f>IF($B40&lt;&gt;"",_xlfn.IFNA(VLOOKUP($B40,'Node Details'!$B:$U,E$1,0),"Check"),"")</f>
        <v>Airtel</v>
      </c>
      <c r="F40" s="103">
        <v>46110</v>
      </c>
      <c r="G40" s="102"/>
      <c r="H40" s="104" t="s">
        <v>184</v>
      </c>
      <c r="I40" s="9">
        <v>1</v>
      </c>
      <c r="J40" s="9">
        <v>48</v>
      </c>
      <c r="K40" s="102">
        <f t="shared" si="0"/>
        <v>48</v>
      </c>
      <c r="L40" s="80">
        <v>46110</v>
      </c>
      <c r="M40" s="105"/>
      <c r="N40" s="95" t="s">
        <v>372</v>
      </c>
      <c r="O40" s="96"/>
      <c r="P40" s="106">
        <f t="shared" si="7"/>
        <v>48</v>
      </c>
      <c r="Q40" s="106">
        <f t="shared" si="8"/>
        <v>48</v>
      </c>
      <c r="R40" s="105"/>
      <c r="S40" s="95" t="s">
        <v>185</v>
      </c>
      <c r="T40" s="96"/>
      <c r="U40" s="106">
        <f t="shared" si="9"/>
        <v>48</v>
      </c>
      <c r="V40" s="106">
        <f t="shared" si="10"/>
        <v>1</v>
      </c>
      <c r="W40" s="105">
        <f t="shared" si="11"/>
        <v>48</v>
      </c>
      <c r="X40" s="95" t="s">
        <v>186</v>
      </c>
      <c r="Y40" s="107" t="s">
        <v>181</v>
      </c>
      <c r="Z40" s="107" t="s">
        <v>176</v>
      </c>
    </row>
    <row r="41" spans="1:26" s="107" customFormat="1" ht="15" customHeight="1" x14ac:dyDescent="0.2">
      <c r="A41" s="101">
        <f t="shared" si="6"/>
        <v>39</v>
      </c>
      <c r="B41" s="77" t="s">
        <v>137</v>
      </c>
      <c r="C41" s="102" t="str">
        <f>IF($B41&lt;&gt;"",_xlfn.IFNA(VLOOKUP($B41,'Node Details'!$B:$U,C$1,0),"Check"),"")</f>
        <v>0000AXZ01-AXZ010101</v>
      </c>
      <c r="D41" s="102" t="str">
        <f>IF($B41&lt;&gt;"",_xlfn.IFNA(VLOOKUP($B41,'Node Details'!$B:$U,D$1,0),"Check"),"")</f>
        <v>AXZ</v>
      </c>
      <c r="E41" s="102" t="str">
        <f>IF($B41&lt;&gt;"",_xlfn.IFNA(VLOOKUP($B41,'Node Details'!$B:$U,E$1,0),"Check"),"")</f>
        <v>Airtel</v>
      </c>
      <c r="F41" s="103">
        <v>46110</v>
      </c>
      <c r="G41" s="102"/>
      <c r="H41" s="104" t="s">
        <v>184</v>
      </c>
      <c r="I41" s="9">
        <v>1</v>
      </c>
      <c r="J41" s="9">
        <v>48</v>
      </c>
      <c r="K41" s="102">
        <f t="shared" si="0"/>
        <v>48</v>
      </c>
      <c r="L41" s="80">
        <v>46110</v>
      </c>
      <c r="M41" s="105"/>
      <c r="N41" s="95" t="s">
        <v>372</v>
      </c>
      <c r="O41" s="96"/>
      <c r="P41" s="106">
        <f t="shared" si="7"/>
        <v>48</v>
      </c>
      <c r="Q41" s="106">
        <f t="shared" si="8"/>
        <v>48</v>
      </c>
      <c r="R41" s="105"/>
      <c r="S41" s="95" t="s">
        <v>185</v>
      </c>
      <c r="T41" s="96"/>
      <c r="U41" s="106">
        <f t="shared" si="9"/>
        <v>48</v>
      </c>
      <c r="V41" s="106">
        <f t="shared" si="10"/>
        <v>1</v>
      </c>
      <c r="W41" s="105">
        <f t="shared" si="11"/>
        <v>48</v>
      </c>
      <c r="X41" s="95" t="s">
        <v>186</v>
      </c>
      <c r="Y41" s="107" t="s">
        <v>181</v>
      </c>
      <c r="Z41" s="107" t="s">
        <v>176</v>
      </c>
    </row>
    <row r="42" spans="1:26" s="107" customFormat="1" ht="15" customHeight="1" x14ac:dyDescent="0.2">
      <c r="A42" s="101">
        <f t="shared" si="6"/>
        <v>40</v>
      </c>
      <c r="B42" s="77" t="s">
        <v>138</v>
      </c>
      <c r="C42" s="102" t="str">
        <f>IF($B42&lt;&gt;"",_xlfn.IFNA(VLOOKUP($B42,'Node Details'!$B:$U,C$1,0),"Check"),"")</f>
        <v>0000AXZ01-AXZ010102</v>
      </c>
      <c r="D42" s="102" t="str">
        <f>IF($B42&lt;&gt;"",_xlfn.IFNA(VLOOKUP($B42,'Node Details'!$B:$U,D$1,0),"Check"),"")</f>
        <v>AXZ</v>
      </c>
      <c r="E42" s="102" t="str">
        <f>IF($B42&lt;&gt;"",_xlfn.IFNA(VLOOKUP($B42,'Node Details'!$B:$U,E$1,0),"Check"),"")</f>
        <v>Airtel</v>
      </c>
      <c r="F42" s="103">
        <v>46110</v>
      </c>
      <c r="G42" s="102"/>
      <c r="H42" s="104" t="s">
        <v>184</v>
      </c>
      <c r="I42" s="9">
        <v>1</v>
      </c>
      <c r="J42" s="9">
        <v>48</v>
      </c>
      <c r="K42" s="102">
        <f t="shared" si="0"/>
        <v>48</v>
      </c>
      <c r="L42" s="80">
        <v>46110</v>
      </c>
      <c r="M42" s="105"/>
      <c r="N42" s="95" t="s">
        <v>372</v>
      </c>
      <c r="O42" s="96"/>
      <c r="P42" s="106">
        <f t="shared" si="7"/>
        <v>48</v>
      </c>
      <c r="Q42" s="106">
        <f t="shared" si="8"/>
        <v>48</v>
      </c>
      <c r="R42" s="105"/>
      <c r="S42" s="95" t="s">
        <v>185</v>
      </c>
      <c r="T42" s="96"/>
      <c r="U42" s="106">
        <f t="shared" si="9"/>
        <v>48</v>
      </c>
      <c r="V42" s="106">
        <f t="shared" si="10"/>
        <v>1</v>
      </c>
      <c r="W42" s="105">
        <f t="shared" si="11"/>
        <v>48</v>
      </c>
      <c r="X42" s="95" t="s">
        <v>186</v>
      </c>
      <c r="Y42" s="107" t="s">
        <v>181</v>
      </c>
      <c r="Z42" s="107" t="s">
        <v>176</v>
      </c>
    </row>
    <row r="43" spans="1:26" s="107" customFormat="1" ht="15" customHeight="1" x14ac:dyDescent="0.2">
      <c r="A43" s="101">
        <f t="shared" si="6"/>
        <v>41</v>
      </c>
      <c r="B43" s="77" t="s">
        <v>139</v>
      </c>
      <c r="C43" s="102" t="str">
        <f>IF($B43&lt;&gt;"",_xlfn.IFNA(VLOOKUP($B43,'Node Details'!$B:$U,C$1,0),"Check"),"")</f>
        <v>0000AXZ01-AXZ010105</v>
      </c>
      <c r="D43" s="102" t="str">
        <f>IF($B43&lt;&gt;"",_xlfn.IFNA(VLOOKUP($B43,'Node Details'!$B:$U,D$1,0),"Check"),"")</f>
        <v>AXZ</v>
      </c>
      <c r="E43" s="102" t="str">
        <f>IF($B43&lt;&gt;"",_xlfn.IFNA(VLOOKUP($B43,'Node Details'!$B:$U,E$1,0),"Check"),"")</f>
        <v>Airtel</v>
      </c>
      <c r="F43" s="103">
        <v>46110</v>
      </c>
      <c r="G43" s="102"/>
      <c r="H43" s="104" t="s">
        <v>184</v>
      </c>
      <c r="I43" s="9">
        <v>1</v>
      </c>
      <c r="J43" s="9">
        <v>48</v>
      </c>
      <c r="K43" s="102">
        <f t="shared" si="0"/>
        <v>48</v>
      </c>
      <c r="L43" s="80">
        <v>46110</v>
      </c>
      <c r="M43" s="105"/>
      <c r="N43" s="95" t="s">
        <v>372</v>
      </c>
      <c r="O43" s="96"/>
      <c r="P43" s="106">
        <f t="shared" si="7"/>
        <v>48</v>
      </c>
      <c r="Q43" s="106">
        <f t="shared" si="8"/>
        <v>48</v>
      </c>
      <c r="R43" s="105"/>
      <c r="S43" s="95" t="s">
        <v>185</v>
      </c>
      <c r="T43" s="96"/>
      <c r="U43" s="106">
        <f t="shared" si="9"/>
        <v>48</v>
      </c>
      <c r="V43" s="106">
        <f t="shared" si="10"/>
        <v>1</v>
      </c>
      <c r="W43" s="105">
        <f t="shared" si="11"/>
        <v>48</v>
      </c>
      <c r="X43" s="95" t="s">
        <v>186</v>
      </c>
      <c r="Y43" s="107" t="s">
        <v>181</v>
      </c>
      <c r="Z43" s="107" t="s">
        <v>176</v>
      </c>
    </row>
    <row r="44" spans="1:26" s="107" customFormat="1" ht="15" customHeight="1" x14ac:dyDescent="0.2">
      <c r="A44" s="101">
        <f t="shared" si="6"/>
        <v>42</v>
      </c>
      <c r="B44" s="77" t="s">
        <v>140</v>
      </c>
      <c r="C44" s="102" t="str">
        <f>IF($B44&lt;&gt;"",_xlfn.IFNA(VLOOKUP($B44,'Node Details'!$B:$U,C$1,0),"Check"),"")</f>
        <v>0000AXZ01-AXZ010105</v>
      </c>
      <c r="D44" s="102" t="str">
        <f>IF($B44&lt;&gt;"",_xlfn.IFNA(VLOOKUP($B44,'Node Details'!$B:$U,D$1,0),"Check"),"")</f>
        <v>AXZ</v>
      </c>
      <c r="E44" s="102" t="str">
        <f>IF($B44&lt;&gt;"",_xlfn.IFNA(VLOOKUP($B44,'Node Details'!$B:$U,E$1,0),"Check"),"")</f>
        <v>Airtel</v>
      </c>
      <c r="F44" s="103">
        <v>46110</v>
      </c>
      <c r="G44" s="102"/>
      <c r="H44" s="104" t="s">
        <v>184</v>
      </c>
      <c r="I44" s="9">
        <v>1</v>
      </c>
      <c r="J44" s="9">
        <v>48</v>
      </c>
      <c r="K44" s="102">
        <f t="shared" si="0"/>
        <v>48</v>
      </c>
      <c r="L44" s="80">
        <v>46110</v>
      </c>
      <c r="M44" s="105"/>
      <c r="N44" s="95" t="s">
        <v>372</v>
      </c>
      <c r="O44" s="96"/>
      <c r="P44" s="106">
        <f t="shared" si="7"/>
        <v>48</v>
      </c>
      <c r="Q44" s="106">
        <f t="shared" si="8"/>
        <v>48</v>
      </c>
      <c r="R44" s="105"/>
      <c r="S44" s="95" t="s">
        <v>185</v>
      </c>
      <c r="T44" s="96"/>
      <c r="U44" s="106">
        <f t="shared" si="9"/>
        <v>48</v>
      </c>
      <c r="V44" s="106">
        <f t="shared" si="10"/>
        <v>1</v>
      </c>
      <c r="W44" s="105">
        <f t="shared" si="11"/>
        <v>48</v>
      </c>
      <c r="X44" s="95" t="s">
        <v>186</v>
      </c>
      <c r="Y44" s="107" t="s">
        <v>181</v>
      </c>
      <c r="Z44" s="107" t="s">
        <v>176</v>
      </c>
    </row>
    <row r="45" spans="1:26" s="107" customFormat="1" ht="15" customHeight="1" x14ac:dyDescent="0.2">
      <c r="A45" s="101">
        <f t="shared" si="6"/>
        <v>43</v>
      </c>
      <c r="B45" s="77" t="s">
        <v>141</v>
      </c>
      <c r="C45" s="102" t="str">
        <f>IF($B45&lt;&gt;"",_xlfn.IFNA(VLOOKUP($B45,'Node Details'!$B:$U,C$1,0),"Check"),"")</f>
        <v>0000AXZ01-AXZ010105</v>
      </c>
      <c r="D45" s="102" t="str">
        <f>IF($B45&lt;&gt;"",_xlfn.IFNA(VLOOKUP($B45,'Node Details'!$B:$U,D$1,0),"Check"),"")</f>
        <v>AXZ</v>
      </c>
      <c r="E45" s="102" t="str">
        <f>IF($B45&lt;&gt;"",_xlfn.IFNA(VLOOKUP($B45,'Node Details'!$B:$U,E$1,0),"Check"),"")</f>
        <v>Airtel</v>
      </c>
      <c r="F45" s="103">
        <v>46110</v>
      </c>
      <c r="G45" s="102"/>
      <c r="H45" s="104" t="s">
        <v>184</v>
      </c>
      <c r="I45" s="9">
        <v>1</v>
      </c>
      <c r="J45" s="9">
        <v>48</v>
      </c>
      <c r="K45" s="102">
        <f t="shared" si="0"/>
        <v>48</v>
      </c>
      <c r="L45" s="80">
        <v>46110</v>
      </c>
      <c r="M45" s="105"/>
      <c r="N45" s="95" t="s">
        <v>372</v>
      </c>
      <c r="O45" s="96"/>
      <c r="P45" s="106">
        <f t="shared" si="7"/>
        <v>48</v>
      </c>
      <c r="Q45" s="106">
        <f t="shared" si="8"/>
        <v>48</v>
      </c>
      <c r="R45" s="105"/>
      <c r="S45" s="95" t="s">
        <v>185</v>
      </c>
      <c r="T45" s="96"/>
      <c r="U45" s="106">
        <f t="shared" si="9"/>
        <v>48</v>
      </c>
      <c r="V45" s="106">
        <f t="shared" si="10"/>
        <v>1</v>
      </c>
      <c r="W45" s="105">
        <f t="shared" si="11"/>
        <v>48</v>
      </c>
      <c r="X45" s="95" t="s">
        <v>186</v>
      </c>
      <c r="Y45" s="107" t="s">
        <v>181</v>
      </c>
      <c r="Z45" s="107" t="s">
        <v>176</v>
      </c>
    </row>
    <row r="46" spans="1:26" s="107" customFormat="1" ht="15" customHeight="1" x14ac:dyDescent="0.2">
      <c r="A46" s="101">
        <f t="shared" si="6"/>
        <v>44</v>
      </c>
      <c r="B46" s="77" t="s">
        <v>142</v>
      </c>
      <c r="C46" s="102" t="str">
        <f>IF($B46&lt;&gt;"",_xlfn.IFNA(VLOOKUP($B46,'Node Details'!$B:$U,C$1,0),"Check"),"")</f>
        <v>0000AXZ01-AXZ010202</v>
      </c>
      <c r="D46" s="102" t="str">
        <f>IF($B46&lt;&gt;"",_xlfn.IFNA(VLOOKUP($B46,'Node Details'!$B:$U,D$1,0),"Check"),"")</f>
        <v>AXZ</v>
      </c>
      <c r="E46" s="102" t="str">
        <f>IF($B46&lt;&gt;"",_xlfn.IFNA(VLOOKUP($B46,'Node Details'!$B:$U,E$1,0),"Check"),"")</f>
        <v>Airtel</v>
      </c>
      <c r="F46" s="103">
        <v>46110</v>
      </c>
      <c r="G46" s="102"/>
      <c r="H46" s="104" t="s">
        <v>184</v>
      </c>
      <c r="I46" s="9">
        <v>1</v>
      </c>
      <c r="J46" s="9">
        <v>48</v>
      </c>
      <c r="K46" s="102">
        <f t="shared" si="0"/>
        <v>48</v>
      </c>
      <c r="L46" s="80">
        <v>46110</v>
      </c>
      <c r="M46" s="105"/>
      <c r="N46" s="95" t="s">
        <v>372</v>
      </c>
      <c r="O46" s="96"/>
      <c r="P46" s="106">
        <f t="shared" si="7"/>
        <v>48</v>
      </c>
      <c r="Q46" s="106">
        <f t="shared" si="8"/>
        <v>48</v>
      </c>
      <c r="R46" s="105"/>
      <c r="S46" s="95" t="s">
        <v>185</v>
      </c>
      <c r="T46" s="96"/>
      <c r="U46" s="106">
        <f t="shared" si="9"/>
        <v>48</v>
      </c>
      <c r="V46" s="106">
        <f t="shared" si="10"/>
        <v>1</v>
      </c>
      <c r="W46" s="105">
        <f t="shared" si="11"/>
        <v>48</v>
      </c>
      <c r="X46" s="95" t="s">
        <v>186</v>
      </c>
      <c r="Y46" s="107" t="s">
        <v>181</v>
      </c>
      <c r="Z46" s="107" t="s">
        <v>176</v>
      </c>
    </row>
    <row r="47" spans="1:26" s="107" customFormat="1" ht="15" customHeight="1" x14ac:dyDescent="0.2">
      <c r="A47" s="101">
        <f t="shared" si="6"/>
        <v>45</v>
      </c>
      <c r="B47" s="77" t="s">
        <v>143</v>
      </c>
      <c r="C47" s="102" t="str">
        <f>IF($B47&lt;&gt;"",_xlfn.IFNA(VLOOKUP($B47,'Node Details'!$B:$U,C$1,0),"Check"),"")</f>
        <v>0000AXZ01-AXZ010202</v>
      </c>
      <c r="D47" s="102" t="str">
        <f>IF($B47&lt;&gt;"",_xlfn.IFNA(VLOOKUP($B47,'Node Details'!$B:$U,D$1,0),"Check"),"")</f>
        <v>AXZ</v>
      </c>
      <c r="E47" s="102" t="str">
        <f>IF($B47&lt;&gt;"",_xlfn.IFNA(VLOOKUP($B47,'Node Details'!$B:$U,E$1,0),"Check"),"")</f>
        <v>Airtel</v>
      </c>
      <c r="F47" s="103">
        <v>46110</v>
      </c>
      <c r="G47" s="102"/>
      <c r="H47" s="104" t="s">
        <v>184</v>
      </c>
      <c r="I47" s="9">
        <v>1</v>
      </c>
      <c r="J47" s="9">
        <v>48</v>
      </c>
      <c r="K47" s="102">
        <f t="shared" si="0"/>
        <v>48</v>
      </c>
      <c r="L47" s="80">
        <v>46110</v>
      </c>
      <c r="M47" s="105"/>
      <c r="N47" s="95" t="s">
        <v>372</v>
      </c>
      <c r="O47" s="96"/>
      <c r="P47" s="106">
        <f t="shared" si="7"/>
        <v>48</v>
      </c>
      <c r="Q47" s="106">
        <f t="shared" si="8"/>
        <v>48</v>
      </c>
      <c r="R47" s="105"/>
      <c r="S47" s="95" t="s">
        <v>185</v>
      </c>
      <c r="T47" s="96"/>
      <c r="U47" s="106">
        <f t="shared" si="9"/>
        <v>48</v>
      </c>
      <c r="V47" s="106">
        <f t="shared" si="10"/>
        <v>1</v>
      </c>
      <c r="W47" s="105">
        <f t="shared" si="11"/>
        <v>48</v>
      </c>
      <c r="X47" s="95" t="s">
        <v>186</v>
      </c>
      <c r="Y47" s="107" t="s">
        <v>181</v>
      </c>
      <c r="Z47" s="107" t="s">
        <v>176</v>
      </c>
    </row>
    <row r="48" spans="1:26" s="107" customFormat="1" ht="15" customHeight="1" x14ac:dyDescent="0.2">
      <c r="A48" s="101">
        <f t="shared" si="6"/>
        <v>46</v>
      </c>
      <c r="B48" s="77" t="s">
        <v>144</v>
      </c>
      <c r="C48" s="102" t="str">
        <f>IF($B48&lt;&gt;"",_xlfn.IFNA(VLOOKUP($B48,'Node Details'!$B:$U,C$1,0),"Check"),"")</f>
        <v>0000AXZ01-AXZ010202</v>
      </c>
      <c r="D48" s="102" t="str">
        <f>IF($B48&lt;&gt;"",_xlfn.IFNA(VLOOKUP($B48,'Node Details'!$B:$U,D$1,0),"Check"),"")</f>
        <v>AXZ</v>
      </c>
      <c r="E48" s="102" t="str">
        <f>IF($B48&lt;&gt;"",_xlfn.IFNA(VLOOKUP($B48,'Node Details'!$B:$U,E$1,0),"Check"),"")</f>
        <v>Airtel</v>
      </c>
      <c r="F48" s="103">
        <v>46110</v>
      </c>
      <c r="G48" s="102"/>
      <c r="H48" s="104" t="s">
        <v>184</v>
      </c>
      <c r="I48" s="9">
        <v>1</v>
      </c>
      <c r="J48" s="9">
        <v>48</v>
      </c>
      <c r="K48" s="102">
        <f t="shared" si="0"/>
        <v>48</v>
      </c>
      <c r="L48" s="80">
        <v>46110</v>
      </c>
      <c r="M48" s="105"/>
      <c r="N48" s="95" t="s">
        <v>372</v>
      </c>
      <c r="O48" s="96"/>
      <c r="P48" s="106">
        <f t="shared" si="7"/>
        <v>48</v>
      </c>
      <c r="Q48" s="106">
        <f t="shared" si="8"/>
        <v>48</v>
      </c>
      <c r="R48" s="105"/>
      <c r="S48" s="95" t="s">
        <v>185</v>
      </c>
      <c r="T48" s="96"/>
      <c r="U48" s="106">
        <f t="shared" si="9"/>
        <v>48</v>
      </c>
      <c r="V48" s="106">
        <f t="shared" si="10"/>
        <v>1</v>
      </c>
      <c r="W48" s="105">
        <f t="shared" si="11"/>
        <v>48</v>
      </c>
      <c r="X48" s="95" t="s">
        <v>186</v>
      </c>
      <c r="Y48" s="107" t="s">
        <v>181</v>
      </c>
      <c r="Z48" s="107" t="s">
        <v>176</v>
      </c>
    </row>
    <row r="49" spans="1:26" s="107" customFormat="1" ht="15" customHeight="1" x14ac:dyDescent="0.2">
      <c r="A49" s="101">
        <f t="shared" si="6"/>
        <v>47</v>
      </c>
      <c r="B49" s="77" t="s">
        <v>145</v>
      </c>
      <c r="C49" s="102" t="str">
        <f>IF($B49&lt;&gt;"",_xlfn.IFNA(VLOOKUP($B49,'Node Details'!$B:$U,C$1,0),"Check"),"")</f>
        <v>0000AXZ01-AXZ010202</v>
      </c>
      <c r="D49" s="102" t="str">
        <f>IF($B49&lt;&gt;"",_xlfn.IFNA(VLOOKUP($B49,'Node Details'!$B:$U,D$1,0),"Check"),"")</f>
        <v>AXZ</v>
      </c>
      <c r="E49" s="102" t="str">
        <f>IF($B49&lt;&gt;"",_xlfn.IFNA(VLOOKUP($B49,'Node Details'!$B:$U,E$1,0),"Check"),"")</f>
        <v>Airtel</v>
      </c>
      <c r="F49" s="103">
        <v>46110</v>
      </c>
      <c r="G49" s="102"/>
      <c r="H49" s="104" t="s">
        <v>184</v>
      </c>
      <c r="I49" s="9">
        <v>1</v>
      </c>
      <c r="J49" s="9">
        <v>48</v>
      </c>
      <c r="K49" s="102">
        <f t="shared" si="0"/>
        <v>48</v>
      </c>
      <c r="L49" s="80">
        <v>46110</v>
      </c>
      <c r="M49" s="105"/>
      <c r="N49" s="95" t="s">
        <v>372</v>
      </c>
      <c r="O49" s="96"/>
      <c r="P49" s="106">
        <f t="shared" si="7"/>
        <v>48</v>
      </c>
      <c r="Q49" s="106">
        <f t="shared" si="8"/>
        <v>48</v>
      </c>
      <c r="R49" s="105"/>
      <c r="S49" s="95" t="s">
        <v>185</v>
      </c>
      <c r="T49" s="96"/>
      <c r="U49" s="106">
        <f t="shared" si="9"/>
        <v>48</v>
      </c>
      <c r="V49" s="106">
        <f t="shared" si="10"/>
        <v>1</v>
      </c>
      <c r="W49" s="105">
        <f t="shared" si="11"/>
        <v>48</v>
      </c>
      <c r="X49" s="95" t="s">
        <v>186</v>
      </c>
      <c r="Y49" s="107" t="s">
        <v>181</v>
      </c>
      <c r="Z49" s="107" t="s">
        <v>176</v>
      </c>
    </row>
    <row r="50" spans="1:26" s="107" customFormat="1" ht="15" customHeight="1" x14ac:dyDescent="0.2">
      <c r="A50" s="101">
        <f t="shared" si="6"/>
        <v>48</v>
      </c>
      <c r="B50" s="77" t="s">
        <v>146</v>
      </c>
      <c r="C50" s="102" t="str">
        <f>IF($B50&lt;&gt;"",_xlfn.IFNA(VLOOKUP($B50,'Node Details'!$B:$U,C$1,0),"Check"),"")</f>
        <v>0000AXZ01-AXZ010202</v>
      </c>
      <c r="D50" s="102" t="str">
        <f>IF($B50&lt;&gt;"",_xlfn.IFNA(VLOOKUP($B50,'Node Details'!$B:$U,D$1,0),"Check"),"")</f>
        <v>AXZ</v>
      </c>
      <c r="E50" s="102" t="str">
        <f>IF($B50&lt;&gt;"",_xlfn.IFNA(VLOOKUP($B50,'Node Details'!$B:$U,E$1,0),"Check"),"")</f>
        <v>Airtel</v>
      </c>
      <c r="F50" s="103">
        <v>46110</v>
      </c>
      <c r="G50" s="102"/>
      <c r="H50" s="104" t="s">
        <v>184</v>
      </c>
      <c r="I50" s="9">
        <v>1</v>
      </c>
      <c r="J50" s="9">
        <v>48</v>
      </c>
      <c r="K50" s="102">
        <f t="shared" si="0"/>
        <v>48</v>
      </c>
      <c r="L50" s="80">
        <v>46110</v>
      </c>
      <c r="M50" s="105"/>
      <c r="N50" s="95" t="s">
        <v>372</v>
      </c>
      <c r="O50" s="96"/>
      <c r="P50" s="106">
        <f t="shared" si="7"/>
        <v>48</v>
      </c>
      <c r="Q50" s="106">
        <f t="shared" si="8"/>
        <v>48</v>
      </c>
      <c r="R50" s="105"/>
      <c r="S50" s="95" t="s">
        <v>185</v>
      </c>
      <c r="T50" s="96"/>
      <c r="U50" s="106">
        <f t="shared" si="9"/>
        <v>48</v>
      </c>
      <c r="V50" s="106">
        <f t="shared" si="10"/>
        <v>1</v>
      </c>
      <c r="W50" s="105">
        <f t="shared" si="11"/>
        <v>48</v>
      </c>
      <c r="X50" s="95" t="s">
        <v>186</v>
      </c>
      <c r="Y50" s="107" t="s">
        <v>181</v>
      </c>
      <c r="Z50" s="107" t="s">
        <v>176</v>
      </c>
    </row>
    <row r="51" spans="1:26" s="107" customFormat="1" ht="15" customHeight="1" x14ac:dyDescent="0.2">
      <c r="A51" s="101">
        <f t="shared" si="6"/>
        <v>49</v>
      </c>
      <c r="B51" s="77" t="s">
        <v>147</v>
      </c>
      <c r="C51" s="102" t="str">
        <f>IF($B51&lt;&gt;"",_xlfn.IFNA(VLOOKUP($B51,'Node Details'!$B:$U,C$1,0),"Check"),"")</f>
        <v>000000AXZ-0000AXZ03</v>
      </c>
      <c r="D51" s="102" t="str">
        <f>IF($B51&lt;&gt;"",_xlfn.IFNA(VLOOKUP($B51,'Node Details'!$B:$U,D$1,0),"Check"),"")</f>
        <v>AXZ</v>
      </c>
      <c r="E51" s="102" t="str">
        <f>IF($B51&lt;&gt;"",_xlfn.IFNA(VLOOKUP($B51,'Node Details'!$B:$U,E$1,0),"Check"),"")</f>
        <v>Airtel</v>
      </c>
      <c r="F51" s="103">
        <v>46110</v>
      </c>
      <c r="G51" s="102"/>
      <c r="H51" s="104" t="s">
        <v>184</v>
      </c>
      <c r="I51" s="9">
        <v>1</v>
      </c>
      <c r="J51" s="9">
        <v>48</v>
      </c>
      <c r="K51" s="102">
        <f t="shared" si="0"/>
        <v>48</v>
      </c>
      <c r="L51" s="80">
        <v>46110</v>
      </c>
      <c r="M51" s="105"/>
      <c r="N51" s="95" t="s">
        <v>372</v>
      </c>
      <c r="O51" s="96"/>
      <c r="P51" s="106">
        <f t="shared" si="7"/>
        <v>48</v>
      </c>
      <c r="Q51" s="106">
        <f t="shared" si="8"/>
        <v>48</v>
      </c>
      <c r="R51" s="105"/>
      <c r="S51" s="95" t="s">
        <v>185</v>
      </c>
      <c r="T51" s="96"/>
      <c r="U51" s="106">
        <f t="shared" si="9"/>
        <v>48</v>
      </c>
      <c r="V51" s="106">
        <f t="shared" si="10"/>
        <v>1</v>
      </c>
      <c r="W51" s="105">
        <f t="shared" si="11"/>
        <v>48</v>
      </c>
      <c r="X51" s="95" t="s">
        <v>186</v>
      </c>
      <c r="Y51" s="107" t="s">
        <v>181</v>
      </c>
      <c r="Z51" s="107" t="s">
        <v>176</v>
      </c>
    </row>
    <row r="52" spans="1:26" s="107" customFormat="1" ht="15" customHeight="1" x14ac:dyDescent="0.2">
      <c r="A52" s="101">
        <f t="shared" si="6"/>
        <v>50</v>
      </c>
      <c r="B52" s="77" t="s">
        <v>148</v>
      </c>
      <c r="C52" s="102" t="str">
        <f>IF($B52&lt;&gt;"",_xlfn.IFNA(VLOOKUP($B52,'Node Details'!$B:$U,C$1,0),"Check"),"")</f>
        <v>0000AXZ02-AXZ020101</v>
      </c>
      <c r="D52" s="102" t="str">
        <f>IF($B52&lt;&gt;"",_xlfn.IFNA(VLOOKUP($B52,'Node Details'!$B:$U,D$1,0),"Check"),"")</f>
        <v>AXZ</v>
      </c>
      <c r="E52" s="102" t="str">
        <f>IF($B52&lt;&gt;"",_xlfn.IFNA(VLOOKUP($B52,'Node Details'!$B:$U,E$1,0),"Check"),"")</f>
        <v>Airtel</v>
      </c>
      <c r="F52" s="103">
        <v>46110</v>
      </c>
      <c r="G52" s="102"/>
      <c r="H52" s="104" t="s">
        <v>184</v>
      </c>
      <c r="I52" s="9">
        <v>1</v>
      </c>
      <c r="J52" s="9">
        <v>48</v>
      </c>
      <c r="K52" s="102">
        <f t="shared" si="0"/>
        <v>48</v>
      </c>
      <c r="L52" s="80">
        <v>46110</v>
      </c>
      <c r="M52" s="105"/>
      <c r="N52" s="95" t="s">
        <v>372</v>
      </c>
      <c r="O52" s="96"/>
      <c r="P52" s="106">
        <f t="shared" si="7"/>
        <v>48</v>
      </c>
      <c r="Q52" s="106">
        <f t="shared" si="8"/>
        <v>48</v>
      </c>
      <c r="R52" s="105"/>
      <c r="S52" s="95" t="s">
        <v>185</v>
      </c>
      <c r="T52" s="96"/>
      <c r="U52" s="106">
        <f t="shared" si="9"/>
        <v>48</v>
      </c>
      <c r="V52" s="106">
        <f t="shared" si="10"/>
        <v>1</v>
      </c>
      <c r="W52" s="105">
        <f t="shared" si="11"/>
        <v>48</v>
      </c>
      <c r="X52" s="95" t="s">
        <v>186</v>
      </c>
      <c r="Y52" s="107" t="s">
        <v>181</v>
      </c>
      <c r="Z52" s="107" t="s">
        <v>176</v>
      </c>
    </row>
    <row r="53" spans="1:26" s="107" customFormat="1" ht="15" customHeight="1" x14ac:dyDescent="0.2">
      <c r="A53" s="101">
        <f t="shared" si="6"/>
        <v>51</v>
      </c>
      <c r="B53" s="77" t="s">
        <v>149</v>
      </c>
      <c r="C53" s="102" t="str">
        <f>IF($B53&lt;&gt;"",_xlfn.IFNA(VLOOKUP($B53,'Node Details'!$B:$U,C$1,0),"Check"),"")</f>
        <v>0000AXZ02-AXZ020103</v>
      </c>
      <c r="D53" s="102" t="str">
        <f>IF($B53&lt;&gt;"",_xlfn.IFNA(VLOOKUP($B53,'Node Details'!$B:$U,D$1,0),"Check"),"")</f>
        <v>AXZ</v>
      </c>
      <c r="E53" s="102" t="str">
        <f>IF($B53&lt;&gt;"",_xlfn.IFNA(VLOOKUP($B53,'Node Details'!$B:$U,E$1,0),"Check"),"")</f>
        <v>Airtel</v>
      </c>
      <c r="F53" s="103">
        <v>46110</v>
      </c>
      <c r="G53" s="102"/>
      <c r="H53" s="104" t="s">
        <v>184</v>
      </c>
      <c r="I53" s="9">
        <v>1</v>
      </c>
      <c r="J53" s="9">
        <v>48</v>
      </c>
      <c r="K53" s="102">
        <f t="shared" si="0"/>
        <v>48</v>
      </c>
      <c r="L53" s="80">
        <v>46110</v>
      </c>
      <c r="M53" s="105"/>
      <c r="N53" s="95" t="s">
        <v>372</v>
      </c>
      <c r="O53" s="96"/>
      <c r="P53" s="106">
        <f t="shared" si="7"/>
        <v>48</v>
      </c>
      <c r="Q53" s="106">
        <f t="shared" si="8"/>
        <v>48</v>
      </c>
      <c r="R53" s="105"/>
      <c r="S53" s="95" t="s">
        <v>185</v>
      </c>
      <c r="T53" s="96"/>
      <c r="U53" s="106">
        <f t="shared" si="9"/>
        <v>48</v>
      </c>
      <c r="V53" s="106">
        <f t="shared" si="10"/>
        <v>1</v>
      </c>
      <c r="W53" s="105">
        <f t="shared" si="11"/>
        <v>48</v>
      </c>
      <c r="X53" s="95" t="s">
        <v>186</v>
      </c>
      <c r="Y53" s="107" t="s">
        <v>181</v>
      </c>
      <c r="Z53" s="107" t="s">
        <v>176</v>
      </c>
    </row>
    <row r="54" spans="1:26" s="107" customFormat="1" ht="15" customHeight="1" x14ac:dyDescent="0.2">
      <c r="A54" s="101">
        <f t="shared" si="6"/>
        <v>52</v>
      </c>
      <c r="B54" s="77" t="s">
        <v>150</v>
      </c>
      <c r="C54" s="102" t="str">
        <f>IF($B54&lt;&gt;"",_xlfn.IFNA(VLOOKUP($B54,'Node Details'!$B:$U,C$1,0),"Check"),"")</f>
        <v>0000AXZ02-AXZ020103</v>
      </c>
      <c r="D54" s="102" t="str">
        <f>IF($B54&lt;&gt;"",_xlfn.IFNA(VLOOKUP($B54,'Node Details'!$B:$U,D$1,0),"Check"),"")</f>
        <v>AXZ</v>
      </c>
      <c r="E54" s="102" t="str">
        <f>IF($B54&lt;&gt;"",_xlfn.IFNA(VLOOKUP($B54,'Node Details'!$B:$U,E$1,0),"Check"),"")</f>
        <v>Airtel</v>
      </c>
      <c r="F54" s="103">
        <v>46110</v>
      </c>
      <c r="G54" s="102"/>
      <c r="H54" s="104" t="s">
        <v>184</v>
      </c>
      <c r="I54" s="9">
        <v>1</v>
      </c>
      <c r="J54" s="9">
        <v>48</v>
      </c>
      <c r="K54" s="102">
        <f t="shared" si="0"/>
        <v>48</v>
      </c>
      <c r="L54" s="80">
        <v>46110</v>
      </c>
      <c r="M54" s="105"/>
      <c r="N54" s="95" t="s">
        <v>372</v>
      </c>
      <c r="O54" s="96"/>
      <c r="P54" s="106">
        <f t="shared" si="7"/>
        <v>48</v>
      </c>
      <c r="Q54" s="106">
        <f t="shared" si="8"/>
        <v>48</v>
      </c>
      <c r="R54" s="105"/>
      <c r="S54" s="95" t="s">
        <v>185</v>
      </c>
      <c r="T54" s="96"/>
      <c r="U54" s="106">
        <f t="shared" si="9"/>
        <v>48</v>
      </c>
      <c r="V54" s="106">
        <f t="shared" si="10"/>
        <v>1</v>
      </c>
      <c r="W54" s="105">
        <f t="shared" si="11"/>
        <v>48</v>
      </c>
      <c r="X54" s="95" t="s">
        <v>186</v>
      </c>
      <c r="Y54" s="107" t="s">
        <v>181</v>
      </c>
      <c r="Z54" s="107" t="s">
        <v>176</v>
      </c>
    </row>
    <row r="55" spans="1:26" s="107" customFormat="1" ht="15" customHeight="1" x14ac:dyDescent="0.2">
      <c r="A55" s="101">
        <f t="shared" si="6"/>
        <v>53</v>
      </c>
      <c r="B55" s="77" t="s">
        <v>151</v>
      </c>
      <c r="C55" s="102" t="str">
        <f>IF($B55&lt;&gt;"",_xlfn.IFNA(VLOOKUP($B55,'Node Details'!$B:$U,C$1,0),"Check"),"")</f>
        <v>0000AXZ02-AXZ020203</v>
      </c>
      <c r="D55" s="102" t="str">
        <f>IF($B55&lt;&gt;"",_xlfn.IFNA(VLOOKUP($B55,'Node Details'!$B:$U,D$1,0),"Check"),"")</f>
        <v>AXZ</v>
      </c>
      <c r="E55" s="102" t="str">
        <f>IF($B55&lt;&gt;"",_xlfn.IFNA(VLOOKUP($B55,'Node Details'!$B:$U,E$1,0),"Check"),"")</f>
        <v>Airtel</v>
      </c>
      <c r="F55" s="103">
        <v>46110</v>
      </c>
      <c r="G55" s="105"/>
      <c r="H55" s="104" t="s">
        <v>184</v>
      </c>
      <c r="I55" s="9">
        <v>1</v>
      </c>
      <c r="J55" s="9">
        <v>48</v>
      </c>
      <c r="K55" s="102">
        <f t="shared" si="0"/>
        <v>48</v>
      </c>
      <c r="L55" s="80">
        <v>46110</v>
      </c>
      <c r="M55" s="105"/>
      <c r="N55" s="95" t="s">
        <v>372</v>
      </c>
      <c r="O55" s="96"/>
      <c r="P55" s="106">
        <f t="shared" si="7"/>
        <v>48</v>
      </c>
      <c r="Q55" s="106">
        <f t="shared" si="8"/>
        <v>48</v>
      </c>
      <c r="R55" s="106"/>
      <c r="S55" s="95" t="s">
        <v>185</v>
      </c>
      <c r="T55" s="96"/>
      <c r="U55" s="106">
        <f t="shared" si="9"/>
        <v>48</v>
      </c>
      <c r="V55" s="106">
        <f t="shared" si="10"/>
        <v>1</v>
      </c>
      <c r="W55" s="105">
        <f t="shared" si="11"/>
        <v>48</v>
      </c>
      <c r="X55" s="95" t="s">
        <v>186</v>
      </c>
      <c r="Y55" s="107" t="s">
        <v>181</v>
      </c>
      <c r="Z55" s="107" t="s">
        <v>176</v>
      </c>
    </row>
    <row r="56" spans="1:26" s="107" customFormat="1" ht="15" customHeight="1" x14ac:dyDescent="0.2">
      <c r="A56" s="101">
        <f t="shared" si="6"/>
        <v>54</v>
      </c>
      <c r="B56" s="77" t="s">
        <v>152</v>
      </c>
      <c r="C56" s="102" t="str">
        <f>IF($B56&lt;&gt;"",_xlfn.IFNA(VLOOKUP($B56,'Node Details'!$B:$U,C$1,0),"Check"),"")</f>
        <v>0000AXZ02-AXZ020203</v>
      </c>
      <c r="D56" s="102" t="str">
        <f>IF($B56&lt;&gt;"",_xlfn.IFNA(VLOOKUP($B56,'Node Details'!$B:$U,D$1,0),"Check"),"")</f>
        <v>AXZ</v>
      </c>
      <c r="E56" s="102" t="str">
        <f>IF($B56&lt;&gt;"",_xlfn.IFNA(VLOOKUP($B56,'Node Details'!$B:$U,E$1,0),"Check"),"")</f>
        <v>Airtel</v>
      </c>
      <c r="F56" s="103">
        <v>46110</v>
      </c>
      <c r="G56" s="105"/>
      <c r="H56" s="104" t="s">
        <v>184</v>
      </c>
      <c r="I56" s="9">
        <v>1</v>
      </c>
      <c r="J56" s="9">
        <v>48</v>
      </c>
      <c r="K56" s="102">
        <f t="shared" si="0"/>
        <v>48</v>
      </c>
      <c r="L56" s="80">
        <v>46110</v>
      </c>
      <c r="M56" s="105"/>
      <c r="N56" s="95" t="s">
        <v>372</v>
      </c>
      <c r="O56" s="96"/>
      <c r="P56" s="106">
        <f t="shared" si="7"/>
        <v>48</v>
      </c>
      <c r="Q56" s="106">
        <f t="shared" si="8"/>
        <v>48</v>
      </c>
      <c r="R56" s="106"/>
      <c r="S56" s="95" t="s">
        <v>185</v>
      </c>
      <c r="T56" s="96"/>
      <c r="U56" s="106">
        <f t="shared" si="9"/>
        <v>48</v>
      </c>
      <c r="V56" s="106">
        <f t="shared" si="10"/>
        <v>1</v>
      </c>
      <c r="W56" s="105">
        <f t="shared" si="11"/>
        <v>48</v>
      </c>
      <c r="X56" s="95" t="s">
        <v>186</v>
      </c>
      <c r="Y56" s="107" t="s">
        <v>181</v>
      </c>
      <c r="Z56" s="107" t="s">
        <v>176</v>
      </c>
    </row>
    <row r="57" spans="1:26" s="107" customFormat="1" ht="15" customHeight="1" x14ac:dyDescent="0.2">
      <c r="A57" s="101">
        <f t="shared" si="6"/>
        <v>55</v>
      </c>
      <c r="B57" s="77" t="s">
        <v>153</v>
      </c>
      <c r="C57" s="102" t="str">
        <f>IF($B57&lt;&gt;"",_xlfn.IFNA(VLOOKUP($B57,'Node Details'!$B:$U,C$1,0),"Check"),"")</f>
        <v>0000AXZ02-AXZ020203</v>
      </c>
      <c r="D57" s="102" t="str">
        <f>IF($B57&lt;&gt;"",_xlfn.IFNA(VLOOKUP($B57,'Node Details'!$B:$U,D$1,0),"Check"),"")</f>
        <v>AXZ</v>
      </c>
      <c r="E57" s="102" t="str">
        <f>IF($B57&lt;&gt;"",_xlfn.IFNA(VLOOKUP($B57,'Node Details'!$B:$U,E$1,0),"Check"),"")</f>
        <v>Airtel</v>
      </c>
      <c r="F57" s="103">
        <v>46110</v>
      </c>
      <c r="G57" s="105"/>
      <c r="H57" s="104" t="s">
        <v>184</v>
      </c>
      <c r="I57" s="9">
        <v>1</v>
      </c>
      <c r="J57" s="9">
        <v>48</v>
      </c>
      <c r="K57" s="102">
        <f t="shared" si="0"/>
        <v>48</v>
      </c>
      <c r="L57" s="80">
        <v>46110</v>
      </c>
      <c r="M57" s="105"/>
      <c r="N57" s="95" t="s">
        <v>372</v>
      </c>
      <c r="O57" s="96"/>
      <c r="P57" s="106">
        <f t="shared" si="7"/>
        <v>48</v>
      </c>
      <c r="Q57" s="106">
        <f t="shared" si="8"/>
        <v>48</v>
      </c>
      <c r="R57" s="106"/>
      <c r="S57" s="95" t="s">
        <v>185</v>
      </c>
      <c r="T57" s="96"/>
      <c r="U57" s="106">
        <f t="shared" si="9"/>
        <v>48</v>
      </c>
      <c r="V57" s="106">
        <f t="shared" si="10"/>
        <v>1</v>
      </c>
      <c r="W57" s="105">
        <f t="shared" si="11"/>
        <v>48</v>
      </c>
      <c r="X57" s="95" t="s">
        <v>186</v>
      </c>
      <c r="Y57" s="107" t="s">
        <v>181</v>
      </c>
      <c r="Z57" s="107" t="s">
        <v>176</v>
      </c>
    </row>
    <row r="58" spans="1:26" s="107" customFormat="1" ht="15" customHeight="1" x14ac:dyDescent="0.2">
      <c r="A58" s="101">
        <f t="shared" si="6"/>
        <v>56</v>
      </c>
      <c r="B58" s="77" t="s">
        <v>154</v>
      </c>
      <c r="C58" s="102" t="str">
        <f>IF($B58&lt;&gt;"",_xlfn.IFNA(VLOOKUP($B58,'Node Details'!$B:$U,C$1,0),"Check"),"")</f>
        <v>0000AXZ02-AXZ020203</v>
      </c>
      <c r="D58" s="102" t="str">
        <f>IF($B58&lt;&gt;"",_xlfn.IFNA(VLOOKUP($B58,'Node Details'!$B:$U,D$1,0),"Check"),"")</f>
        <v>AXZ</v>
      </c>
      <c r="E58" s="102" t="str">
        <f>IF($B58&lt;&gt;"",_xlfn.IFNA(VLOOKUP($B58,'Node Details'!$B:$U,E$1,0),"Check"),"")</f>
        <v>Airtel</v>
      </c>
      <c r="F58" s="103">
        <v>46110</v>
      </c>
      <c r="G58" s="105"/>
      <c r="H58" s="104" t="s">
        <v>184</v>
      </c>
      <c r="I58" s="9">
        <v>1</v>
      </c>
      <c r="J58" s="9">
        <v>48</v>
      </c>
      <c r="K58" s="102">
        <f t="shared" si="0"/>
        <v>48</v>
      </c>
      <c r="L58" s="80">
        <v>46110</v>
      </c>
      <c r="M58" s="105"/>
      <c r="N58" s="95" t="s">
        <v>372</v>
      </c>
      <c r="O58" s="96"/>
      <c r="P58" s="106">
        <f t="shared" si="7"/>
        <v>48</v>
      </c>
      <c r="Q58" s="106">
        <f t="shared" si="8"/>
        <v>48</v>
      </c>
      <c r="R58" s="106"/>
      <c r="S58" s="95" t="s">
        <v>185</v>
      </c>
      <c r="T58" s="96"/>
      <c r="U58" s="106">
        <f t="shared" si="9"/>
        <v>48</v>
      </c>
      <c r="V58" s="106">
        <f t="shared" si="10"/>
        <v>1</v>
      </c>
      <c r="W58" s="105">
        <f t="shared" si="11"/>
        <v>48</v>
      </c>
      <c r="X58" s="95" t="s">
        <v>186</v>
      </c>
      <c r="Y58" s="107" t="s">
        <v>181</v>
      </c>
      <c r="Z58" s="107" t="s">
        <v>176</v>
      </c>
    </row>
    <row r="59" spans="1:26" s="107" customFormat="1" ht="15" customHeight="1" x14ac:dyDescent="0.2">
      <c r="A59" s="101">
        <f t="shared" si="6"/>
        <v>57</v>
      </c>
      <c r="B59" s="77" t="s">
        <v>155</v>
      </c>
      <c r="C59" s="102" t="str">
        <f>IF($B59&lt;&gt;"",_xlfn.IFNA(VLOOKUP($B59,'Node Details'!$B:$U,C$1,0),"Check"),"")</f>
        <v>0000AXZ02-AXZ020203</v>
      </c>
      <c r="D59" s="102" t="str">
        <f>IF($B59&lt;&gt;"",_xlfn.IFNA(VLOOKUP($B59,'Node Details'!$B:$U,D$1,0),"Check"),"")</f>
        <v>AXZ</v>
      </c>
      <c r="E59" s="102" t="str">
        <f>IF($B59&lt;&gt;"",_xlfn.IFNA(VLOOKUP($B59,'Node Details'!$B:$U,E$1,0),"Check"),"")</f>
        <v>Airtel</v>
      </c>
      <c r="F59" s="103">
        <v>46110</v>
      </c>
      <c r="G59" s="105"/>
      <c r="H59" s="104" t="s">
        <v>184</v>
      </c>
      <c r="I59" s="9">
        <v>1</v>
      </c>
      <c r="J59" s="9">
        <v>48</v>
      </c>
      <c r="K59" s="102">
        <f t="shared" si="0"/>
        <v>48</v>
      </c>
      <c r="L59" s="80">
        <v>46110</v>
      </c>
      <c r="M59" s="105"/>
      <c r="N59" s="95" t="s">
        <v>372</v>
      </c>
      <c r="O59" s="96"/>
      <c r="P59" s="106">
        <f t="shared" si="7"/>
        <v>48</v>
      </c>
      <c r="Q59" s="106">
        <f t="shared" si="8"/>
        <v>48</v>
      </c>
      <c r="R59" s="106"/>
      <c r="S59" s="95" t="s">
        <v>185</v>
      </c>
      <c r="T59" s="96"/>
      <c r="U59" s="106">
        <f t="shared" si="9"/>
        <v>48</v>
      </c>
      <c r="V59" s="106">
        <f t="shared" si="10"/>
        <v>1</v>
      </c>
      <c r="W59" s="105">
        <f t="shared" si="11"/>
        <v>48</v>
      </c>
      <c r="X59" s="95" t="s">
        <v>186</v>
      </c>
      <c r="Y59" s="107" t="s">
        <v>181</v>
      </c>
      <c r="Z59" s="107" t="s">
        <v>176</v>
      </c>
    </row>
    <row r="60" spans="1:26" s="107" customFormat="1" ht="15" customHeight="1" x14ac:dyDescent="0.2">
      <c r="A60" s="101">
        <f t="shared" si="6"/>
        <v>58</v>
      </c>
      <c r="B60" s="77" t="s">
        <v>156</v>
      </c>
      <c r="C60" s="102" t="str">
        <f>IF($B60&lt;&gt;"",_xlfn.IFNA(VLOOKUP($B60,'Node Details'!$B:$U,C$1,0),"Check"),"")</f>
        <v>0000AXZ02-AXZ020203</v>
      </c>
      <c r="D60" s="102" t="str">
        <f>IF($B60&lt;&gt;"",_xlfn.IFNA(VLOOKUP($B60,'Node Details'!$B:$U,D$1,0),"Check"),"")</f>
        <v>AXZ</v>
      </c>
      <c r="E60" s="102" t="str">
        <f>IF($B60&lt;&gt;"",_xlfn.IFNA(VLOOKUP($B60,'Node Details'!$B:$U,E$1,0),"Check"),"")</f>
        <v>Airtel</v>
      </c>
      <c r="F60" s="103">
        <v>46110</v>
      </c>
      <c r="G60" s="105"/>
      <c r="H60" s="104" t="s">
        <v>184</v>
      </c>
      <c r="I60" s="9">
        <v>1</v>
      </c>
      <c r="J60" s="9">
        <v>48</v>
      </c>
      <c r="K60" s="102">
        <f t="shared" si="0"/>
        <v>48</v>
      </c>
      <c r="L60" s="80">
        <v>46110</v>
      </c>
      <c r="M60" s="105"/>
      <c r="N60" s="95" t="s">
        <v>372</v>
      </c>
      <c r="O60" s="96"/>
      <c r="P60" s="106">
        <f t="shared" si="7"/>
        <v>48</v>
      </c>
      <c r="Q60" s="106">
        <f t="shared" si="8"/>
        <v>48</v>
      </c>
      <c r="R60" s="106"/>
      <c r="S60" s="95" t="s">
        <v>185</v>
      </c>
      <c r="T60" s="96"/>
      <c r="U60" s="106">
        <f t="shared" si="9"/>
        <v>48</v>
      </c>
      <c r="V60" s="106">
        <f t="shared" si="10"/>
        <v>1</v>
      </c>
      <c r="W60" s="105">
        <f t="shared" si="11"/>
        <v>48</v>
      </c>
      <c r="X60" s="95" t="s">
        <v>186</v>
      </c>
      <c r="Y60" s="107" t="s">
        <v>181</v>
      </c>
      <c r="Z60" s="107" t="s">
        <v>176</v>
      </c>
    </row>
    <row r="61" spans="1:26" s="107" customFormat="1" ht="15" customHeight="1" x14ac:dyDescent="0.2">
      <c r="A61" s="101">
        <f t="shared" si="6"/>
        <v>59</v>
      </c>
      <c r="B61" s="77" t="s">
        <v>157</v>
      </c>
      <c r="C61" s="102" t="str">
        <f>IF($B61&lt;&gt;"",_xlfn.IFNA(VLOOKUP($B61,'Node Details'!$B:$U,C$1,0),"Check"),"")</f>
        <v>0000AXZ02-AXZ020203</v>
      </c>
      <c r="D61" s="102" t="str">
        <f>IF($B61&lt;&gt;"",_xlfn.IFNA(VLOOKUP($B61,'Node Details'!$B:$U,D$1,0),"Check"),"")</f>
        <v>AXZ</v>
      </c>
      <c r="E61" s="102" t="str">
        <f>IF($B61&lt;&gt;"",_xlfn.IFNA(VLOOKUP($B61,'Node Details'!$B:$U,E$1,0),"Check"),"")</f>
        <v>Airtel</v>
      </c>
      <c r="F61" s="103">
        <v>46110</v>
      </c>
      <c r="G61" s="105"/>
      <c r="H61" s="104" t="s">
        <v>184</v>
      </c>
      <c r="I61" s="9">
        <v>1</v>
      </c>
      <c r="J61" s="9">
        <v>48</v>
      </c>
      <c r="K61" s="102">
        <f t="shared" si="0"/>
        <v>48</v>
      </c>
      <c r="L61" s="80">
        <v>46110</v>
      </c>
      <c r="M61" s="105"/>
      <c r="N61" s="95" t="s">
        <v>372</v>
      </c>
      <c r="O61" s="96"/>
      <c r="P61" s="106">
        <f t="shared" si="7"/>
        <v>48</v>
      </c>
      <c r="Q61" s="106">
        <f t="shared" si="8"/>
        <v>48</v>
      </c>
      <c r="R61" s="106"/>
      <c r="S61" s="95" t="s">
        <v>185</v>
      </c>
      <c r="T61" s="96"/>
      <c r="U61" s="106">
        <f t="shared" si="9"/>
        <v>48</v>
      </c>
      <c r="V61" s="106">
        <f t="shared" si="10"/>
        <v>1</v>
      </c>
      <c r="W61" s="105">
        <f t="shared" si="11"/>
        <v>48</v>
      </c>
      <c r="X61" s="95" t="s">
        <v>186</v>
      </c>
      <c r="Y61" s="107" t="s">
        <v>181</v>
      </c>
      <c r="Z61" s="107" t="s">
        <v>176</v>
      </c>
    </row>
    <row r="62" spans="1:26" s="107" customFormat="1" ht="15" customHeight="1" x14ac:dyDescent="0.25">
      <c r="A62" s="101">
        <f t="shared" si="6"/>
        <v>60</v>
      </c>
      <c r="B62" t="s">
        <v>158</v>
      </c>
      <c r="C62" s="102" t="str">
        <f>IF($B62&lt;&gt;"",_xlfn.IFNA(VLOOKUP($B62,'Node Details'!$B:$U,C$1,0),"Check"),"")</f>
        <v>0000AXZ02-AXZ020203</v>
      </c>
      <c r="D62" s="102" t="str">
        <f>IF($B62&lt;&gt;"",_xlfn.IFNA(VLOOKUP($B62,'Node Details'!$B:$U,D$1,0),"Check"),"")</f>
        <v>AXZ</v>
      </c>
      <c r="E62" s="102" t="str">
        <f>IF($B62&lt;&gt;"",_xlfn.IFNA(VLOOKUP($B62,'Node Details'!$B:$U,E$1,0),"Check"),"")</f>
        <v>Airtel</v>
      </c>
      <c r="F62" s="103">
        <v>46110</v>
      </c>
      <c r="G62" s="105"/>
      <c r="H62" s="104" t="s">
        <v>184</v>
      </c>
      <c r="I62" s="9">
        <v>1</v>
      </c>
      <c r="J62" s="9">
        <v>48</v>
      </c>
      <c r="K62" s="102">
        <f t="shared" si="0"/>
        <v>48</v>
      </c>
      <c r="L62" s="80">
        <v>46110</v>
      </c>
      <c r="M62" s="105"/>
      <c r="N62" s="95" t="s">
        <v>372</v>
      </c>
      <c r="O62" s="96"/>
      <c r="P62" s="106">
        <f t="shared" si="7"/>
        <v>48</v>
      </c>
      <c r="Q62" s="106">
        <f t="shared" si="8"/>
        <v>48</v>
      </c>
      <c r="R62" s="106"/>
      <c r="S62" s="95" t="s">
        <v>185</v>
      </c>
      <c r="T62" s="96"/>
      <c r="U62" s="106">
        <f t="shared" si="9"/>
        <v>48</v>
      </c>
      <c r="V62" s="106">
        <f t="shared" si="10"/>
        <v>1</v>
      </c>
      <c r="W62" s="105">
        <f t="shared" si="11"/>
        <v>48</v>
      </c>
      <c r="X62" s="95" t="s">
        <v>186</v>
      </c>
      <c r="Y62" s="107" t="s">
        <v>181</v>
      </c>
      <c r="Z62" s="107" t="s">
        <v>176</v>
      </c>
    </row>
    <row r="63" spans="1:26" s="107" customFormat="1" ht="15" customHeight="1" x14ac:dyDescent="0.25">
      <c r="A63" s="101">
        <f t="shared" si="6"/>
        <v>61</v>
      </c>
      <c r="B63" t="s">
        <v>159</v>
      </c>
      <c r="C63" s="102" t="str">
        <f>IF($B63&lt;&gt;"",_xlfn.IFNA(VLOOKUP($B63,'Node Details'!$B:$U,C$1,0),"Check"),"")</f>
        <v>000000AXZ-0000AXZ03</v>
      </c>
      <c r="D63" s="102" t="str">
        <f>IF($B63&lt;&gt;"",_xlfn.IFNA(VLOOKUP($B63,'Node Details'!$B:$U,D$1,0),"Check"),"")</f>
        <v>AXZ</v>
      </c>
      <c r="E63" s="102" t="str">
        <f>IF($B63&lt;&gt;"",_xlfn.IFNA(VLOOKUP($B63,'Node Details'!$B:$U,E$1,0),"Check"),"")</f>
        <v>Airtel</v>
      </c>
      <c r="F63" s="103">
        <v>46110</v>
      </c>
      <c r="G63" s="105"/>
      <c r="H63" s="104" t="s">
        <v>184</v>
      </c>
      <c r="I63" s="9">
        <v>1</v>
      </c>
      <c r="J63" s="9">
        <v>48</v>
      </c>
      <c r="K63" s="102">
        <f t="shared" si="0"/>
        <v>48</v>
      </c>
      <c r="L63" s="80">
        <v>46110</v>
      </c>
      <c r="M63" s="105"/>
      <c r="N63" s="95" t="s">
        <v>372</v>
      </c>
      <c r="O63" s="96"/>
      <c r="P63" s="106">
        <f t="shared" si="7"/>
        <v>48</v>
      </c>
      <c r="Q63" s="106">
        <f t="shared" si="8"/>
        <v>48</v>
      </c>
      <c r="R63" s="106"/>
      <c r="S63" s="95" t="s">
        <v>185</v>
      </c>
      <c r="T63" s="96"/>
      <c r="U63" s="106">
        <f t="shared" si="9"/>
        <v>48</v>
      </c>
      <c r="V63" s="106">
        <f t="shared" si="10"/>
        <v>1</v>
      </c>
      <c r="W63" s="105">
        <f t="shared" si="11"/>
        <v>48</v>
      </c>
      <c r="X63" s="95" t="s">
        <v>186</v>
      </c>
      <c r="Y63" s="107" t="s">
        <v>181</v>
      </c>
      <c r="Z63" s="107" t="s">
        <v>176</v>
      </c>
    </row>
    <row r="64" spans="1:26" s="107" customFormat="1" ht="15" customHeight="1" x14ac:dyDescent="0.25">
      <c r="A64" s="101">
        <f t="shared" si="6"/>
        <v>62</v>
      </c>
      <c r="B64" t="s">
        <v>160</v>
      </c>
      <c r="C64" s="102" t="str">
        <f>IF($B64&lt;&gt;"",_xlfn.IFNA(VLOOKUP($B64,'Node Details'!$B:$U,C$1,0),"Check"),"")</f>
        <v>0000AXZ03-AXZ030101</v>
      </c>
      <c r="D64" s="102" t="str">
        <f>IF($B64&lt;&gt;"",_xlfn.IFNA(VLOOKUP($B64,'Node Details'!$B:$U,D$1,0),"Check"),"")</f>
        <v>AXZ</v>
      </c>
      <c r="E64" s="102" t="str">
        <f>IF($B64&lt;&gt;"",_xlfn.IFNA(VLOOKUP($B64,'Node Details'!$B:$U,E$1,0),"Check"),"")</f>
        <v>Airtel</v>
      </c>
      <c r="F64" s="103">
        <v>46110</v>
      </c>
      <c r="G64" s="105"/>
      <c r="H64" s="104" t="s">
        <v>184</v>
      </c>
      <c r="I64" s="9">
        <v>1</v>
      </c>
      <c r="J64" s="9">
        <v>48</v>
      </c>
      <c r="K64" s="102">
        <f t="shared" si="0"/>
        <v>48</v>
      </c>
      <c r="L64" s="80">
        <v>46110</v>
      </c>
      <c r="M64" s="105"/>
      <c r="N64" s="95" t="s">
        <v>372</v>
      </c>
      <c r="O64" s="96"/>
      <c r="P64" s="106">
        <f t="shared" si="7"/>
        <v>48</v>
      </c>
      <c r="Q64" s="106">
        <f t="shared" si="8"/>
        <v>48</v>
      </c>
      <c r="R64" s="106"/>
      <c r="S64" s="95" t="s">
        <v>185</v>
      </c>
      <c r="T64" s="96"/>
      <c r="U64" s="106">
        <f t="shared" si="9"/>
        <v>48</v>
      </c>
      <c r="V64" s="106">
        <f t="shared" si="10"/>
        <v>1</v>
      </c>
      <c r="W64" s="105">
        <f t="shared" si="11"/>
        <v>48</v>
      </c>
      <c r="X64" s="95" t="s">
        <v>186</v>
      </c>
      <c r="Y64" s="107" t="s">
        <v>181</v>
      </c>
      <c r="Z64" s="107" t="s">
        <v>176</v>
      </c>
    </row>
    <row r="65" spans="1:26" s="107" customFormat="1" ht="15" customHeight="1" x14ac:dyDescent="0.25">
      <c r="A65" s="101">
        <f t="shared" si="6"/>
        <v>63</v>
      </c>
      <c r="B65" t="s">
        <v>161</v>
      </c>
      <c r="C65" s="102" t="str">
        <f>IF($B65&lt;&gt;"",_xlfn.IFNA(VLOOKUP($B65,'Node Details'!$B:$U,C$1,0),"Check"),"")</f>
        <v>0000AXZ03-AXZ030102</v>
      </c>
      <c r="D65" s="102" t="str">
        <f>IF($B65&lt;&gt;"",_xlfn.IFNA(VLOOKUP($B65,'Node Details'!$B:$U,D$1,0),"Check"),"")</f>
        <v>AXZ</v>
      </c>
      <c r="E65" s="102" t="str">
        <f>IF($B65&lt;&gt;"",_xlfn.IFNA(VLOOKUP($B65,'Node Details'!$B:$U,E$1,0),"Check"),"")</f>
        <v>Airtel</v>
      </c>
      <c r="F65" s="103">
        <v>46110</v>
      </c>
      <c r="G65" s="105"/>
      <c r="H65" s="104" t="s">
        <v>184</v>
      </c>
      <c r="I65" s="9">
        <v>1</v>
      </c>
      <c r="J65" s="9">
        <v>48</v>
      </c>
      <c r="K65" s="102">
        <f t="shared" si="0"/>
        <v>48</v>
      </c>
      <c r="L65" s="80">
        <v>46110</v>
      </c>
      <c r="M65" s="105"/>
      <c r="N65" s="95" t="s">
        <v>372</v>
      </c>
      <c r="O65" s="96"/>
      <c r="P65" s="106">
        <f t="shared" si="7"/>
        <v>48</v>
      </c>
      <c r="Q65" s="106">
        <f t="shared" si="8"/>
        <v>48</v>
      </c>
      <c r="R65" s="106"/>
      <c r="S65" s="95" t="s">
        <v>185</v>
      </c>
      <c r="T65" s="96"/>
      <c r="U65" s="106">
        <f t="shared" si="9"/>
        <v>48</v>
      </c>
      <c r="V65" s="106">
        <f t="shared" si="10"/>
        <v>1</v>
      </c>
      <c r="W65" s="105">
        <f t="shared" si="11"/>
        <v>48</v>
      </c>
      <c r="X65" s="95" t="s">
        <v>186</v>
      </c>
      <c r="Y65" s="107" t="s">
        <v>181</v>
      </c>
      <c r="Z65" s="107" t="s">
        <v>176</v>
      </c>
    </row>
    <row r="66" spans="1:26" s="107" customFormat="1" ht="15" customHeight="1" x14ac:dyDescent="0.25">
      <c r="A66" s="101">
        <f t="shared" si="6"/>
        <v>64</v>
      </c>
      <c r="B66" t="s">
        <v>162</v>
      </c>
      <c r="C66" s="102" t="str">
        <f>IF($B66&lt;&gt;"",_xlfn.IFNA(VLOOKUP($B66,'Node Details'!$B:$U,C$1,0),"Check"),"")</f>
        <v>0000AXZ03-AXZ030104</v>
      </c>
      <c r="D66" s="102" t="str">
        <f>IF($B66&lt;&gt;"",_xlfn.IFNA(VLOOKUP($B66,'Node Details'!$B:$U,D$1,0),"Check"),"")</f>
        <v>AXZ</v>
      </c>
      <c r="E66" s="102" t="str">
        <f>IF($B66&lt;&gt;"",_xlfn.IFNA(VLOOKUP($B66,'Node Details'!$B:$U,E$1,0),"Check"),"")</f>
        <v>Airtel</v>
      </c>
      <c r="F66" s="103">
        <v>46110</v>
      </c>
      <c r="G66" s="105"/>
      <c r="H66" s="104" t="s">
        <v>184</v>
      </c>
      <c r="I66" s="9">
        <v>1</v>
      </c>
      <c r="J66" s="9">
        <v>48</v>
      </c>
      <c r="K66" s="102">
        <f t="shared" si="0"/>
        <v>48</v>
      </c>
      <c r="L66" s="80">
        <v>46110</v>
      </c>
      <c r="M66" s="105"/>
      <c r="N66" s="95" t="s">
        <v>372</v>
      </c>
      <c r="O66" s="96"/>
      <c r="P66" s="106">
        <f t="shared" si="7"/>
        <v>48</v>
      </c>
      <c r="Q66" s="106">
        <f t="shared" si="8"/>
        <v>48</v>
      </c>
      <c r="R66" s="106"/>
      <c r="S66" s="95" t="s">
        <v>185</v>
      </c>
      <c r="T66" s="96"/>
      <c r="U66" s="106">
        <f t="shared" si="9"/>
        <v>48</v>
      </c>
      <c r="V66" s="106">
        <f t="shared" si="10"/>
        <v>1</v>
      </c>
      <c r="W66" s="105">
        <f t="shared" si="11"/>
        <v>48</v>
      </c>
      <c r="X66" s="95" t="s">
        <v>186</v>
      </c>
      <c r="Y66" s="107" t="s">
        <v>181</v>
      </c>
      <c r="Z66" s="107" t="s">
        <v>176</v>
      </c>
    </row>
    <row r="67" spans="1:26" s="107" customFormat="1" ht="15" customHeight="1" x14ac:dyDescent="0.25">
      <c r="A67" s="101">
        <f t="shared" si="6"/>
        <v>65</v>
      </c>
      <c r="B67" t="s">
        <v>163</v>
      </c>
      <c r="C67" s="102" t="str">
        <f>IF($B67&lt;&gt;"",_xlfn.IFNA(VLOOKUP($B67,'Node Details'!$B:$U,C$1,0),"Check"),"")</f>
        <v>0000AXZ03-AXZ030104</v>
      </c>
      <c r="D67" s="102" t="str">
        <f>IF($B67&lt;&gt;"",_xlfn.IFNA(VLOOKUP($B67,'Node Details'!$B:$U,D$1,0),"Check"),"")</f>
        <v>AXZ</v>
      </c>
      <c r="E67" s="102" t="str">
        <f>IF($B67&lt;&gt;"",_xlfn.IFNA(VLOOKUP($B67,'Node Details'!$B:$U,E$1,0),"Check"),"")</f>
        <v>Airtel</v>
      </c>
      <c r="F67" s="103">
        <v>46110</v>
      </c>
      <c r="G67" s="105"/>
      <c r="H67" s="104" t="s">
        <v>184</v>
      </c>
      <c r="I67" s="9">
        <v>1</v>
      </c>
      <c r="J67" s="9">
        <v>48</v>
      </c>
      <c r="K67" s="102">
        <f t="shared" ref="K67:K78" si="12">IF(I67&lt;&gt;"",J67*I67,0)</f>
        <v>48</v>
      </c>
      <c r="L67" s="80">
        <v>46110</v>
      </c>
      <c r="M67" s="105"/>
      <c r="N67" s="95" t="s">
        <v>372</v>
      </c>
      <c r="O67" s="96"/>
      <c r="P67" s="106">
        <f t="shared" si="7"/>
        <v>48</v>
      </c>
      <c r="Q67" s="106">
        <f t="shared" si="8"/>
        <v>48</v>
      </c>
      <c r="R67" s="106"/>
      <c r="S67" s="95" t="s">
        <v>185</v>
      </c>
      <c r="T67" s="96"/>
      <c r="U67" s="106">
        <f t="shared" si="9"/>
        <v>48</v>
      </c>
      <c r="V67" s="106">
        <f t="shared" si="10"/>
        <v>1</v>
      </c>
      <c r="W67" s="105">
        <f t="shared" si="11"/>
        <v>48</v>
      </c>
      <c r="X67" s="95" t="s">
        <v>186</v>
      </c>
      <c r="Y67" s="107" t="s">
        <v>181</v>
      </c>
      <c r="Z67" s="107" t="s">
        <v>176</v>
      </c>
    </row>
    <row r="68" spans="1:26" s="107" customFormat="1" ht="15" customHeight="1" x14ac:dyDescent="0.25">
      <c r="A68" s="101">
        <f t="shared" ref="A68:A131" si="13">A67+1</f>
        <v>66</v>
      </c>
      <c r="B68" t="s">
        <v>164</v>
      </c>
      <c r="C68" s="102" t="str">
        <f>IF($B68&lt;&gt;"",_xlfn.IFNA(VLOOKUP($B68,'Node Details'!$B:$U,C$1,0),"Check"),"")</f>
        <v>AXZ030104-AXZ030106</v>
      </c>
      <c r="D68" s="102" t="str">
        <f>IF($B68&lt;&gt;"",_xlfn.IFNA(VLOOKUP($B68,'Node Details'!$B:$U,D$1,0),"Check"),"")</f>
        <v>AXZ</v>
      </c>
      <c r="E68" s="102" t="str">
        <f>IF($B68&lt;&gt;"",_xlfn.IFNA(VLOOKUP($B68,'Node Details'!$B:$U,E$1,0),"Check"),"")</f>
        <v>Airtel</v>
      </c>
      <c r="F68" s="103">
        <v>46110</v>
      </c>
      <c r="G68" s="105"/>
      <c r="H68" s="104" t="s">
        <v>184</v>
      </c>
      <c r="I68" s="9">
        <v>1</v>
      </c>
      <c r="J68" s="9">
        <v>48</v>
      </c>
      <c r="K68" s="102">
        <f t="shared" si="12"/>
        <v>48</v>
      </c>
      <c r="L68" s="80">
        <v>46110</v>
      </c>
      <c r="M68" s="105"/>
      <c r="N68" s="95" t="s">
        <v>372</v>
      </c>
      <c r="O68" s="96"/>
      <c r="P68" s="106">
        <f t="shared" ref="P68:P77" si="14">J68</f>
        <v>48</v>
      </c>
      <c r="Q68" s="106">
        <f t="shared" ref="Q68:Q77" si="15">P68*I68</f>
        <v>48</v>
      </c>
      <c r="R68" s="106"/>
      <c r="S68" s="95" t="s">
        <v>185</v>
      </c>
      <c r="T68" s="96"/>
      <c r="U68" s="106">
        <f t="shared" ref="U68:U77" si="16">J68</f>
        <v>48</v>
      </c>
      <c r="V68" s="106">
        <f t="shared" ref="V68:V77" si="17">I68</f>
        <v>1</v>
      </c>
      <c r="W68" s="105">
        <f t="shared" ref="W68:W77" si="18">IF(V68&lt;&gt;"",V68*U68,0)</f>
        <v>48</v>
      </c>
      <c r="X68" s="95" t="s">
        <v>186</v>
      </c>
      <c r="Y68" s="107" t="s">
        <v>181</v>
      </c>
      <c r="Z68" s="107" t="s">
        <v>176</v>
      </c>
    </row>
    <row r="69" spans="1:26" s="107" customFormat="1" ht="15" customHeight="1" x14ac:dyDescent="0.25">
      <c r="A69" s="101">
        <f t="shared" si="13"/>
        <v>67</v>
      </c>
      <c r="B69" t="s">
        <v>165</v>
      </c>
      <c r="C69" s="102" t="str">
        <f>IF($B69&lt;&gt;"",_xlfn.IFNA(VLOOKUP($B69,'Node Details'!$B:$U,C$1,0),"Check"),"")</f>
        <v>AXZ030104-AXZ030106</v>
      </c>
      <c r="D69" s="102" t="str">
        <f>IF($B69&lt;&gt;"",_xlfn.IFNA(VLOOKUP($B69,'Node Details'!$B:$U,D$1,0),"Check"),"")</f>
        <v>AXZ</v>
      </c>
      <c r="E69" s="102" t="str">
        <f>IF($B69&lt;&gt;"",_xlfn.IFNA(VLOOKUP($B69,'Node Details'!$B:$U,E$1,0),"Check"),"")</f>
        <v>Airtel</v>
      </c>
      <c r="F69" s="103">
        <v>46110</v>
      </c>
      <c r="G69" s="105"/>
      <c r="H69" s="104" t="s">
        <v>184</v>
      </c>
      <c r="I69" s="9">
        <v>1</v>
      </c>
      <c r="J69" s="9">
        <v>48</v>
      </c>
      <c r="K69" s="102">
        <f t="shared" si="12"/>
        <v>48</v>
      </c>
      <c r="L69" s="80">
        <v>46110</v>
      </c>
      <c r="M69" s="105"/>
      <c r="N69" s="95" t="s">
        <v>372</v>
      </c>
      <c r="O69" s="96"/>
      <c r="P69" s="106">
        <f t="shared" si="14"/>
        <v>48</v>
      </c>
      <c r="Q69" s="106">
        <f t="shared" si="15"/>
        <v>48</v>
      </c>
      <c r="R69" s="106"/>
      <c r="S69" s="95" t="s">
        <v>185</v>
      </c>
      <c r="T69" s="96"/>
      <c r="U69" s="106">
        <f t="shared" si="16"/>
        <v>48</v>
      </c>
      <c r="V69" s="106">
        <f t="shared" si="17"/>
        <v>1</v>
      </c>
      <c r="W69" s="105">
        <f t="shared" si="18"/>
        <v>48</v>
      </c>
      <c r="X69" s="95" t="s">
        <v>186</v>
      </c>
      <c r="Y69" s="107" t="s">
        <v>181</v>
      </c>
      <c r="Z69" s="107" t="s">
        <v>176</v>
      </c>
    </row>
    <row r="70" spans="1:26" s="107" customFormat="1" ht="15" customHeight="1" x14ac:dyDescent="0.25">
      <c r="A70" s="101">
        <f t="shared" si="13"/>
        <v>68</v>
      </c>
      <c r="B70" t="s">
        <v>166</v>
      </c>
      <c r="C70" s="102" t="str">
        <f>IF($B70&lt;&gt;"",_xlfn.IFNA(VLOOKUP($B70,'Node Details'!$B:$U,C$1,0),"Check"),"")</f>
        <v>0000AXZ03-AXZ030201</v>
      </c>
      <c r="D70" s="102" t="str">
        <f>IF($B70&lt;&gt;"",_xlfn.IFNA(VLOOKUP($B70,'Node Details'!$B:$U,D$1,0),"Check"),"")</f>
        <v>AXZ</v>
      </c>
      <c r="E70" s="102" t="str">
        <f>IF($B70&lt;&gt;"",_xlfn.IFNA(VLOOKUP($B70,'Node Details'!$B:$U,E$1,0),"Check"),"")</f>
        <v>Airtel</v>
      </c>
      <c r="F70" s="103">
        <v>46110</v>
      </c>
      <c r="G70" s="105"/>
      <c r="H70" s="104" t="s">
        <v>184</v>
      </c>
      <c r="I70" s="9">
        <v>1</v>
      </c>
      <c r="J70" s="9">
        <v>48</v>
      </c>
      <c r="K70" s="102">
        <f t="shared" si="12"/>
        <v>48</v>
      </c>
      <c r="L70" s="80">
        <v>46110</v>
      </c>
      <c r="M70" s="105"/>
      <c r="N70" s="95" t="s">
        <v>372</v>
      </c>
      <c r="O70" s="96"/>
      <c r="P70" s="106">
        <f t="shared" si="14"/>
        <v>48</v>
      </c>
      <c r="Q70" s="106">
        <f t="shared" si="15"/>
        <v>48</v>
      </c>
      <c r="R70" s="106"/>
      <c r="S70" s="95" t="s">
        <v>185</v>
      </c>
      <c r="T70" s="96"/>
      <c r="U70" s="106">
        <f t="shared" si="16"/>
        <v>48</v>
      </c>
      <c r="V70" s="106">
        <f t="shared" si="17"/>
        <v>1</v>
      </c>
      <c r="W70" s="105">
        <f t="shared" si="18"/>
        <v>48</v>
      </c>
      <c r="X70" s="95" t="s">
        <v>186</v>
      </c>
      <c r="Y70" s="107" t="s">
        <v>181</v>
      </c>
      <c r="Z70" s="107" t="s">
        <v>176</v>
      </c>
    </row>
    <row r="71" spans="1:26" s="107" customFormat="1" ht="15" customHeight="1" x14ac:dyDescent="0.25">
      <c r="A71" s="101">
        <f t="shared" si="13"/>
        <v>69</v>
      </c>
      <c r="B71" t="s">
        <v>167</v>
      </c>
      <c r="C71" s="102" t="str">
        <f>IF($B71&lt;&gt;"",_xlfn.IFNA(VLOOKUP($B71,'Node Details'!$B:$U,C$1,0),"Check"),"")</f>
        <v>0000AXZ03-AXZ030201</v>
      </c>
      <c r="D71" s="102" t="str">
        <f>IF($B71&lt;&gt;"",_xlfn.IFNA(VLOOKUP($B71,'Node Details'!$B:$U,D$1,0),"Check"),"")</f>
        <v>AXZ</v>
      </c>
      <c r="E71" s="102" t="str">
        <f>IF($B71&lt;&gt;"",_xlfn.IFNA(VLOOKUP($B71,'Node Details'!$B:$U,E$1,0),"Check"),"")</f>
        <v>Airtel</v>
      </c>
      <c r="F71" s="103">
        <v>46110</v>
      </c>
      <c r="G71" s="105"/>
      <c r="H71" s="104" t="s">
        <v>184</v>
      </c>
      <c r="I71" s="9">
        <v>1</v>
      </c>
      <c r="J71" s="9">
        <v>48</v>
      </c>
      <c r="K71" s="102">
        <f t="shared" si="12"/>
        <v>48</v>
      </c>
      <c r="L71" s="80">
        <v>46110</v>
      </c>
      <c r="M71" s="105"/>
      <c r="N71" s="95" t="s">
        <v>372</v>
      </c>
      <c r="O71" s="96"/>
      <c r="P71" s="106">
        <f t="shared" si="14"/>
        <v>48</v>
      </c>
      <c r="Q71" s="106">
        <f t="shared" si="15"/>
        <v>48</v>
      </c>
      <c r="R71" s="106"/>
      <c r="S71" s="95" t="s">
        <v>185</v>
      </c>
      <c r="T71" s="96"/>
      <c r="U71" s="106">
        <f t="shared" si="16"/>
        <v>48</v>
      </c>
      <c r="V71" s="106">
        <f t="shared" si="17"/>
        <v>1</v>
      </c>
      <c r="W71" s="105">
        <f t="shared" si="18"/>
        <v>48</v>
      </c>
      <c r="X71" s="95" t="s">
        <v>186</v>
      </c>
      <c r="Y71" s="107" t="s">
        <v>181</v>
      </c>
      <c r="Z71" s="107" t="s">
        <v>176</v>
      </c>
    </row>
    <row r="72" spans="1:26" s="107" customFormat="1" ht="15" customHeight="1" x14ac:dyDescent="0.25">
      <c r="A72" s="101">
        <f t="shared" si="13"/>
        <v>70</v>
      </c>
      <c r="B72" t="s">
        <v>168</v>
      </c>
      <c r="C72" s="102" t="str">
        <f>IF($B72&lt;&gt;"",_xlfn.IFNA(VLOOKUP($B72,'Node Details'!$B:$U,C$1,0),"Check"),"")</f>
        <v>0000AXZ03-AXZ030201</v>
      </c>
      <c r="D72" s="102" t="str">
        <f>IF($B72&lt;&gt;"",_xlfn.IFNA(VLOOKUP($B72,'Node Details'!$B:$U,D$1,0),"Check"),"")</f>
        <v>AXZ</v>
      </c>
      <c r="E72" s="102" t="str">
        <f>IF($B72&lt;&gt;"",_xlfn.IFNA(VLOOKUP($B72,'Node Details'!$B:$U,E$1,0),"Check"),"")</f>
        <v>Airtel</v>
      </c>
      <c r="F72" s="103">
        <v>46110</v>
      </c>
      <c r="G72" s="105"/>
      <c r="H72" s="104" t="s">
        <v>184</v>
      </c>
      <c r="I72" s="9">
        <v>1</v>
      </c>
      <c r="J72" s="9">
        <v>48</v>
      </c>
      <c r="K72" s="102">
        <f t="shared" si="12"/>
        <v>48</v>
      </c>
      <c r="L72" s="80">
        <v>46110</v>
      </c>
      <c r="M72" s="105"/>
      <c r="N72" s="95" t="s">
        <v>372</v>
      </c>
      <c r="O72" s="96"/>
      <c r="P72" s="106">
        <f t="shared" si="14"/>
        <v>48</v>
      </c>
      <c r="Q72" s="106">
        <f t="shared" si="15"/>
        <v>48</v>
      </c>
      <c r="R72" s="106"/>
      <c r="S72" s="95" t="s">
        <v>185</v>
      </c>
      <c r="T72" s="96"/>
      <c r="U72" s="106">
        <f t="shared" si="16"/>
        <v>48</v>
      </c>
      <c r="V72" s="106">
        <f t="shared" si="17"/>
        <v>1</v>
      </c>
      <c r="W72" s="105">
        <f t="shared" si="18"/>
        <v>48</v>
      </c>
      <c r="X72" s="95" t="s">
        <v>186</v>
      </c>
      <c r="Y72" s="107" t="s">
        <v>181</v>
      </c>
      <c r="Z72" s="107" t="s">
        <v>176</v>
      </c>
    </row>
    <row r="73" spans="1:26" s="107" customFormat="1" ht="15" customHeight="1" x14ac:dyDescent="0.2">
      <c r="A73" s="101">
        <f t="shared" si="13"/>
        <v>71</v>
      </c>
      <c r="B73" s="77" t="s">
        <v>169</v>
      </c>
      <c r="C73" s="102" t="str">
        <f>IF($B73&lt;&gt;"",_xlfn.IFNA(VLOOKUP($B73,'Node Details'!$B:$U,C$1,0),"Check"),"")</f>
        <v>AXZ030201-AXZ030205</v>
      </c>
      <c r="D73" s="102" t="str">
        <f>IF($B73&lt;&gt;"",_xlfn.IFNA(VLOOKUP($B73,'Node Details'!$B:$U,D$1,0),"Check"),"")</f>
        <v>AXZ</v>
      </c>
      <c r="E73" s="102" t="str">
        <f>IF($B73&lt;&gt;"",_xlfn.IFNA(VLOOKUP($B73,'Node Details'!$B:$U,E$1,0),"Check"),"")</f>
        <v>Airtel</v>
      </c>
      <c r="F73" s="103">
        <v>46110</v>
      </c>
      <c r="G73" s="105"/>
      <c r="H73" s="104" t="s">
        <v>184</v>
      </c>
      <c r="I73" s="9">
        <v>1</v>
      </c>
      <c r="J73" s="9">
        <v>48</v>
      </c>
      <c r="K73" s="102">
        <f t="shared" si="12"/>
        <v>48</v>
      </c>
      <c r="L73" s="80">
        <v>46110</v>
      </c>
      <c r="M73" s="105"/>
      <c r="N73" s="95" t="s">
        <v>372</v>
      </c>
      <c r="O73" s="96"/>
      <c r="P73" s="106">
        <f t="shared" si="14"/>
        <v>48</v>
      </c>
      <c r="Q73" s="106">
        <f t="shared" si="15"/>
        <v>48</v>
      </c>
      <c r="R73" s="106"/>
      <c r="S73" s="95" t="s">
        <v>185</v>
      </c>
      <c r="T73" s="96"/>
      <c r="U73" s="106">
        <f t="shared" si="16"/>
        <v>48</v>
      </c>
      <c r="V73" s="106">
        <f t="shared" si="17"/>
        <v>1</v>
      </c>
      <c r="W73" s="105">
        <f t="shared" si="18"/>
        <v>48</v>
      </c>
      <c r="X73" s="95" t="s">
        <v>186</v>
      </c>
      <c r="Y73" s="107" t="s">
        <v>181</v>
      </c>
      <c r="Z73" s="107" t="s">
        <v>176</v>
      </c>
    </row>
    <row r="74" spans="1:26" s="107" customFormat="1" ht="15" customHeight="1" x14ac:dyDescent="0.2">
      <c r="A74" s="101">
        <f t="shared" si="13"/>
        <v>72</v>
      </c>
      <c r="B74" s="77" t="s">
        <v>170</v>
      </c>
      <c r="C74" s="102" t="str">
        <f>IF($B74&lt;&gt;"",_xlfn.IFNA(VLOOKUP($B74,'Node Details'!$B:$U,C$1,0),"Check"),"")</f>
        <v>AXZ030201-AXZ030205</v>
      </c>
      <c r="D74" s="102" t="str">
        <f>IF($B74&lt;&gt;"",_xlfn.IFNA(VLOOKUP($B74,'Node Details'!$B:$U,D$1,0),"Check"),"")</f>
        <v>AXZ</v>
      </c>
      <c r="E74" s="102" t="str">
        <f>IF($B74&lt;&gt;"",_xlfn.IFNA(VLOOKUP($B74,'Node Details'!$B:$U,E$1,0),"Check"),"")</f>
        <v>Airtel</v>
      </c>
      <c r="F74" s="103">
        <v>46110</v>
      </c>
      <c r="G74" s="105"/>
      <c r="H74" s="104" t="s">
        <v>184</v>
      </c>
      <c r="I74" s="9">
        <v>1</v>
      </c>
      <c r="J74" s="9">
        <v>48</v>
      </c>
      <c r="K74" s="102">
        <f t="shared" si="12"/>
        <v>48</v>
      </c>
      <c r="L74" s="80">
        <v>46110</v>
      </c>
      <c r="M74" s="105"/>
      <c r="N74" s="95" t="s">
        <v>372</v>
      </c>
      <c r="O74" s="96"/>
      <c r="P74" s="106">
        <f t="shared" si="14"/>
        <v>48</v>
      </c>
      <c r="Q74" s="106">
        <f t="shared" si="15"/>
        <v>48</v>
      </c>
      <c r="R74" s="106"/>
      <c r="S74" s="95" t="s">
        <v>185</v>
      </c>
      <c r="T74" s="96"/>
      <c r="U74" s="106">
        <f t="shared" si="16"/>
        <v>48</v>
      </c>
      <c r="V74" s="106">
        <f t="shared" si="17"/>
        <v>1</v>
      </c>
      <c r="W74" s="105">
        <f t="shared" si="18"/>
        <v>48</v>
      </c>
      <c r="X74" s="95" t="s">
        <v>186</v>
      </c>
      <c r="Y74" s="107" t="s">
        <v>181</v>
      </c>
      <c r="Z74" s="107" t="s">
        <v>176</v>
      </c>
    </row>
    <row r="75" spans="1:26" s="107" customFormat="1" ht="15" customHeight="1" x14ac:dyDescent="0.2">
      <c r="A75" s="101">
        <f t="shared" si="13"/>
        <v>73</v>
      </c>
      <c r="B75" s="77" t="s">
        <v>171</v>
      </c>
      <c r="C75" s="102" t="str">
        <f>IF($B75&lt;&gt;"",_xlfn.IFNA(VLOOKUP($B75,'Node Details'!$B:$U,C$1,0),"Check"),"")</f>
        <v>AXZ030201-AXZ030205</v>
      </c>
      <c r="D75" s="102" t="str">
        <f>IF($B75&lt;&gt;"",_xlfn.IFNA(VLOOKUP($B75,'Node Details'!$B:$U,D$1,0),"Check"),"")</f>
        <v>AXZ</v>
      </c>
      <c r="E75" s="102" t="str">
        <f>IF($B75&lt;&gt;"",_xlfn.IFNA(VLOOKUP($B75,'Node Details'!$B:$U,E$1,0),"Check"),"")</f>
        <v>Airtel</v>
      </c>
      <c r="F75" s="103">
        <v>46110</v>
      </c>
      <c r="G75" s="105"/>
      <c r="H75" s="104" t="s">
        <v>184</v>
      </c>
      <c r="I75" s="9">
        <v>1</v>
      </c>
      <c r="J75" s="9">
        <v>48</v>
      </c>
      <c r="K75" s="102">
        <f t="shared" si="12"/>
        <v>48</v>
      </c>
      <c r="L75" s="80">
        <v>46110</v>
      </c>
      <c r="M75" s="105"/>
      <c r="N75" s="95" t="s">
        <v>372</v>
      </c>
      <c r="O75" s="96"/>
      <c r="P75" s="106">
        <f t="shared" si="14"/>
        <v>48</v>
      </c>
      <c r="Q75" s="106">
        <f t="shared" si="15"/>
        <v>48</v>
      </c>
      <c r="R75" s="106"/>
      <c r="S75" s="95" t="s">
        <v>185</v>
      </c>
      <c r="T75" s="96"/>
      <c r="U75" s="106">
        <f t="shared" si="16"/>
        <v>48</v>
      </c>
      <c r="V75" s="106">
        <f t="shared" si="17"/>
        <v>1</v>
      </c>
      <c r="W75" s="105">
        <f t="shared" si="18"/>
        <v>48</v>
      </c>
      <c r="X75" s="95" t="s">
        <v>186</v>
      </c>
      <c r="Y75" s="107" t="s">
        <v>181</v>
      </c>
      <c r="Z75" s="107" t="s">
        <v>176</v>
      </c>
    </row>
    <row r="76" spans="1:26" s="107" customFormat="1" ht="15" customHeight="1" x14ac:dyDescent="0.2">
      <c r="A76" s="101">
        <f t="shared" si="13"/>
        <v>74</v>
      </c>
      <c r="B76" s="77" t="s">
        <v>172</v>
      </c>
      <c r="C76" s="102" t="str">
        <f>IF($B76&lt;&gt;"",_xlfn.IFNA(VLOOKUP($B76,'Node Details'!$B:$U,C$1,0),"Check"),"")</f>
        <v>AXZ030201-AXZ030205</v>
      </c>
      <c r="D76" s="102" t="str">
        <f>IF($B76&lt;&gt;"",_xlfn.IFNA(VLOOKUP($B76,'Node Details'!$B:$U,D$1,0),"Check"),"")</f>
        <v>AXZ</v>
      </c>
      <c r="E76" s="102" t="str">
        <f>IF($B76&lt;&gt;"",_xlfn.IFNA(VLOOKUP($B76,'Node Details'!$B:$U,E$1,0),"Check"),"")</f>
        <v>Airtel</v>
      </c>
      <c r="F76" s="103">
        <v>46110</v>
      </c>
      <c r="G76" s="105"/>
      <c r="H76" s="104" t="s">
        <v>184</v>
      </c>
      <c r="I76" s="9">
        <v>1</v>
      </c>
      <c r="J76" s="9">
        <v>48</v>
      </c>
      <c r="K76" s="102">
        <f t="shared" si="12"/>
        <v>48</v>
      </c>
      <c r="L76" s="80">
        <v>46110</v>
      </c>
      <c r="M76" s="105"/>
      <c r="N76" s="95" t="s">
        <v>372</v>
      </c>
      <c r="O76" s="96"/>
      <c r="P76" s="106">
        <f t="shared" si="14"/>
        <v>48</v>
      </c>
      <c r="Q76" s="106">
        <f t="shared" si="15"/>
        <v>48</v>
      </c>
      <c r="R76" s="106"/>
      <c r="S76" s="95" t="s">
        <v>185</v>
      </c>
      <c r="T76" s="96"/>
      <c r="U76" s="106">
        <f t="shared" si="16"/>
        <v>48</v>
      </c>
      <c r="V76" s="106">
        <f t="shared" si="17"/>
        <v>1</v>
      </c>
      <c r="W76" s="105">
        <f t="shared" si="18"/>
        <v>48</v>
      </c>
      <c r="X76" s="95" t="s">
        <v>186</v>
      </c>
      <c r="Y76" s="107" t="s">
        <v>181</v>
      </c>
      <c r="Z76" s="107" t="s">
        <v>176</v>
      </c>
    </row>
    <row r="77" spans="1:26" s="107" customFormat="1" ht="15" customHeight="1" x14ac:dyDescent="0.25">
      <c r="A77" s="101">
        <f t="shared" si="13"/>
        <v>75</v>
      </c>
      <c r="B77" s="77" t="s">
        <v>134</v>
      </c>
      <c r="C77" s="102" t="str">
        <f>IF($B77&lt;&gt;"",_xlfn.IFNA(VLOOKUP($B77,'Node Details'!$B:$U,C$1,0),"Check"),"")</f>
        <v>000000AXZ-0000AXZ01</v>
      </c>
      <c r="D77" s="102" t="str">
        <f>IF($B77&lt;&gt;"",_xlfn.IFNA(VLOOKUP($B77,'Node Details'!$B:$U,D$1,0),"Check"),"")</f>
        <v>AXZ</v>
      </c>
      <c r="E77" s="102" t="str">
        <f>IF($B77&lt;&gt;"",_xlfn.IFNA(VLOOKUP($B77,'Node Details'!$B:$U,E$1,0),"Check"),"")</f>
        <v>Airtel</v>
      </c>
      <c r="F77" s="103">
        <v>46110</v>
      </c>
      <c r="G77" s="105"/>
      <c r="H77" t="s">
        <v>370</v>
      </c>
      <c r="I77" s="9">
        <v>1</v>
      </c>
      <c r="J77" s="9">
        <v>2700</v>
      </c>
      <c r="K77" s="102">
        <f t="shared" si="12"/>
        <v>2700</v>
      </c>
      <c r="L77" s="80">
        <v>46110</v>
      </c>
      <c r="M77" s="105"/>
      <c r="N77" s="95" t="s">
        <v>372</v>
      </c>
      <c r="O77" s="96"/>
      <c r="P77" s="106">
        <f t="shared" si="14"/>
        <v>2700</v>
      </c>
      <c r="Q77" s="106">
        <f t="shared" si="15"/>
        <v>2700</v>
      </c>
      <c r="R77" s="106"/>
      <c r="S77" s="95" t="s">
        <v>185</v>
      </c>
      <c r="T77" s="96"/>
      <c r="U77" s="106">
        <f t="shared" si="16"/>
        <v>2700</v>
      </c>
      <c r="V77" s="106">
        <f t="shared" si="17"/>
        <v>1</v>
      </c>
      <c r="W77" s="105">
        <f t="shared" si="18"/>
        <v>2700</v>
      </c>
      <c r="X77" s="95" t="s">
        <v>186</v>
      </c>
      <c r="Y77" s="107" t="s">
        <v>181</v>
      </c>
      <c r="Z77" s="107" t="s">
        <v>176</v>
      </c>
    </row>
    <row r="78" spans="1:26" s="107" customFormat="1" ht="15" customHeight="1" x14ac:dyDescent="0.2">
      <c r="A78" s="101">
        <f t="shared" si="13"/>
        <v>76</v>
      </c>
      <c r="B78" s="77" t="s">
        <v>136</v>
      </c>
      <c r="C78" s="102" t="str">
        <f>IF($B78&lt;&gt;"",_xlfn.IFNA(VLOOKUP($B78,'Node Details'!$B:$U,C$1,0),"Check"),"")</f>
        <v>000000AXZ-0000AXZ01</v>
      </c>
      <c r="D78" s="102" t="str">
        <f>IF($B78&lt;&gt;"",_xlfn.IFNA(VLOOKUP($B78,'Node Details'!$B:$U,D$1,0),"Check"),"")</f>
        <v>AXZ</v>
      </c>
      <c r="E78" s="102" t="str">
        <f>IF($B78&lt;&gt;"",_xlfn.IFNA(VLOOKUP($B78,'Node Details'!$B:$U,E$1,0),"Check"),"")</f>
        <v>Airtel</v>
      </c>
      <c r="F78" s="103">
        <v>46110</v>
      </c>
      <c r="G78" s="105"/>
      <c r="H78" s="104" t="s">
        <v>189</v>
      </c>
      <c r="I78" s="9">
        <v>18</v>
      </c>
      <c r="J78" s="9">
        <v>50</v>
      </c>
      <c r="K78" s="102">
        <f t="shared" si="12"/>
        <v>900</v>
      </c>
      <c r="L78" s="80">
        <v>46110</v>
      </c>
      <c r="M78" s="105"/>
      <c r="N78" s="95" t="s">
        <v>372</v>
      </c>
      <c r="O78" s="96"/>
      <c r="P78" s="106">
        <f t="shared" ref="P78:P92" si="19">J78</f>
        <v>50</v>
      </c>
      <c r="Q78" s="106">
        <f t="shared" ref="Q78:Q92" si="20">P78*I78</f>
        <v>900</v>
      </c>
      <c r="R78" s="106"/>
      <c r="S78" s="95" t="s">
        <v>185</v>
      </c>
      <c r="T78" s="96"/>
      <c r="U78" s="106">
        <f t="shared" ref="U78:U92" si="21">J78</f>
        <v>50</v>
      </c>
      <c r="V78" s="106">
        <f t="shared" ref="V78:V92" si="22">I78</f>
        <v>18</v>
      </c>
      <c r="W78" s="105">
        <f t="shared" ref="W78:W92" si="23">IF(V78&lt;&gt;"",V78*U78,0)</f>
        <v>900</v>
      </c>
      <c r="X78" s="95" t="s">
        <v>186</v>
      </c>
      <c r="Y78" s="107" t="s">
        <v>181</v>
      </c>
      <c r="Z78" s="107" t="s">
        <v>176</v>
      </c>
    </row>
    <row r="79" spans="1:26" s="107" customFormat="1" ht="15" customHeight="1" x14ac:dyDescent="0.2">
      <c r="A79" s="101">
        <f t="shared" si="13"/>
        <v>77</v>
      </c>
      <c r="B79" s="77" t="s">
        <v>142</v>
      </c>
      <c r="C79" s="102" t="str">
        <f>IF($B79&lt;&gt;"",_xlfn.IFNA(VLOOKUP($B79,'Node Details'!$B:$U,C$1,0),"Check"),"")</f>
        <v>0000AXZ01-AXZ010202</v>
      </c>
      <c r="D79" s="102" t="str">
        <f>IF($B79&lt;&gt;"",_xlfn.IFNA(VLOOKUP($B79,'Node Details'!$B:$U,D$1,0),"Check"),"")</f>
        <v>AXZ</v>
      </c>
      <c r="E79" s="102" t="str">
        <f>IF($B79&lt;&gt;"",_xlfn.IFNA(VLOOKUP($B79,'Node Details'!$B:$U,E$1,0),"Check"),"")</f>
        <v>Airtel</v>
      </c>
      <c r="F79" s="103">
        <v>46110</v>
      </c>
      <c r="G79" s="105"/>
      <c r="H79" s="104" t="s">
        <v>189</v>
      </c>
      <c r="I79" s="9">
        <v>4</v>
      </c>
      <c r="J79" s="9">
        <v>50</v>
      </c>
      <c r="K79" s="102">
        <f t="shared" ref="K79:K93" si="24">IF(I79&lt;&gt;"",J79*I79,0)</f>
        <v>200</v>
      </c>
      <c r="L79" s="80">
        <v>46110</v>
      </c>
      <c r="M79" s="105"/>
      <c r="N79" s="95" t="s">
        <v>372</v>
      </c>
      <c r="O79" s="96"/>
      <c r="P79" s="106">
        <f t="shared" si="19"/>
        <v>50</v>
      </c>
      <c r="Q79" s="106">
        <f t="shared" si="20"/>
        <v>200</v>
      </c>
      <c r="R79" s="106"/>
      <c r="S79" s="95" t="s">
        <v>185</v>
      </c>
      <c r="T79" s="96"/>
      <c r="U79" s="106">
        <f t="shared" si="21"/>
        <v>50</v>
      </c>
      <c r="V79" s="106">
        <f t="shared" si="22"/>
        <v>4</v>
      </c>
      <c r="W79" s="105">
        <f t="shared" si="23"/>
        <v>200</v>
      </c>
      <c r="X79" s="95" t="s">
        <v>186</v>
      </c>
      <c r="Y79" s="107" t="s">
        <v>181</v>
      </c>
      <c r="Z79" s="107" t="s">
        <v>176</v>
      </c>
    </row>
    <row r="80" spans="1:26" s="107" customFormat="1" ht="15" customHeight="1" x14ac:dyDescent="0.2">
      <c r="A80" s="101">
        <f t="shared" si="13"/>
        <v>78</v>
      </c>
      <c r="B80" s="77" t="s">
        <v>143</v>
      </c>
      <c r="C80" s="102" t="str">
        <f>IF($B80&lt;&gt;"",_xlfn.IFNA(VLOOKUP($B80,'Node Details'!$B:$U,C$1,0),"Check"),"")</f>
        <v>0000AXZ01-AXZ010202</v>
      </c>
      <c r="D80" s="102" t="str">
        <f>IF($B80&lt;&gt;"",_xlfn.IFNA(VLOOKUP($B80,'Node Details'!$B:$U,D$1,0),"Check"),"")</f>
        <v>AXZ</v>
      </c>
      <c r="E80" s="102" t="str">
        <f>IF($B80&lt;&gt;"",_xlfn.IFNA(VLOOKUP($B80,'Node Details'!$B:$U,E$1,0),"Check"),"")</f>
        <v>Airtel</v>
      </c>
      <c r="F80" s="103">
        <v>46110</v>
      </c>
      <c r="G80" s="105"/>
      <c r="H80" s="104" t="s">
        <v>189</v>
      </c>
      <c r="I80" s="9">
        <v>2</v>
      </c>
      <c r="J80" s="9">
        <v>50</v>
      </c>
      <c r="K80" s="102">
        <f t="shared" si="24"/>
        <v>100</v>
      </c>
      <c r="L80" s="80">
        <v>46110</v>
      </c>
      <c r="M80" s="105"/>
      <c r="N80" s="95" t="s">
        <v>372</v>
      </c>
      <c r="O80" s="96"/>
      <c r="P80" s="106">
        <f t="shared" si="19"/>
        <v>50</v>
      </c>
      <c r="Q80" s="106">
        <f t="shared" si="20"/>
        <v>100</v>
      </c>
      <c r="R80" s="106"/>
      <c r="S80" s="95" t="s">
        <v>185</v>
      </c>
      <c r="T80" s="96"/>
      <c r="U80" s="106">
        <f t="shared" si="21"/>
        <v>50</v>
      </c>
      <c r="V80" s="106">
        <f t="shared" si="22"/>
        <v>2</v>
      </c>
      <c r="W80" s="105">
        <f t="shared" si="23"/>
        <v>100</v>
      </c>
      <c r="X80" s="95" t="s">
        <v>186</v>
      </c>
      <c r="Y80" s="107" t="s">
        <v>181</v>
      </c>
      <c r="Z80" s="107" t="s">
        <v>176</v>
      </c>
    </row>
    <row r="81" spans="1:26" s="107" customFormat="1" ht="15" customHeight="1" x14ac:dyDescent="0.2">
      <c r="A81" s="101">
        <f t="shared" si="13"/>
        <v>79</v>
      </c>
      <c r="B81" s="77" t="s">
        <v>147</v>
      </c>
      <c r="C81" s="102" t="str">
        <f>IF($B81&lt;&gt;"",_xlfn.IFNA(VLOOKUP($B81,'Node Details'!$B:$U,C$1,0),"Check"),"")</f>
        <v>000000AXZ-0000AXZ03</v>
      </c>
      <c r="D81" s="102" t="str">
        <f>IF($B81&lt;&gt;"",_xlfn.IFNA(VLOOKUP($B81,'Node Details'!$B:$U,D$1,0),"Check"),"")</f>
        <v>AXZ</v>
      </c>
      <c r="E81" s="102" t="str">
        <f>IF($B81&lt;&gt;"",_xlfn.IFNA(VLOOKUP($B81,'Node Details'!$B:$U,E$1,0),"Check"),"")</f>
        <v>Airtel</v>
      </c>
      <c r="F81" s="103">
        <v>46110</v>
      </c>
      <c r="G81" s="105"/>
      <c r="H81" s="104" t="s">
        <v>189</v>
      </c>
      <c r="I81" s="9">
        <v>7</v>
      </c>
      <c r="J81" s="9">
        <v>50</v>
      </c>
      <c r="K81" s="102">
        <f t="shared" si="24"/>
        <v>350</v>
      </c>
      <c r="L81" s="80">
        <v>46110</v>
      </c>
      <c r="M81" s="105"/>
      <c r="N81" s="95" t="s">
        <v>372</v>
      </c>
      <c r="O81" s="96"/>
      <c r="P81" s="106">
        <f t="shared" si="19"/>
        <v>50</v>
      </c>
      <c r="Q81" s="106">
        <f t="shared" si="20"/>
        <v>350</v>
      </c>
      <c r="R81" s="106"/>
      <c r="S81" s="95" t="s">
        <v>185</v>
      </c>
      <c r="T81" s="96"/>
      <c r="U81" s="106">
        <f t="shared" si="21"/>
        <v>50</v>
      </c>
      <c r="V81" s="106">
        <f t="shared" si="22"/>
        <v>7</v>
      </c>
      <c r="W81" s="105">
        <f t="shared" si="23"/>
        <v>350</v>
      </c>
      <c r="X81" s="95" t="s">
        <v>186</v>
      </c>
      <c r="Y81" s="107" t="s">
        <v>181</v>
      </c>
      <c r="Z81" s="107" t="s">
        <v>176</v>
      </c>
    </row>
    <row r="82" spans="1:26" s="107" customFormat="1" ht="15" customHeight="1" x14ac:dyDescent="0.2">
      <c r="A82" s="101">
        <f t="shared" si="13"/>
        <v>80</v>
      </c>
      <c r="B82" s="77" t="s">
        <v>151</v>
      </c>
      <c r="C82" s="102" t="str">
        <f>IF($B82&lt;&gt;"",_xlfn.IFNA(VLOOKUP($B82,'Node Details'!$B:$U,C$1,0),"Check"),"")</f>
        <v>0000AXZ02-AXZ020203</v>
      </c>
      <c r="D82" s="102" t="str">
        <f>IF($B82&lt;&gt;"",_xlfn.IFNA(VLOOKUP($B82,'Node Details'!$B:$U,D$1,0),"Check"),"")</f>
        <v>AXZ</v>
      </c>
      <c r="E82" s="102" t="str">
        <f>IF($B82&lt;&gt;"",_xlfn.IFNA(VLOOKUP($B82,'Node Details'!$B:$U,E$1,0),"Check"),"")</f>
        <v>Airtel</v>
      </c>
      <c r="F82" s="103">
        <v>46110</v>
      </c>
      <c r="G82" s="105"/>
      <c r="H82" s="104" t="s">
        <v>189</v>
      </c>
      <c r="I82" s="9">
        <v>10</v>
      </c>
      <c r="J82" s="9">
        <v>50</v>
      </c>
      <c r="K82" s="102">
        <f t="shared" si="24"/>
        <v>500</v>
      </c>
      <c r="L82" s="80">
        <v>46110</v>
      </c>
      <c r="M82" s="105"/>
      <c r="N82" s="95" t="s">
        <v>372</v>
      </c>
      <c r="O82" s="96"/>
      <c r="P82" s="106">
        <f t="shared" si="19"/>
        <v>50</v>
      </c>
      <c r="Q82" s="106">
        <f t="shared" si="20"/>
        <v>500</v>
      </c>
      <c r="R82" s="106"/>
      <c r="S82" s="95" t="s">
        <v>185</v>
      </c>
      <c r="T82" s="96"/>
      <c r="U82" s="106">
        <f t="shared" si="21"/>
        <v>50</v>
      </c>
      <c r="V82" s="106">
        <f t="shared" si="22"/>
        <v>10</v>
      </c>
      <c r="W82" s="105">
        <f t="shared" si="23"/>
        <v>500</v>
      </c>
      <c r="X82" s="95" t="s">
        <v>186</v>
      </c>
      <c r="Y82" s="107" t="s">
        <v>181</v>
      </c>
      <c r="Z82" s="107" t="s">
        <v>176</v>
      </c>
    </row>
    <row r="83" spans="1:26" s="107" customFormat="1" ht="15" customHeight="1" x14ac:dyDescent="0.2">
      <c r="A83" s="101">
        <f t="shared" si="13"/>
        <v>81</v>
      </c>
      <c r="B83" s="77" t="s">
        <v>152</v>
      </c>
      <c r="C83" s="102" t="str">
        <f>IF($B83&lt;&gt;"",_xlfn.IFNA(VLOOKUP($B83,'Node Details'!$B:$U,C$1,0),"Check"),"")</f>
        <v>0000AXZ02-AXZ020203</v>
      </c>
      <c r="D83" s="102" t="str">
        <f>IF($B83&lt;&gt;"",_xlfn.IFNA(VLOOKUP($B83,'Node Details'!$B:$U,D$1,0),"Check"),"")</f>
        <v>AXZ</v>
      </c>
      <c r="E83" s="102" t="str">
        <f>IF($B83&lt;&gt;"",_xlfn.IFNA(VLOOKUP($B83,'Node Details'!$B:$U,E$1,0),"Check"),"")</f>
        <v>Airtel</v>
      </c>
      <c r="F83" s="103">
        <v>46110</v>
      </c>
      <c r="G83" s="105"/>
      <c r="H83" s="104" t="s">
        <v>189</v>
      </c>
      <c r="I83" s="9">
        <v>8</v>
      </c>
      <c r="J83" s="9">
        <v>50</v>
      </c>
      <c r="K83" s="102">
        <f t="shared" si="24"/>
        <v>400</v>
      </c>
      <c r="L83" s="80">
        <v>46110</v>
      </c>
      <c r="M83" s="105"/>
      <c r="N83" s="95" t="s">
        <v>372</v>
      </c>
      <c r="O83" s="96"/>
      <c r="P83" s="106">
        <f t="shared" si="19"/>
        <v>50</v>
      </c>
      <c r="Q83" s="106">
        <f t="shared" si="20"/>
        <v>400</v>
      </c>
      <c r="R83" s="106"/>
      <c r="S83" s="95" t="s">
        <v>185</v>
      </c>
      <c r="T83" s="96"/>
      <c r="U83" s="106">
        <f t="shared" si="21"/>
        <v>50</v>
      </c>
      <c r="V83" s="106">
        <f t="shared" si="22"/>
        <v>8</v>
      </c>
      <c r="W83" s="105">
        <f t="shared" si="23"/>
        <v>400</v>
      </c>
      <c r="X83" s="95" t="s">
        <v>186</v>
      </c>
      <c r="Y83" s="107" t="s">
        <v>181</v>
      </c>
      <c r="Z83" s="107" t="s">
        <v>176</v>
      </c>
    </row>
    <row r="84" spans="1:26" s="107" customFormat="1" ht="15" customHeight="1" x14ac:dyDescent="0.2">
      <c r="A84" s="101">
        <f t="shared" si="13"/>
        <v>82</v>
      </c>
      <c r="B84" s="77" t="s">
        <v>153</v>
      </c>
      <c r="C84" s="102" t="str">
        <f>IF($B84&lt;&gt;"",_xlfn.IFNA(VLOOKUP($B84,'Node Details'!$B:$U,C$1,0),"Check"),"")</f>
        <v>0000AXZ02-AXZ020203</v>
      </c>
      <c r="D84" s="102" t="str">
        <f>IF($B84&lt;&gt;"",_xlfn.IFNA(VLOOKUP($B84,'Node Details'!$B:$U,D$1,0),"Check"),"")</f>
        <v>AXZ</v>
      </c>
      <c r="E84" s="102" t="str">
        <f>IF($B84&lt;&gt;"",_xlfn.IFNA(VLOOKUP($B84,'Node Details'!$B:$U,E$1,0),"Check"),"")</f>
        <v>Airtel</v>
      </c>
      <c r="F84" s="103">
        <v>46110</v>
      </c>
      <c r="G84" s="105"/>
      <c r="H84" s="104" t="s">
        <v>189</v>
      </c>
      <c r="I84" s="9">
        <v>6</v>
      </c>
      <c r="J84" s="9">
        <v>50</v>
      </c>
      <c r="K84" s="102">
        <f t="shared" si="24"/>
        <v>300</v>
      </c>
      <c r="L84" s="80">
        <v>46110</v>
      </c>
      <c r="M84" s="105"/>
      <c r="N84" s="95" t="s">
        <v>372</v>
      </c>
      <c r="O84" s="96"/>
      <c r="P84" s="106">
        <f t="shared" si="19"/>
        <v>50</v>
      </c>
      <c r="Q84" s="106">
        <f t="shared" si="20"/>
        <v>300</v>
      </c>
      <c r="R84" s="106"/>
      <c r="S84" s="95" t="s">
        <v>185</v>
      </c>
      <c r="T84" s="96"/>
      <c r="U84" s="106">
        <f t="shared" si="21"/>
        <v>50</v>
      </c>
      <c r="V84" s="106">
        <f t="shared" si="22"/>
        <v>6</v>
      </c>
      <c r="W84" s="105">
        <f t="shared" si="23"/>
        <v>300</v>
      </c>
      <c r="X84" s="95" t="s">
        <v>186</v>
      </c>
      <c r="Y84" s="107" t="s">
        <v>181</v>
      </c>
      <c r="Z84" s="107" t="s">
        <v>176</v>
      </c>
    </row>
    <row r="85" spans="1:26" s="107" customFormat="1" ht="15" customHeight="1" x14ac:dyDescent="0.2">
      <c r="A85" s="101">
        <f t="shared" si="13"/>
        <v>83</v>
      </c>
      <c r="B85" s="77" t="s">
        <v>154</v>
      </c>
      <c r="C85" s="102" t="str">
        <f>IF($B85&lt;&gt;"",_xlfn.IFNA(VLOOKUP($B85,'Node Details'!$B:$U,C$1,0),"Check"),"")</f>
        <v>0000AXZ02-AXZ020203</v>
      </c>
      <c r="D85" s="102" t="str">
        <f>IF($B85&lt;&gt;"",_xlfn.IFNA(VLOOKUP($B85,'Node Details'!$B:$U,D$1,0),"Check"),"")</f>
        <v>AXZ</v>
      </c>
      <c r="E85" s="102" t="str">
        <f>IF($B85&lt;&gt;"",_xlfn.IFNA(VLOOKUP($B85,'Node Details'!$B:$U,E$1,0),"Check"),"")</f>
        <v>Airtel</v>
      </c>
      <c r="F85" s="103">
        <v>46110</v>
      </c>
      <c r="G85" s="105"/>
      <c r="H85" s="104" t="s">
        <v>189</v>
      </c>
      <c r="I85" s="9">
        <v>4</v>
      </c>
      <c r="J85" s="9">
        <v>50</v>
      </c>
      <c r="K85" s="102">
        <f t="shared" si="24"/>
        <v>200</v>
      </c>
      <c r="L85" s="80">
        <v>46110</v>
      </c>
      <c r="M85" s="105"/>
      <c r="N85" s="95" t="s">
        <v>372</v>
      </c>
      <c r="O85" s="96"/>
      <c r="P85" s="106">
        <f t="shared" si="19"/>
        <v>50</v>
      </c>
      <c r="Q85" s="106">
        <f t="shared" si="20"/>
        <v>200</v>
      </c>
      <c r="R85" s="106"/>
      <c r="S85" s="95" t="s">
        <v>185</v>
      </c>
      <c r="T85" s="96"/>
      <c r="U85" s="106">
        <f t="shared" si="21"/>
        <v>50</v>
      </c>
      <c r="V85" s="106">
        <f t="shared" si="22"/>
        <v>4</v>
      </c>
      <c r="W85" s="105">
        <f t="shared" si="23"/>
        <v>200</v>
      </c>
      <c r="X85" s="95" t="s">
        <v>186</v>
      </c>
      <c r="Y85" s="107" t="s">
        <v>181</v>
      </c>
      <c r="Z85" s="107" t="s">
        <v>176</v>
      </c>
    </row>
    <row r="86" spans="1:26" s="107" customFormat="1" ht="15" customHeight="1" x14ac:dyDescent="0.2">
      <c r="A86" s="101">
        <f t="shared" si="13"/>
        <v>84</v>
      </c>
      <c r="B86" s="77" t="s">
        <v>155</v>
      </c>
      <c r="C86" s="102" t="str">
        <f>IF($B86&lt;&gt;"",_xlfn.IFNA(VLOOKUP($B86,'Node Details'!$B:$U,C$1,0),"Check"),"")</f>
        <v>0000AXZ02-AXZ020203</v>
      </c>
      <c r="D86" s="102" t="str">
        <f>IF($B86&lt;&gt;"",_xlfn.IFNA(VLOOKUP($B86,'Node Details'!$B:$U,D$1,0),"Check"),"")</f>
        <v>AXZ</v>
      </c>
      <c r="E86" s="102" t="str">
        <f>IF($B86&lt;&gt;"",_xlfn.IFNA(VLOOKUP($B86,'Node Details'!$B:$U,E$1,0),"Check"),"")</f>
        <v>Airtel</v>
      </c>
      <c r="F86" s="103">
        <v>46110</v>
      </c>
      <c r="G86" s="105"/>
      <c r="H86" s="104" t="s">
        <v>189</v>
      </c>
      <c r="I86" s="9">
        <v>2</v>
      </c>
      <c r="J86" s="9">
        <v>50</v>
      </c>
      <c r="K86" s="102">
        <f t="shared" si="24"/>
        <v>100</v>
      </c>
      <c r="L86" s="80">
        <v>46110</v>
      </c>
      <c r="M86" s="105"/>
      <c r="N86" s="95" t="s">
        <v>372</v>
      </c>
      <c r="O86" s="96"/>
      <c r="P86" s="106">
        <f t="shared" si="19"/>
        <v>50</v>
      </c>
      <c r="Q86" s="106">
        <f t="shared" si="20"/>
        <v>100</v>
      </c>
      <c r="R86" s="106"/>
      <c r="S86" s="95" t="s">
        <v>185</v>
      </c>
      <c r="T86" s="96"/>
      <c r="U86" s="106">
        <f t="shared" si="21"/>
        <v>50</v>
      </c>
      <c r="V86" s="106">
        <f t="shared" si="22"/>
        <v>2</v>
      </c>
      <c r="W86" s="105">
        <f t="shared" si="23"/>
        <v>100</v>
      </c>
      <c r="X86" s="95" t="s">
        <v>186</v>
      </c>
      <c r="Y86" s="107" t="s">
        <v>181</v>
      </c>
      <c r="Z86" s="107" t="s">
        <v>176</v>
      </c>
    </row>
    <row r="87" spans="1:26" s="107" customFormat="1" ht="15" customHeight="1" x14ac:dyDescent="0.2">
      <c r="A87" s="101">
        <f t="shared" si="13"/>
        <v>85</v>
      </c>
      <c r="B87" s="77" t="s">
        <v>159</v>
      </c>
      <c r="C87" s="102" t="str">
        <f>IF($B87&lt;&gt;"",_xlfn.IFNA(VLOOKUP($B87,'Node Details'!$B:$U,C$1,0),"Check"),"")</f>
        <v>000000AXZ-0000AXZ03</v>
      </c>
      <c r="D87" s="102" t="str">
        <f>IF($B87&lt;&gt;"",_xlfn.IFNA(VLOOKUP($B87,'Node Details'!$B:$U,D$1,0),"Check"),"")</f>
        <v>AXZ</v>
      </c>
      <c r="E87" s="102" t="str">
        <f>IF($B87&lt;&gt;"",_xlfn.IFNA(VLOOKUP($B87,'Node Details'!$B:$U,E$1,0),"Check"),"")</f>
        <v>Airtel</v>
      </c>
      <c r="F87" s="103">
        <v>46110</v>
      </c>
      <c r="G87" s="105"/>
      <c r="H87" s="104" t="s">
        <v>189</v>
      </c>
      <c r="I87" s="9">
        <v>9</v>
      </c>
      <c r="J87" s="9">
        <v>50</v>
      </c>
      <c r="K87" s="102">
        <f t="shared" si="24"/>
        <v>450</v>
      </c>
      <c r="L87" s="80">
        <v>46110</v>
      </c>
      <c r="M87" s="105"/>
      <c r="N87" s="95" t="s">
        <v>372</v>
      </c>
      <c r="O87" s="96"/>
      <c r="P87" s="106">
        <f t="shared" si="19"/>
        <v>50</v>
      </c>
      <c r="Q87" s="106">
        <f t="shared" si="20"/>
        <v>450</v>
      </c>
      <c r="R87" s="106"/>
      <c r="S87" s="95" t="s">
        <v>185</v>
      </c>
      <c r="T87" s="96"/>
      <c r="U87" s="106">
        <f t="shared" si="21"/>
        <v>50</v>
      </c>
      <c r="V87" s="106">
        <f t="shared" si="22"/>
        <v>9</v>
      </c>
      <c r="W87" s="105">
        <f t="shared" si="23"/>
        <v>450</v>
      </c>
      <c r="X87" s="95" t="s">
        <v>186</v>
      </c>
      <c r="Y87" s="107" t="s">
        <v>181</v>
      </c>
      <c r="Z87" s="107" t="s">
        <v>176</v>
      </c>
    </row>
    <row r="88" spans="1:26" s="107" customFormat="1" ht="15" customHeight="1" x14ac:dyDescent="0.2">
      <c r="A88" s="101">
        <f t="shared" si="13"/>
        <v>86</v>
      </c>
      <c r="B88" s="77" t="s">
        <v>162</v>
      </c>
      <c r="C88" s="102" t="str">
        <f>IF($B88&lt;&gt;"",_xlfn.IFNA(VLOOKUP($B88,'Node Details'!$B:$U,C$1,0),"Check"),"")</f>
        <v>0000AXZ03-AXZ030104</v>
      </c>
      <c r="D88" s="102" t="str">
        <f>IF($B88&lt;&gt;"",_xlfn.IFNA(VLOOKUP($B88,'Node Details'!$B:$U,D$1,0),"Check"),"")</f>
        <v>AXZ</v>
      </c>
      <c r="E88" s="102" t="str">
        <f>IF($B88&lt;&gt;"",_xlfn.IFNA(VLOOKUP($B88,'Node Details'!$B:$U,E$1,0),"Check"),"")</f>
        <v>Airtel</v>
      </c>
      <c r="F88" s="103">
        <v>46110</v>
      </c>
      <c r="G88" s="105"/>
      <c r="H88" s="104" t="s">
        <v>189</v>
      </c>
      <c r="I88" s="9">
        <v>2</v>
      </c>
      <c r="J88" s="9">
        <v>50</v>
      </c>
      <c r="K88" s="102">
        <f t="shared" si="24"/>
        <v>100</v>
      </c>
      <c r="L88" s="80">
        <v>46110</v>
      </c>
      <c r="M88" s="105"/>
      <c r="N88" s="95" t="s">
        <v>372</v>
      </c>
      <c r="O88" s="96"/>
      <c r="P88" s="106">
        <f t="shared" si="19"/>
        <v>50</v>
      </c>
      <c r="Q88" s="106">
        <f t="shared" si="20"/>
        <v>100</v>
      </c>
      <c r="R88" s="106"/>
      <c r="S88" s="95" t="s">
        <v>185</v>
      </c>
      <c r="T88" s="96"/>
      <c r="U88" s="106">
        <f t="shared" si="21"/>
        <v>50</v>
      </c>
      <c r="V88" s="106">
        <f t="shared" si="22"/>
        <v>2</v>
      </c>
      <c r="W88" s="105">
        <f t="shared" si="23"/>
        <v>100</v>
      </c>
      <c r="X88" s="95" t="s">
        <v>186</v>
      </c>
      <c r="Y88" s="107" t="s">
        <v>181</v>
      </c>
      <c r="Z88" s="107" t="s">
        <v>176</v>
      </c>
    </row>
    <row r="89" spans="1:26" s="107" customFormat="1" ht="15" customHeight="1" x14ac:dyDescent="0.2">
      <c r="A89" s="101">
        <f t="shared" si="13"/>
        <v>87</v>
      </c>
      <c r="B89" s="77" t="s">
        <v>166</v>
      </c>
      <c r="C89" s="102" t="str">
        <f>IF($B89&lt;&gt;"",_xlfn.IFNA(VLOOKUP($B89,'Node Details'!$B:$U,C$1,0),"Check"),"")</f>
        <v>0000AXZ03-AXZ030201</v>
      </c>
      <c r="D89" s="102" t="str">
        <f>IF($B89&lt;&gt;"",_xlfn.IFNA(VLOOKUP($B89,'Node Details'!$B:$U,D$1,0),"Check"),"")</f>
        <v>AXZ</v>
      </c>
      <c r="E89" s="102" t="str">
        <f>IF($B89&lt;&gt;"",_xlfn.IFNA(VLOOKUP($B89,'Node Details'!$B:$U,E$1,0),"Check"),"")</f>
        <v>Airtel</v>
      </c>
      <c r="F89" s="103">
        <v>46110</v>
      </c>
      <c r="G89" s="105"/>
      <c r="H89" s="104" t="s">
        <v>189</v>
      </c>
      <c r="I89" s="9">
        <v>8</v>
      </c>
      <c r="J89" s="9">
        <v>50</v>
      </c>
      <c r="K89" s="102">
        <f t="shared" si="24"/>
        <v>400</v>
      </c>
      <c r="L89" s="80">
        <v>46110</v>
      </c>
      <c r="M89" s="105"/>
      <c r="N89" s="95" t="s">
        <v>372</v>
      </c>
      <c r="O89" s="96"/>
      <c r="P89" s="106">
        <f t="shared" si="19"/>
        <v>50</v>
      </c>
      <c r="Q89" s="106">
        <f t="shared" si="20"/>
        <v>400</v>
      </c>
      <c r="R89" s="106"/>
      <c r="S89" s="95" t="s">
        <v>185</v>
      </c>
      <c r="T89" s="96"/>
      <c r="U89" s="106">
        <f t="shared" si="21"/>
        <v>50</v>
      </c>
      <c r="V89" s="106">
        <f t="shared" si="22"/>
        <v>8</v>
      </c>
      <c r="W89" s="105">
        <f t="shared" si="23"/>
        <v>400</v>
      </c>
      <c r="X89" s="95" t="s">
        <v>186</v>
      </c>
      <c r="Y89" s="107" t="s">
        <v>181</v>
      </c>
      <c r="Z89" s="107" t="s">
        <v>176</v>
      </c>
    </row>
    <row r="90" spans="1:26" s="107" customFormat="1" ht="15" customHeight="1" x14ac:dyDescent="0.2">
      <c r="A90" s="101">
        <f t="shared" si="13"/>
        <v>88</v>
      </c>
      <c r="B90" s="77" t="s">
        <v>167</v>
      </c>
      <c r="C90" s="102" t="str">
        <f>IF($B90&lt;&gt;"",_xlfn.IFNA(VLOOKUP($B90,'Node Details'!$B:$U,C$1,0),"Check"),"")</f>
        <v>0000AXZ03-AXZ030201</v>
      </c>
      <c r="D90" s="102" t="str">
        <f>IF($B90&lt;&gt;"",_xlfn.IFNA(VLOOKUP($B90,'Node Details'!$B:$U,D$1,0),"Check"),"")</f>
        <v>AXZ</v>
      </c>
      <c r="E90" s="102" t="str">
        <f>IF($B90&lt;&gt;"",_xlfn.IFNA(VLOOKUP($B90,'Node Details'!$B:$U,E$1,0),"Check"),"")</f>
        <v>Airtel</v>
      </c>
      <c r="F90" s="103">
        <v>46110</v>
      </c>
      <c r="G90" s="105"/>
      <c r="H90" s="104" t="s">
        <v>189</v>
      </c>
      <c r="I90" s="9">
        <v>6</v>
      </c>
      <c r="J90" s="9">
        <v>50</v>
      </c>
      <c r="K90" s="102">
        <f t="shared" si="24"/>
        <v>300</v>
      </c>
      <c r="L90" s="80">
        <v>46110</v>
      </c>
      <c r="M90" s="105"/>
      <c r="N90" s="95" t="s">
        <v>372</v>
      </c>
      <c r="O90" s="96"/>
      <c r="P90" s="106">
        <f t="shared" si="19"/>
        <v>50</v>
      </c>
      <c r="Q90" s="106">
        <f t="shared" si="20"/>
        <v>300</v>
      </c>
      <c r="R90" s="106"/>
      <c r="S90" s="95" t="s">
        <v>185</v>
      </c>
      <c r="T90" s="96"/>
      <c r="U90" s="106">
        <f t="shared" si="21"/>
        <v>50</v>
      </c>
      <c r="V90" s="106">
        <f t="shared" si="22"/>
        <v>6</v>
      </c>
      <c r="W90" s="105">
        <f t="shared" si="23"/>
        <v>300</v>
      </c>
      <c r="X90" s="95" t="s">
        <v>186</v>
      </c>
      <c r="Y90" s="107" t="s">
        <v>181</v>
      </c>
      <c r="Z90" s="107" t="s">
        <v>176</v>
      </c>
    </row>
    <row r="91" spans="1:26" s="107" customFormat="1" ht="15" customHeight="1" x14ac:dyDescent="0.2">
      <c r="A91" s="101">
        <f t="shared" si="13"/>
        <v>89</v>
      </c>
      <c r="B91" s="77" t="s">
        <v>168</v>
      </c>
      <c r="C91" s="102" t="str">
        <f>IF($B91&lt;&gt;"",_xlfn.IFNA(VLOOKUP($B91,'Node Details'!$B:$U,C$1,0),"Check"),"")</f>
        <v>0000AXZ03-AXZ030201</v>
      </c>
      <c r="D91" s="102" t="str">
        <f>IF($B91&lt;&gt;"",_xlfn.IFNA(VLOOKUP($B91,'Node Details'!$B:$U,D$1,0),"Check"),"")</f>
        <v>AXZ</v>
      </c>
      <c r="E91" s="102" t="str">
        <f>IF($B91&lt;&gt;"",_xlfn.IFNA(VLOOKUP($B91,'Node Details'!$B:$U,E$1,0),"Check"),"")</f>
        <v>Airtel</v>
      </c>
      <c r="F91" s="103">
        <v>46110</v>
      </c>
      <c r="G91" s="105"/>
      <c r="H91" s="104" t="s">
        <v>189</v>
      </c>
      <c r="I91" s="9">
        <v>4</v>
      </c>
      <c r="J91" s="9">
        <v>50</v>
      </c>
      <c r="K91" s="102">
        <f t="shared" si="24"/>
        <v>200</v>
      </c>
      <c r="L91" s="80">
        <v>46110</v>
      </c>
      <c r="M91" s="105"/>
      <c r="N91" s="95" t="s">
        <v>372</v>
      </c>
      <c r="O91" s="96"/>
      <c r="P91" s="106">
        <f t="shared" si="19"/>
        <v>50</v>
      </c>
      <c r="Q91" s="106">
        <f t="shared" si="20"/>
        <v>200</v>
      </c>
      <c r="R91" s="106"/>
      <c r="S91" s="95" t="s">
        <v>185</v>
      </c>
      <c r="T91" s="96"/>
      <c r="U91" s="106">
        <f t="shared" si="21"/>
        <v>50</v>
      </c>
      <c r="V91" s="106">
        <f t="shared" si="22"/>
        <v>4</v>
      </c>
      <c r="W91" s="105">
        <f t="shared" si="23"/>
        <v>200</v>
      </c>
      <c r="X91" s="95" t="s">
        <v>186</v>
      </c>
      <c r="Y91" s="107" t="s">
        <v>181</v>
      </c>
      <c r="Z91" s="107" t="s">
        <v>176</v>
      </c>
    </row>
    <row r="92" spans="1:26" s="107" customFormat="1" ht="15" customHeight="1" x14ac:dyDescent="0.2">
      <c r="A92" s="101">
        <f t="shared" si="13"/>
        <v>90</v>
      </c>
      <c r="B92" s="77" t="s">
        <v>169</v>
      </c>
      <c r="C92" s="102" t="str">
        <f>IF($B92&lt;&gt;"",_xlfn.IFNA(VLOOKUP($B92,'Node Details'!$B:$U,C$1,0),"Check"),"")</f>
        <v>AXZ030201-AXZ030205</v>
      </c>
      <c r="D92" s="102" t="str">
        <f>IF($B92&lt;&gt;"",_xlfn.IFNA(VLOOKUP($B92,'Node Details'!$B:$U,D$1,0),"Check"),"")</f>
        <v>AXZ</v>
      </c>
      <c r="E92" s="102" t="str">
        <f>IF($B92&lt;&gt;"",_xlfn.IFNA(VLOOKUP($B92,'Node Details'!$B:$U,E$1,0),"Check"),"")</f>
        <v>Airtel</v>
      </c>
      <c r="F92" s="103">
        <v>46110</v>
      </c>
      <c r="G92" s="105"/>
      <c r="H92" s="104" t="s">
        <v>189</v>
      </c>
      <c r="I92" s="9">
        <v>2</v>
      </c>
      <c r="J92" s="9">
        <v>50</v>
      </c>
      <c r="K92" s="102">
        <f t="shared" si="24"/>
        <v>100</v>
      </c>
      <c r="L92" s="80">
        <v>46110</v>
      </c>
      <c r="M92" s="105"/>
      <c r="N92" s="95" t="s">
        <v>372</v>
      </c>
      <c r="O92" s="96"/>
      <c r="P92" s="106">
        <f t="shared" si="19"/>
        <v>50</v>
      </c>
      <c r="Q92" s="106">
        <f t="shared" si="20"/>
        <v>100</v>
      </c>
      <c r="R92" s="106"/>
      <c r="S92" s="95" t="s">
        <v>185</v>
      </c>
      <c r="T92" s="96"/>
      <c r="U92" s="106">
        <f t="shared" si="21"/>
        <v>50</v>
      </c>
      <c r="V92" s="106">
        <f t="shared" si="22"/>
        <v>2</v>
      </c>
      <c r="W92" s="105">
        <f t="shared" si="23"/>
        <v>100</v>
      </c>
      <c r="X92" s="95" t="s">
        <v>186</v>
      </c>
      <c r="Y92" s="107" t="s">
        <v>181</v>
      </c>
      <c r="Z92" s="107" t="s">
        <v>176</v>
      </c>
    </row>
    <row r="93" spans="1:26" s="107" customFormat="1" ht="15" customHeight="1" x14ac:dyDescent="0.2">
      <c r="A93" s="101">
        <f t="shared" si="13"/>
        <v>91</v>
      </c>
      <c r="B93" s="77" t="s">
        <v>226</v>
      </c>
      <c r="C93" s="102" t="str">
        <f>IF($B93&lt;&gt;"",_xlfn.IFNA(VLOOKUP($B93,'Node Details'!$B:$U,C$1,0),"Check"),"")</f>
        <v>0000AXY01-AXY010101</v>
      </c>
      <c r="D93" s="102" t="str">
        <f>IF($B93&lt;&gt;"",_xlfn.IFNA(VLOOKUP($B93,'Node Details'!$B:$U,D$1,0),"Check"),"")</f>
        <v>AXY</v>
      </c>
      <c r="E93" s="102" t="str">
        <f>IF($B93&lt;&gt;"",_xlfn.IFNA(VLOOKUP($B93,'Node Details'!$B:$U,E$1,0),"Check"),"")</f>
        <v>Airtel</v>
      </c>
      <c r="F93" s="103">
        <v>46113</v>
      </c>
      <c r="G93" s="105"/>
      <c r="H93" s="104" t="s">
        <v>182</v>
      </c>
      <c r="I93" s="9">
        <v>1</v>
      </c>
      <c r="J93" s="9">
        <v>600</v>
      </c>
      <c r="K93" s="102">
        <f t="shared" si="24"/>
        <v>600</v>
      </c>
      <c r="L93" s="80">
        <v>46112</v>
      </c>
      <c r="M93" s="105"/>
      <c r="N93" s="95" t="s">
        <v>372</v>
      </c>
      <c r="O93" s="96"/>
      <c r="P93" s="106">
        <f t="shared" ref="P93:P156" si="25">J93</f>
        <v>600</v>
      </c>
      <c r="Q93" s="106">
        <f t="shared" ref="Q93:Q156" si="26">P93*I93</f>
        <v>600</v>
      </c>
      <c r="R93" s="106"/>
      <c r="S93" s="95" t="s">
        <v>185</v>
      </c>
      <c r="T93" s="96"/>
      <c r="U93" s="106">
        <f t="shared" ref="U93:U156" si="27">J93</f>
        <v>600</v>
      </c>
      <c r="V93" s="106">
        <f t="shared" ref="V93:V156" si="28">I93</f>
        <v>1</v>
      </c>
      <c r="W93" s="105">
        <f t="shared" ref="W93:W156" si="29">IF(V93&lt;&gt;"",V93*U93,0)</f>
        <v>600</v>
      </c>
      <c r="X93" s="95" t="s">
        <v>186</v>
      </c>
      <c r="Y93" s="107" t="s">
        <v>181</v>
      </c>
      <c r="Z93" s="107" t="s">
        <v>176</v>
      </c>
    </row>
    <row r="94" spans="1:26" s="107" customFormat="1" ht="15" customHeight="1" x14ac:dyDescent="0.2">
      <c r="A94" s="101">
        <f t="shared" si="13"/>
        <v>92</v>
      </c>
      <c r="B94" s="77" t="s">
        <v>227</v>
      </c>
      <c r="C94" s="102" t="str">
        <f>IF($B94&lt;&gt;"",_xlfn.IFNA(VLOOKUP($B94,'Node Details'!$B:$U,C$1,0),"Check"),"")</f>
        <v>0000AXY01-AXY010104</v>
      </c>
      <c r="D94" s="102" t="str">
        <f>IF($B94&lt;&gt;"",_xlfn.IFNA(VLOOKUP($B94,'Node Details'!$B:$U,D$1,0),"Check"),"")</f>
        <v>AXY</v>
      </c>
      <c r="E94" s="102" t="str">
        <f>IF($B94&lt;&gt;"",_xlfn.IFNA(VLOOKUP($B94,'Node Details'!$B:$U,E$1,0),"Check"),"")</f>
        <v>Airtel</v>
      </c>
      <c r="F94" s="103">
        <v>46113</v>
      </c>
      <c r="G94" s="105"/>
      <c r="H94" s="104" t="s">
        <v>182</v>
      </c>
      <c r="I94" s="9">
        <v>1</v>
      </c>
      <c r="J94" s="9">
        <v>600</v>
      </c>
      <c r="K94" s="102">
        <f t="shared" ref="K94:K157" si="30">IF(I94&lt;&gt;"",J94*I94,0)</f>
        <v>600</v>
      </c>
      <c r="L94" s="80">
        <v>46112</v>
      </c>
      <c r="M94" s="105"/>
      <c r="N94" s="95" t="s">
        <v>372</v>
      </c>
      <c r="O94" s="96"/>
      <c r="P94" s="106">
        <f t="shared" si="25"/>
        <v>600</v>
      </c>
      <c r="Q94" s="106">
        <f t="shared" si="26"/>
        <v>600</v>
      </c>
      <c r="R94" s="106"/>
      <c r="S94" s="95" t="s">
        <v>185</v>
      </c>
      <c r="T94" s="96"/>
      <c r="U94" s="106">
        <f t="shared" si="27"/>
        <v>600</v>
      </c>
      <c r="V94" s="106">
        <f t="shared" si="28"/>
        <v>1</v>
      </c>
      <c r="W94" s="105">
        <f t="shared" si="29"/>
        <v>600</v>
      </c>
      <c r="X94" s="95" t="s">
        <v>186</v>
      </c>
      <c r="Y94" s="107" t="s">
        <v>181</v>
      </c>
      <c r="Z94" s="107" t="s">
        <v>176</v>
      </c>
    </row>
    <row r="95" spans="1:26" s="107" customFormat="1" ht="15" customHeight="1" x14ac:dyDescent="0.2">
      <c r="A95" s="101">
        <f t="shared" si="13"/>
        <v>93</v>
      </c>
      <c r="B95" s="77" t="s">
        <v>228</v>
      </c>
      <c r="C95" s="102" t="str">
        <f>IF($B95&lt;&gt;"",_xlfn.IFNA(VLOOKUP($B95,'Node Details'!$B:$U,C$1,0),"Check"),"")</f>
        <v>0000AXY01-AXY010104</v>
      </c>
      <c r="D95" s="102" t="str">
        <f>IF($B95&lt;&gt;"",_xlfn.IFNA(VLOOKUP($B95,'Node Details'!$B:$U,D$1,0),"Check"),"")</f>
        <v>AXY</v>
      </c>
      <c r="E95" s="102" t="str">
        <f>IF($B95&lt;&gt;"",_xlfn.IFNA(VLOOKUP($B95,'Node Details'!$B:$U,E$1,0),"Check"),"")</f>
        <v>Airtel</v>
      </c>
      <c r="F95" s="103">
        <v>46113</v>
      </c>
      <c r="G95" s="105"/>
      <c r="H95" s="104" t="s">
        <v>182</v>
      </c>
      <c r="I95" s="9">
        <v>1</v>
      </c>
      <c r="J95" s="9">
        <v>600</v>
      </c>
      <c r="K95" s="102">
        <f t="shared" si="30"/>
        <v>600</v>
      </c>
      <c r="L95" s="80">
        <v>46112</v>
      </c>
      <c r="M95" s="105"/>
      <c r="N95" s="95" t="s">
        <v>372</v>
      </c>
      <c r="O95" s="96"/>
      <c r="P95" s="106">
        <f t="shared" si="25"/>
        <v>600</v>
      </c>
      <c r="Q95" s="106">
        <f t="shared" si="26"/>
        <v>600</v>
      </c>
      <c r="R95" s="106"/>
      <c r="S95" s="95" t="s">
        <v>185</v>
      </c>
      <c r="T95" s="96"/>
      <c r="U95" s="106">
        <f t="shared" si="27"/>
        <v>600</v>
      </c>
      <c r="V95" s="106">
        <f t="shared" si="28"/>
        <v>1</v>
      </c>
      <c r="W95" s="105">
        <f t="shared" si="29"/>
        <v>600</v>
      </c>
      <c r="X95" s="95" t="s">
        <v>186</v>
      </c>
      <c r="Y95" s="107" t="s">
        <v>181</v>
      </c>
      <c r="Z95" s="107" t="s">
        <v>176</v>
      </c>
    </row>
    <row r="96" spans="1:26" s="107" customFormat="1" ht="15" customHeight="1" x14ac:dyDescent="0.2">
      <c r="A96" s="101">
        <f t="shared" si="13"/>
        <v>94</v>
      </c>
      <c r="B96" s="77" t="s">
        <v>229</v>
      </c>
      <c r="C96" s="102" t="str">
        <f>IF($B96&lt;&gt;"",_xlfn.IFNA(VLOOKUP($B96,'Node Details'!$B:$U,C$1,0),"Check"),"")</f>
        <v>0000AXY01-AXY010102</v>
      </c>
      <c r="D96" s="102" t="str">
        <f>IF($B96&lt;&gt;"",_xlfn.IFNA(VLOOKUP($B96,'Node Details'!$B:$U,D$1,0),"Check"),"")</f>
        <v>AXY</v>
      </c>
      <c r="E96" s="102" t="str">
        <f>IF($B96&lt;&gt;"",_xlfn.IFNA(VLOOKUP($B96,'Node Details'!$B:$U,E$1,0),"Check"),"")</f>
        <v>Airtel</v>
      </c>
      <c r="F96" s="103">
        <v>46113</v>
      </c>
      <c r="G96" s="105"/>
      <c r="H96" s="104" t="s">
        <v>182</v>
      </c>
      <c r="I96" s="9">
        <v>1</v>
      </c>
      <c r="J96" s="9">
        <v>600</v>
      </c>
      <c r="K96" s="102">
        <f t="shared" si="30"/>
        <v>600</v>
      </c>
      <c r="L96" s="80">
        <v>46112</v>
      </c>
      <c r="M96" s="105"/>
      <c r="N96" s="95" t="s">
        <v>372</v>
      </c>
      <c r="O96" s="96"/>
      <c r="P96" s="106">
        <f t="shared" si="25"/>
        <v>600</v>
      </c>
      <c r="Q96" s="106">
        <f t="shared" si="26"/>
        <v>600</v>
      </c>
      <c r="R96" s="106"/>
      <c r="S96" s="95" t="s">
        <v>185</v>
      </c>
      <c r="T96" s="96"/>
      <c r="U96" s="106">
        <f t="shared" si="27"/>
        <v>600</v>
      </c>
      <c r="V96" s="106">
        <f t="shared" si="28"/>
        <v>1</v>
      </c>
      <c r="W96" s="105">
        <f t="shared" si="29"/>
        <v>600</v>
      </c>
      <c r="X96" s="95" t="s">
        <v>186</v>
      </c>
      <c r="Y96" s="107" t="s">
        <v>181</v>
      </c>
      <c r="Z96" s="107" t="s">
        <v>176</v>
      </c>
    </row>
    <row r="97" spans="1:26" s="107" customFormat="1" ht="15" customHeight="1" x14ac:dyDescent="0.2">
      <c r="A97" s="101">
        <f t="shared" si="13"/>
        <v>95</v>
      </c>
      <c r="B97" s="77" t="s">
        <v>231</v>
      </c>
      <c r="C97" s="102" t="str">
        <f>IF($B97&lt;&gt;"",_xlfn.IFNA(VLOOKUP($B97,'Node Details'!$B:$U,C$1,0),"Check"),"")</f>
        <v>0000AXY03-AXY030101</v>
      </c>
      <c r="D97" s="102" t="str">
        <f>IF($B97&lt;&gt;"",_xlfn.IFNA(VLOOKUP($B97,'Node Details'!$B:$U,D$1,0),"Check"),"")</f>
        <v>AXY</v>
      </c>
      <c r="E97" s="102" t="str">
        <f>IF($B97&lt;&gt;"",_xlfn.IFNA(VLOOKUP($B97,'Node Details'!$B:$U,E$1,0),"Check"),"")</f>
        <v>Airtel</v>
      </c>
      <c r="F97" s="103">
        <v>46113</v>
      </c>
      <c r="G97" s="105"/>
      <c r="H97" s="104" t="s">
        <v>182</v>
      </c>
      <c r="I97" s="9">
        <v>1</v>
      </c>
      <c r="J97" s="9">
        <v>600</v>
      </c>
      <c r="K97" s="102">
        <f t="shared" si="30"/>
        <v>600</v>
      </c>
      <c r="L97" s="80">
        <v>46112</v>
      </c>
      <c r="M97" s="105"/>
      <c r="N97" s="95" t="s">
        <v>372</v>
      </c>
      <c r="O97" s="96"/>
      <c r="P97" s="106">
        <f t="shared" si="25"/>
        <v>600</v>
      </c>
      <c r="Q97" s="106">
        <f t="shared" si="26"/>
        <v>600</v>
      </c>
      <c r="R97" s="106"/>
      <c r="S97" s="95" t="s">
        <v>185</v>
      </c>
      <c r="T97" s="96"/>
      <c r="U97" s="106">
        <f t="shared" si="27"/>
        <v>600</v>
      </c>
      <c r="V97" s="106">
        <f t="shared" si="28"/>
        <v>1</v>
      </c>
      <c r="W97" s="105">
        <f t="shared" si="29"/>
        <v>600</v>
      </c>
      <c r="X97" s="95" t="s">
        <v>186</v>
      </c>
      <c r="Y97" s="107" t="s">
        <v>181</v>
      </c>
      <c r="Z97" s="107" t="s">
        <v>176</v>
      </c>
    </row>
    <row r="98" spans="1:26" s="107" customFormat="1" ht="15" customHeight="1" x14ac:dyDescent="0.2">
      <c r="A98" s="101">
        <f t="shared" si="13"/>
        <v>96</v>
      </c>
      <c r="B98" s="77" t="s">
        <v>232</v>
      </c>
      <c r="C98" s="102" t="str">
        <f>IF($B98&lt;&gt;"",_xlfn.IFNA(VLOOKUP($B98,'Node Details'!$B:$U,C$1,0),"Check"),"")</f>
        <v>0000AXY03-AXY030104</v>
      </c>
      <c r="D98" s="102" t="str">
        <f>IF($B98&lt;&gt;"",_xlfn.IFNA(VLOOKUP($B98,'Node Details'!$B:$U,D$1,0),"Check"),"")</f>
        <v>AXY</v>
      </c>
      <c r="E98" s="102" t="str">
        <f>IF($B98&lt;&gt;"",_xlfn.IFNA(VLOOKUP($B98,'Node Details'!$B:$U,E$1,0),"Check"),"")</f>
        <v>Airtel</v>
      </c>
      <c r="F98" s="103">
        <v>46113</v>
      </c>
      <c r="G98" s="105"/>
      <c r="H98" s="104" t="s">
        <v>182</v>
      </c>
      <c r="I98" s="9">
        <v>1</v>
      </c>
      <c r="J98" s="9">
        <v>600</v>
      </c>
      <c r="K98" s="102">
        <f t="shared" si="30"/>
        <v>600</v>
      </c>
      <c r="L98" s="80">
        <v>46112</v>
      </c>
      <c r="M98" s="105"/>
      <c r="N98" s="95" t="s">
        <v>372</v>
      </c>
      <c r="O98" s="96"/>
      <c r="P98" s="106">
        <f t="shared" si="25"/>
        <v>600</v>
      </c>
      <c r="Q98" s="106">
        <f t="shared" si="26"/>
        <v>600</v>
      </c>
      <c r="R98" s="106"/>
      <c r="S98" s="95" t="s">
        <v>185</v>
      </c>
      <c r="T98" s="96"/>
      <c r="U98" s="106">
        <f t="shared" si="27"/>
        <v>600</v>
      </c>
      <c r="V98" s="106">
        <f t="shared" si="28"/>
        <v>1</v>
      </c>
      <c r="W98" s="105">
        <f t="shared" si="29"/>
        <v>600</v>
      </c>
      <c r="X98" s="95" t="s">
        <v>186</v>
      </c>
      <c r="Y98" s="107" t="s">
        <v>181</v>
      </c>
      <c r="Z98" s="107" t="s">
        <v>176</v>
      </c>
    </row>
    <row r="99" spans="1:26" s="107" customFormat="1" ht="15" customHeight="1" x14ac:dyDescent="0.2">
      <c r="A99" s="101">
        <f t="shared" si="13"/>
        <v>97</v>
      </c>
      <c r="B99" s="77" t="s">
        <v>233</v>
      </c>
      <c r="C99" s="102" t="str">
        <f>IF($B99&lt;&gt;"",_xlfn.IFNA(VLOOKUP($B99,'Node Details'!$B:$U,C$1,0),"Check"),"")</f>
        <v>0000AXY03-AXY030104</v>
      </c>
      <c r="D99" s="102" t="str">
        <f>IF($B99&lt;&gt;"",_xlfn.IFNA(VLOOKUP($B99,'Node Details'!$B:$U,D$1,0),"Check"),"")</f>
        <v>AXY</v>
      </c>
      <c r="E99" s="102" t="str">
        <f>IF($B99&lt;&gt;"",_xlfn.IFNA(VLOOKUP($B99,'Node Details'!$B:$U,E$1,0),"Check"),"")</f>
        <v>Airtel</v>
      </c>
      <c r="F99" s="103">
        <v>46113</v>
      </c>
      <c r="G99" s="105"/>
      <c r="H99" s="104" t="s">
        <v>182</v>
      </c>
      <c r="I99" s="9">
        <v>1</v>
      </c>
      <c r="J99" s="9">
        <v>600</v>
      </c>
      <c r="K99" s="102">
        <f t="shared" si="30"/>
        <v>600</v>
      </c>
      <c r="L99" s="80">
        <v>46112</v>
      </c>
      <c r="M99" s="105"/>
      <c r="N99" s="95" t="s">
        <v>372</v>
      </c>
      <c r="O99" s="96"/>
      <c r="P99" s="106">
        <f t="shared" si="25"/>
        <v>600</v>
      </c>
      <c r="Q99" s="106">
        <f t="shared" si="26"/>
        <v>600</v>
      </c>
      <c r="R99" s="106"/>
      <c r="S99" s="95" t="s">
        <v>185</v>
      </c>
      <c r="T99" s="96"/>
      <c r="U99" s="106">
        <f t="shared" si="27"/>
        <v>600</v>
      </c>
      <c r="V99" s="106">
        <f t="shared" si="28"/>
        <v>1</v>
      </c>
      <c r="W99" s="105">
        <f t="shared" si="29"/>
        <v>600</v>
      </c>
      <c r="X99" s="95" t="s">
        <v>186</v>
      </c>
      <c r="Y99" s="107" t="s">
        <v>181</v>
      </c>
      <c r="Z99" s="107" t="s">
        <v>176</v>
      </c>
    </row>
    <row r="100" spans="1:26" s="107" customFormat="1" ht="15" customHeight="1" x14ac:dyDescent="0.2">
      <c r="A100" s="101">
        <f t="shared" si="13"/>
        <v>98</v>
      </c>
      <c r="B100" s="77" t="s">
        <v>234</v>
      </c>
      <c r="C100" s="102" t="str">
        <f>IF($B100&lt;&gt;"",_xlfn.IFNA(VLOOKUP($B100,'Node Details'!$B:$U,C$1,0),"Check"),"")</f>
        <v>AXY030103-AXY030105</v>
      </c>
      <c r="D100" s="102" t="str">
        <f>IF($B100&lt;&gt;"",_xlfn.IFNA(VLOOKUP($B100,'Node Details'!$B:$U,D$1,0),"Check"),"")</f>
        <v>AXY</v>
      </c>
      <c r="E100" s="102" t="str">
        <f>IF($B100&lt;&gt;"",_xlfn.IFNA(VLOOKUP($B100,'Node Details'!$B:$U,E$1,0),"Check"),"")</f>
        <v>Airtel</v>
      </c>
      <c r="F100" s="103">
        <v>46113</v>
      </c>
      <c r="G100" s="105"/>
      <c r="H100" s="104" t="s">
        <v>182</v>
      </c>
      <c r="I100" s="9">
        <v>1</v>
      </c>
      <c r="J100" s="9">
        <v>600</v>
      </c>
      <c r="K100" s="102">
        <f t="shared" si="30"/>
        <v>600</v>
      </c>
      <c r="L100" s="80">
        <v>46112</v>
      </c>
      <c r="M100" s="105"/>
      <c r="N100" s="95" t="s">
        <v>372</v>
      </c>
      <c r="O100" s="96"/>
      <c r="P100" s="106">
        <f t="shared" si="25"/>
        <v>600</v>
      </c>
      <c r="Q100" s="106">
        <f t="shared" si="26"/>
        <v>600</v>
      </c>
      <c r="R100" s="106"/>
      <c r="S100" s="95" t="s">
        <v>185</v>
      </c>
      <c r="T100" s="96"/>
      <c r="U100" s="106">
        <f t="shared" si="27"/>
        <v>600</v>
      </c>
      <c r="V100" s="106">
        <f t="shared" si="28"/>
        <v>1</v>
      </c>
      <c r="W100" s="105">
        <f t="shared" si="29"/>
        <v>600</v>
      </c>
      <c r="X100" s="95" t="s">
        <v>186</v>
      </c>
      <c r="Y100" s="107" t="s">
        <v>181</v>
      </c>
      <c r="Z100" s="107" t="s">
        <v>176</v>
      </c>
    </row>
    <row r="101" spans="1:26" s="107" customFormat="1" ht="15" customHeight="1" x14ac:dyDescent="0.2">
      <c r="A101" s="101">
        <f t="shared" si="13"/>
        <v>99</v>
      </c>
      <c r="B101" s="77" t="s">
        <v>235</v>
      </c>
      <c r="C101" s="102" t="str">
        <f>IF($B101&lt;&gt;"",_xlfn.IFNA(VLOOKUP($B101,'Node Details'!$B:$U,C$1,0),"Check"),"")</f>
        <v>0000AXY03-AXY030108</v>
      </c>
      <c r="D101" s="102" t="str">
        <f>IF($B101&lt;&gt;"",_xlfn.IFNA(VLOOKUP($B101,'Node Details'!$B:$U,D$1,0),"Check"),"")</f>
        <v>AXY</v>
      </c>
      <c r="E101" s="102" t="str">
        <f>IF($B101&lt;&gt;"",_xlfn.IFNA(VLOOKUP($B101,'Node Details'!$B:$U,E$1,0),"Check"),"")</f>
        <v>Airtel</v>
      </c>
      <c r="F101" s="103">
        <v>46113</v>
      </c>
      <c r="G101" s="105"/>
      <c r="H101" s="104" t="s">
        <v>182</v>
      </c>
      <c r="I101" s="9">
        <v>1</v>
      </c>
      <c r="J101" s="9">
        <v>600</v>
      </c>
      <c r="K101" s="102">
        <f t="shared" si="30"/>
        <v>600</v>
      </c>
      <c r="L101" s="80">
        <v>46112</v>
      </c>
      <c r="M101" s="105"/>
      <c r="N101" s="95" t="s">
        <v>372</v>
      </c>
      <c r="O101" s="96"/>
      <c r="P101" s="106">
        <f t="shared" si="25"/>
        <v>600</v>
      </c>
      <c r="Q101" s="106">
        <f t="shared" si="26"/>
        <v>600</v>
      </c>
      <c r="R101" s="106"/>
      <c r="S101" s="95" t="s">
        <v>185</v>
      </c>
      <c r="T101" s="96"/>
      <c r="U101" s="106">
        <f t="shared" si="27"/>
        <v>600</v>
      </c>
      <c r="V101" s="106">
        <f t="shared" si="28"/>
        <v>1</v>
      </c>
      <c r="W101" s="105">
        <f t="shared" si="29"/>
        <v>600</v>
      </c>
      <c r="X101" s="95" t="s">
        <v>186</v>
      </c>
      <c r="Y101" s="107" t="s">
        <v>181</v>
      </c>
      <c r="Z101" s="107" t="s">
        <v>176</v>
      </c>
    </row>
    <row r="102" spans="1:26" s="107" customFormat="1" ht="15" customHeight="1" x14ac:dyDescent="0.2">
      <c r="A102" s="101">
        <f t="shared" si="13"/>
        <v>100</v>
      </c>
      <c r="B102" s="77" t="s">
        <v>236</v>
      </c>
      <c r="C102" s="102" t="str">
        <f>IF($B102&lt;&gt;"",_xlfn.IFNA(VLOOKUP($B102,'Node Details'!$B:$U,C$1,0),"Check"),"")</f>
        <v>0000AXY03-AXY030108</v>
      </c>
      <c r="D102" s="102" t="str">
        <f>IF($B102&lt;&gt;"",_xlfn.IFNA(VLOOKUP($B102,'Node Details'!$B:$U,D$1,0),"Check"),"")</f>
        <v>AXY</v>
      </c>
      <c r="E102" s="102" t="str">
        <f>IF($B102&lt;&gt;"",_xlfn.IFNA(VLOOKUP($B102,'Node Details'!$B:$U,E$1,0),"Check"),"")</f>
        <v>Airtel</v>
      </c>
      <c r="F102" s="103">
        <v>46113</v>
      </c>
      <c r="G102" s="105"/>
      <c r="H102" s="104" t="s">
        <v>182</v>
      </c>
      <c r="I102" s="9">
        <v>1</v>
      </c>
      <c r="J102" s="9">
        <v>600</v>
      </c>
      <c r="K102" s="102">
        <f t="shared" si="30"/>
        <v>600</v>
      </c>
      <c r="L102" s="80">
        <v>46112</v>
      </c>
      <c r="M102" s="105"/>
      <c r="N102" s="95" t="s">
        <v>372</v>
      </c>
      <c r="O102" s="96"/>
      <c r="P102" s="106">
        <f t="shared" si="25"/>
        <v>600</v>
      </c>
      <c r="Q102" s="106">
        <f t="shared" si="26"/>
        <v>600</v>
      </c>
      <c r="R102" s="106"/>
      <c r="S102" s="95" t="s">
        <v>185</v>
      </c>
      <c r="T102" s="96"/>
      <c r="U102" s="106">
        <f t="shared" si="27"/>
        <v>600</v>
      </c>
      <c r="V102" s="106">
        <f t="shared" si="28"/>
        <v>1</v>
      </c>
      <c r="W102" s="105">
        <f t="shared" si="29"/>
        <v>600</v>
      </c>
      <c r="X102" s="95" t="s">
        <v>186</v>
      </c>
      <c r="Y102" s="107" t="s">
        <v>181</v>
      </c>
      <c r="Z102" s="107" t="s">
        <v>176</v>
      </c>
    </row>
    <row r="103" spans="1:26" s="107" customFormat="1" ht="15" customHeight="1" x14ac:dyDescent="0.2">
      <c r="A103" s="101">
        <f t="shared" si="13"/>
        <v>101</v>
      </c>
      <c r="B103" s="77" t="s">
        <v>237</v>
      </c>
      <c r="C103" s="102" t="str">
        <f>IF($B103&lt;&gt;"",_xlfn.IFNA(VLOOKUP($B103,'Node Details'!$B:$U,C$1,0),"Check"),"")</f>
        <v>AXY030107-AXY030201</v>
      </c>
      <c r="D103" s="102" t="str">
        <f>IF($B103&lt;&gt;"",_xlfn.IFNA(VLOOKUP($B103,'Node Details'!$B:$U,D$1,0),"Check"),"")</f>
        <v>AXY</v>
      </c>
      <c r="E103" s="102" t="str">
        <f>IF($B103&lt;&gt;"",_xlfn.IFNA(VLOOKUP($B103,'Node Details'!$B:$U,E$1,0),"Check"),"")</f>
        <v>Airtel</v>
      </c>
      <c r="F103" s="103">
        <v>46113</v>
      </c>
      <c r="G103" s="105"/>
      <c r="H103" s="104" t="s">
        <v>182</v>
      </c>
      <c r="I103" s="9">
        <v>1</v>
      </c>
      <c r="J103" s="9">
        <v>600</v>
      </c>
      <c r="K103" s="102">
        <f t="shared" si="30"/>
        <v>600</v>
      </c>
      <c r="L103" s="80">
        <v>46112</v>
      </c>
      <c r="M103" s="105"/>
      <c r="N103" s="95" t="s">
        <v>372</v>
      </c>
      <c r="O103" s="96"/>
      <c r="P103" s="106">
        <f t="shared" si="25"/>
        <v>600</v>
      </c>
      <c r="Q103" s="106">
        <f t="shared" si="26"/>
        <v>600</v>
      </c>
      <c r="R103" s="106"/>
      <c r="S103" s="95" t="s">
        <v>185</v>
      </c>
      <c r="T103" s="96"/>
      <c r="U103" s="106">
        <f t="shared" si="27"/>
        <v>600</v>
      </c>
      <c r="V103" s="106">
        <f t="shared" si="28"/>
        <v>1</v>
      </c>
      <c r="W103" s="105">
        <f t="shared" si="29"/>
        <v>600</v>
      </c>
      <c r="X103" s="95" t="s">
        <v>186</v>
      </c>
      <c r="Y103" s="107" t="s">
        <v>181</v>
      </c>
      <c r="Z103" s="107" t="s">
        <v>176</v>
      </c>
    </row>
    <row r="104" spans="1:26" s="107" customFormat="1" ht="15" customHeight="1" x14ac:dyDescent="0.2">
      <c r="A104" s="101">
        <f t="shared" si="13"/>
        <v>102</v>
      </c>
      <c r="B104" s="77" t="s">
        <v>238</v>
      </c>
      <c r="C104" s="102" t="str">
        <f>IF($B104&lt;&gt;"",_xlfn.IFNA(VLOOKUP($B104,'Node Details'!$B:$U,C$1,0),"Check"),"")</f>
        <v>AXY030201-AXY030204</v>
      </c>
      <c r="D104" s="102" t="str">
        <f>IF($B104&lt;&gt;"",_xlfn.IFNA(VLOOKUP($B104,'Node Details'!$B:$U,D$1,0),"Check"),"")</f>
        <v>AXY</v>
      </c>
      <c r="E104" s="102" t="str">
        <f>IF($B104&lt;&gt;"",_xlfn.IFNA(VLOOKUP($B104,'Node Details'!$B:$U,E$1,0),"Check"),"")</f>
        <v>Airtel</v>
      </c>
      <c r="F104" s="103">
        <v>46113</v>
      </c>
      <c r="G104" s="105"/>
      <c r="H104" s="104" t="s">
        <v>182</v>
      </c>
      <c r="I104" s="9">
        <v>1</v>
      </c>
      <c r="J104" s="9">
        <v>600</v>
      </c>
      <c r="K104" s="102">
        <f t="shared" si="30"/>
        <v>600</v>
      </c>
      <c r="L104" s="80">
        <v>46112</v>
      </c>
      <c r="M104" s="105"/>
      <c r="N104" s="95" t="s">
        <v>372</v>
      </c>
      <c r="O104" s="96"/>
      <c r="P104" s="106">
        <f t="shared" si="25"/>
        <v>600</v>
      </c>
      <c r="Q104" s="106">
        <f t="shared" si="26"/>
        <v>600</v>
      </c>
      <c r="R104" s="106"/>
      <c r="S104" s="95" t="s">
        <v>185</v>
      </c>
      <c r="T104" s="96"/>
      <c r="U104" s="106">
        <f t="shared" si="27"/>
        <v>600</v>
      </c>
      <c r="V104" s="106">
        <f t="shared" si="28"/>
        <v>1</v>
      </c>
      <c r="W104" s="105">
        <f t="shared" si="29"/>
        <v>600</v>
      </c>
      <c r="X104" s="95" t="s">
        <v>186</v>
      </c>
      <c r="Y104" s="107" t="s">
        <v>181</v>
      </c>
      <c r="Z104" s="107" t="s">
        <v>176</v>
      </c>
    </row>
    <row r="105" spans="1:26" s="107" customFormat="1" ht="15" customHeight="1" x14ac:dyDescent="0.2">
      <c r="A105" s="101">
        <f t="shared" si="13"/>
        <v>103</v>
      </c>
      <c r="B105" s="77" t="s">
        <v>239</v>
      </c>
      <c r="C105" s="102" t="str">
        <f>IF($B105&lt;&gt;"",_xlfn.IFNA(VLOOKUP($B105,'Node Details'!$B:$U,C$1,0),"Check"),"")</f>
        <v>AXY030201-AXY030204</v>
      </c>
      <c r="D105" s="102" t="str">
        <f>IF($B105&lt;&gt;"",_xlfn.IFNA(VLOOKUP($B105,'Node Details'!$B:$U,D$1,0),"Check"),"")</f>
        <v>AXY</v>
      </c>
      <c r="E105" s="102" t="str">
        <f>IF($B105&lt;&gt;"",_xlfn.IFNA(VLOOKUP($B105,'Node Details'!$B:$U,E$1,0),"Check"),"")</f>
        <v>Airtel</v>
      </c>
      <c r="F105" s="103">
        <v>46113</v>
      </c>
      <c r="G105" s="105"/>
      <c r="H105" s="104" t="s">
        <v>182</v>
      </c>
      <c r="I105" s="9">
        <v>1</v>
      </c>
      <c r="J105" s="9">
        <v>600</v>
      </c>
      <c r="K105" s="102">
        <f t="shared" si="30"/>
        <v>600</v>
      </c>
      <c r="L105" s="80">
        <v>46112</v>
      </c>
      <c r="M105" s="105"/>
      <c r="N105" s="95" t="s">
        <v>372</v>
      </c>
      <c r="O105" s="96"/>
      <c r="P105" s="106">
        <f t="shared" si="25"/>
        <v>600</v>
      </c>
      <c r="Q105" s="106">
        <f t="shared" si="26"/>
        <v>600</v>
      </c>
      <c r="R105" s="106"/>
      <c r="S105" s="95" t="s">
        <v>185</v>
      </c>
      <c r="T105" s="96"/>
      <c r="U105" s="106">
        <f t="shared" si="27"/>
        <v>600</v>
      </c>
      <c r="V105" s="106">
        <f t="shared" si="28"/>
        <v>1</v>
      </c>
      <c r="W105" s="105">
        <f t="shared" si="29"/>
        <v>600</v>
      </c>
      <c r="X105" s="95" t="s">
        <v>186</v>
      </c>
      <c r="Y105" s="107" t="s">
        <v>181</v>
      </c>
      <c r="Z105" s="107" t="s">
        <v>176</v>
      </c>
    </row>
    <row r="106" spans="1:26" s="107" customFormat="1" ht="15" customHeight="1" x14ac:dyDescent="0.2">
      <c r="A106" s="101">
        <f t="shared" si="13"/>
        <v>104</v>
      </c>
      <c r="B106" s="77" t="s">
        <v>241</v>
      </c>
      <c r="C106" s="102" t="str">
        <f>IF($B106&lt;&gt;"",_xlfn.IFNA(VLOOKUP($B106,'Node Details'!$B:$U,C$1,0),"Check"),"")</f>
        <v>0000AXY04-AXY040101</v>
      </c>
      <c r="D106" s="102" t="str">
        <f>IF($B106&lt;&gt;"",_xlfn.IFNA(VLOOKUP($B106,'Node Details'!$B:$U,D$1,0),"Check"),"")</f>
        <v>AXY</v>
      </c>
      <c r="E106" s="102" t="str">
        <f>IF($B106&lt;&gt;"",_xlfn.IFNA(VLOOKUP($B106,'Node Details'!$B:$U,E$1,0),"Check"),"")</f>
        <v>Airtel</v>
      </c>
      <c r="F106" s="103">
        <v>46113</v>
      </c>
      <c r="G106" s="105"/>
      <c r="H106" s="104" t="s">
        <v>182</v>
      </c>
      <c r="I106" s="9">
        <v>1</v>
      </c>
      <c r="J106" s="9">
        <v>600</v>
      </c>
      <c r="K106" s="102">
        <f t="shared" si="30"/>
        <v>600</v>
      </c>
      <c r="L106" s="80">
        <v>46112</v>
      </c>
      <c r="M106" s="105"/>
      <c r="N106" s="95" t="s">
        <v>372</v>
      </c>
      <c r="O106" s="96"/>
      <c r="P106" s="106">
        <f t="shared" si="25"/>
        <v>600</v>
      </c>
      <c r="Q106" s="106">
        <f t="shared" si="26"/>
        <v>600</v>
      </c>
      <c r="R106" s="106"/>
      <c r="S106" s="95" t="s">
        <v>185</v>
      </c>
      <c r="T106" s="96"/>
      <c r="U106" s="106">
        <f t="shared" si="27"/>
        <v>600</v>
      </c>
      <c r="V106" s="106">
        <f t="shared" si="28"/>
        <v>1</v>
      </c>
      <c r="W106" s="105">
        <f t="shared" si="29"/>
        <v>600</v>
      </c>
      <c r="X106" s="95" t="s">
        <v>186</v>
      </c>
      <c r="Y106" s="107" t="s">
        <v>181</v>
      </c>
      <c r="Z106" s="107" t="s">
        <v>176</v>
      </c>
    </row>
    <row r="107" spans="1:26" s="107" customFormat="1" ht="15" customHeight="1" x14ac:dyDescent="0.2">
      <c r="A107" s="101">
        <f t="shared" si="13"/>
        <v>105</v>
      </c>
      <c r="B107" s="77" t="s">
        <v>242</v>
      </c>
      <c r="C107" s="102" t="str">
        <f>IF($B107&lt;&gt;"",_xlfn.IFNA(VLOOKUP($B107,'Node Details'!$B:$U,C$1,0),"Check"),"")</f>
        <v>0000AXY04-00AXY-FMS</v>
      </c>
      <c r="D107" s="102" t="str">
        <f>IF($B107&lt;&gt;"",_xlfn.IFNA(VLOOKUP($B107,'Node Details'!$B:$U,D$1,0),"Check"),"")</f>
        <v>AXY</v>
      </c>
      <c r="E107" s="102" t="str">
        <f>IF($B107&lt;&gt;"",_xlfn.IFNA(VLOOKUP($B107,'Node Details'!$B:$U,E$1,0),"Check"),"")</f>
        <v>Airtel</v>
      </c>
      <c r="F107" s="103">
        <v>46113</v>
      </c>
      <c r="G107" s="105"/>
      <c r="H107" s="104" t="s">
        <v>182</v>
      </c>
      <c r="I107" s="9">
        <v>1</v>
      </c>
      <c r="J107" s="9">
        <v>600</v>
      </c>
      <c r="K107" s="102">
        <f t="shared" si="30"/>
        <v>600</v>
      </c>
      <c r="L107" s="80">
        <v>46112</v>
      </c>
      <c r="M107" s="105"/>
      <c r="N107" s="95" t="s">
        <v>372</v>
      </c>
      <c r="O107" s="96"/>
      <c r="P107" s="106">
        <f t="shared" si="25"/>
        <v>600</v>
      </c>
      <c r="Q107" s="106">
        <f t="shared" si="26"/>
        <v>600</v>
      </c>
      <c r="R107" s="106"/>
      <c r="S107" s="95" t="s">
        <v>185</v>
      </c>
      <c r="T107" s="96"/>
      <c r="U107" s="106">
        <f t="shared" si="27"/>
        <v>600</v>
      </c>
      <c r="V107" s="106">
        <f t="shared" si="28"/>
        <v>1</v>
      </c>
      <c r="W107" s="105">
        <f t="shared" si="29"/>
        <v>600</v>
      </c>
      <c r="X107" s="95" t="s">
        <v>186</v>
      </c>
      <c r="Y107" s="107" t="s">
        <v>181</v>
      </c>
      <c r="Z107" s="107" t="s">
        <v>176</v>
      </c>
    </row>
    <row r="108" spans="1:26" s="107" customFormat="1" ht="15" customHeight="1" x14ac:dyDescent="0.2">
      <c r="A108" s="101">
        <f t="shared" si="13"/>
        <v>106</v>
      </c>
      <c r="B108" s="77" t="s">
        <v>243</v>
      </c>
      <c r="C108" s="102" t="str">
        <f>IF($B108&lt;&gt;"",_xlfn.IFNA(VLOOKUP($B108,'Node Details'!$B:$U,C$1,0),"Check"),"")</f>
        <v>00AXY-FMS-AXY040108</v>
      </c>
      <c r="D108" s="102" t="str">
        <f>IF($B108&lt;&gt;"",_xlfn.IFNA(VLOOKUP($B108,'Node Details'!$B:$U,D$1,0),"Check"),"")</f>
        <v>AXY</v>
      </c>
      <c r="E108" s="102" t="str">
        <f>IF($B108&lt;&gt;"",_xlfn.IFNA(VLOOKUP($B108,'Node Details'!$B:$U,E$1,0),"Check"),"")</f>
        <v>Airtel</v>
      </c>
      <c r="F108" s="103">
        <v>46113</v>
      </c>
      <c r="G108" s="105"/>
      <c r="H108" s="104" t="s">
        <v>182</v>
      </c>
      <c r="I108" s="9">
        <v>1</v>
      </c>
      <c r="J108" s="9">
        <v>600</v>
      </c>
      <c r="K108" s="102">
        <f t="shared" si="30"/>
        <v>600</v>
      </c>
      <c r="L108" s="80">
        <v>46112</v>
      </c>
      <c r="M108" s="105"/>
      <c r="N108" s="95" t="s">
        <v>372</v>
      </c>
      <c r="O108" s="96"/>
      <c r="P108" s="106">
        <f t="shared" si="25"/>
        <v>600</v>
      </c>
      <c r="Q108" s="106">
        <f t="shared" si="26"/>
        <v>600</v>
      </c>
      <c r="R108" s="106"/>
      <c r="S108" s="95" t="s">
        <v>185</v>
      </c>
      <c r="T108" s="96"/>
      <c r="U108" s="106">
        <f t="shared" si="27"/>
        <v>600</v>
      </c>
      <c r="V108" s="106">
        <f t="shared" si="28"/>
        <v>1</v>
      </c>
      <c r="W108" s="105">
        <f t="shared" si="29"/>
        <v>600</v>
      </c>
      <c r="X108" s="95" t="s">
        <v>186</v>
      </c>
      <c r="Y108" s="107" t="s">
        <v>181</v>
      </c>
      <c r="Z108" s="107" t="s">
        <v>176</v>
      </c>
    </row>
    <row r="109" spans="1:26" s="107" customFormat="1" ht="15" customHeight="1" x14ac:dyDescent="0.2">
      <c r="A109" s="101">
        <f t="shared" si="13"/>
        <v>107</v>
      </c>
      <c r="B109" s="77" t="s">
        <v>244</v>
      </c>
      <c r="C109" s="102" t="str">
        <f>IF($B109&lt;&gt;"",_xlfn.IFNA(VLOOKUP($B109,'Node Details'!$B:$U,C$1,0),"Check"),"")</f>
        <v>00AXY-FMS-AXY040108</v>
      </c>
      <c r="D109" s="102" t="str">
        <f>IF($B109&lt;&gt;"",_xlfn.IFNA(VLOOKUP($B109,'Node Details'!$B:$U,D$1,0),"Check"),"")</f>
        <v>AXY</v>
      </c>
      <c r="E109" s="102" t="str">
        <f>IF($B109&lt;&gt;"",_xlfn.IFNA(VLOOKUP($B109,'Node Details'!$B:$U,E$1,0),"Check"),"")</f>
        <v>Airtel</v>
      </c>
      <c r="F109" s="103">
        <v>46113</v>
      </c>
      <c r="G109" s="105"/>
      <c r="H109" s="104" t="s">
        <v>182</v>
      </c>
      <c r="I109" s="9">
        <v>1</v>
      </c>
      <c r="J109" s="9">
        <v>600</v>
      </c>
      <c r="K109" s="102">
        <f t="shared" si="30"/>
        <v>600</v>
      </c>
      <c r="L109" s="80">
        <v>46112</v>
      </c>
      <c r="M109" s="105"/>
      <c r="N109" s="95" t="s">
        <v>372</v>
      </c>
      <c r="O109" s="96"/>
      <c r="P109" s="106">
        <f t="shared" si="25"/>
        <v>600</v>
      </c>
      <c r="Q109" s="106">
        <f t="shared" si="26"/>
        <v>600</v>
      </c>
      <c r="R109" s="106"/>
      <c r="S109" s="95" t="s">
        <v>185</v>
      </c>
      <c r="T109" s="96"/>
      <c r="U109" s="106">
        <f t="shared" si="27"/>
        <v>600</v>
      </c>
      <c r="V109" s="106">
        <f t="shared" si="28"/>
        <v>1</v>
      </c>
      <c r="W109" s="105">
        <f t="shared" si="29"/>
        <v>600</v>
      </c>
      <c r="X109" s="95" t="s">
        <v>186</v>
      </c>
      <c r="Y109" s="107" t="s">
        <v>181</v>
      </c>
      <c r="Z109" s="107" t="s">
        <v>176</v>
      </c>
    </row>
    <row r="110" spans="1:26" s="107" customFormat="1" ht="15" customHeight="1" x14ac:dyDescent="0.2">
      <c r="A110" s="101">
        <f t="shared" si="13"/>
        <v>108</v>
      </c>
      <c r="B110" s="77" t="s">
        <v>245</v>
      </c>
      <c r="C110" s="102" t="str">
        <f>IF($B110&lt;&gt;"",_xlfn.IFNA(VLOOKUP($B110,'Node Details'!$B:$U,C$1,0),"Check"),"")</f>
        <v>00AXY-FMS-AXY040108</v>
      </c>
      <c r="D110" s="102" t="str">
        <f>IF($B110&lt;&gt;"",_xlfn.IFNA(VLOOKUP($B110,'Node Details'!$B:$U,D$1,0),"Check"),"")</f>
        <v>AXY</v>
      </c>
      <c r="E110" s="102" t="str">
        <f>IF($B110&lt;&gt;"",_xlfn.IFNA(VLOOKUP($B110,'Node Details'!$B:$U,E$1,0),"Check"),"")</f>
        <v>Airtel</v>
      </c>
      <c r="F110" s="103">
        <v>46113</v>
      </c>
      <c r="G110" s="105"/>
      <c r="H110" s="104" t="s">
        <v>182</v>
      </c>
      <c r="I110" s="9">
        <v>1</v>
      </c>
      <c r="J110" s="9">
        <v>600</v>
      </c>
      <c r="K110" s="102">
        <f t="shared" si="30"/>
        <v>600</v>
      </c>
      <c r="L110" s="80">
        <v>46112</v>
      </c>
      <c r="M110" s="105"/>
      <c r="N110" s="95" t="s">
        <v>372</v>
      </c>
      <c r="O110" s="96"/>
      <c r="P110" s="106">
        <f t="shared" si="25"/>
        <v>600</v>
      </c>
      <c r="Q110" s="106">
        <f t="shared" si="26"/>
        <v>600</v>
      </c>
      <c r="R110" s="106"/>
      <c r="S110" s="95" t="s">
        <v>185</v>
      </c>
      <c r="T110" s="96"/>
      <c r="U110" s="106">
        <f t="shared" si="27"/>
        <v>600</v>
      </c>
      <c r="V110" s="106">
        <f t="shared" si="28"/>
        <v>1</v>
      </c>
      <c r="W110" s="105">
        <f t="shared" si="29"/>
        <v>600</v>
      </c>
      <c r="X110" s="95" t="s">
        <v>186</v>
      </c>
      <c r="Y110" s="107" t="s">
        <v>181</v>
      </c>
      <c r="Z110" s="107" t="s">
        <v>176</v>
      </c>
    </row>
    <row r="111" spans="1:26" s="107" customFormat="1" ht="15" customHeight="1" x14ac:dyDescent="0.2">
      <c r="A111" s="101">
        <f t="shared" si="13"/>
        <v>109</v>
      </c>
      <c r="B111" s="77" t="s">
        <v>246</v>
      </c>
      <c r="C111" s="102" t="str">
        <f>IF($B111&lt;&gt;"",_xlfn.IFNA(VLOOKUP($B111,'Node Details'!$B:$U,C$1,0),"Check"),"")</f>
        <v>00AXY-FMS-AXY040108</v>
      </c>
      <c r="D111" s="102" t="str">
        <f>IF($B111&lt;&gt;"",_xlfn.IFNA(VLOOKUP($B111,'Node Details'!$B:$U,D$1,0),"Check"),"")</f>
        <v>AXY</v>
      </c>
      <c r="E111" s="102" t="str">
        <f>IF($B111&lt;&gt;"",_xlfn.IFNA(VLOOKUP($B111,'Node Details'!$B:$U,E$1,0),"Check"),"")</f>
        <v>Airtel</v>
      </c>
      <c r="F111" s="103">
        <v>46113</v>
      </c>
      <c r="G111" s="105"/>
      <c r="H111" s="104" t="s">
        <v>182</v>
      </c>
      <c r="I111" s="9">
        <v>1</v>
      </c>
      <c r="J111" s="9">
        <v>600</v>
      </c>
      <c r="K111" s="102">
        <f t="shared" si="30"/>
        <v>600</v>
      </c>
      <c r="L111" s="80">
        <v>46112</v>
      </c>
      <c r="M111" s="105"/>
      <c r="N111" s="95" t="s">
        <v>372</v>
      </c>
      <c r="O111" s="96"/>
      <c r="P111" s="106">
        <f t="shared" si="25"/>
        <v>600</v>
      </c>
      <c r="Q111" s="106">
        <f t="shared" si="26"/>
        <v>600</v>
      </c>
      <c r="R111" s="106"/>
      <c r="S111" s="95" t="s">
        <v>185</v>
      </c>
      <c r="T111" s="96"/>
      <c r="U111" s="106">
        <f t="shared" si="27"/>
        <v>600</v>
      </c>
      <c r="V111" s="106">
        <f t="shared" si="28"/>
        <v>1</v>
      </c>
      <c r="W111" s="105">
        <f t="shared" si="29"/>
        <v>600</v>
      </c>
      <c r="X111" s="95" t="s">
        <v>186</v>
      </c>
      <c r="Y111" s="107" t="s">
        <v>181</v>
      </c>
      <c r="Z111" s="107" t="s">
        <v>176</v>
      </c>
    </row>
    <row r="112" spans="1:26" s="107" customFormat="1" ht="15" customHeight="1" x14ac:dyDescent="0.2">
      <c r="A112" s="101">
        <f t="shared" si="13"/>
        <v>110</v>
      </c>
      <c r="B112" s="77" t="s">
        <v>247</v>
      </c>
      <c r="C112" s="102" t="str">
        <f>IF($B112&lt;&gt;"",_xlfn.IFNA(VLOOKUP($B112,'Node Details'!$B:$U,C$1,0),"Check"),"")</f>
        <v>0000AXY04-AXY040201</v>
      </c>
      <c r="D112" s="102" t="str">
        <f>IF($B112&lt;&gt;"",_xlfn.IFNA(VLOOKUP($B112,'Node Details'!$B:$U,D$1,0),"Check"),"")</f>
        <v>AXY</v>
      </c>
      <c r="E112" s="102" t="str">
        <f>IF($B112&lt;&gt;"",_xlfn.IFNA(VLOOKUP($B112,'Node Details'!$B:$U,E$1,0),"Check"),"")</f>
        <v>Airtel</v>
      </c>
      <c r="F112" s="103">
        <v>46113</v>
      </c>
      <c r="G112" s="105"/>
      <c r="H112" s="104" t="s">
        <v>182</v>
      </c>
      <c r="I112" s="9">
        <v>1</v>
      </c>
      <c r="J112" s="9">
        <v>600</v>
      </c>
      <c r="K112" s="102">
        <f t="shared" si="30"/>
        <v>600</v>
      </c>
      <c r="L112" s="80">
        <v>46112</v>
      </c>
      <c r="M112" s="105"/>
      <c r="N112" s="95" t="s">
        <v>372</v>
      </c>
      <c r="O112" s="96"/>
      <c r="P112" s="106">
        <f t="shared" si="25"/>
        <v>600</v>
      </c>
      <c r="Q112" s="106">
        <f t="shared" si="26"/>
        <v>600</v>
      </c>
      <c r="R112" s="106"/>
      <c r="S112" s="95" t="s">
        <v>185</v>
      </c>
      <c r="T112" s="96"/>
      <c r="U112" s="106">
        <f t="shared" si="27"/>
        <v>600</v>
      </c>
      <c r="V112" s="106">
        <f t="shared" si="28"/>
        <v>1</v>
      </c>
      <c r="W112" s="105">
        <f t="shared" si="29"/>
        <v>600</v>
      </c>
      <c r="X112" s="95" t="s">
        <v>186</v>
      </c>
      <c r="Y112" s="107" t="s">
        <v>181</v>
      </c>
      <c r="Z112" s="107" t="s">
        <v>176</v>
      </c>
    </row>
    <row r="113" spans="1:26" s="107" customFormat="1" ht="15" customHeight="1" x14ac:dyDescent="0.2">
      <c r="A113" s="101">
        <f t="shared" si="13"/>
        <v>111</v>
      </c>
      <c r="B113" s="77" t="s">
        <v>248</v>
      </c>
      <c r="C113" s="102" t="str">
        <f>IF($B113&lt;&gt;"",_xlfn.IFNA(VLOOKUP($B113,'Node Details'!$B:$U,C$1,0),"Check"),"")</f>
        <v>AXY040201-AXY040204</v>
      </c>
      <c r="D113" s="102" t="str">
        <f>IF($B113&lt;&gt;"",_xlfn.IFNA(VLOOKUP($B113,'Node Details'!$B:$U,D$1,0),"Check"),"")</f>
        <v>AXY</v>
      </c>
      <c r="E113" s="102" t="str">
        <f>IF($B113&lt;&gt;"",_xlfn.IFNA(VLOOKUP($B113,'Node Details'!$B:$U,E$1,0),"Check"),"")</f>
        <v>Airtel</v>
      </c>
      <c r="F113" s="103">
        <v>46113</v>
      </c>
      <c r="G113" s="105"/>
      <c r="H113" s="104" t="s">
        <v>182</v>
      </c>
      <c r="I113" s="9">
        <v>1</v>
      </c>
      <c r="J113" s="9">
        <v>600</v>
      </c>
      <c r="K113" s="102">
        <f t="shared" si="30"/>
        <v>600</v>
      </c>
      <c r="L113" s="80">
        <v>46112</v>
      </c>
      <c r="M113" s="105"/>
      <c r="N113" s="95" t="s">
        <v>372</v>
      </c>
      <c r="O113" s="96"/>
      <c r="P113" s="106">
        <f t="shared" si="25"/>
        <v>600</v>
      </c>
      <c r="Q113" s="106">
        <f t="shared" si="26"/>
        <v>600</v>
      </c>
      <c r="R113" s="106"/>
      <c r="S113" s="95" t="s">
        <v>185</v>
      </c>
      <c r="T113" s="96"/>
      <c r="U113" s="106">
        <f t="shared" si="27"/>
        <v>600</v>
      </c>
      <c r="V113" s="106">
        <f t="shared" si="28"/>
        <v>1</v>
      </c>
      <c r="W113" s="105">
        <f t="shared" si="29"/>
        <v>600</v>
      </c>
      <c r="X113" s="95" t="s">
        <v>186</v>
      </c>
      <c r="Y113" s="107" t="s">
        <v>181</v>
      </c>
      <c r="Z113" s="107" t="s">
        <v>176</v>
      </c>
    </row>
    <row r="114" spans="1:26" s="107" customFormat="1" ht="15" customHeight="1" x14ac:dyDescent="0.2">
      <c r="A114" s="101">
        <f t="shared" si="13"/>
        <v>112</v>
      </c>
      <c r="B114" s="77" t="s">
        <v>249</v>
      </c>
      <c r="C114" s="102" t="str">
        <f>IF($B114&lt;&gt;"",_xlfn.IFNA(VLOOKUP($B114,'Node Details'!$B:$U,C$1,0),"Check"),"")</f>
        <v>AXY040201-AXY040204</v>
      </c>
      <c r="D114" s="102" t="str">
        <f>IF($B114&lt;&gt;"",_xlfn.IFNA(VLOOKUP($B114,'Node Details'!$B:$U,D$1,0),"Check"),"")</f>
        <v>AXY</v>
      </c>
      <c r="E114" s="102" t="str">
        <f>IF($B114&lt;&gt;"",_xlfn.IFNA(VLOOKUP($B114,'Node Details'!$B:$U,E$1,0),"Check"),"")</f>
        <v>Airtel</v>
      </c>
      <c r="F114" s="103">
        <v>46113</v>
      </c>
      <c r="G114" s="105"/>
      <c r="H114" s="104" t="s">
        <v>182</v>
      </c>
      <c r="I114" s="9">
        <v>1</v>
      </c>
      <c r="J114" s="9">
        <v>600</v>
      </c>
      <c r="K114" s="102">
        <f t="shared" si="30"/>
        <v>600</v>
      </c>
      <c r="L114" s="80">
        <v>46112</v>
      </c>
      <c r="M114" s="105"/>
      <c r="N114" s="95" t="s">
        <v>372</v>
      </c>
      <c r="O114" s="96"/>
      <c r="P114" s="106">
        <f t="shared" si="25"/>
        <v>600</v>
      </c>
      <c r="Q114" s="106">
        <f t="shared" si="26"/>
        <v>600</v>
      </c>
      <c r="R114" s="106"/>
      <c r="S114" s="95" t="s">
        <v>185</v>
      </c>
      <c r="T114" s="96"/>
      <c r="U114" s="106">
        <f t="shared" si="27"/>
        <v>600</v>
      </c>
      <c r="V114" s="106">
        <f t="shared" si="28"/>
        <v>1</v>
      </c>
      <c r="W114" s="105">
        <f t="shared" si="29"/>
        <v>600</v>
      </c>
      <c r="X114" s="95" t="s">
        <v>186</v>
      </c>
      <c r="Y114" s="107" t="s">
        <v>181</v>
      </c>
      <c r="Z114" s="107" t="s">
        <v>176</v>
      </c>
    </row>
    <row r="115" spans="1:26" s="107" customFormat="1" ht="15" customHeight="1" x14ac:dyDescent="0.2">
      <c r="A115" s="101">
        <f t="shared" si="13"/>
        <v>113</v>
      </c>
      <c r="B115" s="77" t="s">
        <v>250</v>
      </c>
      <c r="C115" s="102" t="str">
        <f>IF($B115&lt;&gt;"",_xlfn.IFNA(VLOOKUP($B115,'Node Details'!$B:$U,C$1,0),"Check"),"")</f>
        <v>AXY040201-AXY040204</v>
      </c>
      <c r="D115" s="102" t="str">
        <f>IF($B115&lt;&gt;"",_xlfn.IFNA(VLOOKUP($B115,'Node Details'!$B:$U,D$1,0),"Check"),"")</f>
        <v>AXY</v>
      </c>
      <c r="E115" s="102" t="str">
        <f>IF($B115&lt;&gt;"",_xlfn.IFNA(VLOOKUP($B115,'Node Details'!$B:$U,E$1,0),"Check"),"")</f>
        <v>Airtel</v>
      </c>
      <c r="F115" s="103">
        <v>46113</v>
      </c>
      <c r="G115" s="105"/>
      <c r="H115" s="104" t="s">
        <v>182</v>
      </c>
      <c r="I115" s="9">
        <v>1</v>
      </c>
      <c r="J115" s="9">
        <v>600</v>
      </c>
      <c r="K115" s="102">
        <f t="shared" si="30"/>
        <v>600</v>
      </c>
      <c r="L115" s="80">
        <v>46112</v>
      </c>
      <c r="M115" s="105"/>
      <c r="N115" s="95" t="s">
        <v>372</v>
      </c>
      <c r="O115" s="96"/>
      <c r="P115" s="106">
        <f t="shared" si="25"/>
        <v>600</v>
      </c>
      <c r="Q115" s="106">
        <f t="shared" si="26"/>
        <v>600</v>
      </c>
      <c r="R115" s="106"/>
      <c r="S115" s="95" t="s">
        <v>185</v>
      </c>
      <c r="T115" s="96"/>
      <c r="U115" s="106">
        <f t="shared" si="27"/>
        <v>600</v>
      </c>
      <c r="V115" s="106">
        <f t="shared" si="28"/>
        <v>1</v>
      </c>
      <c r="W115" s="105">
        <f t="shared" si="29"/>
        <v>600</v>
      </c>
      <c r="X115" s="95" t="s">
        <v>186</v>
      </c>
      <c r="Y115" s="107" t="s">
        <v>181</v>
      </c>
      <c r="Z115" s="107" t="s">
        <v>176</v>
      </c>
    </row>
    <row r="116" spans="1:26" s="107" customFormat="1" ht="15" customHeight="1" x14ac:dyDescent="0.2">
      <c r="A116" s="101">
        <f t="shared" si="13"/>
        <v>114</v>
      </c>
      <c r="B116" s="77" t="s">
        <v>252</v>
      </c>
      <c r="C116" s="102" t="str">
        <f>IF($B116&lt;&gt;"",_xlfn.IFNA(VLOOKUP($B116,'Node Details'!$B:$U,C$1,0),"Check"),"")</f>
        <v>0000AXY05-AXY050101</v>
      </c>
      <c r="D116" s="102" t="str">
        <f>IF($B116&lt;&gt;"",_xlfn.IFNA(VLOOKUP($B116,'Node Details'!$B:$U,D$1,0),"Check"),"")</f>
        <v>AXY</v>
      </c>
      <c r="E116" s="102" t="str">
        <f>IF($B116&lt;&gt;"",_xlfn.IFNA(VLOOKUP($B116,'Node Details'!$B:$U,E$1,0),"Check"),"")</f>
        <v>Airtel</v>
      </c>
      <c r="F116" s="103">
        <v>46113</v>
      </c>
      <c r="G116" s="105"/>
      <c r="H116" s="104" t="s">
        <v>182</v>
      </c>
      <c r="I116" s="9">
        <v>1</v>
      </c>
      <c r="J116" s="9">
        <v>600</v>
      </c>
      <c r="K116" s="102">
        <f t="shared" si="30"/>
        <v>600</v>
      </c>
      <c r="L116" s="80">
        <v>46112</v>
      </c>
      <c r="M116" s="105"/>
      <c r="N116" s="95" t="s">
        <v>372</v>
      </c>
      <c r="O116" s="96"/>
      <c r="P116" s="106">
        <f t="shared" si="25"/>
        <v>600</v>
      </c>
      <c r="Q116" s="106">
        <f t="shared" si="26"/>
        <v>600</v>
      </c>
      <c r="R116" s="106"/>
      <c r="S116" s="95" t="s">
        <v>185</v>
      </c>
      <c r="T116" s="96"/>
      <c r="U116" s="106">
        <f t="shared" si="27"/>
        <v>600</v>
      </c>
      <c r="V116" s="106">
        <f t="shared" si="28"/>
        <v>1</v>
      </c>
      <c r="W116" s="105">
        <f t="shared" si="29"/>
        <v>600</v>
      </c>
      <c r="X116" s="95" t="s">
        <v>186</v>
      </c>
      <c r="Y116" s="107" t="s">
        <v>181</v>
      </c>
      <c r="Z116" s="107" t="s">
        <v>176</v>
      </c>
    </row>
    <row r="117" spans="1:26" s="107" customFormat="1" ht="15" customHeight="1" x14ac:dyDescent="0.2">
      <c r="A117" s="101">
        <f t="shared" si="13"/>
        <v>115</v>
      </c>
      <c r="B117" s="77" t="s">
        <v>253</v>
      </c>
      <c r="C117" s="102" t="str">
        <f>IF($B117&lt;&gt;"",_xlfn.IFNA(VLOOKUP($B117,'Node Details'!$B:$U,C$1,0),"Check"),"")</f>
        <v>0000AXY5 -AXY050104</v>
      </c>
      <c r="D117" s="102" t="str">
        <f>IF($B117&lt;&gt;"",_xlfn.IFNA(VLOOKUP($B117,'Node Details'!$B:$U,D$1,0),"Check"),"")</f>
        <v>AXY</v>
      </c>
      <c r="E117" s="102" t="str">
        <f>IF($B117&lt;&gt;"",_xlfn.IFNA(VLOOKUP($B117,'Node Details'!$B:$U,E$1,0),"Check"),"")</f>
        <v>Airtel</v>
      </c>
      <c r="F117" s="103">
        <v>46113</v>
      </c>
      <c r="G117" s="105"/>
      <c r="H117" s="104" t="s">
        <v>182</v>
      </c>
      <c r="I117" s="9">
        <v>1</v>
      </c>
      <c r="J117" s="9">
        <v>600</v>
      </c>
      <c r="K117" s="102">
        <f t="shared" si="30"/>
        <v>600</v>
      </c>
      <c r="L117" s="80">
        <v>46112</v>
      </c>
      <c r="M117" s="105"/>
      <c r="N117" s="95" t="s">
        <v>372</v>
      </c>
      <c r="O117" s="96"/>
      <c r="P117" s="106">
        <f t="shared" si="25"/>
        <v>600</v>
      </c>
      <c r="Q117" s="106">
        <f t="shared" si="26"/>
        <v>600</v>
      </c>
      <c r="R117" s="106"/>
      <c r="S117" s="95" t="s">
        <v>185</v>
      </c>
      <c r="T117" s="96"/>
      <c r="U117" s="106">
        <f t="shared" si="27"/>
        <v>600</v>
      </c>
      <c r="V117" s="106">
        <f t="shared" si="28"/>
        <v>1</v>
      </c>
      <c r="W117" s="105">
        <f t="shared" si="29"/>
        <v>600</v>
      </c>
      <c r="X117" s="95" t="s">
        <v>186</v>
      </c>
      <c r="Y117" s="107" t="s">
        <v>181</v>
      </c>
      <c r="Z117" s="107" t="s">
        <v>176</v>
      </c>
    </row>
    <row r="118" spans="1:26" s="107" customFormat="1" ht="15" customHeight="1" x14ac:dyDescent="0.2">
      <c r="A118" s="101">
        <f t="shared" si="13"/>
        <v>116</v>
      </c>
      <c r="B118" s="77" t="s">
        <v>254</v>
      </c>
      <c r="C118" s="102" t="str">
        <f>IF($B118&lt;&gt;"",_xlfn.IFNA(VLOOKUP($B118,'Node Details'!$B:$U,C$1,0),"Check"),"")</f>
        <v>0000AXY5 -AXY050104</v>
      </c>
      <c r="D118" s="102" t="str">
        <f>IF($B118&lt;&gt;"",_xlfn.IFNA(VLOOKUP($B118,'Node Details'!$B:$U,D$1,0),"Check"),"")</f>
        <v>AXY</v>
      </c>
      <c r="E118" s="102" t="str">
        <f>IF($B118&lt;&gt;"",_xlfn.IFNA(VLOOKUP($B118,'Node Details'!$B:$U,E$1,0),"Check"),"")</f>
        <v>Airtel</v>
      </c>
      <c r="F118" s="103">
        <v>46113</v>
      </c>
      <c r="G118" s="105"/>
      <c r="H118" s="104" t="s">
        <v>182</v>
      </c>
      <c r="I118" s="9">
        <v>1</v>
      </c>
      <c r="J118" s="9">
        <v>600</v>
      </c>
      <c r="K118" s="102">
        <f t="shared" si="30"/>
        <v>600</v>
      </c>
      <c r="L118" s="80">
        <v>46112</v>
      </c>
      <c r="M118" s="105"/>
      <c r="N118" s="95" t="s">
        <v>372</v>
      </c>
      <c r="O118" s="96"/>
      <c r="P118" s="106">
        <f t="shared" si="25"/>
        <v>600</v>
      </c>
      <c r="Q118" s="106">
        <f t="shared" si="26"/>
        <v>600</v>
      </c>
      <c r="R118" s="106"/>
      <c r="S118" s="95" t="s">
        <v>185</v>
      </c>
      <c r="T118" s="96"/>
      <c r="U118" s="106">
        <f t="shared" si="27"/>
        <v>600</v>
      </c>
      <c r="V118" s="106">
        <f t="shared" si="28"/>
        <v>1</v>
      </c>
      <c r="W118" s="105">
        <f t="shared" si="29"/>
        <v>600</v>
      </c>
      <c r="X118" s="95" t="s">
        <v>186</v>
      </c>
      <c r="Y118" s="107" t="s">
        <v>181</v>
      </c>
      <c r="Z118" s="107" t="s">
        <v>176</v>
      </c>
    </row>
    <row r="119" spans="1:26" s="107" customFormat="1" ht="15" customHeight="1" x14ac:dyDescent="0.2">
      <c r="A119" s="101">
        <f t="shared" si="13"/>
        <v>117</v>
      </c>
      <c r="B119" s="77" t="s">
        <v>255</v>
      </c>
      <c r="C119" s="102" t="str">
        <f>IF($B119&lt;&gt;"",_xlfn.IFNA(VLOOKUP($B119,'Node Details'!$B:$U,C$1,0),"Check"),"")</f>
        <v>0000AXY5 -AXY050104</v>
      </c>
      <c r="D119" s="102" t="str">
        <f>IF($B119&lt;&gt;"",_xlfn.IFNA(VLOOKUP($B119,'Node Details'!$B:$U,D$1,0),"Check"),"")</f>
        <v>AXY</v>
      </c>
      <c r="E119" s="102" t="str">
        <f>IF($B119&lt;&gt;"",_xlfn.IFNA(VLOOKUP($B119,'Node Details'!$B:$U,E$1,0),"Check"),"")</f>
        <v>Airtel</v>
      </c>
      <c r="F119" s="103">
        <v>46113</v>
      </c>
      <c r="G119" s="105"/>
      <c r="H119" s="104" t="s">
        <v>182</v>
      </c>
      <c r="I119" s="9">
        <v>1</v>
      </c>
      <c r="J119" s="9">
        <v>600</v>
      </c>
      <c r="K119" s="102">
        <f t="shared" si="30"/>
        <v>600</v>
      </c>
      <c r="L119" s="80">
        <v>46112</v>
      </c>
      <c r="M119" s="105"/>
      <c r="N119" s="95" t="s">
        <v>372</v>
      </c>
      <c r="O119" s="96"/>
      <c r="P119" s="106">
        <f t="shared" si="25"/>
        <v>600</v>
      </c>
      <c r="Q119" s="106">
        <f t="shared" si="26"/>
        <v>600</v>
      </c>
      <c r="R119" s="106"/>
      <c r="S119" s="95" t="s">
        <v>185</v>
      </c>
      <c r="T119" s="96"/>
      <c r="U119" s="106">
        <f t="shared" si="27"/>
        <v>600</v>
      </c>
      <c r="V119" s="106">
        <f t="shared" si="28"/>
        <v>1</v>
      </c>
      <c r="W119" s="105">
        <f t="shared" si="29"/>
        <v>600</v>
      </c>
      <c r="X119" s="95" t="s">
        <v>186</v>
      </c>
      <c r="Y119" s="107" t="s">
        <v>181</v>
      </c>
      <c r="Z119" s="107" t="s">
        <v>176</v>
      </c>
    </row>
    <row r="120" spans="1:26" s="107" customFormat="1" ht="15" customHeight="1" x14ac:dyDescent="0.2">
      <c r="A120" s="101">
        <f t="shared" si="13"/>
        <v>118</v>
      </c>
      <c r="B120" s="77" t="s">
        <v>256</v>
      </c>
      <c r="C120" s="102" t="str">
        <f>IF($B120&lt;&gt;"",_xlfn.IFNA(VLOOKUP($B120,'Node Details'!$B:$U,C$1,0),"Check"),"")</f>
        <v>0000AXY05-AXY050107</v>
      </c>
      <c r="D120" s="102" t="str">
        <f>IF($B120&lt;&gt;"",_xlfn.IFNA(VLOOKUP($B120,'Node Details'!$B:$U,D$1,0),"Check"),"")</f>
        <v>AXY</v>
      </c>
      <c r="E120" s="102" t="str">
        <f>IF($B120&lt;&gt;"",_xlfn.IFNA(VLOOKUP($B120,'Node Details'!$B:$U,E$1,0),"Check"),"")</f>
        <v>Airtel</v>
      </c>
      <c r="F120" s="103">
        <v>46113</v>
      </c>
      <c r="G120" s="105"/>
      <c r="H120" s="104" t="s">
        <v>182</v>
      </c>
      <c r="I120" s="9">
        <v>1</v>
      </c>
      <c r="J120" s="9">
        <v>600</v>
      </c>
      <c r="K120" s="102">
        <f t="shared" si="30"/>
        <v>600</v>
      </c>
      <c r="L120" s="80">
        <v>46112</v>
      </c>
      <c r="M120" s="105"/>
      <c r="N120" s="95" t="s">
        <v>372</v>
      </c>
      <c r="O120" s="96"/>
      <c r="P120" s="106">
        <f t="shared" si="25"/>
        <v>600</v>
      </c>
      <c r="Q120" s="106">
        <f t="shared" si="26"/>
        <v>600</v>
      </c>
      <c r="R120" s="106"/>
      <c r="S120" s="95" t="s">
        <v>185</v>
      </c>
      <c r="T120" s="96"/>
      <c r="U120" s="106">
        <f t="shared" si="27"/>
        <v>600</v>
      </c>
      <c r="V120" s="106">
        <f t="shared" si="28"/>
        <v>1</v>
      </c>
      <c r="W120" s="105">
        <f t="shared" si="29"/>
        <v>600</v>
      </c>
      <c r="X120" s="95" t="s">
        <v>186</v>
      </c>
      <c r="Y120" s="107" t="s">
        <v>181</v>
      </c>
      <c r="Z120" s="107" t="s">
        <v>176</v>
      </c>
    </row>
    <row r="121" spans="1:26" s="107" customFormat="1" ht="15" customHeight="1" x14ac:dyDescent="0.2">
      <c r="A121" s="101">
        <f t="shared" si="13"/>
        <v>119</v>
      </c>
      <c r="B121" s="77" t="s">
        <v>257</v>
      </c>
      <c r="C121" s="102" t="str">
        <f>IF($B121&lt;&gt;"",_xlfn.IFNA(VLOOKUP($B121,'Node Details'!$B:$U,C$1,0),"Check"),"")</f>
        <v>0000AXY05-AXY050107</v>
      </c>
      <c r="D121" s="102" t="str">
        <f>IF($B121&lt;&gt;"",_xlfn.IFNA(VLOOKUP($B121,'Node Details'!$B:$U,D$1,0),"Check"),"")</f>
        <v>AXY</v>
      </c>
      <c r="E121" s="102" t="str">
        <f>IF($B121&lt;&gt;"",_xlfn.IFNA(VLOOKUP($B121,'Node Details'!$B:$U,E$1,0),"Check"),"")</f>
        <v>Airtel</v>
      </c>
      <c r="F121" s="103">
        <v>46113</v>
      </c>
      <c r="G121" s="105"/>
      <c r="H121" s="104" t="s">
        <v>182</v>
      </c>
      <c r="I121" s="9">
        <v>1</v>
      </c>
      <c r="J121" s="9">
        <v>600</v>
      </c>
      <c r="K121" s="102">
        <f t="shared" si="30"/>
        <v>600</v>
      </c>
      <c r="L121" s="80">
        <v>46112</v>
      </c>
      <c r="M121" s="105"/>
      <c r="N121" s="95" t="s">
        <v>372</v>
      </c>
      <c r="O121" s="96"/>
      <c r="P121" s="106">
        <f t="shared" si="25"/>
        <v>600</v>
      </c>
      <c r="Q121" s="106">
        <f t="shared" si="26"/>
        <v>600</v>
      </c>
      <c r="R121" s="106"/>
      <c r="S121" s="95" t="s">
        <v>185</v>
      </c>
      <c r="T121" s="96"/>
      <c r="U121" s="106">
        <f t="shared" si="27"/>
        <v>600</v>
      </c>
      <c r="V121" s="106">
        <f t="shared" si="28"/>
        <v>1</v>
      </c>
      <c r="W121" s="105">
        <f t="shared" si="29"/>
        <v>600</v>
      </c>
      <c r="X121" s="95" t="s">
        <v>186</v>
      </c>
      <c r="Y121" s="107" t="s">
        <v>181</v>
      </c>
      <c r="Z121" s="107" t="s">
        <v>176</v>
      </c>
    </row>
    <row r="122" spans="1:26" s="107" customFormat="1" ht="15" customHeight="1" x14ac:dyDescent="0.2">
      <c r="A122" s="101">
        <f t="shared" si="13"/>
        <v>120</v>
      </c>
      <c r="B122" s="77" t="s">
        <v>258</v>
      </c>
      <c r="C122" s="102" t="str">
        <f>IF($B122&lt;&gt;"",_xlfn.IFNA(VLOOKUP($B122,'Node Details'!$B:$U,C$1,0),"Check"),"")</f>
        <v>0000AXY05-AXY050107</v>
      </c>
      <c r="D122" s="102" t="str">
        <f>IF($B122&lt;&gt;"",_xlfn.IFNA(VLOOKUP($B122,'Node Details'!$B:$U,D$1,0),"Check"),"")</f>
        <v>AXY</v>
      </c>
      <c r="E122" s="102" t="str">
        <f>IF($B122&lt;&gt;"",_xlfn.IFNA(VLOOKUP($B122,'Node Details'!$B:$U,E$1,0),"Check"),"")</f>
        <v>Airtel</v>
      </c>
      <c r="F122" s="103">
        <v>46113</v>
      </c>
      <c r="G122" s="105"/>
      <c r="H122" s="104" t="s">
        <v>182</v>
      </c>
      <c r="I122" s="9">
        <v>1</v>
      </c>
      <c r="J122" s="9">
        <v>600</v>
      </c>
      <c r="K122" s="102">
        <f t="shared" si="30"/>
        <v>600</v>
      </c>
      <c r="L122" s="80">
        <v>46112</v>
      </c>
      <c r="M122" s="105"/>
      <c r="N122" s="95" t="s">
        <v>372</v>
      </c>
      <c r="O122" s="96"/>
      <c r="P122" s="106">
        <f t="shared" si="25"/>
        <v>600</v>
      </c>
      <c r="Q122" s="106">
        <f t="shared" si="26"/>
        <v>600</v>
      </c>
      <c r="R122" s="106"/>
      <c r="S122" s="95" t="s">
        <v>185</v>
      </c>
      <c r="T122" s="96"/>
      <c r="U122" s="106">
        <f t="shared" si="27"/>
        <v>600</v>
      </c>
      <c r="V122" s="106">
        <f t="shared" si="28"/>
        <v>1</v>
      </c>
      <c r="W122" s="105">
        <f t="shared" si="29"/>
        <v>600</v>
      </c>
      <c r="X122" s="95" t="s">
        <v>186</v>
      </c>
      <c r="Y122" s="107" t="s">
        <v>181</v>
      </c>
      <c r="Z122" s="107" t="s">
        <v>176</v>
      </c>
    </row>
    <row r="123" spans="1:26" s="107" customFormat="1" ht="15" customHeight="1" x14ac:dyDescent="0.2">
      <c r="A123" s="101">
        <f t="shared" si="13"/>
        <v>121</v>
      </c>
      <c r="B123" s="77" t="s">
        <v>259</v>
      </c>
      <c r="C123" s="102" t="str">
        <f>IF($B123&lt;&gt;"",_xlfn.IFNA(VLOOKUP($B123,'Node Details'!$B:$U,C$1,0),"Check"),"")</f>
        <v>AXY050105-AXY050202</v>
      </c>
      <c r="D123" s="102" t="str">
        <f>IF($B123&lt;&gt;"",_xlfn.IFNA(VLOOKUP($B123,'Node Details'!$B:$U,D$1,0),"Check"),"")</f>
        <v>AXY</v>
      </c>
      <c r="E123" s="102" t="str">
        <f>IF($B123&lt;&gt;"",_xlfn.IFNA(VLOOKUP($B123,'Node Details'!$B:$U,E$1,0),"Check"),"")</f>
        <v>Airtel</v>
      </c>
      <c r="F123" s="103">
        <v>46113</v>
      </c>
      <c r="G123" s="105"/>
      <c r="H123" s="104" t="s">
        <v>182</v>
      </c>
      <c r="I123" s="9">
        <v>1</v>
      </c>
      <c r="J123" s="9">
        <v>600</v>
      </c>
      <c r="K123" s="102">
        <f t="shared" si="30"/>
        <v>600</v>
      </c>
      <c r="L123" s="80">
        <v>46112</v>
      </c>
      <c r="M123" s="105"/>
      <c r="N123" s="95" t="s">
        <v>372</v>
      </c>
      <c r="O123" s="96"/>
      <c r="P123" s="106">
        <f t="shared" si="25"/>
        <v>600</v>
      </c>
      <c r="Q123" s="106">
        <f t="shared" si="26"/>
        <v>600</v>
      </c>
      <c r="R123" s="106"/>
      <c r="S123" s="95" t="s">
        <v>185</v>
      </c>
      <c r="T123" s="96"/>
      <c r="U123" s="106">
        <f t="shared" si="27"/>
        <v>600</v>
      </c>
      <c r="V123" s="106">
        <f t="shared" si="28"/>
        <v>1</v>
      </c>
      <c r="W123" s="105">
        <f t="shared" si="29"/>
        <v>600</v>
      </c>
      <c r="X123" s="95" t="s">
        <v>186</v>
      </c>
      <c r="Y123" s="107" t="s">
        <v>181</v>
      </c>
      <c r="Z123" s="107" t="s">
        <v>176</v>
      </c>
    </row>
    <row r="124" spans="1:26" s="107" customFormat="1" ht="15" customHeight="1" x14ac:dyDescent="0.2">
      <c r="A124" s="101">
        <f t="shared" si="13"/>
        <v>122</v>
      </c>
      <c r="B124" s="77" t="s">
        <v>260</v>
      </c>
      <c r="C124" s="102" t="str">
        <f>IF($B124&lt;&gt;"",_xlfn.IFNA(VLOOKUP($B124,'Node Details'!$B:$U,C$1,0),"Check"),"")</f>
        <v>AXY050105-AXY050202</v>
      </c>
      <c r="D124" s="102" t="str">
        <f>IF($B124&lt;&gt;"",_xlfn.IFNA(VLOOKUP($B124,'Node Details'!$B:$U,D$1,0),"Check"),"")</f>
        <v>AXY</v>
      </c>
      <c r="E124" s="102" t="str">
        <f>IF($B124&lt;&gt;"",_xlfn.IFNA(VLOOKUP($B124,'Node Details'!$B:$U,E$1,0),"Check"),"")</f>
        <v>Airtel</v>
      </c>
      <c r="F124" s="103">
        <v>46113</v>
      </c>
      <c r="G124" s="105"/>
      <c r="H124" s="104" t="s">
        <v>182</v>
      </c>
      <c r="I124" s="9">
        <v>1</v>
      </c>
      <c r="J124" s="9">
        <v>600</v>
      </c>
      <c r="K124" s="102">
        <f t="shared" si="30"/>
        <v>600</v>
      </c>
      <c r="L124" s="80">
        <v>46112</v>
      </c>
      <c r="M124" s="105"/>
      <c r="N124" s="95" t="s">
        <v>372</v>
      </c>
      <c r="O124" s="96"/>
      <c r="P124" s="106">
        <f t="shared" si="25"/>
        <v>600</v>
      </c>
      <c r="Q124" s="106">
        <f t="shared" si="26"/>
        <v>600</v>
      </c>
      <c r="R124" s="106"/>
      <c r="S124" s="95" t="s">
        <v>185</v>
      </c>
      <c r="T124" s="96"/>
      <c r="U124" s="106">
        <f t="shared" si="27"/>
        <v>600</v>
      </c>
      <c r="V124" s="106">
        <f t="shared" si="28"/>
        <v>1</v>
      </c>
      <c r="W124" s="105">
        <f t="shared" si="29"/>
        <v>600</v>
      </c>
      <c r="X124" s="95" t="s">
        <v>186</v>
      </c>
      <c r="Y124" s="107" t="s">
        <v>181</v>
      </c>
      <c r="Z124" s="107" t="s">
        <v>176</v>
      </c>
    </row>
    <row r="125" spans="1:26" s="107" customFormat="1" ht="15" customHeight="1" x14ac:dyDescent="0.2">
      <c r="A125" s="101">
        <f t="shared" si="13"/>
        <v>123</v>
      </c>
      <c r="B125" s="77" t="s">
        <v>261</v>
      </c>
      <c r="C125" s="102" t="str">
        <f>IF($B125&lt;&gt;"",_xlfn.IFNA(VLOOKUP($B125,'Node Details'!$B:$U,C$1,0),"Check"),"")</f>
        <v>AXY050105-AXY050202</v>
      </c>
      <c r="D125" s="102" t="str">
        <f>IF($B125&lt;&gt;"",_xlfn.IFNA(VLOOKUP($B125,'Node Details'!$B:$U,D$1,0),"Check"),"")</f>
        <v>AXY</v>
      </c>
      <c r="E125" s="102" t="str">
        <f>IF($B125&lt;&gt;"",_xlfn.IFNA(VLOOKUP($B125,'Node Details'!$B:$U,E$1,0),"Check"),"")</f>
        <v>Airtel</v>
      </c>
      <c r="F125" s="103">
        <v>46113</v>
      </c>
      <c r="G125" s="105"/>
      <c r="H125" s="104" t="s">
        <v>182</v>
      </c>
      <c r="I125" s="9">
        <v>1</v>
      </c>
      <c r="J125" s="9">
        <v>600</v>
      </c>
      <c r="K125" s="102">
        <f t="shared" si="30"/>
        <v>600</v>
      </c>
      <c r="L125" s="80">
        <v>46112</v>
      </c>
      <c r="M125" s="105"/>
      <c r="N125" s="95" t="s">
        <v>372</v>
      </c>
      <c r="O125" s="96"/>
      <c r="P125" s="106">
        <f t="shared" si="25"/>
        <v>600</v>
      </c>
      <c r="Q125" s="106">
        <f t="shared" si="26"/>
        <v>600</v>
      </c>
      <c r="R125" s="106"/>
      <c r="S125" s="95" t="s">
        <v>185</v>
      </c>
      <c r="T125" s="96"/>
      <c r="U125" s="106">
        <f t="shared" si="27"/>
        <v>600</v>
      </c>
      <c r="V125" s="106">
        <f t="shared" si="28"/>
        <v>1</v>
      </c>
      <c r="W125" s="105">
        <f t="shared" si="29"/>
        <v>600</v>
      </c>
      <c r="X125" s="95" t="s">
        <v>186</v>
      </c>
      <c r="Y125" s="107" t="s">
        <v>181</v>
      </c>
      <c r="Z125" s="107" t="s">
        <v>176</v>
      </c>
    </row>
    <row r="126" spans="1:26" s="107" customFormat="1" ht="15" customHeight="1" x14ac:dyDescent="0.2">
      <c r="A126" s="101">
        <f t="shared" si="13"/>
        <v>124</v>
      </c>
      <c r="B126" s="77" t="s">
        <v>263</v>
      </c>
      <c r="C126" s="102" t="str">
        <f>IF($B126&lt;&gt;"",_xlfn.IFNA(VLOOKUP($B126,'Node Details'!$B:$U,C$1,0),"Check"),"")</f>
        <v>0000AXY06-AXY060102</v>
      </c>
      <c r="D126" s="102" t="str">
        <f>IF($B126&lt;&gt;"",_xlfn.IFNA(VLOOKUP($B126,'Node Details'!$B:$U,D$1,0),"Check"),"")</f>
        <v>AXY</v>
      </c>
      <c r="E126" s="102" t="str">
        <f>IF($B126&lt;&gt;"",_xlfn.IFNA(VLOOKUP($B126,'Node Details'!$B:$U,E$1,0),"Check"),"")</f>
        <v>Airtel</v>
      </c>
      <c r="F126" s="103">
        <v>46113</v>
      </c>
      <c r="G126" s="105"/>
      <c r="H126" s="104" t="s">
        <v>182</v>
      </c>
      <c r="I126" s="9">
        <v>1</v>
      </c>
      <c r="J126" s="9">
        <v>600</v>
      </c>
      <c r="K126" s="102">
        <f t="shared" si="30"/>
        <v>600</v>
      </c>
      <c r="L126" s="80">
        <v>46112</v>
      </c>
      <c r="M126" s="105"/>
      <c r="N126" s="95" t="s">
        <v>372</v>
      </c>
      <c r="O126" s="96"/>
      <c r="P126" s="106">
        <f t="shared" si="25"/>
        <v>600</v>
      </c>
      <c r="Q126" s="106">
        <f t="shared" si="26"/>
        <v>600</v>
      </c>
      <c r="R126" s="106"/>
      <c r="S126" s="95" t="s">
        <v>185</v>
      </c>
      <c r="T126" s="96"/>
      <c r="U126" s="106">
        <f t="shared" si="27"/>
        <v>600</v>
      </c>
      <c r="V126" s="106">
        <f t="shared" si="28"/>
        <v>1</v>
      </c>
      <c r="W126" s="105">
        <f t="shared" si="29"/>
        <v>600</v>
      </c>
      <c r="X126" s="95" t="s">
        <v>186</v>
      </c>
      <c r="Y126" s="107" t="s">
        <v>181</v>
      </c>
      <c r="Z126" s="107" t="s">
        <v>176</v>
      </c>
    </row>
    <row r="127" spans="1:26" s="107" customFormat="1" ht="15" customHeight="1" x14ac:dyDescent="0.2">
      <c r="A127" s="101">
        <f t="shared" si="13"/>
        <v>125</v>
      </c>
      <c r="B127" s="77" t="s">
        <v>264</v>
      </c>
      <c r="C127" s="102" t="str">
        <f>IF($B127&lt;&gt;"",_xlfn.IFNA(VLOOKUP($B127,'Node Details'!$B:$U,C$1,0),"Check"),"")</f>
        <v>0000AXY06-AXY060102</v>
      </c>
      <c r="D127" s="102" t="str">
        <f>IF($B127&lt;&gt;"",_xlfn.IFNA(VLOOKUP($B127,'Node Details'!$B:$U,D$1,0),"Check"),"")</f>
        <v>AXY</v>
      </c>
      <c r="E127" s="102" t="str">
        <f>IF($B127&lt;&gt;"",_xlfn.IFNA(VLOOKUP($B127,'Node Details'!$B:$U,E$1,0),"Check"),"")</f>
        <v>Airtel</v>
      </c>
      <c r="F127" s="103">
        <v>46113</v>
      </c>
      <c r="G127" s="105"/>
      <c r="H127" s="104" t="s">
        <v>182</v>
      </c>
      <c r="I127" s="9">
        <v>1</v>
      </c>
      <c r="J127" s="9">
        <v>600</v>
      </c>
      <c r="K127" s="102">
        <f t="shared" si="30"/>
        <v>600</v>
      </c>
      <c r="L127" s="80">
        <v>46112</v>
      </c>
      <c r="M127" s="105"/>
      <c r="N127" s="95" t="s">
        <v>372</v>
      </c>
      <c r="O127" s="96"/>
      <c r="P127" s="106">
        <f t="shared" si="25"/>
        <v>600</v>
      </c>
      <c r="Q127" s="106">
        <f t="shared" si="26"/>
        <v>600</v>
      </c>
      <c r="R127" s="106"/>
      <c r="S127" s="95" t="s">
        <v>185</v>
      </c>
      <c r="T127" s="96"/>
      <c r="U127" s="106">
        <f t="shared" si="27"/>
        <v>600</v>
      </c>
      <c r="V127" s="106">
        <f t="shared" si="28"/>
        <v>1</v>
      </c>
      <c r="W127" s="105">
        <f t="shared" si="29"/>
        <v>600</v>
      </c>
      <c r="X127" s="95" t="s">
        <v>186</v>
      </c>
      <c r="Y127" s="107" t="s">
        <v>181</v>
      </c>
      <c r="Z127" s="107" t="s">
        <v>176</v>
      </c>
    </row>
    <row r="128" spans="1:26" s="107" customFormat="1" ht="15" customHeight="1" x14ac:dyDescent="0.2">
      <c r="A128" s="101">
        <f t="shared" si="13"/>
        <v>126</v>
      </c>
      <c r="B128" s="77" t="s">
        <v>265</v>
      </c>
      <c r="C128" s="102" t="str">
        <f>IF($B128&lt;&gt;"",_xlfn.IFNA(VLOOKUP($B128,'Node Details'!$B:$U,C$1,0),"Check"),"")</f>
        <v>0000AXY06-AXY060105</v>
      </c>
      <c r="D128" s="102" t="str">
        <f>IF($B128&lt;&gt;"",_xlfn.IFNA(VLOOKUP($B128,'Node Details'!$B:$U,D$1,0),"Check"),"")</f>
        <v>AXY</v>
      </c>
      <c r="E128" s="102" t="str">
        <f>IF($B128&lt;&gt;"",_xlfn.IFNA(VLOOKUP($B128,'Node Details'!$B:$U,E$1,0),"Check"),"")</f>
        <v>Airtel</v>
      </c>
      <c r="F128" s="103">
        <v>46113</v>
      </c>
      <c r="G128" s="105"/>
      <c r="H128" s="104" t="s">
        <v>182</v>
      </c>
      <c r="I128" s="9">
        <v>1</v>
      </c>
      <c r="J128" s="9">
        <v>600</v>
      </c>
      <c r="K128" s="102">
        <f t="shared" si="30"/>
        <v>600</v>
      </c>
      <c r="L128" s="80">
        <v>46112</v>
      </c>
      <c r="M128" s="105"/>
      <c r="N128" s="95" t="s">
        <v>372</v>
      </c>
      <c r="O128" s="96"/>
      <c r="P128" s="106">
        <f t="shared" si="25"/>
        <v>600</v>
      </c>
      <c r="Q128" s="106">
        <f t="shared" si="26"/>
        <v>600</v>
      </c>
      <c r="R128" s="106"/>
      <c r="S128" s="95" t="s">
        <v>185</v>
      </c>
      <c r="T128" s="96"/>
      <c r="U128" s="106">
        <f t="shared" si="27"/>
        <v>600</v>
      </c>
      <c r="V128" s="106">
        <f t="shared" si="28"/>
        <v>1</v>
      </c>
      <c r="W128" s="105">
        <f t="shared" si="29"/>
        <v>600</v>
      </c>
      <c r="X128" s="95" t="s">
        <v>186</v>
      </c>
      <c r="Y128" s="107" t="s">
        <v>181</v>
      </c>
      <c r="Z128" s="107" t="s">
        <v>176</v>
      </c>
    </row>
    <row r="129" spans="1:26" s="107" customFormat="1" ht="15" customHeight="1" x14ac:dyDescent="0.2">
      <c r="A129" s="101">
        <f t="shared" si="13"/>
        <v>127</v>
      </c>
      <c r="B129" s="77" t="s">
        <v>266</v>
      </c>
      <c r="C129" s="102" t="str">
        <f>IF($B129&lt;&gt;"",_xlfn.IFNA(VLOOKUP($B129,'Node Details'!$B:$U,C$1,0),"Check"),"")</f>
        <v>0000AXY06-AXY060105</v>
      </c>
      <c r="D129" s="102" t="str">
        <f>IF($B129&lt;&gt;"",_xlfn.IFNA(VLOOKUP($B129,'Node Details'!$B:$U,D$1,0),"Check"),"")</f>
        <v>AXY</v>
      </c>
      <c r="E129" s="102" t="str">
        <f>IF($B129&lt;&gt;"",_xlfn.IFNA(VLOOKUP($B129,'Node Details'!$B:$U,E$1,0),"Check"),"")</f>
        <v>Airtel</v>
      </c>
      <c r="F129" s="103">
        <v>46113</v>
      </c>
      <c r="G129" s="105"/>
      <c r="H129" s="104" t="s">
        <v>182</v>
      </c>
      <c r="I129" s="9">
        <v>1</v>
      </c>
      <c r="J129" s="9">
        <v>600</v>
      </c>
      <c r="K129" s="102">
        <f t="shared" si="30"/>
        <v>600</v>
      </c>
      <c r="L129" s="80">
        <v>46112</v>
      </c>
      <c r="M129" s="105"/>
      <c r="N129" s="95" t="s">
        <v>372</v>
      </c>
      <c r="O129" s="96"/>
      <c r="P129" s="106">
        <f t="shared" si="25"/>
        <v>600</v>
      </c>
      <c r="Q129" s="106">
        <f t="shared" si="26"/>
        <v>600</v>
      </c>
      <c r="R129" s="106"/>
      <c r="S129" s="95" t="s">
        <v>185</v>
      </c>
      <c r="T129" s="96"/>
      <c r="U129" s="106">
        <f t="shared" si="27"/>
        <v>600</v>
      </c>
      <c r="V129" s="106">
        <f t="shared" si="28"/>
        <v>1</v>
      </c>
      <c r="W129" s="105">
        <f t="shared" si="29"/>
        <v>600</v>
      </c>
      <c r="X129" s="95" t="s">
        <v>186</v>
      </c>
      <c r="Y129" s="107" t="s">
        <v>181</v>
      </c>
      <c r="Z129" s="107" t="s">
        <v>176</v>
      </c>
    </row>
    <row r="130" spans="1:26" s="107" customFormat="1" ht="15" customHeight="1" x14ac:dyDescent="0.2">
      <c r="A130" s="101">
        <f t="shared" si="13"/>
        <v>128</v>
      </c>
      <c r="B130" s="77" t="s">
        <v>267</v>
      </c>
      <c r="C130" s="102" t="str">
        <f>IF($B130&lt;&gt;"",_xlfn.IFNA(VLOOKUP($B130,'Node Details'!$B:$U,C$1,0),"Check"),"")</f>
        <v>0000AXY06-AXY060105</v>
      </c>
      <c r="D130" s="102" t="str">
        <f>IF($B130&lt;&gt;"",_xlfn.IFNA(VLOOKUP($B130,'Node Details'!$B:$U,D$1,0),"Check"),"")</f>
        <v>AXY</v>
      </c>
      <c r="E130" s="102" t="str">
        <f>IF($B130&lt;&gt;"",_xlfn.IFNA(VLOOKUP($B130,'Node Details'!$B:$U,E$1,0),"Check"),"")</f>
        <v>Airtel</v>
      </c>
      <c r="F130" s="103">
        <v>46113</v>
      </c>
      <c r="G130" s="105"/>
      <c r="H130" s="104" t="s">
        <v>182</v>
      </c>
      <c r="I130" s="9">
        <v>1</v>
      </c>
      <c r="J130" s="9">
        <v>600</v>
      </c>
      <c r="K130" s="102">
        <f t="shared" si="30"/>
        <v>600</v>
      </c>
      <c r="L130" s="80">
        <v>46112</v>
      </c>
      <c r="M130" s="105"/>
      <c r="N130" s="95" t="s">
        <v>372</v>
      </c>
      <c r="O130" s="96"/>
      <c r="P130" s="106">
        <f t="shared" si="25"/>
        <v>600</v>
      </c>
      <c r="Q130" s="106">
        <f t="shared" si="26"/>
        <v>600</v>
      </c>
      <c r="R130" s="106"/>
      <c r="S130" s="95" t="s">
        <v>185</v>
      </c>
      <c r="T130" s="96"/>
      <c r="U130" s="106">
        <f t="shared" si="27"/>
        <v>600</v>
      </c>
      <c r="V130" s="106">
        <f t="shared" si="28"/>
        <v>1</v>
      </c>
      <c r="W130" s="105">
        <f t="shared" si="29"/>
        <v>600</v>
      </c>
      <c r="X130" s="95" t="s">
        <v>186</v>
      </c>
      <c r="Y130" s="107" t="s">
        <v>181</v>
      </c>
      <c r="Z130" s="107" t="s">
        <v>176</v>
      </c>
    </row>
    <row r="131" spans="1:26" s="107" customFormat="1" ht="15" customHeight="1" x14ac:dyDescent="0.2">
      <c r="A131" s="101">
        <f t="shared" si="13"/>
        <v>129</v>
      </c>
      <c r="B131" s="77" t="s">
        <v>268</v>
      </c>
      <c r="C131" s="102" t="str">
        <f>IF($B131&lt;&gt;"",_xlfn.IFNA(VLOOKUP($B131,'Node Details'!$B:$U,C$1,0),"Check"),"")</f>
        <v>0000AXY06-AXY060201</v>
      </c>
      <c r="D131" s="102" t="str">
        <f>IF($B131&lt;&gt;"",_xlfn.IFNA(VLOOKUP($B131,'Node Details'!$B:$U,D$1,0),"Check"),"")</f>
        <v>AXY</v>
      </c>
      <c r="E131" s="102" t="str">
        <f>IF($B131&lt;&gt;"",_xlfn.IFNA(VLOOKUP($B131,'Node Details'!$B:$U,E$1,0),"Check"),"")</f>
        <v>Airtel</v>
      </c>
      <c r="F131" s="103">
        <v>46113</v>
      </c>
      <c r="G131" s="105"/>
      <c r="H131" s="104" t="s">
        <v>182</v>
      </c>
      <c r="I131" s="9">
        <v>1</v>
      </c>
      <c r="J131" s="9">
        <v>600</v>
      </c>
      <c r="K131" s="102">
        <f t="shared" si="30"/>
        <v>600</v>
      </c>
      <c r="L131" s="80">
        <v>46112</v>
      </c>
      <c r="M131" s="105"/>
      <c r="N131" s="95" t="s">
        <v>372</v>
      </c>
      <c r="O131" s="96"/>
      <c r="P131" s="106">
        <f t="shared" si="25"/>
        <v>600</v>
      </c>
      <c r="Q131" s="106">
        <f t="shared" si="26"/>
        <v>600</v>
      </c>
      <c r="R131" s="106"/>
      <c r="S131" s="95" t="s">
        <v>185</v>
      </c>
      <c r="T131" s="96"/>
      <c r="U131" s="106">
        <f t="shared" si="27"/>
        <v>600</v>
      </c>
      <c r="V131" s="106">
        <f t="shared" si="28"/>
        <v>1</v>
      </c>
      <c r="W131" s="105">
        <f t="shared" si="29"/>
        <v>600</v>
      </c>
      <c r="X131" s="95" t="s">
        <v>186</v>
      </c>
      <c r="Y131" s="107" t="s">
        <v>181</v>
      </c>
      <c r="Z131" s="107" t="s">
        <v>176</v>
      </c>
    </row>
    <row r="132" spans="1:26" s="107" customFormat="1" ht="15" customHeight="1" x14ac:dyDescent="0.2">
      <c r="A132" s="101">
        <f t="shared" ref="A132:A195" si="31">A131+1</f>
        <v>130</v>
      </c>
      <c r="B132" s="77" t="s">
        <v>269</v>
      </c>
      <c r="C132" s="102" t="str">
        <f>IF($B132&lt;&gt;"",_xlfn.IFNA(VLOOKUP($B132,'Node Details'!$B:$U,C$1,0),"Check"),"")</f>
        <v>0000AXY06-AXY060201</v>
      </c>
      <c r="D132" s="102" t="str">
        <f>IF($B132&lt;&gt;"",_xlfn.IFNA(VLOOKUP($B132,'Node Details'!$B:$U,D$1,0),"Check"),"")</f>
        <v>AXY</v>
      </c>
      <c r="E132" s="102" t="str">
        <f>IF($B132&lt;&gt;"",_xlfn.IFNA(VLOOKUP($B132,'Node Details'!$B:$U,E$1,0),"Check"),"")</f>
        <v>Airtel</v>
      </c>
      <c r="F132" s="103">
        <v>46113</v>
      </c>
      <c r="G132" s="105"/>
      <c r="H132" s="104" t="s">
        <v>182</v>
      </c>
      <c r="I132" s="9">
        <v>1</v>
      </c>
      <c r="J132" s="9">
        <v>600</v>
      </c>
      <c r="K132" s="102">
        <f t="shared" si="30"/>
        <v>600</v>
      </c>
      <c r="L132" s="80">
        <v>46112</v>
      </c>
      <c r="M132" s="105"/>
      <c r="N132" s="95" t="s">
        <v>372</v>
      </c>
      <c r="O132" s="96"/>
      <c r="P132" s="106">
        <f t="shared" si="25"/>
        <v>600</v>
      </c>
      <c r="Q132" s="106">
        <f t="shared" si="26"/>
        <v>600</v>
      </c>
      <c r="R132" s="106"/>
      <c r="S132" s="95" t="s">
        <v>185</v>
      </c>
      <c r="T132" s="96"/>
      <c r="U132" s="106">
        <f t="shared" si="27"/>
        <v>600</v>
      </c>
      <c r="V132" s="106">
        <f t="shared" si="28"/>
        <v>1</v>
      </c>
      <c r="W132" s="105">
        <f t="shared" si="29"/>
        <v>600</v>
      </c>
      <c r="X132" s="95" t="s">
        <v>186</v>
      </c>
      <c r="Y132" s="107" t="s">
        <v>181</v>
      </c>
      <c r="Z132" s="107" t="s">
        <v>176</v>
      </c>
    </row>
    <row r="133" spans="1:26" s="107" customFormat="1" ht="15" customHeight="1" x14ac:dyDescent="0.2">
      <c r="A133" s="101">
        <f t="shared" si="31"/>
        <v>131</v>
      </c>
      <c r="B133" s="77" t="s">
        <v>270</v>
      </c>
      <c r="C133" s="102" t="str">
        <f>IF($B133&lt;&gt;"",_xlfn.IFNA(VLOOKUP($B133,'Node Details'!$B:$U,C$1,0),"Check"),"")</f>
        <v>0000AXY06-AXY060201</v>
      </c>
      <c r="D133" s="102" t="str">
        <f>IF($B133&lt;&gt;"",_xlfn.IFNA(VLOOKUP($B133,'Node Details'!$B:$U,D$1,0),"Check"),"")</f>
        <v>AXY</v>
      </c>
      <c r="E133" s="102" t="str">
        <f>IF($B133&lt;&gt;"",_xlfn.IFNA(VLOOKUP($B133,'Node Details'!$B:$U,E$1,0),"Check"),"")</f>
        <v>Airtel</v>
      </c>
      <c r="F133" s="103">
        <v>46113</v>
      </c>
      <c r="G133" s="105"/>
      <c r="H133" s="104" t="s">
        <v>182</v>
      </c>
      <c r="I133" s="9">
        <v>1</v>
      </c>
      <c r="J133" s="9">
        <v>600</v>
      </c>
      <c r="K133" s="102">
        <f t="shared" si="30"/>
        <v>600</v>
      </c>
      <c r="L133" s="80">
        <v>46112</v>
      </c>
      <c r="M133" s="105"/>
      <c r="N133" s="95" t="s">
        <v>372</v>
      </c>
      <c r="O133" s="96"/>
      <c r="P133" s="106">
        <f t="shared" si="25"/>
        <v>600</v>
      </c>
      <c r="Q133" s="106">
        <f t="shared" si="26"/>
        <v>600</v>
      </c>
      <c r="R133" s="106"/>
      <c r="S133" s="95" t="s">
        <v>185</v>
      </c>
      <c r="T133" s="96"/>
      <c r="U133" s="106">
        <f t="shared" si="27"/>
        <v>600</v>
      </c>
      <c r="V133" s="106">
        <f t="shared" si="28"/>
        <v>1</v>
      </c>
      <c r="W133" s="105">
        <f t="shared" si="29"/>
        <v>600</v>
      </c>
      <c r="X133" s="95" t="s">
        <v>186</v>
      </c>
      <c r="Y133" s="107" t="s">
        <v>181</v>
      </c>
      <c r="Z133" s="107" t="s">
        <v>176</v>
      </c>
    </row>
    <row r="134" spans="1:26" s="107" customFormat="1" ht="15" customHeight="1" x14ac:dyDescent="0.2">
      <c r="A134" s="101">
        <f t="shared" si="31"/>
        <v>132</v>
      </c>
      <c r="B134" s="77" t="s">
        <v>271</v>
      </c>
      <c r="C134" s="102" t="str">
        <f>IF($B134&lt;&gt;"",_xlfn.IFNA(VLOOKUP($B134,'Node Details'!$B:$U,C$1,0),"Check"),"")</f>
        <v>0000AXY06-AXY060201</v>
      </c>
      <c r="D134" s="102" t="str">
        <f>IF($B134&lt;&gt;"",_xlfn.IFNA(VLOOKUP($B134,'Node Details'!$B:$U,D$1,0),"Check"),"")</f>
        <v>AXY</v>
      </c>
      <c r="E134" s="102" t="str">
        <f>IF($B134&lt;&gt;"",_xlfn.IFNA(VLOOKUP($B134,'Node Details'!$B:$U,E$1,0),"Check"),"")</f>
        <v>Airtel</v>
      </c>
      <c r="F134" s="103">
        <v>46113</v>
      </c>
      <c r="G134" s="105"/>
      <c r="H134" s="104" t="s">
        <v>182</v>
      </c>
      <c r="I134" s="9">
        <v>1</v>
      </c>
      <c r="J134" s="9">
        <v>600</v>
      </c>
      <c r="K134" s="102">
        <f t="shared" si="30"/>
        <v>600</v>
      </c>
      <c r="L134" s="80">
        <v>46112</v>
      </c>
      <c r="M134" s="105"/>
      <c r="N134" s="95" t="s">
        <v>372</v>
      </c>
      <c r="O134" s="96"/>
      <c r="P134" s="106">
        <f t="shared" si="25"/>
        <v>600</v>
      </c>
      <c r="Q134" s="106">
        <f t="shared" si="26"/>
        <v>600</v>
      </c>
      <c r="R134" s="106"/>
      <c r="S134" s="95" t="s">
        <v>185</v>
      </c>
      <c r="T134" s="96"/>
      <c r="U134" s="106">
        <f t="shared" si="27"/>
        <v>600</v>
      </c>
      <c r="V134" s="106">
        <f t="shared" si="28"/>
        <v>1</v>
      </c>
      <c r="W134" s="105">
        <f t="shared" si="29"/>
        <v>600</v>
      </c>
      <c r="X134" s="95" t="s">
        <v>186</v>
      </c>
      <c r="Y134" s="107" t="s">
        <v>181</v>
      </c>
      <c r="Z134" s="107" t="s">
        <v>176</v>
      </c>
    </row>
    <row r="135" spans="1:26" s="107" customFormat="1" ht="15" customHeight="1" x14ac:dyDescent="0.2">
      <c r="A135" s="101">
        <f t="shared" si="31"/>
        <v>133</v>
      </c>
      <c r="B135" s="77" t="s">
        <v>273</v>
      </c>
      <c r="C135" s="102" t="str">
        <f>IF($B135&lt;&gt;"",_xlfn.IFNA(VLOOKUP($B135,'Node Details'!$B:$U,C$1,0),"Check"),"")</f>
        <v>0000AXY07-AXY070101</v>
      </c>
      <c r="D135" s="102" t="str">
        <f>IF($B135&lt;&gt;"",_xlfn.IFNA(VLOOKUP($B135,'Node Details'!$B:$U,D$1,0),"Check"),"")</f>
        <v>AXY</v>
      </c>
      <c r="E135" s="102" t="str">
        <f>IF($B135&lt;&gt;"",_xlfn.IFNA(VLOOKUP($B135,'Node Details'!$B:$U,E$1,0),"Check"),"")</f>
        <v>Airtel</v>
      </c>
      <c r="F135" s="103">
        <v>46113</v>
      </c>
      <c r="G135" s="105"/>
      <c r="H135" s="104" t="s">
        <v>182</v>
      </c>
      <c r="I135" s="9">
        <v>1</v>
      </c>
      <c r="J135" s="9">
        <v>600</v>
      </c>
      <c r="K135" s="102">
        <f t="shared" si="30"/>
        <v>600</v>
      </c>
      <c r="L135" s="80">
        <v>46112</v>
      </c>
      <c r="M135" s="105"/>
      <c r="N135" s="95" t="s">
        <v>372</v>
      </c>
      <c r="O135" s="96"/>
      <c r="P135" s="106">
        <f t="shared" si="25"/>
        <v>600</v>
      </c>
      <c r="Q135" s="106">
        <f t="shared" si="26"/>
        <v>600</v>
      </c>
      <c r="R135" s="106"/>
      <c r="S135" s="95" t="s">
        <v>185</v>
      </c>
      <c r="T135" s="96"/>
      <c r="U135" s="106">
        <f t="shared" si="27"/>
        <v>600</v>
      </c>
      <c r="V135" s="106">
        <f t="shared" si="28"/>
        <v>1</v>
      </c>
      <c r="W135" s="105">
        <f t="shared" si="29"/>
        <v>600</v>
      </c>
      <c r="X135" s="95" t="s">
        <v>186</v>
      </c>
      <c r="Y135" s="107" t="s">
        <v>181</v>
      </c>
      <c r="Z135" s="107" t="s">
        <v>176</v>
      </c>
    </row>
    <row r="136" spans="1:26" s="107" customFormat="1" ht="15" customHeight="1" x14ac:dyDescent="0.2">
      <c r="A136" s="101">
        <f t="shared" si="31"/>
        <v>134</v>
      </c>
      <c r="B136" s="77" t="s">
        <v>274</v>
      </c>
      <c r="C136" s="102" t="str">
        <f>IF($B136&lt;&gt;"",_xlfn.IFNA(VLOOKUP($B136,'Node Details'!$B:$U,C$1,0),"Check"),"")</f>
        <v>0000AXY07-AXY070102</v>
      </c>
      <c r="D136" s="102" t="str">
        <f>IF($B136&lt;&gt;"",_xlfn.IFNA(VLOOKUP($B136,'Node Details'!$B:$U,D$1,0),"Check"),"")</f>
        <v>AXY</v>
      </c>
      <c r="E136" s="102" t="str">
        <f>IF($B136&lt;&gt;"",_xlfn.IFNA(VLOOKUP($B136,'Node Details'!$B:$U,E$1,0),"Check"),"")</f>
        <v>Airtel</v>
      </c>
      <c r="F136" s="103">
        <v>46113</v>
      </c>
      <c r="G136" s="105"/>
      <c r="H136" s="104" t="s">
        <v>182</v>
      </c>
      <c r="I136" s="9">
        <v>1</v>
      </c>
      <c r="J136" s="9">
        <v>600</v>
      </c>
      <c r="K136" s="102">
        <f t="shared" si="30"/>
        <v>600</v>
      </c>
      <c r="L136" s="80">
        <v>46112</v>
      </c>
      <c r="M136" s="105"/>
      <c r="N136" s="95" t="s">
        <v>372</v>
      </c>
      <c r="O136" s="96"/>
      <c r="P136" s="106">
        <f t="shared" si="25"/>
        <v>600</v>
      </c>
      <c r="Q136" s="106">
        <f t="shared" si="26"/>
        <v>600</v>
      </c>
      <c r="R136" s="106"/>
      <c r="S136" s="95" t="s">
        <v>185</v>
      </c>
      <c r="T136" s="96"/>
      <c r="U136" s="106">
        <f t="shared" si="27"/>
        <v>600</v>
      </c>
      <c r="V136" s="106">
        <f t="shared" si="28"/>
        <v>1</v>
      </c>
      <c r="W136" s="105">
        <f t="shared" si="29"/>
        <v>600</v>
      </c>
      <c r="X136" s="95" t="s">
        <v>186</v>
      </c>
      <c r="Y136" s="107" t="s">
        <v>181</v>
      </c>
      <c r="Z136" s="107" t="s">
        <v>176</v>
      </c>
    </row>
    <row r="137" spans="1:26" s="107" customFormat="1" ht="15" customHeight="1" x14ac:dyDescent="0.2">
      <c r="A137" s="101">
        <f t="shared" si="31"/>
        <v>135</v>
      </c>
      <c r="B137" s="77" t="s">
        <v>275</v>
      </c>
      <c r="C137" s="102" t="str">
        <f>IF($B137&lt;&gt;"",_xlfn.IFNA(VLOOKUP($B137,'Node Details'!$B:$U,C$1,0),"Check"),"")</f>
        <v>0000AXY07-AXY070105</v>
      </c>
      <c r="D137" s="102" t="str">
        <f>IF($B137&lt;&gt;"",_xlfn.IFNA(VLOOKUP($B137,'Node Details'!$B:$U,D$1,0),"Check"),"")</f>
        <v>AXY</v>
      </c>
      <c r="E137" s="102" t="str">
        <f>IF($B137&lt;&gt;"",_xlfn.IFNA(VLOOKUP($B137,'Node Details'!$B:$U,E$1,0),"Check"),"")</f>
        <v>Airtel</v>
      </c>
      <c r="F137" s="103">
        <v>46113</v>
      </c>
      <c r="G137" s="105"/>
      <c r="H137" s="104" t="s">
        <v>182</v>
      </c>
      <c r="I137" s="9">
        <v>1</v>
      </c>
      <c r="J137" s="9">
        <v>600</v>
      </c>
      <c r="K137" s="102">
        <f t="shared" si="30"/>
        <v>600</v>
      </c>
      <c r="L137" s="80">
        <v>46112</v>
      </c>
      <c r="M137" s="105"/>
      <c r="N137" s="95" t="s">
        <v>372</v>
      </c>
      <c r="O137" s="96"/>
      <c r="P137" s="106">
        <f t="shared" si="25"/>
        <v>600</v>
      </c>
      <c r="Q137" s="106">
        <f t="shared" si="26"/>
        <v>600</v>
      </c>
      <c r="R137" s="106"/>
      <c r="S137" s="95" t="s">
        <v>185</v>
      </c>
      <c r="T137" s="96"/>
      <c r="U137" s="106">
        <f t="shared" si="27"/>
        <v>600</v>
      </c>
      <c r="V137" s="106">
        <f t="shared" si="28"/>
        <v>1</v>
      </c>
      <c r="W137" s="105">
        <f t="shared" si="29"/>
        <v>600</v>
      </c>
      <c r="X137" s="95" t="s">
        <v>186</v>
      </c>
      <c r="Y137" s="107" t="s">
        <v>181</v>
      </c>
      <c r="Z137" s="107" t="s">
        <v>176</v>
      </c>
    </row>
    <row r="138" spans="1:26" s="107" customFormat="1" ht="15" customHeight="1" x14ac:dyDescent="0.2">
      <c r="A138" s="101">
        <f t="shared" si="31"/>
        <v>136</v>
      </c>
      <c r="B138" s="77" t="s">
        <v>276</v>
      </c>
      <c r="C138" s="102" t="str">
        <f>IF($B138&lt;&gt;"",_xlfn.IFNA(VLOOKUP($B138,'Node Details'!$B:$U,C$1,0),"Check"),"")</f>
        <v>0000AXY07-AXY070105</v>
      </c>
      <c r="D138" s="102" t="str">
        <f>IF($B138&lt;&gt;"",_xlfn.IFNA(VLOOKUP($B138,'Node Details'!$B:$U,D$1,0),"Check"),"")</f>
        <v>AXY</v>
      </c>
      <c r="E138" s="102" t="str">
        <f>IF($B138&lt;&gt;"",_xlfn.IFNA(VLOOKUP($B138,'Node Details'!$B:$U,E$1,0),"Check"),"")</f>
        <v>Airtel</v>
      </c>
      <c r="F138" s="103">
        <v>46113</v>
      </c>
      <c r="G138" s="105"/>
      <c r="H138" s="104" t="s">
        <v>182</v>
      </c>
      <c r="I138" s="9">
        <v>1</v>
      </c>
      <c r="J138" s="9">
        <v>600</v>
      </c>
      <c r="K138" s="102">
        <f t="shared" si="30"/>
        <v>600</v>
      </c>
      <c r="L138" s="80">
        <v>46112</v>
      </c>
      <c r="M138" s="105"/>
      <c r="N138" s="95" t="s">
        <v>372</v>
      </c>
      <c r="O138" s="96"/>
      <c r="P138" s="106">
        <f t="shared" si="25"/>
        <v>600</v>
      </c>
      <c r="Q138" s="106">
        <f t="shared" si="26"/>
        <v>600</v>
      </c>
      <c r="R138" s="106"/>
      <c r="S138" s="95" t="s">
        <v>185</v>
      </c>
      <c r="T138" s="96"/>
      <c r="U138" s="106">
        <f t="shared" si="27"/>
        <v>600</v>
      </c>
      <c r="V138" s="106">
        <f t="shared" si="28"/>
        <v>1</v>
      </c>
      <c r="W138" s="105">
        <f t="shared" si="29"/>
        <v>600</v>
      </c>
      <c r="X138" s="95" t="s">
        <v>186</v>
      </c>
      <c r="Y138" s="107" t="s">
        <v>181</v>
      </c>
      <c r="Z138" s="107" t="s">
        <v>176</v>
      </c>
    </row>
    <row r="139" spans="1:26" s="107" customFormat="1" ht="15" customHeight="1" x14ac:dyDescent="0.2">
      <c r="A139" s="101">
        <f t="shared" si="31"/>
        <v>137</v>
      </c>
      <c r="B139" s="77" t="s">
        <v>277</v>
      </c>
      <c r="C139" s="102" t="str">
        <f>IF($B139&lt;&gt;"",_xlfn.IFNA(VLOOKUP($B139,'Node Details'!$B:$U,C$1,0),"Check"),"")</f>
        <v>0000AXY07-AXY070105</v>
      </c>
      <c r="D139" s="102" t="str">
        <f>IF($B139&lt;&gt;"",_xlfn.IFNA(VLOOKUP($B139,'Node Details'!$B:$U,D$1,0),"Check"),"")</f>
        <v>AXY</v>
      </c>
      <c r="E139" s="102" t="str">
        <f>IF($B139&lt;&gt;"",_xlfn.IFNA(VLOOKUP($B139,'Node Details'!$B:$U,E$1,0),"Check"),"")</f>
        <v>Airtel</v>
      </c>
      <c r="F139" s="103">
        <v>46113</v>
      </c>
      <c r="G139" s="105"/>
      <c r="H139" s="104" t="s">
        <v>182</v>
      </c>
      <c r="I139" s="9">
        <v>1</v>
      </c>
      <c r="J139" s="9">
        <v>600</v>
      </c>
      <c r="K139" s="102">
        <f t="shared" si="30"/>
        <v>600</v>
      </c>
      <c r="L139" s="80">
        <v>46112</v>
      </c>
      <c r="M139" s="105"/>
      <c r="N139" s="95" t="s">
        <v>372</v>
      </c>
      <c r="O139" s="96"/>
      <c r="P139" s="106">
        <f t="shared" si="25"/>
        <v>600</v>
      </c>
      <c r="Q139" s="106">
        <f t="shared" si="26"/>
        <v>600</v>
      </c>
      <c r="R139" s="106"/>
      <c r="S139" s="95" t="s">
        <v>185</v>
      </c>
      <c r="T139" s="96"/>
      <c r="U139" s="106">
        <f t="shared" si="27"/>
        <v>600</v>
      </c>
      <c r="V139" s="106">
        <f t="shared" si="28"/>
        <v>1</v>
      </c>
      <c r="W139" s="105">
        <f t="shared" si="29"/>
        <v>600</v>
      </c>
      <c r="X139" s="95" t="s">
        <v>186</v>
      </c>
      <c r="Y139" s="107" t="s">
        <v>181</v>
      </c>
      <c r="Z139" s="107" t="s">
        <v>176</v>
      </c>
    </row>
    <row r="140" spans="1:26" s="107" customFormat="1" ht="15" customHeight="1" x14ac:dyDescent="0.2">
      <c r="A140" s="101">
        <f t="shared" si="31"/>
        <v>138</v>
      </c>
      <c r="B140" s="77" t="s">
        <v>279</v>
      </c>
      <c r="C140" s="102" t="str">
        <f>IF($B140&lt;&gt;"",_xlfn.IFNA(VLOOKUP($B140,'Node Details'!$B:$U,C$1,0),"Check"),"")</f>
        <v>0000AXY08-AXY080104</v>
      </c>
      <c r="D140" s="102" t="str">
        <f>IF($B140&lt;&gt;"",_xlfn.IFNA(VLOOKUP($B140,'Node Details'!$B:$U,D$1,0),"Check"),"")</f>
        <v>AXY</v>
      </c>
      <c r="E140" s="102" t="str">
        <f>IF($B140&lt;&gt;"",_xlfn.IFNA(VLOOKUP($B140,'Node Details'!$B:$U,E$1,0),"Check"),"")</f>
        <v>Airtel</v>
      </c>
      <c r="F140" s="103">
        <v>46113</v>
      </c>
      <c r="G140" s="105"/>
      <c r="H140" s="104" t="s">
        <v>182</v>
      </c>
      <c r="I140" s="9">
        <v>1</v>
      </c>
      <c r="J140" s="9">
        <v>600</v>
      </c>
      <c r="K140" s="102">
        <f t="shared" si="30"/>
        <v>600</v>
      </c>
      <c r="L140" s="80">
        <v>46112</v>
      </c>
      <c r="M140" s="105"/>
      <c r="N140" s="95" t="s">
        <v>372</v>
      </c>
      <c r="O140" s="96"/>
      <c r="P140" s="106">
        <f t="shared" si="25"/>
        <v>600</v>
      </c>
      <c r="Q140" s="106">
        <f t="shared" si="26"/>
        <v>600</v>
      </c>
      <c r="R140" s="106"/>
      <c r="S140" s="95" t="s">
        <v>185</v>
      </c>
      <c r="T140" s="96"/>
      <c r="U140" s="106">
        <f t="shared" si="27"/>
        <v>600</v>
      </c>
      <c r="V140" s="106">
        <f t="shared" si="28"/>
        <v>1</v>
      </c>
      <c r="W140" s="105">
        <f t="shared" si="29"/>
        <v>600</v>
      </c>
      <c r="X140" s="95" t="s">
        <v>186</v>
      </c>
      <c r="Y140" s="107" t="s">
        <v>181</v>
      </c>
      <c r="Z140" s="107" t="s">
        <v>176</v>
      </c>
    </row>
    <row r="141" spans="1:26" s="107" customFormat="1" ht="15" customHeight="1" x14ac:dyDescent="0.2">
      <c r="A141" s="101">
        <f t="shared" si="31"/>
        <v>139</v>
      </c>
      <c r="B141" s="77" t="s">
        <v>280</v>
      </c>
      <c r="C141" s="102" t="str">
        <f>IF($B141&lt;&gt;"",_xlfn.IFNA(VLOOKUP($B141,'Node Details'!$B:$U,C$1,0),"Check"),"")</f>
        <v>0000AXY08-AXY080103</v>
      </c>
      <c r="D141" s="102" t="str">
        <f>IF($B141&lt;&gt;"",_xlfn.IFNA(VLOOKUP($B141,'Node Details'!$B:$U,D$1,0),"Check"),"")</f>
        <v>AXY</v>
      </c>
      <c r="E141" s="102" t="str">
        <f>IF($B141&lt;&gt;"",_xlfn.IFNA(VLOOKUP($B141,'Node Details'!$B:$U,E$1,0),"Check"),"")</f>
        <v>Airtel</v>
      </c>
      <c r="F141" s="103">
        <v>46113</v>
      </c>
      <c r="G141" s="105"/>
      <c r="H141" s="104" t="s">
        <v>182</v>
      </c>
      <c r="I141" s="9">
        <v>1</v>
      </c>
      <c r="J141" s="9">
        <v>600</v>
      </c>
      <c r="K141" s="102">
        <f t="shared" si="30"/>
        <v>600</v>
      </c>
      <c r="L141" s="80">
        <v>46112</v>
      </c>
      <c r="M141" s="105"/>
      <c r="N141" s="95" t="s">
        <v>372</v>
      </c>
      <c r="O141" s="96"/>
      <c r="P141" s="106">
        <f t="shared" si="25"/>
        <v>600</v>
      </c>
      <c r="Q141" s="106">
        <f t="shared" si="26"/>
        <v>600</v>
      </c>
      <c r="R141" s="106"/>
      <c r="S141" s="95" t="s">
        <v>185</v>
      </c>
      <c r="T141" s="96"/>
      <c r="U141" s="106">
        <f t="shared" si="27"/>
        <v>600</v>
      </c>
      <c r="V141" s="106">
        <f t="shared" si="28"/>
        <v>1</v>
      </c>
      <c r="W141" s="105">
        <f t="shared" si="29"/>
        <v>600</v>
      </c>
      <c r="X141" s="95" t="s">
        <v>186</v>
      </c>
      <c r="Y141" s="107" t="s">
        <v>181</v>
      </c>
      <c r="Z141" s="107" t="s">
        <v>176</v>
      </c>
    </row>
    <row r="142" spans="1:26" s="107" customFormat="1" ht="15" customHeight="1" x14ac:dyDescent="0.2">
      <c r="A142" s="101">
        <f t="shared" si="31"/>
        <v>140</v>
      </c>
      <c r="B142" s="77" t="s">
        <v>281</v>
      </c>
      <c r="C142" s="102" t="str">
        <f>IF($B142&lt;&gt;"",_xlfn.IFNA(VLOOKUP($B142,'Node Details'!$B:$U,C$1,0),"Check"),"")</f>
        <v>0000AXY08-AXY080103</v>
      </c>
      <c r="D142" s="102" t="str">
        <f>IF($B142&lt;&gt;"",_xlfn.IFNA(VLOOKUP($B142,'Node Details'!$B:$U,D$1,0),"Check"),"")</f>
        <v>AXY</v>
      </c>
      <c r="E142" s="102" t="str">
        <f>IF($B142&lt;&gt;"",_xlfn.IFNA(VLOOKUP($B142,'Node Details'!$B:$U,E$1,0),"Check"),"")</f>
        <v>Airtel</v>
      </c>
      <c r="F142" s="103">
        <v>46113</v>
      </c>
      <c r="G142" s="105"/>
      <c r="H142" s="104" t="s">
        <v>182</v>
      </c>
      <c r="I142" s="9">
        <v>1</v>
      </c>
      <c r="J142" s="9">
        <v>600</v>
      </c>
      <c r="K142" s="102">
        <f t="shared" si="30"/>
        <v>600</v>
      </c>
      <c r="L142" s="80">
        <v>46112</v>
      </c>
      <c r="M142" s="105"/>
      <c r="N142" s="95" t="s">
        <v>372</v>
      </c>
      <c r="O142" s="96"/>
      <c r="P142" s="106">
        <f t="shared" si="25"/>
        <v>600</v>
      </c>
      <c r="Q142" s="106">
        <f t="shared" si="26"/>
        <v>600</v>
      </c>
      <c r="R142" s="106"/>
      <c r="S142" s="95" t="s">
        <v>185</v>
      </c>
      <c r="T142" s="96"/>
      <c r="U142" s="106">
        <f t="shared" si="27"/>
        <v>600</v>
      </c>
      <c r="V142" s="106">
        <f t="shared" si="28"/>
        <v>1</v>
      </c>
      <c r="W142" s="105">
        <f t="shared" si="29"/>
        <v>600</v>
      </c>
      <c r="X142" s="95" t="s">
        <v>186</v>
      </c>
      <c r="Y142" s="107" t="s">
        <v>181</v>
      </c>
      <c r="Z142" s="107" t="s">
        <v>176</v>
      </c>
    </row>
    <row r="143" spans="1:26" s="107" customFormat="1" ht="15" customHeight="1" x14ac:dyDescent="0.2">
      <c r="A143" s="101">
        <f t="shared" si="31"/>
        <v>141</v>
      </c>
      <c r="B143" s="77" t="s">
        <v>282</v>
      </c>
      <c r="C143" s="102" t="str">
        <f>IF($B143&lt;&gt;"",_xlfn.IFNA(VLOOKUP($B143,'Node Details'!$B:$U,C$1,0),"Check"),"")</f>
        <v>0000AXY08-AXY080103</v>
      </c>
      <c r="D143" s="102" t="str">
        <f>IF($B143&lt;&gt;"",_xlfn.IFNA(VLOOKUP($B143,'Node Details'!$B:$U,D$1,0),"Check"),"")</f>
        <v>AXY</v>
      </c>
      <c r="E143" s="102" t="str">
        <f>IF($B143&lt;&gt;"",_xlfn.IFNA(VLOOKUP($B143,'Node Details'!$B:$U,E$1,0),"Check"),"")</f>
        <v>Airtel</v>
      </c>
      <c r="F143" s="103">
        <v>46113</v>
      </c>
      <c r="G143" s="105"/>
      <c r="H143" s="104" t="s">
        <v>182</v>
      </c>
      <c r="I143" s="9">
        <v>1</v>
      </c>
      <c r="J143" s="9">
        <v>600</v>
      </c>
      <c r="K143" s="102">
        <f t="shared" si="30"/>
        <v>600</v>
      </c>
      <c r="L143" s="80">
        <v>46112</v>
      </c>
      <c r="M143" s="105"/>
      <c r="N143" s="95" t="s">
        <v>372</v>
      </c>
      <c r="O143" s="96"/>
      <c r="P143" s="106">
        <f t="shared" si="25"/>
        <v>600</v>
      </c>
      <c r="Q143" s="106">
        <f t="shared" si="26"/>
        <v>600</v>
      </c>
      <c r="R143" s="106"/>
      <c r="S143" s="95" t="s">
        <v>185</v>
      </c>
      <c r="T143" s="96"/>
      <c r="U143" s="106">
        <f t="shared" si="27"/>
        <v>600</v>
      </c>
      <c r="V143" s="106">
        <f t="shared" si="28"/>
        <v>1</v>
      </c>
      <c r="W143" s="105">
        <f t="shared" si="29"/>
        <v>600</v>
      </c>
      <c r="X143" s="95" t="s">
        <v>186</v>
      </c>
      <c r="Y143" s="107" t="s">
        <v>181</v>
      </c>
      <c r="Z143" s="107" t="s">
        <v>176</v>
      </c>
    </row>
    <row r="144" spans="1:26" s="107" customFormat="1" ht="15" customHeight="1" x14ac:dyDescent="0.2">
      <c r="A144" s="101">
        <f t="shared" si="31"/>
        <v>142</v>
      </c>
      <c r="B144" s="77" t="s">
        <v>283</v>
      </c>
      <c r="C144" s="102" t="str">
        <f>IF($B144&lt;&gt;"",_xlfn.IFNA(VLOOKUP($B144,'Node Details'!$B:$U,C$1,0),"Check"),"")</f>
        <v>0000AXY08-AXY080105</v>
      </c>
      <c r="D144" s="102" t="str">
        <f>IF($B144&lt;&gt;"",_xlfn.IFNA(VLOOKUP($B144,'Node Details'!$B:$U,D$1,0),"Check"),"")</f>
        <v>AXY</v>
      </c>
      <c r="E144" s="102" t="str">
        <f>IF($B144&lt;&gt;"",_xlfn.IFNA(VLOOKUP($B144,'Node Details'!$B:$U,E$1,0),"Check"),"")</f>
        <v>Airtel</v>
      </c>
      <c r="F144" s="103">
        <v>46113</v>
      </c>
      <c r="G144" s="105"/>
      <c r="H144" s="104" t="s">
        <v>182</v>
      </c>
      <c r="I144" s="9">
        <v>1</v>
      </c>
      <c r="J144" s="9">
        <v>600</v>
      </c>
      <c r="K144" s="102">
        <f t="shared" si="30"/>
        <v>600</v>
      </c>
      <c r="L144" s="80">
        <v>46112</v>
      </c>
      <c r="M144" s="105"/>
      <c r="N144" s="95" t="s">
        <v>372</v>
      </c>
      <c r="O144" s="96"/>
      <c r="P144" s="106">
        <f t="shared" si="25"/>
        <v>600</v>
      </c>
      <c r="Q144" s="106">
        <f t="shared" si="26"/>
        <v>600</v>
      </c>
      <c r="R144" s="106"/>
      <c r="S144" s="95" t="s">
        <v>185</v>
      </c>
      <c r="T144" s="96"/>
      <c r="U144" s="106">
        <f t="shared" si="27"/>
        <v>600</v>
      </c>
      <c r="V144" s="106">
        <f t="shared" si="28"/>
        <v>1</v>
      </c>
      <c r="W144" s="105">
        <f t="shared" si="29"/>
        <v>600</v>
      </c>
      <c r="X144" s="95" t="s">
        <v>186</v>
      </c>
      <c r="Y144" s="107" t="s">
        <v>181</v>
      </c>
      <c r="Z144" s="107" t="s">
        <v>176</v>
      </c>
    </row>
    <row r="145" spans="1:26" s="107" customFormat="1" ht="15" customHeight="1" x14ac:dyDescent="0.2">
      <c r="A145" s="101">
        <f t="shared" si="31"/>
        <v>143</v>
      </c>
      <c r="B145" s="77" t="s">
        <v>284</v>
      </c>
      <c r="C145" s="102" t="str">
        <f>IF($B145&lt;&gt;"",_xlfn.IFNA(VLOOKUP($B145,'Node Details'!$B:$U,C$1,0),"Check"),"")</f>
        <v>0000AXY08-AXY080106</v>
      </c>
      <c r="D145" s="102" t="str">
        <f>IF($B145&lt;&gt;"",_xlfn.IFNA(VLOOKUP($B145,'Node Details'!$B:$U,D$1,0),"Check"),"")</f>
        <v>AXY</v>
      </c>
      <c r="E145" s="102" t="str">
        <f>IF($B145&lt;&gt;"",_xlfn.IFNA(VLOOKUP($B145,'Node Details'!$B:$U,E$1,0),"Check"),"")</f>
        <v>Airtel</v>
      </c>
      <c r="F145" s="103">
        <v>46113</v>
      </c>
      <c r="G145" s="105"/>
      <c r="H145" s="104" t="s">
        <v>182</v>
      </c>
      <c r="I145" s="9">
        <v>1</v>
      </c>
      <c r="J145" s="9">
        <v>600</v>
      </c>
      <c r="K145" s="102">
        <f t="shared" si="30"/>
        <v>600</v>
      </c>
      <c r="L145" s="80">
        <v>46112</v>
      </c>
      <c r="M145" s="105"/>
      <c r="N145" s="95" t="s">
        <v>372</v>
      </c>
      <c r="O145" s="96"/>
      <c r="P145" s="106">
        <f t="shared" si="25"/>
        <v>600</v>
      </c>
      <c r="Q145" s="106">
        <f t="shared" si="26"/>
        <v>600</v>
      </c>
      <c r="R145" s="106"/>
      <c r="S145" s="95" t="s">
        <v>185</v>
      </c>
      <c r="T145" s="96"/>
      <c r="U145" s="106">
        <f t="shared" si="27"/>
        <v>600</v>
      </c>
      <c r="V145" s="106">
        <f t="shared" si="28"/>
        <v>1</v>
      </c>
      <c r="W145" s="105">
        <f t="shared" si="29"/>
        <v>600</v>
      </c>
      <c r="X145" s="95" t="s">
        <v>186</v>
      </c>
      <c r="Y145" s="107" t="s">
        <v>181</v>
      </c>
      <c r="Z145" s="107" t="s">
        <v>176</v>
      </c>
    </row>
    <row r="146" spans="1:26" s="107" customFormat="1" ht="15" customHeight="1" x14ac:dyDescent="0.2">
      <c r="A146" s="101">
        <f t="shared" si="31"/>
        <v>144</v>
      </c>
      <c r="B146" s="77" t="s">
        <v>285</v>
      </c>
      <c r="C146" s="102" t="str">
        <f>IF($B146&lt;&gt;"",_xlfn.IFNA(VLOOKUP($B146,'Node Details'!$B:$U,C$1,0),"Check"),"")</f>
        <v>AXY080106-AXY080203</v>
      </c>
      <c r="D146" s="102" t="str">
        <f>IF($B146&lt;&gt;"",_xlfn.IFNA(VLOOKUP($B146,'Node Details'!$B:$U,D$1,0),"Check"),"")</f>
        <v>AXY</v>
      </c>
      <c r="E146" s="102" t="str">
        <f>IF($B146&lt;&gt;"",_xlfn.IFNA(VLOOKUP($B146,'Node Details'!$B:$U,E$1,0),"Check"),"")</f>
        <v>Airtel</v>
      </c>
      <c r="F146" s="103">
        <v>46113</v>
      </c>
      <c r="G146" s="105"/>
      <c r="H146" s="104" t="s">
        <v>182</v>
      </c>
      <c r="I146" s="9">
        <v>1</v>
      </c>
      <c r="J146" s="9">
        <v>600</v>
      </c>
      <c r="K146" s="102">
        <f t="shared" si="30"/>
        <v>600</v>
      </c>
      <c r="L146" s="80">
        <v>46112</v>
      </c>
      <c r="M146" s="105"/>
      <c r="N146" s="95" t="s">
        <v>372</v>
      </c>
      <c r="O146" s="96"/>
      <c r="P146" s="106">
        <f t="shared" si="25"/>
        <v>600</v>
      </c>
      <c r="Q146" s="106">
        <f t="shared" si="26"/>
        <v>600</v>
      </c>
      <c r="R146" s="106"/>
      <c r="S146" s="95" t="s">
        <v>185</v>
      </c>
      <c r="T146" s="96"/>
      <c r="U146" s="106">
        <f t="shared" si="27"/>
        <v>600</v>
      </c>
      <c r="V146" s="106">
        <f t="shared" si="28"/>
        <v>1</v>
      </c>
      <c r="W146" s="105">
        <f t="shared" si="29"/>
        <v>600</v>
      </c>
      <c r="X146" s="95" t="s">
        <v>186</v>
      </c>
      <c r="Y146" s="107" t="s">
        <v>181</v>
      </c>
      <c r="Z146" s="107" t="s">
        <v>176</v>
      </c>
    </row>
    <row r="147" spans="1:26" s="107" customFormat="1" ht="15" customHeight="1" x14ac:dyDescent="0.2">
      <c r="A147" s="101">
        <f t="shared" si="31"/>
        <v>145</v>
      </c>
      <c r="B147" s="77" t="s">
        <v>286</v>
      </c>
      <c r="C147" s="102" t="str">
        <f>IF($B147&lt;&gt;"",_xlfn.IFNA(VLOOKUP($B147,'Node Details'!$B:$U,C$1,0),"Check"),"")</f>
        <v>AXY080106-AXY080203</v>
      </c>
      <c r="D147" s="102" t="str">
        <f>IF($B147&lt;&gt;"",_xlfn.IFNA(VLOOKUP($B147,'Node Details'!$B:$U,D$1,0),"Check"),"")</f>
        <v>AXY</v>
      </c>
      <c r="E147" s="102" t="str">
        <f>IF($B147&lt;&gt;"",_xlfn.IFNA(VLOOKUP($B147,'Node Details'!$B:$U,E$1,0),"Check"),"")</f>
        <v>Airtel</v>
      </c>
      <c r="F147" s="103">
        <v>46113</v>
      </c>
      <c r="G147" s="105"/>
      <c r="H147" s="104" t="s">
        <v>182</v>
      </c>
      <c r="I147" s="9">
        <v>1</v>
      </c>
      <c r="J147" s="9">
        <v>600</v>
      </c>
      <c r="K147" s="102">
        <f t="shared" si="30"/>
        <v>600</v>
      </c>
      <c r="L147" s="80">
        <v>46112</v>
      </c>
      <c r="M147" s="105"/>
      <c r="N147" s="95" t="s">
        <v>372</v>
      </c>
      <c r="O147" s="96"/>
      <c r="P147" s="106">
        <f t="shared" si="25"/>
        <v>600</v>
      </c>
      <c r="Q147" s="106">
        <f t="shared" si="26"/>
        <v>600</v>
      </c>
      <c r="R147" s="106"/>
      <c r="S147" s="95" t="s">
        <v>185</v>
      </c>
      <c r="T147" s="96"/>
      <c r="U147" s="106">
        <f t="shared" si="27"/>
        <v>600</v>
      </c>
      <c r="V147" s="106">
        <f t="shared" si="28"/>
        <v>1</v>
      </c>
      <c r="W147" s="105">
        <f t="shared" si="29"/>
        <v>600</v>
      </c>
      <c r="X147" s="95" t="s">
        <v>186</v>
      </c>
      <c r="Y147" s="107" t="s">
        <v>181</v>
      </c>
      <c r="Z147" s="107" t="s">
        <v>176</v>
      </c>
    </row>
    <row r="148" spans="1:26" s="107" customFormat="1" ht="15" customHeight="1" x14ac:dyDescent="0.2">
      <c r="A148" s="101">
        <f t="shared" si="31"/>
        <v>146</v>
      </c>
      <c r="B148" s="77" t="s">
        <v>287</v>
      </c>
      <c r="C148" s="102" t="str">
        <f>IF($B148&lt;&gt;"",_xlfn.IFNA(VLOOKUP($B148,'Node Details'!$B:$U,C$1,0),"Check"),"")</f>
        <v>AXY080106-AXY080201</v>
      </c>
      <c r="D148" s="102" t="str">
        <f>IF($B148&lt;&gt;"",_xlfn.IFNA(VLOOKUP($B148,'Node Details'!$B:$U,D$1,0),"Check"),"")</f>
        <v>AXY</v>
      </c>
      <c r="E148" s="102" t="str">
        <f>IF($B148&lt;&gt;"",_xlfn.IFNA(VLOOKUP($B148,'Node Details'!$B:$U,E$1,0),"Check"),"")</f>
        <v>Airtel</v>
      </c>
      <c r="F148" s="103">
        <v>46113</v>
      </c>
      <c r="G148" s="105"/>
      <c r="H148" s="104" t="s">
        <v>182</v>
      </c>
      <c r="I148" s="9">
        <v>1</v>
      </c>
      <c r="J148" s="9">
        <v>600</v>
      </c>
      <c r="K148" s="102">
        <f t="shared" si="30"/>
        <v>600</v>
      </c>
      <c r="L148" s="80">
        <v>46112</v>
      </c>
      <c r="M148" s="105"/>
      <c r="N148" s="95" t="s">
        <v>372</v>
      </c>
      <c r="O148" s="96"/>
      <c r="P148" s="106">
        <f t="shared" si="25"/>
        <v>600</v>
      </c>
      <c r="Q148" s="106">
        <f t="shared" si="26"/>
        <v>600</v>
      </c>
      <c r="R148" s="106"/>
      <c r="S148" s="95" t="s">
        <v>185</v>
      </c>
      <c r="T148" s="96"/>
      <c r="U148" s="106">
        <f t="shared" si="27"/>
        <v>600</v>
      </c>
      <c r="V148" s="106">
        <f t="shared" si="28"/>
        <v>1</v>
      </c>
      <c r="W148" s="105">
        <f t="shared" si="29"/>
        <v>600</v>
      </c>
      <c r="X148" s="95" t="s">
        <v>186</v>
      </c>
      <c r="Y148" s="107" t="s">
        <v>181</v>
      </c>
      <c r="Z148" s="107" t="s">
        <v>176</v>
      </c>
    </row>
    <row r="149" spans="1:26" s="107" customFormat="1" ht="15" customHeight="1" x14ac:dyDescent="0.2">
      <c r="A149" s="101">
        <f t="shared" si="31"/>
        <v>147</v>
      </c>
      <c r="B149" s="77" t="s">
        <v>288</v>
      </c>
      <c r="C149" s="102" t="str">
        <f>IF($B149&lt;&gt;"",_xlfn.IFNA(VLOOKUP($B149,'Node Details'!$B:$U,C$1,0),"Check"),"")</f>
        <v>AXY080106-AXY080201</v>
      </c>
      <c r="D149" s="102" t="str">
        <f>IF($B149&lt;&gt;"",_xlfn.IFNA(VLOOKUP($B149,'Node Details'!$B:$U,D$1,0),"Check"),"")</f>
        <v>AXY</v>
      </c>
      <c r="E149" s="102" t="str">
        <f>IF($B149&lt;&gt;"",_xlfn.IFNA(VLOOKUP($B149,'Node Details'!$B:$U,E$1,0),"Check"),"")</f>
        <v>Airtel</v>
      </c>
      <c r="F149" s="103">
        <v>46113</v>
      </c>
      <c r="G149" s="105"/>
      <c r="H149" s="104" t="s">
        <v>182</v>
      </c>
      <c r="I149" s="9">
        <v>1</v>
      </c>
      <c r="J149" s="9">
        <v>600</v>
      </c>
      <c r="K149" s="102">
        <f t="shared" si="30"/>
        <v>600</v>
      </c>
      <c r="L149" s="80">
        <v>46112</v>
      </c>
      <c r="M149" s="105"/>
      <c r="N149" s="95" t="s">
        <v>372</v>
      </c>
      <c r="O149" s="96"/>
      <c r="P149" s="106">
        <f t="shared" si="25"/>
        <v>600</v>
      </c>
      <c r="Q149" s="106">
        <f t="shared" si="26"/>
        <v>600</v>
      </c>
      <c r="R149" s="106"/>
      <c r="S149" s="95" t="s">
        <v>185</v>
      </c>
      <c r="T149" s="96"/>
      <c r="U149" s="106">
        <f t="shared" si="27"/>
        <v>600</v>
      </c>
      <c r="V149" s="106">
        <f t="shared" si="28"/>
        <v>1</v>
      </c>
      <c r="W149" s="105">
        <f t="shared" si="29"/>
        <v>600</v>
      </c>
      <c r="X149" s="95" t="s">
        <v>186</v>
      </c>
      <c r="Y149" s="107" t="s">
        <v>181</v>
      </c>
      <c r="Z149" s="107" t="s">
        <v>176</v>
      </c>
    </row>
    <row r="150" spans="1:26" s="107" customFormat="1" ht="15" customHeight="1" x14ac:dyDescent="0.2">
      <c r="A150" s="101">
        <f t="shared" si="31"/>
        <v>148</v>
      </c>
      <c r="B150" s="77" t="s">
        <v>290</v>
      </c>
      <c r="C150" s="102" t="str">
        <f>IF($B150&lt;&gt;"",_xlfn.IFNA(VLOOKUP($B150,'Node Details'!$B:$U,C$1,0),"Check"),"")</f>
        <v>0000AXY09-AXY090101</v>
      </c>
      <c r="D150" s="102" t="str">
        <f>IF($B150&lt;&gt;"",_xlfn.IFNA(VLOOKUP($B150,'Node Details'!$B:$U,D$1,0),"Check"),"")</f>
        <v>AXY</v>
      </c>
      <c r="E150" s="102" t="str">
        <f>IF($B150&lt;&gt;"",_xlfn.IFNA(VLOOKUP($B150,'Node Details'!$B:$U,E$1,0),"Check"),"")</f>
        <v>Airtel</v>
      </c>
      <c r="F150" s="103">
        <v>46113</v>
      </c>
      <c r="G150" s="105"/>
      <c r="H150" s="104" t="s">
        <v>182</v>
      </c>
      <c r="I150" s="9">
        <v>1</v>
      </c>
      <c r="J150" s="9">
        <v>600</v>
      </c>
      <c r="K150" s="102">
        <f t="shared" si="30"/>
        <v>600</v>
      </c>
      <c r="L150" s="80">
        <v>46112</v>
      </c>
      <c r="M150" s="105"/>
      <c r="N150" s="95" t="s">
        <v>372</v>
      </c>
      <c r="O150" s="96"/>
      <c r="P150" s="106">
        <f t="shared" si="25"/>
        <v>600</v>
      </c>
      <c r="Q150" s="106">
        <f t="shared" si="26"/>
        <v>600</v>
      </c>
      <c r="R150" s="106"/>
      <c r="S150" s="95" t="s">
        <v>185</v>
      </c>
      <c r="T150" s="96"/>
      <c r="U150" s="106">
        <f t="shared" si="27"/>
        <v>600</v>
      </c>
      <c r="V150" s="106">
        <f t="shared" si="28"/>
        <v>1</v>
      </c>
      <c r="W150" s="105">
        <f t="shared" si="29"/>
        <v>600</v>
      </c>
      <c r="X150" s="95" t="s">
        <v>186</v>
      </c>
      <c r="Y150" s="107" t="s">
        <v>181</v>
      </c>
      <c r="Z150" s="107" t="s">
        <v>176</v>
      </c>
    </row>
    <row r="151" spans="1:26" s="107" customFormat="1" ht="15" customHeight="1" x14ac:dyDescent="0.2">
      <c r="A151" s="101">
        <f t="shared" si="31"/>
        <v>149</v>
      </c>
      <c r="B151" s="77" t="s">
        <v>291</v>
      </c>
      <c r="C151" s="102" t="str">
        <f>IF($B151&lt;&gt;"",_xlfn.IFNA(VLOOKUP($B151,'Node Details'!$B:$U,C$1,0),"Check"),"")</f>
        <v>0000AXY09-AXY090105</v>
      </c>
      <c r="D151" s="102" t="str">
        <f>IF($B151&lt;&gt;"",_xlfn.IFNA(VLOOKUP($B151,'Node Details'!$B:$U,D$1,0),"Check"),"")</f>
        <v>AXY</v>
      </c>
      <c r="E151" s="102" t="str">
        <f>IF($B151&lt;&gt;"",_xlfn.IFNA(VLOOKUP($B151,'Node Details'!$B:$U,E$1,0),"Check"),"")</f>
        <v>Airtel</v>
      </c>
      <c r="F151" s="103">
        <v>46113</v>
      </c>
      <c r="G151" s="105"/>
      <c r="H151" s="104" t="s">
        <v>182</v>
      </c>
      <c r="I151" s="9">
        <v>1</v>
      </c>
      <c r="J151" s="9">
        <v>600</v>
      </c>
      <c r="K151" s="102">
        <f t="shared" si="30"/>
        <v>600</v>
      </c>
      <c r="L151" s="80">
        <v>46112</v>
      </c>
      <c r="M151" s="105"/>
      <c r="N151" s="95" t="s">
        <v>372</v>
      </c>
      <c r="O151" s="96"/>
      <c r="P151" s="106">
        <f t="shared" si="25"/>
        <v>600</v>
      </c>
      <c r="Q151" s="106">
        <f t="shared" si="26"/>
        <v>600</v>
      </c>
      <c r="R151" s="106"/>
      <c r="S151" s="95" t="s">
        <v>185</v>
      </c>
      <c r="T151" s="96"/>
      <c r="U151" s="106">
        <f t="shared" si="27"/>
        <v>600</v>
      </c>
      <c r="V151" s="106">
        <f t="shared" si="28"/>
        <v>1</v>
      </c>
      <c r="W151" s="105">
        <f t="shared" si="29"/>
        <v>600</v>
      </c>
      <c r="X151" s="95" t="s">
        <v>186</v>
      </c>
      <c r="Y151" s="107" t="s">
        <v>181</v>
      </c>
      <c r="Z151" s="107" t="s">
        <v>176</v>
      </c>
    </row>
    <row r="152" spans="1:26" s="107" customFormat="1" ht="15" customHeight="1" x14ac:dyDescent="0.2">
      <c r="A152" s="101">
        <f t="shared" si="31"/>
        <v>150</v>
      </c>
      <c r="B152" s="77" t="s">
        <v>292</v>
      </c>
      <c r="C152" s="102" t="str">
        <f>IF($B152&lt;&gt;"",_xlfn.IFNA(VLOOKUP($B152,'Node Details'!$B:$U,C$1,0),"Check"),"")</f>
        <v>0000AXY09-AXY090105</v>
      </c>
      <c r="D152" s="102" t="str">
        <f>IF($B152&lt;&gt;"",_xlfn.IFNA(VLOOKUP($B152,'Node Details'!$B:$U,D$1,0),"Check"),"")</f>
        <v>AXY</v>
      </c>
      <c r="E152" s="102" t="str">
        <f>IF($B152&lt;&gt;"",_xlfn.IFNA(VLOOKUP($B152,'Node Details'!$B:$U,E$1,0),"Check"),"")</f>
        <v>Airtel</v>
      </c>
      <c r="F152" s="103">
        <v>46113</v>
      </c>
      <c r="G152" s="105"/>
      <c r="H152" s="104" t="s">
        <v>182</v>
      </c>
      <c r="I152" s="9">
        <v>1</v>
      </c>
      <c r="J152" s="9">
        <v>600</v>
      </c>
      <c r="K152" s="102">
        <f t="shared" si="30"/>
        <v>600</v>
      </c>
      <c r="L152" s="80">
        <v>46112</v>
      </c>
      <c r="M152" s="105"/>
      <c r="N152" s="95" t="s">
        <v>372</v>
      </c>
      <c r="O152" s="96"/>
      <c r="P152" s="106">
        <f t="shared" si="25"/>
        <v>600</v>
      </c>
      <c r="Q152" s="106">
        <f t="shared" si="26"/>
        <v>600</v>
      </c>
      <c r="R152" s="106"/>
      <c r="S152" s="95" t="s">
        <v>185</v>
      </c>
      <c r="T152" s="96"/>
      <c r="U152" s="106">
        <f t="shared" si="27"/>
        <v>600</v>
      </c>
      <c r="V152" s="106">
        <f t="shared" si="28"/>
        <v>1</v>
      </c>
      <c r="W152" s="105">
        <f t="shared" si="29"/>
        <v>600</v>
      </c>
      <c r="X152" s="95" t="s">
        <v>186</v>
      </c>
      <c r="Y152" s="107" t="s">
        <v>181</v>
      </c>
      <c r="Z152" s="107" t="s">
        <v>176</v>
      </c>
    </row>
    <row r="153" spans="1:26" s="107" customFormat="1" ht="15" customHeight="1" x14ac:dyDescent="0.2">
      <c r="A153" s="101">
        <f t="shared" si="31"/>
        <v>151</v>
      </c>
      <c r="B153" s="77" t="s">
        <v>293</v>
      </c>
      <c r="C153" s="102" t="str">
        <f>IF($B153&lt;&gt;"",_xlfn.IFNA(VLOOKUP($B153,'Node Details'!$B:$U,C$1,0),"Check"),"")</f>
        <v>0000AXY09-AXY090105</v>
      </c>
      <c r="D153" s="102" t="str">
        <f>IF($B153&lt;&gt;"",_xlfn.IFNA(VLOOKUP($B153,'Node Details'!$B:$U,D$1,0),"Check"),"")</f>
        <v>AXY</v>
      </c>
      <c r="E153" s="102" t="str">
        <f>IF($B153&lt;&gt;"",_xlfn.IFNA(VLOOKUP($B153,'Node Details'!$B:$U,E$1,0),"Check"),"")</f>
        <v>Airtel</v>
      </c>
      <c r="F153" s="103">
        <v>46113</v>
      </c>
      <c r="G153" s="105"/>
      <c r="H153" s="104" t="s">
        <v>182</v>
      </c>
      <c r="I153" s="9">
        <v>1</v>
      </c>
      <c r="J153" s="9">
        <v>600</v>
      </c>
      <c r="K153" s="102">
        <f t="shared" si="30"/>
        <v>600</v>
      </c>
      <c r="L153" s="80">
        <v>46112</v>
      </c>
      <c r="M153" s="105"/>
      <c r="N153" s="95" t="s">
        <v>372</v>
      </c>
      <c r="O153" s="96"/>
      <c r="P153" s="106">
        <f t="shared" si="25"/>
        <v>600</v>
      </c>
      <c r="Q153" s="106">
        <f t="shared" si="26"/>
        <v>600</v>
      </c>
      <c r="R153" s="106"/>
      <c r="S153" s="95" t="s">
        <v>185</v>
      </c>
      <c r="T153" s="96"/>
      <c r="U153" s="106">
        <f t="shared" si="27"/>
        <v>600</v>
      </c>
      <c r="V153" s="106">
        <f t="shared" si="28"/>
        <v>1</v>
      </c>
      <c r="W153" s="105">
        <f t="shared" si="29"/>
        <v>600</v>
      </c>
      <c r="X153" s="95" t="s">
        <v>186</v>
      </c>
      <c r="Y153" s="107" t="s">
        <v>181</v>
      </c>
      <c r="Z153" s="107" t="s">
        <v>176</v>
      </c>
    </row>
    <row r="154" spans="1:26" s="107" customFormat="1" ht="15" customHeight="1" x14ac:dyDescent="0.2">
      <c r="A154" s="101">
        <f t="shared" si="31"/>
        <v>152</v>
      </c>
      <c r="B154" s="77" t="s">
        <v>294</v>
      </c>
      <c r="C154" s="102" t="str">
        <f>IF($B154&lt;&gt;"",_xlfn.IFNA(VLOOKUP($B154,'Node Details'!$B:$U,C$1,0),"Check"),"")</f>
        <v>0000AXY09-AXY090201</v>
      </c>
      <c r="D154" s="102" t="str">
        <f>IF($B154&lt;&gt;"",_xlfn.IFNA(VLOOKUP($B154,'Node Details'!$B:$U,D$1,0),"Check"),"")</f>
        <v>AXY</v>
      </c>
      <c r="E154" s="102" t="str">
        <f>IF($B154&lt;&gt;"",_xlfn.IFNA(VLOOKUP($B154,'Node Details'!$B:$U,E$1,0),"Check"),"")</f>
        <v>Airtel</v>
      </c>
      <c r="F154" s="103">
        <v>46113</v>
      </c>
      <c r="G154" s="105"/>
      <c r="H154" s="104" t="s">
        <v>182</v>
      </c>
      <c r="I154" s="9">
        <v>1</v>
      </c>
      <c r="J154" s="9">
        <v>600</v>
      </c>
      <c r="K154" s="102">
        <f t="shared" si="30"/>
        <v>600</v>
      </c>
      <c r="L154" s="80">
        <v>46112</v>
      </c>
      <c r="M154" s="105"/>
      <c r="N154" s="95" t="s">
        <v>372</v>
      </c>
      <c r="O154" s="96"/>
      <c r="P154" s="106">
        <f t="shared" si="25"/>
        <v>600</v>
      </c>
      <c r="Q154" s="106">
        <f t="shared" si="26"/>
        <v>600</v>
      </c>
      <c r="R154" s="106"/>
      <c r="S154" s="95" t="s">
        <v>185</v>
      </c>
      <c r="T154" s="96"/>
      <c r="U154" s="106">
        <f t="shared" si="27"/>
        <v>600</v>
      </c>
      <c r="V154" s="106">
        <f t="shared" si="28"/>
        <v>1</v>
      </c>
      <c r="W154" s="105">
        <f t="shared" si="29"/>
        <v>600</v>
      </c>
      <c r="X154" s="95" t="s">
        <v>186</v>
      </c>
      <c r="Y154" s="107" t="s">
        <v>181</v>
      </c>
      <c r="Z154" s="107" t="s">
        <v>176</v>
      </c>
    </row>
    <row r="155" spans="1:26" s="107" customFormat="1" ht="15" customHeight="1" x14ac:dyDescent="0.2">
      <c r="A155" s="101">
        <f t="shared" si="31"/>
        <v>153</v>
      </c>
      <c r="B155" s="77" t="s">
        <v>295</v>
      </c>
      <c r="C155" s="102" t="str">
        <f>IF($B155&lt;&gt;"",_xlfn.IFNA(VLOOKUP($B155,'Node Details'!$B:$U,C$1,0),"Check"),"")</f>
        <v>0000AXY09-AXY090201</v>
      </c>
      <c r="D155" s="102" t="str">
        <f>IF($B155&lt;&gt;"",_xlfn.IFNA(VLOOKUP($B155,'Node Details'!$B:$U,D$1,0),"Check"),"")</f>
        <v>AXY</v>
      </c>
      <c r="E155" s="102" t="str">
        <f>IF($B155&lt;&gt;"",_xlfn.IFNA(VLOOKUP($B155,'Node Details'!$B:$U,E$1,0),"Check"),"")</f>
        <v>Airtel</v>
      </c>
      <c r="F155" s="103">
        <v>46113</v>
      </c>
      <c r="G155" s="105"/>
      <c r="H155" s="104" t="s">
        <v>182</v>
      </c>
      <c r="I155" s="9">
        <v>1</v>
      </c>
      <c r="J155" s="9">
        <v>600</v>
      </c>
      <c r="K155" s="102">
        <f t="shared" si="30"/>
        <v>600</v>
      </c>
      <c r="L155" s="80">
        <v>46112</v>
      </c>
      <c r="M155" s="105"/>
      <c r="N155" s="95" t="s">
        <v>372</v>
      </c>
      <c r="O155" s="96"/>
      <c r="P155" s="106">
        <f t="shared" si="25"/>
        <v>600</v>
      </c>
      <c r="Q155" s="106">
        <f t="shared" si="26"/>
        <v>600</v>
      </c>
      <c r="R155" s="106"/>
      <c r="S155" s="95" t="s">
        <v>185</v>
      </c>
      <c r="T155" s="96"/>
      <c r="U155" s="106">
        <f t="shared" si="27"/>
        <v>600</v>
      </c>
      <c r="V155" s="106">
        <f t="shared" si="28"/>
        <v>1</v>
      </c>
      <c r="W155" s="105">
        <f t="shared" si="29"/>
        <v>600</v>
      </c>
      <c r="X155" s="95" t="s">
        <v>186</v>
      </c>
      <c r="Y155" s="107" t="s">
        <v>181</v>
      </c>
      <c r="Z155" s="107" t="s">
        <v>176</v>
      </c>
    </row>
    <row r="156" spans="1:26" s="107" customFormat="1" ht="15" customHeight="1" x14ac:dyDescent="0.2">
      <c r="A156" s="101">
        <f t="shared" si="31"/>
        <v>154</v>
      </c>
      <c r="B156" s="77" t="s">
        <v>296</v>
      </c>
      <c r="C156" s="102" t="str">
        <f>IF($B156&lt;&gt;"",_xlfn.IFNA(VLOOKUP($B156,'Node Details'!$B:$U,C$1,0),"Check"),"")</f>
        <v>0000AXY09-AXY090201</v>
      </c>
      <c r="D156" s="102" t="str">
        <f>IF($B156&lt;&gt;"",_xlfn.IFNA(VLOOKUP($B156,'Node Details'!$B:$U,D$1,0),"Check"),"")</f>
        <v>AXY</v>
      </c>
      <c r="E156" s="102" t="str">
        <f>IF($B156&lt;&gt;"",_xlfn.IFNA(VLOOKUP($B156,'Node Details'!$B:$U,E$1,0),"Check"),"")</f>
        <v>Airtel</v>
      </c>
      <c r="F156" s="103">
        <v>46113</v>
      </c>
      <c r="G156" s="105"/>
      <c r="H156" s="104" t="s">
        <v>182</v>
      </c>
      <c r="I156" s="9">
        <v>1</v>
      </c>
      <c r="J156" s="9">
        <v>600</v>
      </c>
      <c r="K156" s="102">
        <f t="shared" si="30"/>
        <v>600</v>
      </c>
      <c r="L156" s="80">
        <v>46112</v>
      </c>
      <c r="M156" s="105"/>
      <c r="N156" s="95" t="s">
        <v>372</v>
      </c>
      <c r="O156" s="96"/>
      <c r="P156" s="106">
        <f t="shared" si="25"/>
        <v>600</v>
      </c>
      <c r="Q156" s="106">
        <f t="shared" si="26"/>
        <v>600</v>
      </c>
      <c r="R156" s="106"/>
      <c r="S156" s="95" t="s">
        <v>185</v>
      </c>
      <c r="T156" s="96"/>
      <c r="U156" s="106">
        <f t="shared" si="27"/>
        <v>600</v>
      </c>
      <c r="V156" s="106">
        <f t="shared" si="28"/>
        <v>1</v>
      </c>
      <c r="W156" s="105">
        <f t="shared" si="29"/>
        <v>600</v>
      </c>
      <c r="X156" s="95" t="s">
        <v>186</v>
      </c>
      <c r="Y156" s="107" t="s">
        <v>181</v>
      </c>
      <c r="Z156" s="107" t="s">
        <v>176</v>
      </c>
    </row>
    <row r="157" spans="1:26" s="107" customFormat="1" ht="15" customHeight="1" x14ac:dyDescent="0.2">
      <c r="A157" s="101">
        <f t="shared" si="31"/>
        <v>155</v>
      </c>
      <c r="B157" s="77" t="s">
        <v>297</v>
      </c>
      <c r="C157" s="102" t="str">
        <f>IF($B157&lt;&gt;"",_xlfn.IFNA(VLOOKUP($B157,'Node Details'!$B:$U,C$1,0),"Check"),"")</f>
        <v>0000AXY09-AXY090201</v>
      </c>
      <c r="D157" s="102" t="str">
        <f>IF($B157&lt;&gt;"",_xlfn.IFNA(VLOOKUP($B157,'Node Details'!$B:$U,D$1,0),"Check"),"")</f>
        <v>AXY</v>
      </c>
      <c r="E157" s="102" t="str">
        <f>IF($B157&lt;&gt;"",_xlfn.IFNA(VLOOKUP($B157,'Node Details'!$B:$U,E$1,0),"Check"),"")</f>
        <v>Airtel</v>
      </c>
      <c r="F157" s="103">
        <v>46113</v>
      </c>
      <c r="G157" s="105"/>
      <c r="H157" s="104" t="s">
        <v>182</v>
      </c>
      <c r="I157" s="9">
        <v>1</v>
      </c>
      <c r="J157" s="9">
        <v>600</v>
      </c>
      <c r="K157" s="102">
        <f t="shared" si="30"/>
        <v>600</v>
      </c>
      <c r="L157" s="80">
        <v>46112</v>
      </c>
      <c r="M157" s="105"/>
      <c r="N157" s="95" t="s">
        <v>372</v>
      </c>
      <c r="O157" s="96"/>
      <c r="P157" s="106">
        <f t="shared" ref="P157:P220" si="32">J157</f>
        <v>600</v>
      </c>
      <c r="Q157" s="106">
        <f t="shared" ref="Q157:Q220" si="33">P157*I157</f>
        <v>600</v>
      </c>
      <c r="R157" s="106"/>
      <c r="S157" s="95" t="s">
        <v>185</v>
      </c>
      <c r="T157" s="96"/>
      <c r="U157" s="106">
        <f t="shared" ref="U157:U220" si="34">J157</f>
        <v>600</v>
      </c>
      <c r="V157" s="106">
        <f t="shared" ref="V157:V220" si="35">I157</f>
        <v>1</v>
      </c>
      <c r="W157" s="105">
        <f t="shared" ref="W157:W220" si="36">IF(V157&lt;&gt;"",V157*U157,0)</f>
        <v>600</v>
      </c>
      <c r="X157" s="95" t="s">
        <v>186</v>
      </c>
      <c r="Y157" s="107" t="s">
        <v>181</v>
      </c>
      <c r="Z157" s="107" t="s">
        <v>176</v>
      </c>
    </row>
    <row r="158" spans="1:26" s="107" customFormat="1" ht="15" customHeight="1" x14ac:dyDescent="0.2">
      <c r="A158" s="101">
        <f t="shared" si="31"/>
        <v>156</v>
      </c>
      <c r="B158" s="77" t="s">
        <v>298</v>
      </c>
      <c r="C158" s="102" t="str">
        <f>IF($B158&lt;&gt;"",_xlfn.IFNA(VLOOKUP($B158,'Node Details'!$B:$U,C$1,0),"Check"),"")</f>
        <v>AXY090201-AXY090204</v>
      </c>
      <c r="D158" s="102" t="str">
        <f>IF($B158&lt;&gt;"",_xlfn.IFNA(VLOOKUP($B158,'Node Details'!$B:$U,D$1,0),"Check"),"")</f>
        <v>AXY</v>
      </c>
      <c r="E158" s="102" t="str">
        <f>IF($B158&lt;&gt;"",_xlfn.IFNA(VLOOKUP($B158,'Node Details'!$B:$U,E$1,0),"Check"),"")</f>
        <v>Airtel</v>
      </c>
      <c r="F158" s="103">
        <v>46113</v>
      </c>
      <c r="G158" s="105"/>
      <c r="H158" s="104" t="s">
        <v>182</v>
      </c>
      <c r="I158" s="9">
        <v>1</v>
      </c>
      <c r="J158" s="9">
        <v>600</v>
      </c>
      <c r="K158" s="102">
        <f t="shared" ref="K158:K221" si="37">IF(I158&lt;&gt;"",J158*I158,0)</f>
        <v>600</v>
      </c>
      <c r="L158" s="80">
        <v>46112</v>
      </c>
      <c r="M158" s="105"/>
      <c r="N158" s="95" t="s">
        <v>372</v>
      </c>
      <c r="O158" s="96"/>
      <c r="P158" s="106">
        <f t="shared" si="32"/>
        <v>600</v>
      </c>
      <c r="Q158" s="106">
        <f t="shared" si="33"/>
        <v>600</v>
      </c>
      <c r="R158" s="106"/>
      <c r="S158" s="95" t="s">
        <v>185</v>
      </c>
      <c r="T158" s="96"/>
      <c r="U158" s="106">
        <f t="shared" si="34"/>
        <v>600</v>
      </c>
      <c r="V158" s="106">
        <f t="shared" si="35"/>
        <v>1</v>
      </c>
      <c r="W158" s="105">
        <f t="shared" si="36"/>
        <v>600</v>
      </c>
      <c r="X158" s="95" t="s">
        <v>186</v>
      </c>
      <c r="Y158" s="107" t="s">
        <v>181</v>
      </c>
      <c r="Z158" s="107" t="s">
        <v>176</v>
      </c>
    </row>
    <row r="159" spans="1:26" s="107" customFormat="1" ht="15" customHeight="1" x14ac:dyDescent="0.2">
      <c r="A159" s="101">
        <f t="shared" si="31"/>
        <v>157</v>
      </c>
      <c r="B159" s="77" t="s">
        <v>299</v>
      </c>
      <c r="C159" s="102" t="str">
        <f>IF($B159&lt;&gt;"",_xlfn.IFNA(VLOOKUP($B159,'Node Details'!$B:$U,C$1,0),"Check"),"")</f>
        <v>AXY090201-AXY090204</v>
      </c>
      <c r="D159" s="102" t="str">
        <f>IF($B159&lt;&gt;"",_xlfn.IFNA(VLOOKUP($B159,'Node Details'!$B:$U,D$1,0),"Check"),"")</f>
        <v>AXY</v>
      </c>
      <c r="E159" s="102" t="str">
        <f>IF($B159&lt;&gt;"",_xlfn.IFNA(VLOOKUP($B159,'Node Details'!$B:$U,E$1,0),"Check"),"")</f>
        <v>Airtel</v>
      </c>
      <c r="F159" s="103">
        <v>46113</v>
      </c>
      <c r="G159" s="105"/>
      <c r="H159" s="104" t="s">
        <v>182</v>
      </c>
      <c r="I159" s="9">
        <v>1</v>
      </c>
      <c r="J159" s="9">
        <v>600</v>
      </c>
      <c r="K159" s="102">
        <f t="shared" si="37"/>
        <v>600</v>
      </c>
      <c r="L159" s="80">
        <v>46112</v>
      </c>
      <c r="M159" s="105"/>
      <c r="N159" s="95" t="s">
        <v>372</v>
      </c>
      <c r="O159" s="96"/>
      <c r="P159" s="106">
        <f t="shared" si="32"/>
        <v>600</v>
      </c>
      <c r="Q159" s="106">
        <f t="shared" si="33"/>
        <v>600</v>
      </c>
      <c r="R159" s="106"/>
      <c r="S159" s="95" t="s">
        <v>185</v>
      </c>
      <c r="T159" s="96"/>
      <c r="U159" s="106">
        <f t="shared" si="34"/>
        <v>600</v>
      </c>
      <c r="V159" s="106">
        <f t="shared" si="35"/>
        <v>1</v>
      </c>
      <c r="W159" s="105">
        <f t="shared" si="36"/>
        <v>600</v>
      </c>
      <c r="X159" s="95" t="s">
        <v>186</v>
      </c>
      <c r="Y159" s="107" t="s">
        <v>181</v>
      </c>
      <c r="Z159" s="107" t="s">
        <v>176</v>
      </c>
    </row>
    <row r="160" spans="1:26" s="107" customFormat="1" ht="15" customHeight="1" x14ac:dyDescent="0.2">
      <c r="A160" s="101">
        <f t="shared" si="31"/>
        <v>158</v>
      </c>
      <c r="B160" s="77" t="s">
        <v>300</v>
      </c>
      <c r="C160" s="102" t="str">
        <f>IF($B160&lt;&gt;"",_xlfn.IFNA(VLOOKUP($B160,'Node Details'!$B:$U,C$1,0),"Check"),"")</f>
        <v>AXY090201-AXY090204</v>
      </c>
      <c r="D160" s="102" t="str">
        <f>IF($B160&lt;&gt;"",_xlfn.IFNA(VLOOKUP($B160,'Node Details'!$B:$U,D$1,0),"Check"),"")</f>
        <v>AXY</v>
      </c>
      <c r="E160" s="102" t="str">
        <f>IF($B160&lt;&gt;"",_xlfn.IFNA(VLOOKUP($B160,'Node Details'!$B:$U,E$1,0),"Check"),"")</f>
        <v>Airtel</v>
      </c>
      <c r="F160" s="103">
        <v>46113</v>
      </c>
      <c r="G160" s="105"/>
      <c r="H160" s="104" t="s">
        <v>182</v>
      </c>
      <c r="I160" s="9">
        <v>1</v>
      </c>
      <c r="J160" s="9">
        <v>600</v>
      </c>
      <c r="K160" s="102">
        <f t="shared" si="37"/>
        <v>600</v>
      </c>
      <c r="L160" s="80">
        <v>46112</v>
      </c>
      <c r="M160" s="105"/>
      <c r="N160" s="95" t="s">
        <v>372</v>
      </c>
      <c r="O160" s="96"/>
      <c r="P160" s="106">
        <f t="shared" si="32"/>
        <v>600</v>
      </c>
      <c r="Q160" s="106">
        <f t="shared" si="33"/>
        <v>600</v>
      </c>
      <c r="R160" s="106"/>
      <c r="S160" s="95" t="s">
        <v>185</v>
      </c>
      <c r="T160" s="96"/>
      <c r="U160" s="106">
        <f t="shared" si="34"/>
        <v>600</v>
      </c>
      <c r="V160" s="106">
        <f t="shared" si="35"/>
        <v>1</v>
      </c>
      <c r="W160" s="105">
        <f t="shared" si="36"/>
        <v>600</v>
      </c>
      <c r="X160" s="95" t="s">
        <v>186</v>
      </c>
      <c r="Y160" s="107" t="s">
        <v>181</v>
      </c>
      <c r="Z160" s="107" t="s">
        <v>176</v>
      </c>
    </row>
    <row r="161" spans="1:26" s="107" customFormat="1" ht="15" customHeight="1" x14ac:dyDescent="0.2">
      <c r="A161" s="101">
        <f t="shared" si="31"/>
        <v>159</v>
      </c>
      <c r="B161" s="77" t="s">
        <v>302</v>
      </c>
      <c r="C161" s="102" t="str">
        <f>IF($B161&lt;&gt;"",_xlfn.IFNA(VLOOKUP($B161,'Node Details'!$B:$U,C$1,0),"Check"),"")</f>
        <v>0000AXY10-AXY100104</v>
      </c>
      <c r="D161" s="102" t="str">
        <f>IF($B161&lt;&gt;"",_xlfn.IFNA(VLOOKUP($B161,'Node Details'!$B:$U,D$1,0),"Check"),"")</f>
        <v>AXY</v>
      </c>
      <c r="E161" s="102" t="str">
        <f>IF($B161&lt;&gt;"",_xlfn.IFNA(VLOOKUP($B161,'Node Details'!$B:$U,E$1,0),"Check"),"")</f>
        <v>Airtel</v>
      </c>
      <c r="F161" s="103">
        <v>46113</v>
      </c>
      <c r="G161" s="105"/>
      <c r="H161" s="104" t="s">
        <v>182</v>
      </c>
      <c r="I161" s="9">
        <v>1</v>
      </c>
      <c r="J161" s="9">
        <v>600</v>
      </c>
      <c r="K161" s="102">
        <f t="shared" si="37"/>
        <v>600</v>
      </c>
      <c r="L161" s="80">
        <v>46112</v>
      </c>
      <c r="M161" s="105"/>
      <c r="N161" s="95" t="s">
        <v>372</v>
      </c>
      <c r="O161" s="96"/>
      <c r="P161" s="106">
        <f t="shared" si="32"/>
        <v>600</v>
      </c>
      <c r="Q161" s="106">
        <f t="shared" si="33"/>
        <v>600</v>
      </c>
      <c r="R161" s="106"/>
      <c r="S161" s="95" t="s">
        <v>185</v>
      </c>
      <c r="T161" s="96"/>
      <c r="U161" s="106">
        <f t="shared" si="34"/>
        <v>600</v>
      </c>
      <c r="V161" s="106">
        <f t="shared" si="35"/>
        <v>1</v>
      </c>
      <c r="W161" s="105">
        <f t="shared" si="36"/>
        <v>600</v>
      </c>
      <c r="X161" s="95" t="s">
        <v>186</v>
      </c>
      <c r="Y161" s="107" t="s">
        <v>181</v>
      </c>
      <c r="Z161" s="107" t="s">
        <v>176</v>
      </c>
    </row>
    <row r="162" spans="1:26" s="107" customFormat="1" ht="15" customHeight="1" x14ac:dyDescent="0.2">
      <c r="A162" s="101">
        <f t="shared" si="31"/>
        <v>160</v>
      </c>
      <c r="B162" s="77" t="s">
        <v>303</v>
      </c>
      <c r="C162" s="102" t="str">
        <f>IF($B162&lt;&gt;"",_xlfn.IFNA(VLOOKUP($B162,'Node Details'!$B:$U,C$1,0),"Check"),"")</f>
        <v>0000AXY10-AXY100104</v>
      </c>
      <c r="D162" s="102" t="str">
        <f>IF($B162&lt;&gt;"",_xlfn.IFNA(VLOOKUP($B162,'Node Details'!$B:$U,D$1,0),"Check"),"")</f>
        <v>AXY</v>
      </c>
      <c r="E162" s="102" t="str">
        <f>IF($B162&lt;&gt;"",_xlfn.IFNA(VLOOKUP($B162,'Node Details'!$B:$U,E$1,0),"Check"),"")</f>
        <v>Airtel</v>
      </c>
      <c r="F162" s="103">
        <v>46113</v>
      </c>
      <c r="G162" s="105"/>
      <c r="H162" s="104" t="s">
        <v>182</v>
      </c>
      <c r="I162" s="9">
        <v>1</v>
      </c>
      <c r="J162" s="9">
        <v>600</v>
      </c>
      <c r="K162" s="102">
        <f t="shared" si="37"/>
        <v>600</v>
      </c>
      <c r="L162" s="80">
        <v>46112</v>
      </c>
      <c r="M162" s="105"/>
      <c r="N162" s="95" t="s">
        <v>372</v>
      </c>
      <c r="O162" s="96"/>
      <c r="P162" s="106">
        <f t="shared" si="32"/>
        <v>600</v>
      </c>
      <c r="Q162" s="106">
        <f t="shared" si="33"/>
        <v>600</v>
      </c>
      <c r="R162" s="106"/>
      <c r="S162" s="95" t="s">
        <v>185</v>
      </c>
      <c r="T162" s="96"/>
      <c r="U162" s="106">
        <f t="shared" si="34"/>
        <v>600</v>
      </c>
      <c r="V162" s="106">
        <f t="shared" si="35"/>
        <v>1</v>
      </c>
      <c r="W162" s="105">
        <f t="shared" si="36"/>
        <v>600</v>
      </c>
      <c r="X162" s="95" t="s">
        <v>186</v>
      </c>
      <c r="Y162" s="107" t="s">
        <v>181</v>
      </c>
      <c r="Z162" s="107" t="s">
        <v>176</v>
      </c>
    </row>
    <row r="163" spans="1:26" s="107" customFormat="1" ht="15" customHeight="1" x14ac:dyDescent="0.2">
      <c r="A163" s="101">
        <f t="shared" si="31"/>
        <v>161</v>
      </c>
      <c r="B163" s="77" t="s">
        <v>304</v>
      </c>
      <c r="C163" s="102" t="str">
        <f>IF($B163&lt;&gt;"",_xlfn.IFNA(VLOOKUP($B163,'Node Details'!$B:$U,C$1,0),"Check"),"")</f>
        <v>0000AXY10-AXY100104</v>
      </c>
      <c r="D163" s="102" t="str">
        <f>IF($B163&lt;&gt;"",_xlfn.IFNA(VLOOKUP($B163,'Node Details'!$B:$U,D$1,0),"Check"),"")</f>
        <v>AXY</v>
      </c>
      <c r="E163" s="102" t="str">
        <f>IF($B163&lt;&gt;"",_xlfn.IFNA(VLOOKUP($B163,'Node Details'!$B:$U,E$1,0),"Check"),"")</f>
        <v>Airtel</v>
      </c>
      <c r="F163" s="103">
        <v>46113</v>
      </c>
      <c r="G163" s="105"/>
      <c r="H163" s="104" t="s">
        <v>182</v>
      </c>
      <c r="I163" s="9">
        <v>1</v>
      </c>
      <c r="J163" s="9">
        <v>600</v>
      </c>
      <c r="K163" s="102">
        <f t="shared" si="37"/>
        <v>600</v>
      </c>
      <c r="L163" s="80">
        <v>46112</v>
      </c>
      <c r="M163" s="105"/>
      <c r="N163" s="95" t="s">
        <v>372</v>
      </c>
      <c r="O163" s="96"/>
      <c r="P163" s="106">
        <f t="shared" si="32"/>
        <v>600</v>
      </c>
      <c r="Q163" s="106">
        <f t="shared" si="33"/>
        <v>600</v>
      </c>
      <c r="R163" s="106"/>
      <c r="S163" s="95" t="s">
        <v>185</v>
      </c>
      <c r="T163" s="96"/>
      <c r="U163" s="106">
        <f t="shared" si="34"/>
        <v>600</v>
      </c>
      <c r="V163" s="106">
        <f t="shared" si="35"/>
        <v>1</v>
      </c>
      <c r="W163" s="105">
        <f t="shared" si="36"/>
        <v>600</v>
      </c>
      <c r="X163" s="95" t="s">
        <v>186</v>
      </c>
      <c r="Y163" s="107" t="s">
        <v>181</v>
      </c>
      <c r="Z163" s="107" t="s">
        <v>176</v>
      </c>
    </row>
    <row r="164" spans="1:26" s="107" customFormat="1" ht="15" customHeight="1" x14ac:dyDescent="0.2">
      <c r="A164" s="101">
        <f t="shared" si="31"/>
        <v>162</v>
      </c>
      <c r="B164" s="77" t="s">
        <v>305</v>
      </c>
      <c r="C164" s="102" t="str">
        <f>IF($B164&lt;&gt;"",_xlfn.IFNA(VLOOKUP($B164,'Node Details'!$B:$U,C$1,0),"Check"),"")</f>
        <v>0000AXY10-AXY100105</v>
      </c>
      <c r="D164" s="102" t="str">
        <f>IF($B164&lt;&gt;"",_xlfn.IFNA(VLOOKUP($B164,'Node Details'!$B:$U,D$1,0),"Check"),"")</f>
        <v>AXY</v>
      </c>
      <c r="E164" s="102" t="str">
        <f>IF($B164&lt;&gt;"",_xlfn.IFNA(VLOOKUP($B164,'Node Details'!$B:$U,E$1,0),"Check"),"")</f>
        <v>Airtel</v>
      </c>
      <c r="F164" s="103">
        <v>46113</v>
      </c>
      <c r="G164" s="105"/>
      <c r="H164" s="104" t="s">
        <v>182</v>
      </c>
      <c r="I164" s="9">
        <v>1</v>
      </c>
      <c r="J164" s="9">
        <v>600</v>
      </c>
      <c r="K164" s="102">
        <f t="shared" si="37"/>
        <v>600</v>
      </c>
      <c r="L164" s="80">
        <v>46112</v>
      </c>
      <c r="M164" s="105"/>
      <c r="N164" s="95" t="s">
        <v>372</v>
      </c>
      <c r="O164" s="96"/>
      <c r="P164" s="106">
        <f t="shared" si="32"/>
        <v>600</v>
      </c>
      <c r="Q164" s="106">
        <f t="shared" si="33"/>
        <v>600</v>
      </c>
      <c r="R164" s="106"/>
      <c r="S164" s="95" t="s">
        <v>185</v>
      </c>
      <c r="T164" s="96"/>
      <c r="U164" s="106">
        <f t="shared" si="34"/>
        <v>600</v>
      </c>
      <c r="V164" s="106">
        <f t="shared" si="35"/>
        <v>1</v>
      </c>
      <c r="W164" s="105">
        <f t="shared" si="36"/>
        <v>600</v>
      </c>
      <c r="X164" s="95" t="s">
        <v>186</v>
      </c>
      <c r="Y164" s="107" t="s">
        <v>181</v>
      </c>
      <c r="Z164" s="107" t="s">
        <v>176</v>
      </c>
    </row>
    <row r="165" spans="1:26" s="107" customFormat="1" ht="15" customHeight="1" x14ac:dyDescent="0.2">
      <c r="A165" s="101">
        <f t="shared" si="31"/>
        <v>163</v>
      </c>
      <c r="B165" s="77" t="s">
        <v>306</v>
      </c>
      <c r="C165" s="102" t="str">
        <f>IF($B165&lt;&gt;"",_xlfn.IFNA(VLOOKUP($B165,'Node Details'!$B:$U,C$1,0),"Check"),"")</f>
        <v>0000AXY10-AXY100105</v>
      </c>
      <c r="D165" s="102" t="str">
        <f>IF($B165&lt;&gt;"",_xlfn.IFNA(VLOOKUP($B165,'Node Details'!$B:$U,D$1,0),"Check"),"")</f>
        <v>AXY</v>
      </c>
      <c r="E165" s="102" t="str">
        <f>IF($B165&lt;&gt;"",_xlfn.IFNA(VLOOKUP($B165,'Node Details'!$B:$U,E$1,0),"Check"),"")</f>
        <v>Airtel</v>
      </c>
      <c r="F165" s="103">
        <v>46113</v>
      </c>
      <c r="G165" s="105"/>
      <c r="H165" s="104" t="s">
        <v>182</v>
      </c>
      <c r="I165" s="9">
        <v>1</v>
      </c>
      <c r="J165" s="9">
        <v>600</v>
      </c>
      <c r="K165" s="102">
        <f t="shared" si="37"/>
        <v>600</v>
      </c>
      <c r="L165" s="80">
        <v>46112</v>
      </c>
      <c r="M165" s="105"/>
      <c r="N165" s="95" t="s">
        <v>372</v>
      </c>
      <c r="O165" s="96"/>
      <c r="P165" s="106">
        <f t="shared" si="32"/>
        <v>600</v>
      </c>
      <c r="Q165" s="106">
        <f t="shared" si="33"/>
        <v>600</v>
      </c>
      <c r="R165" s="106"/>
      <c r="S165" s="95" t="s">
        <v>185</v>
      </c>
      <c r="T165" s="96"/>
      <c r="U165" s="106">
        <f t="shared" si="34"/>
        <v>600</v>
      </c>
      <c r="V165" s="106">
        <f t="shared" si="35"/>
        <v>1</v>
      </c>
      <c r="W165" s="105">
        <f t="shared" si="36"/>
        <v>600</v>
      </c>
      <c r="X165" s="95" t="s">
        <v>186</v>
      </c>
      <c r="Y165" s="107" t="s">
        <v>181</v>
      </c>
      <c r="Z165" s="107" t="s">
        <v>176</v>
      </c>
    </row>
    <row r="166" spans="1:26" s="107" customFormat="1" ht="15" customHeight="1" x14ac:dyDescent="0.2">
      <c r="A166" s="101">
        <f t="shared" si="31"/>
        <v>164</v>
      </c>
      <c r="B166" s="77" t="s">
        <v>307</v>
      </c>
      <c r="C166" s="102" t="str">
        <f>IF($B166&lt;&gt;"",_xlfn.IFNA(VLOOKUP($B166,'Node Details'!$B:$U,C$1,0),"Check"),"")</f>
        <v>AXY100106-AXY100201</v>
      </c>
      <c r="D166" s="102" t="str">
        <f>IF($B166&lt;&gt;"",_xlfn.IFNA(VLOOKUP($B166,'Node Details'!$B:$U,D$1,0),"Check"),"")</f>
        <v>AXY</v>
      </c>
      <c r="E166" s="102" t="str">
        <f>IF($B166&lt;&gt;"",_xlfn.IFNA(VLOOKUP($B166,'Node Details'!$B:$U,E$1,0),"Check"),"")</f>
        <v>Airtel</v>
      </c>
      <c r="F166" s="103">
        <v>46113</v>
      </c>
      <c r="G166" s="105"/>
      <c r="H166" s="104" t="s">
        <v>182</v>
      </c>
      <c r="I166" s="9">
        <v>1</v>
      </c>
      <c r="J166" s="9">
        <v>600</v>
      </c>
      <c r="K166" s="102">
        <f t="shared" si="37"/>
        <v>600</v>
      </c>
      <c r="L166" s="80">
        <v>46112</v>
      </c>
      <c r="M166" s="105"/>
      <c r="N166" s="95" t="s">
        <v>372</v>
      </c>
      <c r="O166" s="96"/>
      <c r="P166" s="106">
        <f t="shared" si="32"/>
        <v>600</v>
      </c>
      <c r="Q166" s="106">
        <f t="shared" si="33"/>
        <v>600</v>
      </c>
      <c r="R166" s="106"/>
      <c r="S166" s="95" t="s">
        <v>185</v>
      </c>
      <c r="T166" s="96"/>
      <c r="U166" s="106">
        <f t="shared" si="34"/>
        <v>600</v>
      </c>
      <c r="V166" s="106">
        <f t="shared" si="35"/>
        <v>1</v>
      </c>
      <c r="W166" s="105">
        <f t="shared" si="36"/>
        <v>600</v>
      </c>
      <c r="X166" s="95" t="s">
        <v>186</v>
      </c>
      <c r="Y166" s="107" t="s">
        <v>181</v>
      </c>
      <c r="Z166" s="107" t="s">
        <v>176</v>
      </c>
    </row>
    <row r="167" spans="1:26" s="107" customFormat="1" ht="15" customHeight="1" x14ac:dyDescent="0.2">
      <c r="A167" s="101">
        <f t="shared" si="31"/>
        <v>165</v>
      </c>
      <c r="B167" s="77" t="s">
        <v>308</v>
      </c>
      <c r="C167" s="102" t="str">
        <f>IF($B167&lt;&gt;"",_xlfn.IFNA(VLOOKUP($B167,'Node Details'!$B:$U,C$1,0),"Check"),"")</f>
        <v>AXY100106-AXY100201</v>
      </c>
      <c r="D167" s="102" t="str">
        <f>IF($B167&lt;&gt;"",_xlfn.IFNA(VLOOKUP($B167,'Node Details'!$B:$U,D$1,0),"Check"),"")</f>
        <v>AXY</v>
      </c>
      <c r="E167" s="102" t="str">
        <f>IF($B167&lt;&gt;"",_xlfn.IFNA(VLOOKUP($B167,'Node Details'!$B:$U,E$1,0),"Check"),"")</f>
        <v>Airtel</v>
      </c>
      <c r="F167" s="103">
        <v>46113</v>
      </c>
      <c r="G167" s="105"/>
      <c r="H167" s="104" t="s">
        <v>182</v>
      </c>
      <c r="I167" s="9">
        <v>1</v>
      </c>
      <c r="J167" s="9">
        <v>600</v>
      </c>
      <c r="K167" s="102">
        <f t="shared" si="37"/>
        <v>600</v>
      </c>
      <c r="L167" s="80">
        <v>46112</v>
      </c>
      <c r="M167" s="105"/>
      <c r="N167" s="95" t="s">
        <v>372</v>
      </c>
      <c r="O167" s="96"/>
      <c r="P167" s="106">
        <f t="shared" si="32"/>
        <v>600</v>
      </c>
      <c r="Q167" s="106">
        <f t="shared" si="33"/>
        <v>600</v>
      </c>
      <c r="R167" s="106"/>
      <c r="S167" s="95" t="s">
        <v>185</v>
      </c>
      <c r="T167" s="96"/>
      <c r="U167" s="106">
        <f t="shared" si="34"/>
        <v>600</v>
      </c>
      <c r="V167" s="106">
        <f t="shared" si="35"/>
        <v>1</v>
      </c>
      <c r="W167" s="105">
        <f t="shared" si="36"/>
        <v>600</v>
      </c>
      <c r="X167" s="95" t="s">
        <v>186</v>
      </c>
      <c r="Y167" s="107" t="s">
        <v>181</v>
      </c>
      <c r="Z167" s="107" t="s">
        <v>176</v>
      </c>
    </row>
    <row r="168" spans="1:26" s="107" customFormat="1" ht="15" customHeight="1" x14ac:dyDescent="0.2">
      <c r="A168" s="101">
        <f t="shared" si="31"/>
        <v>166</v>
      </c>
      <c r="B168" s="77" t="s">
        <v>310</v>
      </c>
      <c r="C168" s="102" t="str">
        <f>IF($B168&lt;&gt;"",_xlfn.IFNA(VLOOKUP($B168,'Node Details'!$B:$U,C$1,0),"Check"),"")</f>
        <v>0000AXY11-AXY110102</v>
      </c>
      <c r="D168" s="102" t="str">
        <f>IF($B168&lt;&gt;"",_xlfn.IFNA(VLOOKUP($B168,'Node Details'!$B:$U,D$1,0),"Check"),"")</f>
        <v>AXY</v>
      </c>
      <c r="E168" s="102" t="str">
        <f>IF($B168&lt;&gt;"",_xlfn.IFNA(VLOOKUP($B168,'Node Details'!$B:$U,E$1,0),"Check"),"")</f>
        <v>Airtel</v>
      </c>
      <c r="F168" s="103">
        <v>46113</v>
      </c>
      <c r="G168" s="105"/>
      <c r="H168" s="104" t="s">
        <v>182</v>
      </c>
      <c r="I168" s="9">
        <v>1</v>
      </c>
      <c r="J168" s="9">
        <v>600</v>
      </c>
      <c r="K168" s="102">
        <f t="shared" si="37"/>
        <v>600</v>
      </c>
      <c r="L168" s="80">
        <v>46112</v>
      </c>
      <c r="M168" s="105"/>
      <c r="N168" s="95" t="s">
        <v>372</v>
      </c>
      <c r="O168" s="96"/>
      <c r="P168" s="106">
        <f t="shared" si="32"/>
        <v>600</v>
      </c>
      <c r="Q168" s="106">
        <f t="shared" si="33"/>
        <v>600</v>
      </c>
      <c r="R168" s="106"/>
      <c r="S168" s="95" t="s">
        <v>185</v>
      </c>
      <c r="T168" s="96"/>
      <c r="U168" s="106">
        <f t="shared" si="34"/>
        <v>600</v>
      </c>
      <c r="V168" s="106">
        <f t="shared" si="35"/>
        <v>1</v>
      </c>
      <c r="W168" s="105">
        <f t="shared" si="36"/>
        <v>600</v>
      </c>
      <c r="X168" s="95" t="s">
        <v>186</v>
      </c>
      <c r="Y168" s="107" t="s">
        <v>181</v>
      </c>
      <c r="Z168" s="107" t="s">
        <v>176</v>
      </c>
    </row>
    <row r="169" spans="1:26" s="107" customFormat="1" ht="15" customHeight="1" x14ac:dyDescent="0.2">
      <c r="A169" s="101">
        <f t="shared" si="31"/>
        <v>167</v>
      </c>
      <c r="B169" s="77" t="s">
        <v>311</v>
      </c>
      <c r="C169" s="102" t="str">
        <f>IF($B169&lt;&gt;"",_xlfn.IFNA(VLOOKUP($B169,'Node Details'!$B:$U,C$1,0),"Check"),"")</f>
        <v>0000AXY11-AXY110102</v>
      </c>
      <c r="D169" s="102" t="str">
        <f>IF($B169&lt;&gt;"",_xlfn.IFNA(VLOOKUP($B169,'Node Details'!$B:$U,D$1,0),"Check"),"")</f>
        <v>AXY</v>
      </c>
      <c r="E169" s="102" t="str">
        <f>IF($B169&lt;&gt;"",_xlfn.IFNA(VLOOKUP($B169,'Node Details'!$B:$U,E$1,0),"Check"),"")</f>
        <v>Airtel</v>
      </c>
      <c r="F169" s="103">
        <v>46113</v>
      </c>
      <c r="G169" s="105"/>
      <c r="H169" s="104" t="s">
        <v>182</v>
      </c>
      <c r="I169" s="9">
        <v>1</v>
      </c>
      <c r="J169" s="9">
        <v>600</v>
      </c>
      <c r="K169" s="102">
        <f t="shared" si="37"/>
        <v>600</v>
      </c>
      <c r="L169" s="80">
        <v>46112</v>
      </c>
      <c r="M169" s="105"/>
      <c r="N169" s="95" t="s">
        <v>372</v>
      </c>
      <c r="O169" s="96"/>
      <c r="P169" s="106">
        <f t="shared" si="32"/>
        <v>600</v>
      </c>
      <c r="Q169" s="106">
        <f t="shared" si="33"/>
        <v>600</v>
      </c>
      <c r="R169" s="106"/>
      <c r="S169" s="95" t="s">
        <v>185</v>
      </c>
      <c r="T169" s="96"/>
      <c r="U169" s="106">
        <f t="shared" si="34"/>
        <v>600</v>
      </c>
      <c r="V169" s="106">
        <f t="shared" si="35"/>
        <v>1</v>
      </c>
      <c r="W169" s="105">
        <f t="shared" si="36"/>
        <v>600</v>
      </c>
      <c r="X169" s="95" t="s">
        <v>186</v>
      </c>
      <c r="Y169" s="107" t="s">
        <v>181</v>
      </c>
      <c r="Z169" s="107" t="s">
        <v>176</v>
      </c>
    </row>
    <row r="170" spans="1:26" s="107" customFormat="1" ht="15" customHeight="1" x14ac:dyDescent="0.2">
      <c r="A170" s="101">
        <f t="shared" si="31"/>
        <v>168</v>
      </c>
      <c r="B170" s="77" t="s">
        <v>312</v>
      </c>
      <c r="C170" s="102" t="str">
        <f>IF($B170&lt;&gt;"",_xlfn.IFNA(VLOOKUP($B170,'Node Details'!$B:$U,C$1,0),"Check"),"")</f>
        <v>0000AXY11-AXY110107</v>
      </c>
      <c r="D170" s="102" t="str">
        <f>IF($B170&lt;&gt;"",_xlfn.IFNA(VLOOKUP($B170,'Node Details'!$B:$U,D$1,0),"Check"),"")</f>
        <v>AXY</v>
      </c>
      <c r="E170" s="102" t="str">
        <f>IF($B170&lt;&gt;"",_xlfn.IFNA(VLOOKUP($B170,'Node Details'!$B:$U,E$1,0),"Check"),"")</f>
        <v>Airtel</v>
      </c>
      <c r="F170" s="103">
        <v>46113</v>
      </c>
      <c r="G170" s="105"/>
      <c r="H170" s="104" t="s">
        <v>182</v>
      </c>
      <c r="I170" s="9">
        <v>1</v>
      </c>
      <c r="J170" s="9">
        <v>600</v>
      </c>
      <c r="K170" s="102">
        <f t="shared" si="37"/>
        <v>600</v>
      </c>
      <c r="L170" s="80">
        <v>46112</v>
      </c>
      <c r="M170" s="105"/>
      <c r="N170" s="95" t="s">
        <v>372</v>
      </c>
      <c r="O170" s="96"/>
      <c r="P170" s="106">
        <f t="shared" si="32"/>
        <v>600</v>
      </c>
      <c r="Q170" s="106">
        <f t="shared" si="33"/>
        <v>600</v>
      </c>
      <c r="R170" s="106"/>
      <c r="S170" s="95" t="s">
        <v>185</v>
      </c>
      <c r="T170" s="96"/>
      <c r="U170" s="106">
        <f t="shared" si="34"/>
        <v>600</v>
      </c>
      <c r="V170" s="106">
        <f t="shared" si="35"/>
        <v>1</v>
      </c>
      <c r="W170" s="105">
        <f t="shared" si="36"/>
        <v>600</v>
      </c>
      <c r="X170" s="95" t="s">
        <v>186</v>
      </c>
      <c r="Y170" s="107" t="s">
        <v>181</v>
      </c>
      <c r="Z170" s="107" t="s">
        <v>176</v>
      </c>
    </row>
    <row r="171" spans="1:26" s="107" customFormat="1" ht="15" customHeight="1" x14ac:dyDescent="0.2">
      <c r="A171" s="101">
        <f t="shared" si="31"/>
        <v>169</v>
      </c>
      <c r="B171" s="77" t="s">
        <v>313</v>
      </c>
      <c r="C171" s="102" t="str">
        <f>IF($B171&lt;&gt;"",_xlfn.IFNA(VLOOKUP($B171,'Node Details'!$B:$U,C$1,0),"Check"),"")</f>
        <v>0000AXY11-AXY110107</v>
      </c>
      <c r="D171" s="102" t="str">
        <f>IF($B171&lt;&gt;"",_xlfn.IFNA(VLOOKUP($B171,'Node Details'!$B:$U,D$1,0),"Check"),"")</f>
        <v>AXY</v>
      </c>
      <c r="E171" s="102" t="str">
        <f>IF($B171&lt;&gt;"",_xlfn.IFNA(VLOOKUP($B171,'Node Details'!$B:$U,E$1,0),"Check"),"")</f>
        <v>Airtel</v>
      </c>
      <c r="F171" s="103">
        <v>46113</v>
      </c>
      <c r="G171" s="105"/>
      <c r="H171" s="104" t="s">
        <v>182</v>
      </c>
      <c r="I171" s="9">
        <v>1</v>
      </c>
      <c r="J171" s="9">
        <v>600</v>
      </c>
      <c r="K171" s="102">
        <f t="shared" si="37"/>
        <v>600</v>
      </c>
      <c r="L171" s="80">
        <v>46112</v>
      </c>
      <c r="M171" s="105"/>
      <c r="N171" s="95" t="s">
        <v>372</v>
      </c>
      <c r="O171" s="96"/>
      <c r="P171" s="106">
        <f t="shared" si="32"/>
        <v>600</v>
      </c>
      <c r="Q171" s="106">
        <f t="shared" si="33"/>
        <v>600</v>
      </c>
      <c r="R171" s="106"/>
      <c r="S171" s="95" t="s">
        <v>185</v>
      </c>
      <c r="T171" s="96"/>
      <c r="U171" s="106">
        <f t="shared" si="34"/>
        <v>600</v>
      </c>
      <c r="V171" s="106">
        <f t="shared" si="35"/>
        <v>1</v>
      </c>
      <c r="W171" s="105">
        <f t="shared" si="36"/>
        <v>600</v>
      </c>
      <c r="X171" s="95" t="s">
        <v>186</v>
      </c>
      <c r="Y171" s="107" t="s">
        <v>181</v>
      </c>
      <c r="Z171" s="107" t="s">
        <v>176</v>
      </c>
    </row>
    <row r="172" spans="1:26" s="107" customFormat="1" ht="15" customHeight="1" x14ac:dyDescent="0.2">
      <c r="A172" s="101">
        <f t="shared" si="31"/>
        <v>170</v>
      </c>
      <c r="B172" s="77" t="s">
        <v>314</v>
      </c>
      <c r="C172" s="102" t="str">
        <f>IF($B172&lt;&gt;"",_xlfn.IFNA(VLOOKUP($B172,'Node Details'!$B:$U,C$1,0),"Check"),"")</f>
        <v>AXY110103-AXY110106</v>
      </c>
      <c r="D172" s="102" t="str">
        <f>IF($B172&lt;&gt;"",_xlfn.IFNA(VLOOKUP($B172,'Node Details'!$B:$U,D$1,0),"Check"),"")</f>
        <v>AXY</v>
      </c>
      <c r="E172" s="102" t="str">
        <f>IF($B172&lt;&gt;"",_xlfn.IFNA(VLOOKUP($B172,'Node Details'!$B:$U,E$1,0),"Check"),"")</f>
        <v>Airtel</v>
      </c>
      <c r="F172" s="103">
        <v>46113</v>
      </c>
      <c r="G172" s="105"/>
      <c r="H172" s="104" t="s">
        <v>182</v>
      </c>
      <c r="I172" s="9">
        <v>1</v>
      </c>
      <c r="J172" s="9">
        <v>600</v>
      </c>
      <c r="K172" s="102">
        <f t="shared" si="37"/>
        <v>600</v>
      </c>
      <c r="L172" s="80">
        <v>46112</v>
      </c>
      <c r="M172" s="105"/>
      <c r="N172" s="95" t="s">
        <v>372</v>
      </c>
      <c r="O172" s="96"/>
      <c r="P172" s="106">
        <f t="shared" si="32"/>
        <v>600</v>
      </c>
      <c r="Q172" s="106">
        <f t="shared" si="33"/>
        <v>600</v>
      </c>
      <c r="R172" s="106"/>
      <c r="S172" s="95" t="s">
        <v>185</v>
      </c>
      <c r="T172" s="96"/>
      <c r="U172" s="106">
        <f t="shared" si="34"/>
        <v>600</v>
      </c>
      <c r="V172" s="106">
        <f t="shared" si="35"/>
        <v>1</v>
      </c>
      <c r="W172" s="105">
        <f t="shared" si="36"/>
        <v>600</v>
      </c>
      <c r="X172" s="95" t="s">
        <v>186</v>
      </c>
      <c r="Y172" s="107" t="s">
        <v>181</v>
      </c>
      <c r="Z172" s="107" t="s">
        <v>176</v>
      </c>
    </row>
    <row r="173" spans="1:26" s="107" customFormat="1" ht="15" customHeight="1" x14ac:dyDescent="0.2">
      <c r="A173" s="101">
        <f t="shared" si="31"/>
        <v>171</v>
      </c>
      <c r="B173" s="77" t="s">
        <v>315</v>
      </c>
      <c r="C173" s="102" t="str">
        <f>IF($B173&lt;&gt;"",_xlfn.IFNA(VLOOKUP($B173,'Node Details'!$B:$U,C$1,0),"Check"),"")</f>
        <v>AXY110103-AXY110106</v>
      </c>
      <c r="D173" s="102" t="str">
        <f>IF($B173&lt;&gt;"",_xlfn.IFNA(VLOOKUP($B173,'Node Details'!$B:$U,D$1,0),"Check"),"")</f>
        <v>AXY</v>
      </c>
      <c r="E173" s="102" t="str">
        <f>IF($B173&lt;&gt;"",_xlfn.IFNA(VLOOKUP($B173,'Node Details'!$B:$U,E$1,0),"Check"),"")</f>
        <v>Airtel</v>
      </c>
      <c r="F173" s="103">
        <v>46113</v>
      </c>
      <c r="G173" s="105"/>
      <c r="H173" s="104" t="s">
        <v>182</v>
      </c>
      <c r="I173" s="9">
        <v>1</v>
      </c>
      <c r="J173" s="9">
        <v>600</v>
      </c>
      <c r="K173" s="102">
        <f t="shared" si="37"/>
        <v>600</v>
      </c>
      <c r="L173" s="80">
        <v>46112</v>
      </c>
      <c r="M173" s="105"/>
      <c r="N173" s="95" t="s">
        <v>372</v>
      </c>
      <c r="O173" s="96"/>
      <c r="P173" s="106">
        <f t="shared" si="32"/>
        <v>600</v>
      </c>
      <c r="Q173" s="106">
        <f t="shared" si="33"/>
        <v>600</v>
      </c>
      <c r="R173" s="106"/>
      <c r="S173" s="95" t="s">
        <v>185</v>
      </c>
      <c r="T173" s="96"/>
      <c r="U173" s="106">
        <f t="shared" si="34"/>
        <v>600</v>
      </c>
      <c r="V173" s="106">
        <f t="shared" si="35"/>
        <v>1</v>
      </c>
      <c r="W173" s="105">
        <f t="shared" si="36"/>
        <v>600</v>
      </c>
      <c r="X173" s="95" t="s">
        <v>186</v>
      </c>
      <c r="Y173" s="107" t="s">
        <v>181</v>
      </c>
      <c r="Z173" s="107" t="s">
        <v>176</v>
      </c>
    </row>
    <row r="174" spans="1:26" s="107" customFormat="1" ht="15" customHeight="1" x14ac:dyDescent="0.2">
      <c r="A174" s="101">
        <f t="shared" si="31"/>
        <v>172</v>
      </c>
      <c r="B174" s="77" t="s">
        <v>316</v>
      </c>
      <c r="C174" s="102" t="str">
        <f>IF($B174&lt;&gt;"",_xlfn.IFNA(VLOOKUP($B174,'Node Details'!$B:$U,C$1,0),"Check"),"")</f>
        <v>AXY110107-AXY110202</v>
      </c>
      <c r="D174" s="102" t="str">
        <f>IF($B174&lt;&gt;"",_xlfn.IFNA(VLOOKUP($B174,'Node Details'!$B:$U,D$1,0),"Check"),"")</f>
        <v>AXY</v>
      </c>
      <c r="E174" s="102" t="str">
        <f>IF($B174&lt;&gt;"",_xlfn.IFNA(VLOOKUP($B174,'Node Details'!$B:$U,E$1,0),"Check"),"")</f>
        <v>Airtel</v>
      </c>
      <c r="F174" s="103">
        <v>46113</v>
      </c>
      <c r="G174" s="105"/>
      <c r="H174" s="104" t="s">
        <v>182</v>
      </c>
      <c r="I174" s="9">
        <v>1</v>
      </c>
      <c r="J174" s="9">
        <v>600</v>
      </c>
      <c r="K174" s="102">
        <f t="shared" si="37"/>
        <v>600</v>
      </c>
      <c r="L174" s="80">
        <v>46112</v>
      </c>
      <c r="M174" s="105"/>
      <c r="N174" s="95" t="s">
        <v>372</v>
      </c>
      <c r="O174" s="96"/>
      <c r="P174" s="106">
        <f t="shared" si="32"/>
        <v>600</v>
      </c>
      <c r="Q174" s="106">
        <f t="shared" si="33"/>
        <v>600</v>
      </c>
      <c r="R174" s="106"/>
      <c r="S174" s="95" t="s">
        <v>185</v>
      </c>
      <c r="T174" s="96"/>
      <c r="U174" s="106">
        <f t="shared" si="34"/>
        <v>600</v>
      </c>
      <c r="V174" s="106">
        <f t="shared" si="35"/>
        <v>1</v>
      </c>
      <c r="W174" s="105">
        <f t="shared" si="36"/>
        <v>600</v>
      </c>
      <c r="X174" s="95" t="s">
        <v>186</v>
      </c>
      <c r="Y174" s="107" t="s">
        <v>181</v>
      </c>
      <c r="Z174" s="107" t="s">
        <v>176</v>
      </c>
    </row>
    <row r="175" spans="1:26" s="107" customFormat="1" ht="15" customHeight="1" x14ac:dyDescent="0.2">
      <c r="A175" s="101">
        <f t="shared" si="31"/>
        <v>173</v>
      </c>
      <c r="B175" s="77" t="s">
        <v>317</v>
      </c>
      <c r="C175" s="102" t="str">
        <f>IF($B175&lt;&gt;"",_xlfn.IFNA(VLOOKUP($B175,'Node Details'!$B:$U,C$1,0),"Check"),"")</f>
        <v>AXY110107-AXY110202</v>
      </c>
      <c r="D175" s="102" t="str">
        <f>IF($B175&lt;&gt;"",_xlfn.IFNA(VLOOKUP($B175,'Node Details'!$B:$U,D$1,0),"Check"),"")</f>
        <v>AXY</v>
      </c>
      <c r="E175" s="102" t="str">
        <f>IF($B175&lt;&gt;"",_xlfn.IFNA(VLOOKUP($B175,'Node Details'!$B:$U,E$1,0),"Check"),"")</f>
        <v>Airtel</v>
      </c>
      <c r="F175" s="103">
        <v>46113</v>
      </c>
      <c r="G175" s="105"/>
      <c r="H175" s="104" t="s">
        <v>182</v>
      </c>
      <c r="I175" s="9">
        <v>1</v>
      </c>
      <c r="J175" s="9">
        <v>600</v>
      </c>
      <c r="K175" s="102">
        <f t="shared" si="37"/>
        <v>600</v>
      </c>
      <c r="L175" s="80">
        <v>46112</v>
      </c>
      <c r="M175" s="105"/>
      <c r="N175" s="95" t="s">
        <v>372</v>
      </c>
      <c r="O175" s="96"/>
      <c r="P175" s="106">
        <f t="shared" si="32"/>
        <v>600</v>
      </c>
      <c r="Q175" s="106">
        <f t="shared" si="33"/>
        <v>600</v>
      </c>
      <c r="R175" s="106"/>
      <c r="S175" s="95" t="s">
        <v>185</v>
      </c>
      <c r="T175" s="96"/>
      <c r="U175" s="106">
        <f t="shared" si="34"/>
        <v>600</v>
      </c>
      <c r="V175" s="106">
        <f t="shared" si="35"/>
        <v>1</v>
      </c>
      <c r="W175" s="105">
        <f t="shared" si="36"/>
        <v>600</v>
      </c>
      <c r="X175" s="95" t="s">
        <v>186</v>
      </c>
      <c r="Y175" s="107" t="s">
        <v>181</v>
      </c>
      <c r="Z175" s="107" t="s">
        <v>176</v>
      </c>
    </row>
    <row r="176" spans="1:26" s="107" customFormat="1" ht="15" customHeight="1" x14ac:dyDescent="0.2">
      <c r="A176" s="101">
        <f t="shared" si="31"/>
        <v>174</v>
      </c>
      <c r="B176" s="77" t="s">
        <v>318</v>
      </c>
      <c r="C176" s="102" t="str">
        <f>IF($B176&lt;&gt;"",_xlfn.IFNA(VLOOKUP($B176,'Node Details'!$B:$U,C$1,0),"Check"),"")</f>
        <v>AXY110108-AXY110201</v>
      </c>
      <c r="D176" s="102" t="str">
        <f>IF($B176&lt;&gt;"",_xlfn.IFNA(VLOOKUP($B176,'Node Details'!$B:$U,D$1,0),"Check"),"")</f>
        <v>AXY</v>
      </c>
      <c r="E176" s="102" t="str">
        <f>IF($B176&lt;&gt;"",_xlfn.IFNA(VLOOKUP($B176,'Node Details'!$B:$U,E$1,0),"Check"),"")</f>
        <v>Airtel</v>
      </c>
      <c r="F176" s="103">
        <v>46113</v>
      </c>
      <c r="G176" s="105"/>
      <c r="H176" s="104" t="s">
        <v>182</v>
      </c>
      <c r="I176" s="9">
        <v>1</v>
      </c>
      <c r="J176" s="9">
        <v>600</v>
      </c>
      <c r="K176" s="102">
        <f t="shared" si="37"/>
        <v>600</v>
      </c>
      <c r="L176" s="80">
        <v>46112</v>
      </c>
      <c r="M176" s="105"/>
      <c r="N176" s="95" t="s">
        <v>372</v>
      </c>
      <c r="O176" s="96"/>
      <c r="P176" s="106">
        <f t="shared" si="32"/>
        <v>600</v>
      </c>
      <c r="Q176" s="106">
        <f t="shared" si="33"/>
        <v>600</v>
      </c>
      <c r="R176" s="106"/>
      <c r="S176" s="95" t="s">
        <v>185</v>
      </c>
      <c r="T176" s="96"/>
      <c r="U176" s="106">
        <f t="shared" si="34"/>
        <v>600</v>
      </c>
      <c r="V176" s="106">
        <f t="shared" si="35"/>
        <v>1</v>
      </c>
      <c r="W176" s="105">
        <f t="shared" si="36"/>
        <v>600</v>
      </c>
      <c r="X176" s="95" t="s">
        <v>186</v>
      </c>
      <c r="Y176" s="107" t="s">
        <v>181</v>
      </c>
      <c r="Z176" s="107" t="s">
        <v>176</v>
      </c>
    </row>
    <row r="177" spans="1:26" s="107" customFormat="1" ht="15" customHeight="1" x14ac:dyDescent="0.2">
      <c r="A177" s="101">
        <f t="shared" si="31"/>
        <v>175</v>
      </c>
      <c r="B177" s="77" t="s">
        <v>320</v>
      </c>
      <c r="C177" s="102" t="str">
        <f>IF($B177&lt;&gt;"",_xlfn.IFNA(VLOOKUP($B177,'Node Details'!$B:$U,C$1,0),"Check"),"")</f>
        <v>0000AXY12-AXY120101</v>
      </c>
      <c r="D177" s="102" t="str">
        <f>IF($B177&lt;&gt;"",_xlfn.IFNA(VLOOKUP($B177,'Node Details'!$B:$U,D$1,0),"Check"),"")</f>
        <v>AXY</v>
      </c>
      <c r="E177" s="102" t="str">
        <f>IF($B177&lt;&gt;"",_xlfn.IFNA(VLOOKUP($B177,'Node Details'!$B:$U,E$1,0),"Check"),"")</f>
        <v>Airtel</v>
      </c>
      <c r="F177" s="103">
        <v>46113</v>
      </c>
      <c r="G177" s="105"/>
      <c r="H177" s="104" t="s">
        <v>182</v>
      </c>
      <c r="I177" s="9">
        <v>1</v>
      </c>
      <c r="J177" s="9">
        <v>600</v>
      </c>
      <c r="K177" s="102">
        <f t="shared" si="37"/>
        <v>600</v>
      </c>
      <c r="L177" s="80">
        <v>46112</v>
      </c>
      <c r="M177" s="105"/>
      <c r="N177" s="95" t="s">
        <v>372</v>
      </c>
      <c r="O177" s="96"/>
      <c r="P177" s="106">
        <f t="shared" si="32"/>
        <v>600</v>
      </c>
      <c r="Q177" s="106">
        <f t="shared" si="33"/>
        <v>600</v>
      </c>
      <c r="R177" s="106"/>
      <c r="S177" s="95" t="s">
        <v>185</v>
      </c>
      <c r="T177" s="96"/>
      <c r="U177" s="106">
        <f t="shared" si="34"/>
        <v>600</v>
      </c>
      <c r="V177" s="106">
        <f t="shared" si="35"/>
        <v>1</v>
      </c>
      <c r="W177" s="105">
        <f t="shared" si="36"/>
        <v>600</v>
      </c>
      <c r="X177" s="95" t="s">
        <v>186</v>
      </c>
      <c r="Y177" s="107" t="s">
        <v>181</v>
      </c>
      <c r="Z177" s="107" t="s">
        <v>176</v>
      </c>
    </row>
    <row r="178" spans="1:26" s="107" customFormat="1" ht="15" customHeight="1" x14ac:dyDescent="0.2">
      <c r="A178" s="101">
        <f t="shared" si="31"/>
        <v>176</v>
      </c>
      <c r="B178" s="77" t="s">
        <v>321</v>
      </c>
      <c r="C178" s="102" t="str">
        <f>IF($B178&lt;&gt;"",_xlfn.IFNA(VLOOKUP($B178,'Node Details'!$B:$U,C$1,0),"Check"),"")</f>
        <v>0000AXY12-AXY120102</v>
      </c>
      <c r="D178" s="102" t="str">
        <f>IF($B178&lt;&gt;"",_xlfn.IFNA(VLOOKUP($B178,'Node Details'!$B:$U,D$1,0),"Check"),"")</f>
        <v>AXY</v>
      </c>
      <c r="E178" s="102" t="str">
        <f>IF($B178&lt;&gt;"",_xlfn.IFNA(VLOOKUP($B178,'Node Details'!$B:$U,E$1,0),"Check"),"")</f>
        <v>Airtel</v>
      </c>
      <c r="F178" s="103">
        <v>46113</v>
      </c>
      <c r="G178" s="105"/>
      <c r="H178" s="104" t="s">
        <v>182</v>
      </c>
      <c r="I178" s="9">
        <v>1</v>
      </c>
      <c r="J178" s="9">
        <v>600</v>
      </c>
      <c r="K178" s="102">
        <f t="shared" si="37"/>
        <v>600</v>
      </c>
      <c r="L178" s="80">
        <v>46112</v>
      </c>
      <c r="M178" s="105"/>
      <c r="N178" s="95" t="s">
        <v>372</v>
      </c>
      <c r="O178" s="96"/>
      <c r="P178" s="106">
        <f t="shared" si="32"/>
        <v>600</v>
      </c>
      <c r="Q178" s="106">
        <f t="shared" si="33"/>
        <v>600</v>
      </c>
      <c r="R178" s="106"/>
      <c r="S178" s="95" t="s">
        <v>185</v>
      </c>
      <c r="T178" s="96"/>
      <c r="U178" s="106">
        <f t="shared" si="34"/>
        <v>600</v>
      </c>
      <c r="V178" s="106">
        <f t="shared" si="35"/>
        <v>1</v>
      </c>
      <c r="W178" s="105">
        <f t="shared" si="36"/>
        <v>600</v>
      </c>
      <c r="X178" s="95" t="s">
        <v>186</v>
      </c>
      <c r="Y178" s="107" t="s">
        <v>181</v>
      </c>
      <c r="Z178" s="107" t="s">
        <v>176</v>
      </c>
    </row>
    <row r="179" spans="1:26" s="107" customFormat="1" ht="15" customHeight="1" x14ac:dyDescent="0.2">
      <c r="A179" s="101">
        <f t="shared" si="31"/>
        <v>177</v>
      </c>
      <c r="B179" s="77" t="s">
        <v>322</v>
      </c>
      <c r="C179" s="102" t="str">
        <f>IF($B179&lt;&gt;"",_xlfn.IFNA(VLOOKUP($B179,'Node Details'!$B:$U,C$1,0),"Check"),"")</f>
        <v>0000AXY12-AXY120105</v>
      </c>
      <c r="D179" s="102" t="str">
        <f>IF($B179&lt;&gt;"",_xlfn.IFNA(VLOOKUP($B179,'Node Details'!$B:$U,D$1,0),"Check"),"")</f>
        <v>AXY</v>
      </c>
      <c r="E179" s="102" t="str">
        <f>IF($B179&lt;&gt;"",_xlfn.IFNA(VLOOKUP($B179,'Node Details'!$B:$U,E$1,0),"Check"),"")</f>
        <v>Airtel</v>
      </c>
      <c r="F179" s="103">
        <v>46113</v>
      </c>
      <c r="G179" s="105"/>
      <c r="H179" s="104" t="s">
        <v>182</v>
      </c>
      <c r="I179" s="9">
        <v>1</v>
      </c>
      <c r="J179" s="9">
        <v>600</v>
      </c>
      <c r="K179" s="102">
        <f t="shared" si="37"/>
        <v>600</v>
      </c>
      <c r="L179" s="80">
        <v>46112</v>
      </c>
      <c r="M179" s="105"/>
      <c r="N179" s="95" t="s">
        <v>372</v>
      </c>
      <c r="O179" s="96"/>
      <c r="P179" s="106">
        <f t="shared" si="32"/>
        <v>600</v>
      </c>
      <c r="Q179" s="106">
        <f t="shared" si="33"/>
        <v>600</v>
      </c>
      <c r="R179" s="106"/>
      <c r="S179" s="95" t="s">
        <v>185</v>
      </c>
      <c r="T179" s="96"/>
      <c r="U179" s="106">
        <f t="shared" si="34"/>
        <v>600</v>
      </c>
      <c r="V179" s="106">
        <f t="shared" si="35"/>
        <v>1</v>
      </c>
      <c r="W179" s="105">
        <f t="shared" si="36"/>
        <v>600</v>
      </c>
      <c r="X179" s="95" t="s">
        <v>186</v>
      </c>
      <c r="Y179" s="107" t="s">
        <v>181</v>
      </c>
      <c r="Z179" s="107" t="s">
        <v>176</v>
      </c>
    </row>
    <row r="180" spans="1:26" s="107" customFormat="1" ht="15" customHeight="1" x14ac:dyDescent="0.2">
      <c r="A180" s="101">
        <f t="shared" si="31"/>
        <v>178</v>
      </c>
      <c r="B180" s="77" t="s">
        <v>323</v>
      </c>
      <c r="C180" s="102" t="str">
        <f>IF($B180&lt;&gt;"",_xlfn.IFNA(VLOOKUP($B180,'Node Details'!$B:$U,C$1,0),"Check"),"")</f>
        <v>0000AXY12-AXY120105</v>
      </c>
      <c r="D180" s="102" t="str">
        <f>IF($B180&lt;&gt;"",_xlfn.IFNA(VLOOKUP($B180,'Node Details'!$B:$U,D$1,0),"Check"),"")</f>
        <v>AXY</v>
      </c>
      <c r="E180" s="102" t="str">
        <f>IF($B180&lt;&gt;"",_xlfn.IFNA(VLOOKUP($B180,'Node Details'!$B:$U,E$1,0),"Check"),"")</f>
        <v>Airtel</v>
      </c>
      <c r="F180" s="103">
        <v>46113</v>
      </c>
      <c r="G180" s="105"/>
      <c r="H180" s="104" t="s">
        <v>182</v>
      </c>
      <c r="I180" s="9">
        <v>1</v>
      </c>
      <c r="J180" s="9">
        <v>600</v>
      </c>
      <c r="K180" s="102">
        <f t="shared" si="37"/>
        <v>600</v>
      </c>
      <c r="L180" s="80">
        <v>46112</v>
      </c>
      <c r="M180" s="105"/>
      <c r="N180" s="95" t="s">
        <v>372</v>
      </c>
      <c r="O180" s="96"/>
      <c r="P180" s="106">
        <f t="shared" si="32"/>
        <v>600</v>
      </c>
      <c r="Q180" s="106">
        <f t="shared" si="33"/>
        <v>600</v>
      </c>
      <c r="R180" s="106"/>
      <c r="S180" s="95" t="s">
        <v>185</v>
      </c>
      <c r="T180" s="96"/>
      <c r="U180" s="106">
        <f t="shared" si="34"/>
        <v>600</v>
      </c>
      <c r="V180" s="106">
        <f t="shared" si="35"/>
        <v>1</v>
      </c>
      <c r="W180" s="105">
        <f t="shared" si="36"/>
        <v>600</v>
      </c>
      <c r="X180" s="95" t="s">
        <v>186</v>
      </c>
      <c r="Y180" s="107" t="s">
        <v>181</v>
      </c>
      <c r="Z180" s="107" t="s">
        <v>176</v>
      </c>
    </row>
    <row r="181" spans="1:26" s="107" customFormat="1" ht="15" customHeight="1" x14ac:dyDescent="0.2">
      <c r="A181" s="101">
        <f t="shared" si="31"/>
        <v>179</v>
      </c>
      <c r="B181" s="77" t="s">
        <v>325</v>
      </c>
      <c r="C181" s="102" t="str">
        <f>IF($B181&lt;&gt;"",_xlfn.IFNA(VLOOKUP($B181,'Node Details'!$B:$U,C$1,0),"Check"),"")</f>
        <v>0000AXY13-AXY130101</v>
      </c>
      <c r="D181" s="102" t="str">
        <f>IF($B181&lt;&gt;"",_xlfn.IFNA(VLOOKUP($B181,'Node Details'!$B:$U,D$1,0),"Check"),"")</f>
        <v>AXY</v>
      </c>
      <c r="E181" s="102" t="str">
        <f>IF($B181&lt;&gt;"",_xlfn.IFNA(VLOOKUP($B181,'Node Details'!$B:$U,E$1,0),"Check"),"")</f>
        <v>Airtel</v>
      </c>
      <c r="F181" s="103">
        <v>46113</v>
      </c>
      <c r="G181" s="105"/>
      <c r="H181" s="104" t="s">
        <v>182</v>
      </c>
      <c r="I181" s="9">
        <v>1</v>
      </c>
      <c r="J181" s="9">
        <v>600</v>
      </c>
      <c r="K181" s="102">
        <f t="shared" si="37"/>
        <v>600</v>
      </c>
      <c r="L181" s="80">
        <v>46112</v>
      </c>
      <c r="M181" s="105"/>
      <c r="N181" s="95" t="s">
        <v>372</v>
      </c>
      <c r="O181" s="96"/>
      <c r="P181" s="106">
        <f t="shared" si="32"/>
        <v>600</v>
      </c>
      <c r="Q181" s="106">
        <f t="shared" si="33"/>
        <v>600</v>
      </c>
      <c r="R181" s="106"/>
      <c r="S181" s="95" t="s">
        <v>185</v>
      </c>
      <c r="T181" s="96"/>
      <c r="U181" s="106">
        <f t="shared" si="34"/>
        <v>600</v>
      </c>
      <c r="V181" s="106">
        <f t="shared" si="35"/>
        <v>1</v>
      </c>
      <c r="W181" s="105">
        <f t="shared" si="36"/>
        <v>600</v>
      </c>
      <c r="X181" s="95" t="s">
        <v>186</v>
      </c>
      <c r="Y181" s="107" t="s">
        <v>181</v>
      </c>
      <c r="Z181" s="107" t="s">
        <v>176</v>
      </c>
    </row>
    <row r="182" spans="1:26" s="107" customFormat="1" ht="15" customHeight="1" x14ac:dyDescent="0.2">
      <c r="A182" s="101">
        <f t="shared" si="31"/>
        <v>180</v>
      </c>
      <c r="B182" s="77" t="s">
        <v>326</v>
      </c>
      <c r="C182" s="102" t="str">
        <f>IF($B182&lt;&gt;"",_xlfn.IFNA(VLOOKUP($B182,'Node Details'!$B:$U,C$1,0),"Check"),"")</f>
        <v>0000AXY13-AXY130104</v>
      </c>
      <c r="D182" s="102" t="str">
        <f>IF($B182&lt;&gt;"",_xlfn.IFNA(VLOOKUP($B182,'Node Details'!$B:$U,D$1,0),"Check"),"")</f>
        <v>AXY</v>
      </c>
      <c r="E182" s="102" t="str">
        <f>IF($B182&lt;&gt;"",_xlfn.IFNA(VLOOKUP($B182,'Node Details'!$B:$U,E$1,0),"Check"),"")</f>
        <v>Airtel</v>
      </c>
      <c r="F182" s="103">
        <v>46113</v>
      </c>
      <c r="G182" s="105"/>
      <c r="H182" s="104" t="s">
        <v>182</v>
      </c>
      <c r="I182" s="9">
        <v>1</v>
      </c>
      <c r="J182" s="9">
        <v>600</v>
      </c>
      <c r="K182" s="102">
        <f t="shared" si="37"/>
        <v>600</v>
      </c>
      <c r="L182" s="80">
        <v>46112</v>
      </c>
      <c r="M182" s="105"/>
      <c r="N182" s="95" t="s">
        <v>372</v>
      </c>
      <c r="O182" s="96"/>
      <c r="P182" s="106">
        <f t="shared" si="32"/>
        <v>600</v>
      </c>
      <c r="Q182" s="106">
        <f t="shared" si="33"/>
        <v>600</v>
      </c>
      <c r="R182" s="106"/>
      <c r="S182" s="95" t="s">
        <v>185</v>
      </c>
      <c r="T182" s="96"/>
      <c r="U182" s="106">
        <f t="shared" si="34"/>
        <v>600</v>
      </c>
      <c r="V182" s="106">
        <f t="shared" si="35"/>
        <v>1</v>
      </c>
      <c r="W182" s="105">
        <f t="shared" si="36"/>
        <v>600</v>
      </c>
      <c r="X182" s="95" t="s">
        <v>186</v>
      </c>
      <c r="Y182" s="107" t="s">
        <v>181</v>
      </c>
      <c r="Z182" s="107" t="s">
        <v>176</v>
      </c>
    </row>
    <row r="183" spans="1:26" s="107" customFormat="1" ht="15" customHeight="1" x14ac:dyDescent="0.2">
      <c r="A183" s="101">
        <f t="shared" si="31"/>
        <v>181</v>
      </c>
      <c r="B183" s="77" t="s">
        <v>327</v>
      </c>
      <c r="C183" s="102" t="str">
        <f>IF($B183&lt;&gt;"",_xlfn.IFNA(VLOOKUP($B183,'Node Details'!$B:$U,C$1,0),"Check"),"")</f>
        <v>0000AXY13-AXY130104</v>
      </c>
      <c r="D183" s="102" t="str">
        <f>IF($B183&lt;&gt;"",_xlfn.IFNA(VLOOKUP($B183,'Node Details'!$B:$U,D$1,0),"Check"),"")</f>
        <v>AXY</v>
      </c>
      <c r="E183" s="102" t="str">
        <f>IF($B183&lt;&gt;"",_xlfn.IFNA(VLOOKUP($B183,'Node Details'!$B:$U,E$1,0),"Check"),"")</f>
        <v>Airtel</v>
      </c>
      <c r="F183" s="103">
        <v>46113</v>
      </c>
      <c r="G183" s="105"/>
      <c r="H183" s="104" t="s">
        <v>182</v>
      </c>
      <c r="I183" s="9">
        <v>1</v>
      </c>
      <c r="J183" s="9">
        <v>600</v>
      </c>
      <c r="K183" s="102">
        <f t="shared" si="37"/>
        <v>600</v>
      </c>
      <c r="L183" s="80">
        <v>46112</v>
      </c>
      <c r="M183" s="105"/>
      <c r="N183" s="95" t="s">
        <v>372</v>
      </c>
      <c r="O183" s="96"/>
      <c r="P183" s="106">
        <f t="shared" si="32"/>
        <v>600</v>
      </c>
      <c r="Q183" s="106">
        <f t="shared" si="33"/>
        <v>600</v>
      </c>
      <c r="R183" s="106"/>
      <c r="S183" s="95" t="s">
        <v>185</v>
      </c>
      <c r="T183" s="96"/>
      <c r="U183" s="106">
        <f t="shared" si="34"/>
        <v>600</v>
      </c>
      <c r="V183" s="106">
        <f t="shared" si="35"/>
        <v>1</v>
      </c>
      <c r="W183" s="105">
        <f t="shared" si="36"/>
        <v>600</v>
      </c>
      <c r="X183" s="95" t="s">
        <v>186</v>
      </c>
      <c r="Y183" s="107" t="s">
        <v>181</v>
      </c>
      <c r="Z183" s="107" t="s">
        <v>176</v>
      </c>
    </row>
    <row r="184" spans="1:26" s="107" customFormat="1" ht="15" customHeight="1" x14ac:dyDescent="0.2">
      <c r="A184" s="101">
        <f t="shared" si="31"/>
        <v>182</v>
      </c>
      <c r="B184" s="77" t="s">
        <v>328</v>
      </c>
      <c r="C184" s="102" t="str">
        <f>IF($B184&lt;&gt;"",_xlfn.IFNA(VLOOKUP($B184,'Node Details'!$B:$U,C$1,0),"Check"),"")</f>
        <v>0000AXY13-AXY130104</v>
      </c>
      <c r="D184" s="102" t="str">
        <f>IF($B184&lt;&gt;"",_xlfn.IFNA(VLOOKUP($B184,'Node Details'!$B:$U,D$1,0),"Check"),"")</f>
        <v>AXY</v>
      </c>
      <c r="E184" s="102" t="str">
        <f>IF($B184&lt;&gt;"",_xlfn.IFNA(VLOOKUP($B184,'Node Details'!$B:$U,E$1,0),"Check"),"")</f>
        <v>Airtel</v>
      </c>
      <c r="F184" s="103">
        <v>46113</v>
      </c>
      <c r="G184" s="105"/>
      <c r="H184" s="104" t="s">
        <v>182</v>
      </c>
      <c r="I184" s="9">
        <v>1</v>
      </c>
      <c r="J184" s="9">
        <v>600</v>
      </c>
      <c r="K184" s="102">
        <f t="shared" si="37"/>
        <v>600</v>
      </c>
      <c r="L184" s="80">
        <v>46112</v>
      </c>
      <c r="M184" s="105"/>
      <c r="N184" s="95" t="s">
        <v>372</v>
      </c>
      <c r="O184" s="96"/>
      <c r="P184" s="106">
        <f t="shared" si="32"/>
        <v>600</v>
      </c>
      <c r="Q184" s="106">
        <f t="shared" si="33"/>
        <v>600</v>
      </c>
      <c r="R184" s="106"/>
      <c r="S184" s="95" t="s">
        <v>185</v>
      </c>
      <c r="T184" s="96"/>
      <c r="U184" s="106">
        <f t="shared" si="34"/>
        <v>600</v>
      </c>
      <c r="V184" s="106">
        <f t="shared" si="35"/>
        <v>1</v>
      </c>
      <c r="W184" s="105">
        <f t="shared" si="36"/>
        <v>600</v>
      </c>
      <c r="X184" s="95" t="s">
        <v>186</v>
      </c>
      <c r="Y184" s="107" t="s">
        <v>181</v>
      </c>
      <c r="Z184" s="107" t="s">
        <v>176</v>
      </c>
    </row>
    <row r="185" spans="1:26" s="107" customFormat="1" ht="15" customHeight="1" x14ac:dyDescent="0.2">
      <c r="A185" s="101">
        <f t="shared" si="31"/>
        <v>183</v>
      </c>
      <c r="B185" s="77" t="s">
        <v>329</v>
      </c>
      <c r="C185" s="102" t="str">
        <f>IF($B185&lt;&gt;"",_xlfn.IFNA(VLOOKUP($B185,'Node Details'!$B:$U,C$1,0),"Check"),"")</f>
        <v>0000AXY13-AXY130108</v>
      </c>
      <c r="D185" s="102" t="str">
        <f>IF($B185&lt;&gt;"",_xlfn.IFNA(VLOOKUP($B185,'Node Details'!$B:$U,D$1,0),"Check"),"")</f>
        <v>AXY</v>
      </c>
      <c r="E185" s="102" t="str">
        <f>IF($B185&lt;&gt;"",_xlfn.IFNA(VLOOKUP($B185,'Node Details'!$B:$U,E$1,0),"Check"),"")</f>
        <v>Airtel</v>
      </c>
      <c r="F185" s="103">
        <v>46113</v>
      </c>
      <c r="G185" s="105"/>
      <c r="H185" s="104" t="s">
        <v>182</v>
      </c>
      <c r="I185" s="9">
        <v>1</v>
      </c>
      <c r="J185" s="9">
        <v>600</v>
      </c>
      <c r="K185" s="102">
        <f t="shared" si="37"/>
        <v>600</v>
      </c>
      <c r="L185" s="80">
        <v>46112</v>
      </c>
      <c r="M185" s="105"/>
      <c r="N185" s="95" t="s">
        <v>372</v>
      </c>
      <c r="O185" s="96"/>
      <c r="P185" s="106">
        <f t="shared" si="32"/>
        <v>600</v>
      </c>
      <c r="Q185" s="106">
        <f t="shared" si="33"/>
        <v>600</v>
      </c>
      <c r="R185" s="106"/>
      <c r="S185" s="95" t="s">
        <v>185</v>
      </c>
      <c r="T185" s="96"/>
      <c r="U185" s="106">
        <f t="shared" si="34"/>
        <v>600</v>
      </c>
      <c r="V185" s="106">
        <f t="shared" si="35"/>
        <v>1</v>
      </c>
      <c r="W185" s="105">
        <f t="shared" si="36"/>
        <v>600</v>
      </c>
      <c r="X185" s="95" t="s">
        <v>186</v>
      </c>
      <c r="Y185" s="107" t="s">
        <v>181</v>
      </c>
      <c r="Z185" s="107" t="s">
        <v>176</v>
      </c>
    </row>
    <row r="186" spans="1:26" s="107" customFormat="1" ht="15" customHeight="1" x14ac:dyDescent="0.2">
      <c r="A186" s="101">
        <f t="shared" si="31"/>
        <v>184</v>
      </c>
      <c r="B186" s="77" t="s">
        <v>330</v>
      </c>
      <c r="C186" s="102" t="str">
        <f>IF($B186&lt;&gt;"",_xlfn.IFNA(VLOOKUP($B186,'Node Details'!$B:$U,C$1,0),"Check"),"")</f>
        <v>0000AXY13-AXY130108</v>
      </c>
      <c r="D186" s="102" t="str">
        <f>IF($B186&lt;&gt;"",_xlfn.IFNA(VLOOKUP($B186,'Node Details'!$B:$U,D$1,0),"Check"),"")</f>
        <v>AXY</v>
      </c>
      <c r="E186" s="102" t="str">
        <f>IF($B186&lt;&gt;"",_xlfn.IFNA(VLOOKUP($B186,'Node Details'!$B:$U,E$1,0),"Check"),"")</f>
        <v>Airtel</v>
      </c>
      <c r="F186" s="103">
        <v>46113</v>
      </c>
      <c r="G186" s="105"/>
      <c r="H186" s="104" t="s">
        <v>182</v>
      </c>
      <c r="I186" s="9">
        <v>1</v>
      </c>
      <c r="J186" s="9">
        <v>600</v>
      </c>
      <c r="K186" s="102">
        <f t="shared" si="37"/>
        <v>600</v>
      </c>
      <c r="L186" s="80">
        <v>46112</v>
      </c>
      <c r="M186" s="105"/>
      <c r="N186" s="95" t="s">
        <v>372</v>
      </c>
      <c r="O186" s="96"/>
      <c r="P186" s="106">
        <f t="shared" si="32"/>
        <v>600</v>
      </c>
      <c r="Q186" s="106">
        <f t="shared" si="33"/>
        <v>600</v>
      </c>
      <c r="R186" s="106"/>
      <c r="S186" s="95" t="s">
        <v>185</v>
      </c>
      <c r="T186" s="96"/>
      <c r="U186" s="106">
        <f t="shared" si="34"/>
        <v>600</v>
      </c>
      <c r="V186" s="106">
        <f t="shared" si="35"/>
        <v>1</v>
      </c>
      <c r="W186" s="105">
        <f t="shared" si="36"/>
        <v>600</v>
      </c>
      <c r="X186" s="95" t="s">
        <v>186</v>
      </c>
      <c r="Y186" s="107" t="s">
        <v>181</v>
      </c>
      <c r="Z186" s="107" t="s">
        <v>176</v>
      </c>
    </row>
    <row r="187" spans="1:26" s="107" customFormat="1" ht="15" customHeight="1" x14ac:dyDescent="0.2">
      <c r="A187" s="101">
        <f t="shared" si="31"/>
        <v>185</v>
      </c>
      <c r="B187" s="77" t="s">
        <v>331</v>
      </c>
      <c r="C187" s="102" t="str">
        <f>IF($B187&lt;&gt;"",_xlfn.IFNA(VLOOKUP($B187,'Node Details'!$B:$U,C$1,0),"Check"),"")</f>
        <v>0000AXY13-AXY130108</v>
      </c>
      <c r="D187" s="102" t="str">
        <f>IF($B187&lt;&gt;"",_xlfn.IFNA(VLOOKUP($B187,'Node Details'!$B:$U,D$1,0),"Check"),"")</f>
        <v>AXY</v>
      </c>
      <c r="E187" s="102" t="str">
        <f>IF($B187&lt;&gt;"",_xlfn.IFNA(VLOOKUP($B187,'Node Details'!$B:$U,E$1,0),"Check"),"")</f>
        <v>Airtel</v>
      </c>
      <c r="F187" s="103">
        <v>46113</v>
      </c>
      <c r="G187" s="105"/>
      <c r="H187" s="104" t="s">
        <v>182</v>
      </c>
      <c r="I187" s="9">
        <v>1</v>
      </c>
      <c r="J187" s="9">
        <v>600</v>
      </c>
      <c r="K187" s="102">
        <f t="shared" si="37"/>
        <v>600</v>
      </c>
      <c r="L187" s="80">
        <v>46112</v>
      </c>
      <c r="M187" s="105"/>
      <c r="N187" s="95" t="s">
        <v>372</v>
      </c>
      <c r="O187" s="96"/>
      <c r="P187" s="106">
        <f t="shared" si="32"/>
        <v>600</v>
      </c>
      <c r="Q187" s="106">
        <f t="shared" si="33"/>
        <v>600</v>
      </c>
      <c r="R187" s="106"/>
      <c r="S187" s="95" t="s">
        <v>185</v>
      </c>
      <c r="T187" s="96"/>
      <c r="U187" s="106">
        <f t="shared" si="34"/>
        <v>600</v>
      </c>
      <c r="V187" s="106">
        <f t="shared" si="35"/>
        <v>1</v>
      </c>
      <c r="W187" s="105">
        <f t="shared" si="36"/>
        <v>600</v>
      </c>
      <c r="X187" s="95" t="s">
        <v>186</v>
      </c>
      <c r="Y187" s="107" t="s">
        <v>181</v>
      </c>
      <c r="Z187" s="107" t="s">
        <v>176</v>
      </c>
    </row>
    <row r="188" spans="1:26" s="107" customFormat="1" ht="15" customHeight="1" x14ac:dyDescent="0.2">
      <c r="A188" s="101">
        <f t="shared" si="31"/>
        <v>186</v>
      </c>
      <c r="B188" s="77" t="s">
        <v>332</v>
      </c>
      <c r="C188" s="102" t="str">
        <f>IF($B188&lt;&gt;"",_xlfn.IFNA(VLOOKUP($B188,'Node Details'!$B:$U,C$1,0),"Check"),"")</f>
        <v>0000AXY13-AXY130108</v>
      </c>
      <c r="D188" s="102" t="str">
        <f>IF($B188&lt;&gt;"",_xlfn.IFNA(VLOOKUP($B188,'Node Details'!$B:$U,D$1,0),"Check"),"")</f>
        <v>AXY</v>
      </c>
      <c r="E188" s="102" t="str">
        <f>IF($B188&lt;&gt;"",_xlfn.IFNA(VLOOKUP($B188,'Node Details'!$B:$U,E$1,0),"Check"),"")</f>
        <v>Airtel</v>
      </c>
      <c r="F188" s="103">
        <v>46113</v>
      </c>
      <c r="G188" s="105"/>
      <c r="H188" s="104" t="s">
        <v>182</v>
      </c>
      <c r="I188" s="9">
        <v>1</v>
      </c>
      <c r="J188" s="9">
        <v>600</v>
      </c>
      <c r="K188" s="102">
        <f t="shared" si="37"/>
        <v>600</v>
      </c>
      <c r="L188" s="80">
        <v>46112</v>
      </c>
      <c r="M188" s="105"/>
      <c r="N188" s="95" t="s">
        <v>372</v>
      </c>
      <c r="O188" s="96"/>
      <c r="P188" s="106">
        <f t="shared" si="32"/>
        <v>600</v>
      </c>
      <c r="Q188" s="106">
        <f t="shared" si="33"/>
        <v>600</v>
      </c>
      <c r="R188" s="106"/>
      <c r="S188" s="95" t="s">
        <v>185</v>
      </c>
      <c r="T188" s="96"/>
      <c r="U188" s="106">
        <f t="shared" si="34"/>
        <v>600</v>
      </c>
      <c r="V188" s="106">
        <f t="shared" si="35"/>
        <v>1</v>
      </c>
      <c r="W188" s="105">
        <f t="shared" si="36"/>
        <v>600</v>
      </c>
      <c r="X188" s="95" t="s">
        <v>186</v>
      </c>
      <c r="Y188" s="107" t="s">
        <v>181</v>
      </c>
      <c r="Z188" s="107" t="s">
        <v>176</v>
      </c>
    </row>
    <row r="189" spans="1:26" s="107" customFormat="1" ht="15" customHeight="1" x14ac:dyDescent="0.2">
      <c r="A189" s="101">
        <f t="shared" si="31"/>
        <v>187</v>
      </c>
      <c r="B189" s="77" t="s">
        <v>334</v>
      </c>
      <c r="C189" s="102" t="str">
        <f>IF($B189&lt;&gt;"",_xlfn.IFNA(VLOOKUP($B189,'Node Details'!$B:$U,C$1,0),"Check"),"")</f>
        <v>0000AXY14-AXY140102</v>
      </c>
      <c r="D189" s="102" t="str">
        <f>IF($B189&lt;&gt;"",_xlfn.IFNA(VLOOKUP($B189,'Node Details'!$B:$U,D$1,0),"Check"),"")</f>
        <v>AXY</v>
      </c>
      <c r="E189" s="102" t="str">
        <f>IF($B189&lt;&gt;"",_xlfn.IFNA(VLOOKUP($B189,'Node Details'!$B:$U,E$1,0),"Check"),"")</f>
        <v>Airtel</v>
      </c>
      <c r="F189" s="103">
        <v>46113</v>
      </c>
      <c r="G189" s="105"/>
      <c r="H189" s="104" t="s">
        <v>182</v>
      </c>
      <c r="I189" s="9">
        <v>1</v>
      </c>
      <c r="J189" s="9">
        <v>600</v>
      </c>
      <c r="K189" s="102">
        <f t="shared" si="37"/>
        <v>600</v>
      </c>
      <c r="L189" s="80">
        <v>46112</v>
      </c>
      <c r="M189" s="105"/>
      <c r="N189" s="95" t="s">
        <v>372</v>
      </c>
      <c r="O189" s="96"/>
      <c r="P189" s="106">
        <f t="shared" si="32"/>
        <v>600</v>
      </c>
      <c r="Q189" s="106">
        <f t="shared" si="33"/>
        <v>600</v>
      </c>
      <c r="R189" s="106"/>
      <c r="S189" s="95" t="s">
        <v>185</v>
      </c>
      <c r="T189" s="96"/>
      <c r="U189" s="106">
        <f t="shared" si="34"/>
        <v>600</v>
      </c>
      <c r="V189" s="106">
        <f t="shared" si="35"/>
        <v>1</v>
      </c>
      <c r="W189" s="105">
        <f t="shared" si="36"/>
        <v>600</v>
      </c>
      <c r="X189" s="95" t="s">
        <v>186</v>
      </c>
      <c r="Y189" s="107" t="s">
        <v>181</v>
      </c>
      <c r="Z189" s="107" t="s">
        <v>176</v>
      </c>
    </row>
    <row r="190" spans="1:26" s="107" customFormat="1" ht="15" customHeight="1" x14ac:dyDescent="0.2">
      <c r="A190" s="101">
        <f t="shared" si="31"/>
        <v>188</v>
      </c>
      <c r="B190" s="77" t="s">
        <v>335</v>
      </c>
      <c r="C190" s="102" t="str">
        <f>IF($B190&lt;&gt;"",_xlfn.IFNA(VLOOKUP($B190,'Node Details'!$B:$U,C$1,0),"Check"),"")</f>
        <v>0000AXY14-AXY140101</v>
      </c>
      <c r="D190" s="102" t="str">
        <f>IF($B190&lt;&gt;"",_xlfn.IFNA(VLOOKUP($B190,'Node Details'!$B:$U,D$1,0),"Check"),"")</f>
        <v>AXY</v>
      </c>
      <c r="E190" s="102" t="str">
        <f>IF($B190&lt;&gt;"",_xlfn.IFNA(VLOOKUP($B190,'Node Details'!$B:$U,E$1,0),"Check"),"")</f>
        <v>Airtel</v>
      </c>
      <c r="F190" s="103">
        <v>46113</v>
      </c>
      <c r="G190" s="105"/>
      <c r="H190" s="104" t="s">
        <v>182</v>
      </c>
      <c r="I190" s="9">
        <v>1</v>
      </c>
      <c r="J190" s="9">
        <v>600</v>
      </c>
      <c r="K190" s="102">
        <f t="shared" si="37"/>
        <v>600</v>
      </c>
      <c r="L190" s="80">
        <v>46112</v>
      </c>
      <c r="M190" s="105"/>
      <c r="N190" s="95" t="s">
        <v>372</v>
      </c>
      <c r="O190" s="96"/>
      <c r="P190" s="106">
        <f t="shared" si="32"/>
        <v>600</v>
      </c>
      <c r="Q190" s="106">
        <f t="shared" si="33"/>
        <v>600</v>
      </c>
      <c r="R190" s="106"/>
      <c r="S190" s="95" t="s">
        <v>185</v>
      </c>
      <c r="T190" s="96"/>
      <c r="U190" s="106">
        <f t="shared" si="34"/>
        <v>600</v>
      </c>
      <c r="V190" s="106">
        <f t="shared" si="35"/>
        <v>1</v>
      </c>
      <c r="W190" s="105">
        <f t="shared" si="36"/>
        <v>600</v>
      </c>
      <c r="X190" s="95" t="s">
        <v>186</v>
      </c>
      <c r="Y190" s="107" t="s">
        <v>181</v>
      </c>
      <c r="Z190" s="107" t="s">
        <v>176</v>
      </c>
    </row>
    <row r="191" spans="1:26" s="107" customFormat="1" ht="15" customHeight="1" x14ac:dyDescent="0.2">
      <c r="A191" s="101">
        <f t="shared" si="31"/>
        <v>189</v>
      </c>
      <c r="B191" s="77" t="s">
        <v>336</v>
      </c>
      <c r="C191" s="102" t="str">
        <f>IF($B191&lt;&gt;"",_xlfn.IFNA(VLOOKUP($B191,'Node Details'!$B:$U,C$1,0),"Check"),"")</f>
        <v>0000AXY14-AXY140202</v>
      </c>
      <c r="D191" s="102" t="str">
        <f>IF($B191&lt;&gt;"",_xlfn.IFNA(VLOOKUP($B191,'Node Details'!$B:$U,D$1,0),"Check"),"")</f>
        <v>AXY</v>
      </c>
      <c r="E191" s="102" t="str">
        <f>IF($B191&lt;&gt;"",_xlfn.IFNA(VLOOKUP($B191,'Node Details'!$B:$U,E$1,0),"Check"),"")</f>
        <v>Airtel</v>
      </c>
      <c r="F191" s="103">
        <v>46113</v>
      </c>
      <c r="G191" s="105"/>
      <c r="H191" s="104" t="s">
        <v>182</v>
      </c>
      <c r="I191" s="9">
        <v>1</v>
      </c>
      <c r="J191" s="9">
        <v>600</v>
      </c>
      <c r="K191" s="102">
        <f t="shared" si="37"/>
        <v>600</v>
      </c>
      <c r="L191" s="80">
        <v>46112</v>
      </c>
      <c r="M191" s="105"/>
      <c r="N191" s="95" t="s">
        <v>372</v>
      </c>
      <c r="O191" s="96"/>
      <c r="P191" s="106">
        <f t="shared" si="32"/>
        <v>600</v>
      </c>
      <c r="Q191" s="106">
        <f t="shared" si="33"/>
        <v>600</v>
      </c>
      <c r="R191" s="106"/>
      <c r="S191" s="95" t="s">
        <v>185</v>
      </c>
      <c r="T191" s="96"/>
      <c r="U191" s="106">
        <f t="shared" si="34"/>
        <v>600</v>
      </c>
      <c r="V191" s="106">
        <f t="shared" si="35"/>
        <v>1</v>
      </c>
      <c r="W191" s="105">
        <f t="shared" si="36"/>
        <v>600</v>
      </c>
      <c r="X191" s="95" t="s">
        <v>186</v>
      </c>
      <c r="Y191" s="107" t="s">
        <v>181</v>
      </c>
      <c r="Z191" s="107" t="s">
        <v>176</v>
      </c>
    </row>
    <row r="192" spans="1:26" s="107" customFormat="1" ht="15" customHeight="1" x14ac:dyDescent="0.2">
      <c r="A192" s="101">
        <f t="shared" si="31"/>
        <v>190</v>
      </c>
      <c r="B192" s="77" t="s">
        <v>337</v>
      </c>
      <c r="C192" s="102" t="str">
        <f>IF($B192&lt;&gt;"",_xlfn.IFNA(VLOOKUP($B192,'Node Details'!$B:$U,C$1,0),"Check"),"")</f>
        <v>0000AXY14-AXY140202</v>
      </c>
      <c r="D192" s="102" t="str">
        <f>IF($B192&lt;&gt;"",_xlfn.IFNA(VLOOKUP($B192,'Node Details'!$B:$U,D$1,0),"Check"),"")</f>
        <v>AXY</v>
      </c>
      <c r="E192" s="102" t="str">
        <f>IF($B192&lt;&gt;"",_xlfn.IFNA(VLOOKUP($B192,'Node Details'!$B:$U,E$1,0),"Check"),"")</f>
        <v>Airtel</v>
      </c>
      <c r="F192" s="103">
        <v>46113</v>
      </c>
      <c r="G192" s="105"/>
      <c r="H192" s="104" t="s">
        <v>182</v>
      </c>
      <c r="I192" s="9">
        <v>1</v>
      </c>
      <c r="J192" s="9">
        <v>600</v>
      </c>
      <c r="K192" s="102">
        <f t="shared" si="37"/>
        <v>600</v>
      </c>
      <c r="L192" s="80">
        <v>46112</v>
      </c>
      <c r="M192" s="105"/>
      <c r="N192" s="95" t="s">
        <v>372</v>
      </c>
      <c r="O192" s="96"/>
      <c r="P192" s="106">
        <f t="shared" si="32"/>
        <v>600</v>
      </c>
      <c r="Q192" s="106">
        <f t="shared" si="33"/>
        <v>600</v>
      </c>
      <c r="R192" s="106"/>
      <c r="S192" s="95" t="s">
        <v>185</v>
      </c>
      <c r="T192" s="96"/>
      <c r="U192" s="106">
        <f t="shared" si="34"/>
        <v>600</v>
      </c>
      <c r="V192" s="106">
        <f t="shared" si="35"/>
        <v>1</v>
      </c>
      <c r="W192" s="105">
        <f t="shared" si="36"/>
        <v>600</v>
      </c>
      <c r="X192" s="95" t="s">
        <v>186</v>
      </c>
      <c r="Y192" s="107" t="s">
        <v>181</v>
      </c>
      <c r="Z192" s="107" t="s">
        <v>176</v>
      </c>
    </row>
    <row r="193" spans="1:26" s="107" customFormat="1" ht="15" customHeight="1" x14ac:dyDescent="0.2">
      <c r="A193" s="101">
        <f t="shared" si="31"/>
        <v>191</v>
      </c>
      <c r="B193" s="77" t="s">
        <v>338</v>
      </c>
      <c r="C193" s="102" t="str">
        <f>IF($B193&lt;&gt;"",_xlfn.IFNA(VLOOKUP($B193,'Node Details'!$B:$U,C$1,0),"Check"),"")</f>
        <v>0000AXY14-AXY140202</v>
      </c>
      <c r="D193" s="102" t="str">
        <f>IF($B193&lt;&gt;"",_xlfn.IFNA(VLOOKUP($B193,'Node Details'!$B:$U,D$1,0),"Check"),"")</f>
        <v>AXY</v>
      </c>
      <c r="E193" s="102" t="str">
        <f>IF($B193&lt;&gt;"",_xlfn.IFNA(VLOOKUP($B193,'Node Details'!$B:$U,E$1,0),"Check"),"")</f>
        <v>Airtel</v>
      </c>
      <c r="F193" s="103">
        <v>46113</v>
      </c>
      <c r="G193" s="105"/>
      <c r="H193" s="104" t="s">
        <v>182</v>
      </c>
      <c r="I193" s="9">
        <v>1</v>
      </c>
      <c r="J193" s="9">
        <v>600</v>
      </c>
      <c r="K193" s="102">
        <f t="shared" si="37"/>
        <v>600</v>
      </c>
      <c r="L193" s="80">
        <v>46112</v>
      </c>
      <c r="M193" s="105"/>
      <c r="N193" s="95" t="s">
        <v>372</v>
      </c>
      <c r="O193" s="96"/>
      <c r="P193" s="106">
        <f t="shared" si="32"/>
        <v>600</v>
      </c>
      <c r="Q193" s="106">
        <f t="shared" si="33"/>
        <v>600</v>
      </c>
      <c r="R193" s="106"/>
      <c r="S193" s="95" t="s">
        <v>185</v>
      </c>
      <c r="T193" s="96"/>
      <c r="U193" s="106">
        <f t="shared" si="34"/>
        <v>600</v>
      </c>
      <c r="V193" s="106">
        <f t="shared" si="35"/>
        <v>1</v>
      </c>
      <c r="W193" s="105">
        <f t="shared" si="36"/>
        <v>600</v>
      </c>
      <c r="X193" s="95" t="s">
        <v>186</v>
      </c>
      <c r="Y193" s="107" t="s">
        <v>181</v>
      </c>
      <c r="Z193" s="107" t="s">
        <v>176</v>
      </c>
    </row>
    <row r="194" spans="1:26" s="107" customFormat="1" ht="15" customHeight="1" x14ac:dyDescent="0.2">
      <c r="A194" s="101">
        <f t="shared" si="31"/>
        <v>192</v>
      </c>
      <c r="B194" s="77" t="s">
        <v>339</v>
      </c>
      <c r="C194" s="102" t="str">
        <f>IF($B194&lt;&gt;"",_xlfn.IFNA(VLOOKUP($B194,'Node Details'!$B:$U,C$1,0),"Check"),"")</f>
        <v>AXY140202-AXY140203</v>
      </c>
      <c r="D194" s="102" t="str">
        <f>IF($B194&lt;&gt;"",_xlfn.IFNA(VLOOKUP($B194,'Node Details'!$B:$U,D$1,0),"Check"),"")</f>
        <v>AXY</v>
      </c>
      <c r="E194" s="102" t="str">
        <f>IF($B194&lt;&gt;"",_xlfn.IFNA(VLOOKUP($B194,'Node Details'!$B:$U,E$1,0),"Check"),"")</f>
        <v>Airtel</v>
      </c>
      <c r="F194" s="103">
        <v>46113</v>
      </c>
      <c r="G194" s="105"/>
      <c r="H194" s="104" t="s">
        <v>182</v>
      </c>
      <c r="I194" s="9">
        <v>1</v>
      </c>
      <c r="J194" s="9">
        <v>600</v>
      </c>
      <c r="K194" s="102">
        <f t="shared" si="37"/>
        <v>600</v>
      </c>
      <c r="L194" s="80">
        <v>46112</v>
      </c>
      <c r="M194" s="105"/>
      <c r="N194" s="95" t="s">
        <v>372</v>
      </c>
      <c r="O194" s="96"/>
      <c r="P194" s="106">
        <f t="shared" si="32"/>
        <v>600</v>
      </c>
      <c r="Q194" s="106">
        <f t="shared" si="33"/>
        <v>600</v>
      </c>
      <c r="R194" s="106"/>
      <c r="S194" s="95" t="s">
        <v>185</v>
      </c>
      <c r="T194" s="96"/>
      <c r="U194" s="106">
        <f t="shared" si="34"/>
        <v>600</v>
      </c>
      <c r="V194" s="106">
        <f t="shared" si="35"/>
        <v>1</v>
      </c>
      <c r="W194" s="105">
        <f t="shared" si="36"/>
        <v>600</v>
      </c>
      <c r="X194" s="95" t="s">
        <v>186</v>
      </c>
      <c r="Y194" s="107" t="s">
        <v>181</v>
      </c>
      <c r="Z194" s="107" t="s">
        <v>176</v>
      </c>
    </row>
    <row r="195" spans="1:26" s="107" customFormat="1" ht="15" customHeight="1" x14ac:dyDescent="0.2">
      <c r="A195" s="101">
        <f t="shared" si="31"/>
        <v>193</v>
      </c>
      <c r="B195" s="77" t="s">
        <v>340</v>
      </c>
      <c r="C195" s="102" t="str">
        <f>IF($B195&lt;&gt;"",_xlfn.IFNA(VLOOKUP($B195,'Node Details'!$B:$U,C$1,0),"Check"),"")</f>
        <v>AXY140108-AXY140104</v>
      </c>
      <c r="D195" s="102" t="str">
        <f>IF($B195&lt;&gt;"",_xlfn.IFNA(VLOOKUP($B195,'Node Details'!$B:$U,D$1,0),"Check"),"")</f>
        <v>AXY</v>
      </c>
      <c r="E195" s="102" t="str">
        <f>IF($B195&lt;&gt;"",_xlfn.IFNA(VLOOKUP($B195,'Node Details'!$B:$U,E$1,0),"Check"),"")</f>
        <v>Airtel</v>
      </c>
      <c r="F195" s="103">
        <v>46113</v>
      </c>
      <c r="G195" s="105"/>
      <c r="H195" s="104" t="s">
        <v>182</v>
      </c>
      <c r="I195" s="9">
        <v>1</v>
      </c>
      <c r="J195" s="9">
        <v>600</v>
      </c>
      <c r="K195" s="102">
        <f t="shared" si="37"/>
        <v>600</v>
      </c>
      <c r="L195" s="80">
        <v>46112</v>
      </c>
      <c r="M195" s="105"/>
      <c r="N195" s="95" t="s">
        <v>372</v>
      </c>
      <c r="O195" s="96"/>
      <c r="P195" s="106">
        <f t="shared" si="32"/>
        <v>600</v>
      </c>
      <c r="Q195" s="106">
        <f t="shared" si="33"/>
        <v>600</v>
      </c>
      <c r="R195" s="106"/>
      <c r="S195" s="95" t="s">
        <v>185</v>
      </c>
      <c r="T195" s="96"/>
      <c r="U195" s="106">
        <f t="shared" si="34"/>
        <v>600</v>
      </c>
      <c r="V195" s="106">
        <f t="shared" si="35"/>
        <v>1</v>
      </c>
      <c r="W195" s="105">
        <f t="shared" si="36"/>
        <v>600</v>
      </c>
      <c r="X195" s="95" t="s">
        <v>186</v>
      </c>
      <c r="Y195" s="107" t="s">
        <v>181</v>
      </c>
      <c r="Z195" s="107" t="s">
        <v>176</v>
      </c>
    </row>
    <row r="196" spans="1:26" s="107" customFormat="1" ht="15" customHeight="1" x14ac:dyDescent="0.2">
      <c r="A196" s="101">
        <f t="shared" ref="A196:A259" si="38">A195+1</f>
        <v>194</v>
      </c>
      <c r="B196" s="77" t="s">
        <v>341</v>
      </c>
      <c r="C196" s="102" t="str">
        <f>IF($B196&lt;&gt;"",_xlfn.IFNA(VLOOKUP($B196,'Node Details'!$B:$U,C$1,0),"Check"),"")</f>
        <v>AXY140108-AXY140104</v>
      </c>
      <c r="D196" s="102" t="str">
        <f>IF($B196&lt;&gt;"",_xlfn.IFNA(VLOOKUP($B196,'Node Details'!$B:$U,D$1,0),"Check"),"")</f>
        <v>AXY</v>
      </c>
      <c r="E196" s="102" t="str">
        <f>IF($B196&lt;&gt;"",_xlfn.IFNA(VLOOKUP($B196,'Node Details'!$B:$U,E$1,0),"Check"),"")</f>
        <v>Airtel</v>
      </c>
      <c r="F196" s="103">
        <v>46113</v>
      </c>
      <c r="G196" s="105"/>
      <c r="H196" s="104" t="s">
        <v>182</v>
      </c>
      <c r="I196" s="9">
        <v>1</v>
      </c>
      <c r="J196" s="9">
        <v>600</v>
      </c>
      <c r="K196" s="102">
        <f t="shared" si="37"/>
        <v>600</v>
      </c>
      <c r="L196" s="80">
        <v>46112</v>
      </c>
      <c r="M196" s="105"/>
      <c r="N196" s="95" t="s">
        <v>372</v>
      </c>
      <c r="O196" s="96"/>
      <c r="P196" s="106">
        <f t="shared" si="32"/>
        <v>600</v>
      </c>
      <c r="Q196" s="106">
        <f t="shared" si="33"/>
        <v>600</v>
      </c>
      <c r="R196" s="106"/>
      <c r="S196" s="95" t="s">
        <v>185</v>
      </c>
      <c r="T196" s="96"/>
      <c r="U196" s="106">
        <f t="shared" si="34"/>
        <v>600</v>
      </c>
      <c r="V196" s="106">
        <f t="shared" si="35"/>
        <v>1</v>
      </c>
      <c r="W196" s="105">
        <f t="shared" si="36"/>
        <v>600</v>
      </c>
      <c r="X196" s="95" t="s">
        <v>186</v>
      </c>
      <c r="Y196" s="107" t="s">
        <v>181</v>
      </c>
      <c r="Z196" s="107" t="s">
        <v>176</v>
      </c>
    </row>
    <row r="197" spans="1:26" s="107" customFormat="1" ht="15" customHeight="1" x14ac:dyDescent="0.2">
      <c r="A197" s="101">
        <f t="shared" si="38"/>
        <v>195</v>
      </c>
      <c r="B197" s="77" t="s">
        <v>342</v>
      </c>
      <c r="C197" s="102" t="str">
        <f>IF($B197&lt;&gt;"",_xlfn.IFNA(VLOOKUP($B197,'Node Details'!$B:$U,C$1,0),"Check"),"")</f>
        <v>AXY140108-AXY140104</v>
      </c>
      <c r="D197" s="102" t="str">
        <f>IF($B197&lt;&gt;"",_xlfn.IFNA(VLOOKUP($B197,'Node Details'!$B:$U,D$1,0),"Check"),"")</f>
        <v>AXY</v>
      </c>
      <c r="E197" s="102" t="str">
        <f>IF($B197&lt;&gt;"",_xlfn.IFNA(VLOOKUP($B197,'Node Details'!$B:$U,E$1,0),"Check"),"")</f>
        <v>Airtel</v>
      </c>
      <c r="F197" s="103">
        <v>46113</v>
      </c>
      <c r="G197" s="105"/>
      <c r="H197" s="104" t="s">
        <v>182</v>
      </c>
      <c r="I197" s="9">
        <v>1</v>
      </c>
      <c r="J197" s="9">
        <v>600</v>
      </c>
      <c r="K197" s="102">
        <f t="shared" si="37"/>
        <v>600</v>
      </c>
      <c r="L197" s="80">
        <v>46112</v>
      </c>
      <c r="M197" s="105"/>
      <c r="N197" s="95" t="s">
        <v>372</v>
      </c>
      <c r="O197" s="96"/>
      <c r="P197" s="106">
        <f t="shared" si="32"/>
        <v>600</v>
      </c>
      <c r="Q197" s="106">
        <f t="shared" si="33"/>
        <v>600</v>
      </c>
      <c r="R197" s="106"/>
      <c r="S197" s="95" t="s">
        <v>185</v>
      </c>
      <c r="T197" s="96"/>
      <c r="U197" s="106">
        <f t="shared" si="34"/>
        <v>600</v>
      </c>
      <c r="V197" s="106">
        <f t="shared" si="35"/>
        <v>1</v>
      </c>
      <c r="W197" s="105">
        <f t="shared" si="36"/>
        <v>600</v>
      </c>
      <c r="X197" s="95" t="s">
        <v>186</v>
      </c>
      <c r="Y197" s="107" t="s">
        <v>181</v>
      </c>
      <c r="Z197" s="107" t="s">
        <v>176</v>
      </c>
    </row>
    <row r="198" spans="1:26" s="107" customFormat="1" ht="15" customHeight="1" x14ac:dyDescent="0.2">
      <c r="A198" s="101">
        <f t="shared" si="38"/>
        <v>196</v>
      </c>
      <c r="B198" s="77" t="s">
        <v>343</v>
      </c>
      <c r="C198" s="102" t="str">
        <f>IF($B198&lt;&gt;"",_xlfn.IFNA(VLOOKUP($B198,'Node Details'!$B:$U,C$1,0),"Check"),"")</f>
        <v>AXY140108-AXY140104</v>
      </c>
      <c r="D198" s="102" t="str">
        <f>IF($B198&lt;&gt;"",_xlfn.IFNA(VLOOKUP($B198,'Node Details'!$B:$U,D$1,0),"Check"),"")</f>
        <v>AXY</v>
      </c>
      <c r="E198" s="102" t="str">
        <f>IF($B198&lt;&gt;"",_xlfn.IFNA(VLOOKUP($B198,'Node Details'!$B:$U,E$1,0),"Check"),"")</f>
        <v>Airtel</v>
      </c>
      <c r="F198" s="103">
        <v>46113</v>
      </c>
      <c r="G198" s="105"/>
      <c r="H198" s="104" t="s">
        <v>182</v>
      </c>
      <c r="I198" s="9">
        <v>1</v>
      </c>
      <c r="J198" s="9">
        <v>600</v>
      </c>
      <c r="K198" s="102">
        <f t="shared" si="37"/>
        <v>600</v>
      </c>
      <c r="L198" s="80">
        <v>46112</v>
      </c>
      <c r="M198" s="105"/>
      <c r="N198" s="95" t="s">
        <v>372</v>
      </c>
      <c r="O198" s="96"/>
      <c r="P198" s="106">
        <f t="shared" si="32"/>
        <v>600</v>
      </c>
      <c r="Q198" s="106">
        <f t="shared" si="33"/>
        <v>600</v>
      </c>
      <c r="R198" s="106"/>
      <c r="S198" s="95" t="s">
        <v>185</v>
      </c>
      <c r="T198" s="96"/>
      <c r="U198" s="106">
        <f t="shared" si="34"/>
        <v>600</v>
      </c>
      <c r="V198" s="106">
        <f t="shared" si="35"/>
        <v>1</v>
      </c>
      <c r="W198" s="105">
        <f t="shared" si="36"/>
        <v>600</v>
      </c>
      <c r="X198" s="95" t="s">
        <v>186</v>
      </c>
      <c r="Y198" s="107" t="s">
        <v>181</v>
      </c>
      <c r="Z198" s="107" t="s">
        <v>176</v>
      </c>
    </row>
    <row r="199" spans="1:26" s="107" customFormat="1" ht="15" customHeight="1" x14ac:dyDescent="0.2">
      <c r="A199" s="101">
        <f t="shared" si="38"/>
        <v>197</v>
      </c>
      <c r="B199" s="77" t="s">
        <v>345</v>
      </c>
      <c r="C199" s="102" t="str">
        <f>IF($B199&lt;&gt;"",_xlfn.IFNA(VLOOKUP($B199,'Node Details'!$B:$U,C$1,0),"Check"),"")</f>
        <v>0000AXY15-AXY150103</v>
      </c>
      <c r="D199" s="102" t="str">
        <f>IF($B199&lt;&gt;"",_xlfn.IFNA(VLOOKUP($B199,'Node Details'!$B:$U,D$1,0),"Check"),"")</f>
        <v>AXY</v>
      </c>
      <c r="E199" s="102" t="str">
        <f>IF($B199&lt;&gt;"",_xlfn.IFNA(VLOOKUP($B199,'Node Details'!$B:$U,E$1,0),"Check"),"")</f>
        <v>Airtel</v>
      </c>
      <c r="F199" s="103">
        <v>46113</v>
      </c>
      <c r="G199" s="105"/>
      <c r="H199" s="104" t="s">
        <v>182</v>
      </c>
      <c r="I199" s="9">
        <v>1</v>
      </c>
      <c r="J199" s="9">
        <v>600</v>
      </c>
      <c r="K199" s="102">
        <f t="shared" si="37"/>
        <v>600</v>
      </c>
      <c r="L199" s="80">
        <v>46112</v>
      </c>
      <c r="M199" s="105"/>
      <c r="N199" s="95" t="s">
        <v>372</v>
      </c>
      <c r="O199" s="96"/>
      <c r="P199" s="106">
        <f t="shared" si="32"/>
        <v>600</v>
      </c>
      <c r="Q199" s="106">
        <f t="shared" si="33"/>
        <v>600</v>
      </c>
      <c r="R199" s="106"/>
      <c r="S199" s="95" t="s">
        <v>185</v>
      </c>
      <c r="T199" s="96"/>
      <c r="U199" s="106">
        <f t="shared" si="34"/>
        <v>600</v>
      </c>
      <c r="V199" s="106">
        <f t="shared" si="35"/>
        <v>1</v>
      </c>
      <c r="W199" s="105">
        <f t="shared" si="36"/>
        <v>600</v>
      </c>
      <c r="X199" s="95" t="s">
        <v>186</v>
      </c>
      <c r="Y199" s="107" t="s">
        <v>181</v>
      </c>
      <c r="Z199" s="107" t="s">
        <v>176</v>
      </c>
    </row>
    <row r="200" spans="1:26" s="107" customFormat="1" ht="15" customHeight="1" x14ac:dyDescent="0.2">
      <c r="A200" s="101">
        <f t="shared" si="38"/>
        <v>198</v>
      </c>
      <c r="B200" s="77" t="s">
        <v>346</v>
      </c>
      <c r="C200" s="102" t="str">
        <f>IF($B200&lt;&gt;"",_xlfn.IFNA(VLOOKUP($B200,'Node Details'!$B:$U,C$1,0),"Check"),"")</f>
        <v>0000AXY15-AXY150103</v>
      </c>
      <c r="D200" s="102" t="str">
        <f>IF($B200&lt;&gt;"",_xlfn.IFNA(VLOOKUP($B200,'Node Details'!$B:$U,D$1,0),"Check"),"")</f>
        <v>AXY</v>
      </c>
      <c r="E200" s="102" t="str">
        <f>IF($B200&lt;&gt;"",_xlfn.IFNA(VLOOKUP($B200,'Node Details'!$B:$U,E$1,0),"Check"),"")</f>
        <v>Airtel</v>
      </c>
      <c r="F200" s="103">
        <v>46113</v>
      </c>
      <c r="G200" s="105"/>
      <c r="H200" s="104" t="s">
        <v>182</v>
      </c>
      <c r="I200" s="9">
        <v>1</v>
      </c>
      <c r="J200" s="9">
        <v>600</v>
      </c>
      <c r="K200" s="102">
        <f t="shared" si="37"/>
        <v>600</v>
      </c>
      <c r="L200" s="80">
        <v>46112</v>
      </c>
      <c r="M200" s="105"/>
      <c r="N200" s="95" t="s">
        <v>372</v>
      </c>
      <c r="O200" s="96"/>
      <c r="P200" s="106">
        <f t="shared" si="32"/>
        <v>600</v>
      </c>
      <c r="Q200" s="106">
        <f t="shared" si="33"/>
        <v>600</v>
      </c>
      <c r="R200" s="106"/>
      <c r="S200" s="95" t="s">
        <v>185</v>
      </c>
      <c r="T200" s="96"/>
      <c r="U200" s="106">
        <f t="shared" si="34"/>
        <v>600</v>
      </c>
      <c r="V200" s="106">
        <f t="shared" si="35"/>
        <v>1</v>
      </c>
      <c r="W200" s="105">
        <f t="shared" si="36"/>
        <v>600</v>
      </c>
      <c r="X200" s="95" t="s">
        <v>186</v>
      </c>
      <c r="Y200" s="107" t="s">
        <v>181</v>
      </c>
      <c r="Z200" s="107" t="s">
        <v>176</v>
      </c>
    </row>
    <row r="201" spans="1:26" s="107" customFormat="1" ht="15" customHeight="1" x14ac:dyDescent="0.2">
      <c r="A201" s="101">
        <f t="shared" si="38"/>
        <v>199</v>
      </c>
      <c r="B201" s="77" t="s">
        <v>347</v>
      </c>
      <c r="C201" s="102" t="str">
        <f>IF($B201&lt;&gt;"",_xlfn.IFNA(VLOOKUP($B201,'Node Details'!$B:$U,C$1,0),"Check"),"")</f>
        <v>0000AXY15-AXY150103</v>
      </c>
      <c r="D201" s="102" t="str">
        <f>IF($B201&lt;&gt;"",_xlfn.IFNA(VLOOKUP($B201,'Node Details'!$B:$U,D$1,0),"Check"),"")</f>
        <v>AXY</v>
      </c>
      <c r="E201" s="102" t="str">
        <f>IF($B201&lt;&gt;"",_xlfn.IFNA(VLOOKUP($B201,'Node Details'!$B:$U,E$1,0),"Check"),"")</f>
        <v>Airtel</v>
      </c>
      <c r="F201" s="103">
        <v>46113</v>
      </c>
      <c r="G201" s="105"/>
      <c r="H201" s="104" t="s">
        <v>182</v>
      </c>
      <c r="I201" s="9">
        <v>1</v>
      </c>
      <c r="J201" s="9">
        <v>600</v>
      </c>
      <c r="K201" s="102">
        <f t="shared" si="37"/>
        <v>600</v>
      </c>
      <c r="L201" s="80">
        <v>46112</v>
      </c>
      <c r="M201" s="105"/>
      <c r="N201" s="95" t="s">
        <v>372</v>
      </c>
      <c r="O201" s="96"/>
      <c r="P201" s="106">
        <f t="shared" si="32"/>
        <v>600</v>
      </c>
      <c r="Q201" s="106">
        <f t="shared" si="33"/>
        <v>600</v>
      </c>
      <c r="R201" s="106"/>
      <c r="S201" s="95" t="s">
        <v>185</v>
      </c>
      <c r="T201" s="96"/>
      <c r="U201" s="106">
        <f t="shared" si="34"/>
        <v>600</v>
      </c>
      <c r="V201" s="106">
        <f t="shared" si="35"/>
        <v>1</v>
      </c>
      <c r="W201" s="105">
        <f t="shared" si="36"/>
        <v>600</v>
      </c>
      <c r="X201" s="95" t="s">
        <v>186</v>
      </c>
      <c r="Y201" s="107" t="s">
        <v>181</v>
      </c>
      <c r="Z201" s="107" t="s">
        <v>176</v>
      </c>
    </row>
    <row r="202" spans="1:26" s="107" customFormat="1" ht="15" customHeight="1" x14ac:dyDescent="0.2">
      <c r="A202" s="101">
        <f t="shared" si="38"/>
        <v>200</v>
      </c>
      <c r="B202" s="77" t="s">
        <v>348</v>
      </c>
      <c r="C202" s="102" t="str">
        <f>IF($B202&lt;&gt;"",_xlfn.IFNA(VLOOKUP($B202,'Node Details'!$B:$U,C$1,0),"Check"),"")</f>
        <v>0000AXY15-AXY150104</v>
      </c>
      <c r="D202" s="102" t="str">
        <f>IF($B202&lt;&gt;"",_xlfn.IFNA(VLOOKUP($B202,'Node Details'!$B:$U,D$1,0),"Check"),"")</f>
        <v>AXY</v>
      </c>
      <c r="E202" s="102" t="str">
        <f>IF($B202&lt;&gt;"",_xlfn.IFNA(VLOOKUP($B202,'Node Details'!$B:$U,E$1,0),"Check"),"")</f>
        <v>Airtel</v>
      </c>
      <c r="F202" s="103">
        <v>46113</v>
      </c>
      <c r="G202" s="105"/>
      <c r="H202" s="104" t="s">
        <v>182</v>
      </c>
      <c r="I202" s="9">
        <v>1</v>
      </c>
      <c r="J202" s="9">
        <v>600</v>
      </c>
      <c r="K202" s="102">
        <f t="shared" si="37"/>
        <v>600</v>
      </c>
      <c r="L202" s="80">
        <v>46112</v>
      </c>
      <c r="M202" s="105"/>
      <c r="N202" s="95" t="s">
        <v>372</v>
      </c>
      <c r="O202" s="96"/>
      <c r="P202" s="106">
        <f t="shared" si="32"/>
        <v>600</v>
      </c>
      <c r="Q202" s="106">
        <f t="shared" si="33"/>
        <v>600</v>
      </c>
      <c r="R202" s="106"/>
      <c r="S202" s="95" t="s">
        <v>185</v>
      </c>
      <c r="T202" s="96"/>
      <c r="U202" s="106">
        <f t="shared" si="34"/>
        <v>600</v>
      </c>
      <c r="V202" s="106">
        <f t="shared" si="35"/>
        <v>1</v>
      </c>
      <c r="W202" s="105">
        <f t="shared" si="36"/>
        <v>600</v>
      </c>
      <c r="X202" s="95" t="s">
        <v>186</v>
      </c>
      <c r="Y202" s="107" t="s">
        <v>181</v>
      </c>
      <c r="Z202" s="107" t="s">
        <v>176</v>
      </c>
    </row>
    <row r="203" spans="1:26" s="107" customFormat="1" ht="15" customHeight="1" x14ac:dyDescent="0.2">
      <c r="A203" s="101">
        <f t="shared" si="38"/>
        <v>201</v>
      </c>
      <c r="B203" s="77" t="s">
        <v>349</v>
      </c>
      <c r="C203" s="102" t="str">
        <f>IF($B203&lt;&gt;"",_xlfn.IFNA(VLOOKUP($B203,'Node Details'!$B:$U,C$1,0),"Check"),"")</f>
        <v>0000AXY15-AXY150108</v>
      </c>
      <c r="D203" s="102" t="str">
        <f>IF($B203&lt;&gt;"",_xlfn.IFNA(VLOOKUP($B203,'Node Details'!$B:$U,D$1,0),"Check"),"")</f>
        <v>AXY</v>
      </c>
      <c r="E203" s="102" t="str">
        <f>IF($B203&lt;&gt;"",_xlfn.IFNA(VLOOKUP($B203,'Node Details'!$B:$U,E$1,0),"Check"),"")</f>
        <v>Airtel</v>
      </c>
      <c r="F203" s="103">
        <v>46113</v>
      </c>
      <c r="G203" s="105"/>
      <c r="H203" s="104" t="s">
        <v>182</v>
      </c>
      <c r="I203" s="9">
        <v>1</v>
      </c>
      <c r="J203" s="9">
        <v>600</v>
      </c>
      <c r="K203" s="102">
        <f t="shared" si="37"/>
        <v>600</v>
      </c>
      <c r="L203" s="80">
        <v>46112</v>
      </c>
      <c r="M203" s="105"/>
      <c r="N203" s="95" t="s">
        <v>372</v>
      </c>
      <c r="O203" s="96"/>
      <c r="P203" s="106">
        <f t="shared" si="32"/>
        <v>600</v>
      </c>
      <c r="Q203" s="106">
        <f t="shared" si="33"/>
        <v>600</v>
      </c>
      <c r="R203" s="106"/>
      <c r="S203" s="95" t="s">
        <v>185</v>
      </c>
      <c r="T203" s="96"/>
      <c r="U203" s="106">
        <f t="shared" si="34"/>
        <v>600</v>
      </c>
      <c r="V203" s="106">
        <f t="shared" si="35"/>
        <v>1</v>
      </c>
      <c r="W203" s="105">
        <f t="shared" si="36"/>
        <v>600</v>
      </c>
      <c r="X203" s="95" t="s">
        <v>186</v>
      </c>
      <c r="Y203" s="107" t="s">
        <v>181</v>
      </c>
      <c r="Z203" s="107" t="s">
        <v>176</v>
      </c>
    </row>
    <row r="204" spans="1:26" s="107" customFormat="1" ht="15" customHeight="1" x14ac:dyDescent="0.2">
      <c r="A204" s="101">
        <f t="shared" si="38"/>
        <v>202</v>
      </c>
      <c r="B204" s="77" t="s">
        <v>350</v>
      </c>
      <c r="C204" s="102" t="str">
        <f>IF($B204&lt;&gt;"",_xlfn.IFNA(VLOOKUP($B204,'Node Details'!$B:$U,C$1,0),"Check"),"")</f>
        <v>0000AXY15-AXY150108</v>
      </c>
      <c r="D204" s="102" t="str">
        <f>IF($B204&lt;&gt;"",_xlfn.IFNA(VLOOKUP($B204,'Node Details'!$B:$U,D$1,0),"Check"),"")</f>
        <v>AXY</v>
      </c>
      <c r="E204" s="102" t="str">
        <f>IF($B204&lt;&gt;"",_xlfn.IFNA(VLOOKUP($B204,'Node Details'!$B:$U,E$1,0),"Check"),"")</f>
        <v>Airtel</v>
      </c>
      <c r="F204" s="103">
        <v>46113</v>
      </c>
      <c r="G204" s="105"/>
      <c r="H204" s="104" t="s">
        <v>182</v>
      </c>
      <c r="I204" s="9">
        <v>1</v>
      </c>
      <c r="J204" s="9">
        <v>600</v>
      </c>
      <c r="K204" s="102">
        <f t="shared" si="37"/>
        <v>600</v>
      </c>
      <c r="L204" s="80">
        <v>46112</v>
      </c>
      <c r="M204" s="105"/>
      <c r="N204" s="95" t="s">
        <v>372</v>
      </c>
      <c r="O204" s="96"/>
      <c r="P204" s="106">
        <f t="shared" si="32"/>
        <v>600</v>
      </c>
      <c r="Q204" s="106">
        <f t="shared" si="33"/>
        <v>600</v>
      </c>
      <c r="R204" s="106"/>
      <c r="S204" s="95" t="s">
        <v>185</v>
      </c>
      <c r="T204" s="96"/>
      <c r="U204" s="106">
        <f t="shared" si="34"/>
        <v>600</v>
      </c>
      <c r="V204" s="106">
        <f t="shared" si="35"/>
        <v>1</v>
      </c>
      <c r="W204" s="105">
        <f t="shared" si="36"/>
        <v>600</v>
      </c>
      <c r="X204" s="95" t="s">
        <v>186</v>
      </c>
      <c r="Y204" s="107" t="s">
        <v>181</v>
      </c>
      <c r="Z204" s="107" t="s">
        <v>176</v>
      </c>
    </row>
    <row r="205" spans="1:26" s="107" customFormat="1" ht="15" customHeight="1" x14ac:dyDescent="0.2">
      <c r="A205" s="101">
        <f t="shared" si="38"/>
        <v>203</v>
      </c>
      <c r="B205" s="77" t="s">
        <v>351</v>
      </c>
      <c r="C205" s="102" t="str">
        <f>IF($B205&lt;&gt;"",_xlfn.IFNA(VLOOKUP($B205,'Node Details'!$B:$U,C$1,0),"Check"),"")</f>
        <v>0000AXY15-AXY150108</v>
      </c>
      <c r="D205" s="102" t="str">
        <f>IF($B205&lt;&gt;"",_xlfn.IFNA(VLOOKUP($B205,'Node Details'!$B:$U,D$1,0),"Check"),"")</f>
        <v>AXY</v>
      </c>
      <c r="E205" s="102" t="str">
        <f>IF($B205&lt;&gt;"",_xlfn.IFNA(VLOOKUP($B205,'Node Details'!$B:$U,E$1,0),"Check"),"")</f>
        <v>Airtel</v>
      </c>
      <c r="F205" s="103">
        <v>46113</v>
      </c>
      <c r="G205" s="105"/>
      <c r="H205" s="104" t="s">
        <v>182</v>
      </c>
      <c r="I205" s="9">
        <v>1</v>
      </c>
      <c r="J205" s="9">
        <v>600</v>
      </c>
      <c r="K205" s="102">
        <f t="shared" si="37"/>
        <v>600</v>
      </c>
      <c r="L205" s="80">
        <v>46112</v>
      </c>
      <c r="M205" s="105"/>
      <c r="N205" s="95" t="s">
        <v>372</v>
      </c>
      <c r="O205" s="96"/>
      <c r="P205" s="106">
        <f t="shared" si="32"/>
        <v>600</v>
      </c>
      <c r="Q205" s="106">
        <f t="shared" si="33"/>
        <v>600</v>
      </c>
      <c r="R205" s="106"/>
      <c r="S205" s="95" t="s">
        <v>185</v>
      </c>
      <c r="T205" s="96"/>
      <c r="U205" s="106">
        <f t="shared" si="34"/>
        <v>600</v>
      </c>
      <c r="V205" s="106">
        <f t="shared" si="35"/>
        <v>1</v>
      </c>
      <c r="W205" s="105">
        <f t="shared" si="36"/>
        <v>600</v>
      </c>
      <c r="X205" s="95" t="s">
        <v>186</v>
      </c>
      <c r="Y205" s="107" t="s">
        <v>181</v>
      </c>
      <c r="Z205" s="107" t="s">
        <v>176</v>
      </c>
    </row>
    <row r="206" spans="1:26" s="107" customFormat="1" ht="15" customHeight="1" x14ac:dyDescent="0.2">
      <c r="A206" s="101">
        <f t="shared" si="38"/>
        <v>204</v>
      </c>
      <c r="B206" s="77" t="s">
        <v>353</v>
      </c>
      <c r="C206" s="102" t="str">
        <f>IF($B206&lt;&gt;"",_xlfn.IFNA(VLOOKUP($B206,'Node Details'!$B:$U,C$1,0),"Check"),"")</f>
        <v>0000AXY16-AXY160104</v>
      </c>
      <c r="D206" s="102" t="str">
        <f>IF($B206&lt;&gt;"",_xlfn.IFNA(VLOOKUP($B206,'Node Details'!$B:$U,D$1,0),"Check"),"")</f>
        <v>AXY</v>
      </c>
      <c r="E206" s="102" t="str">
        <f>IF($B206&lt;&gt;"",_xlfn.IFNA(VLOOKUP($B206,'Node Details'!$B:$U,E$1,0),"Check"),"")</f>
        <v>Airtel</v>
      </c>
      <c r="F206" s="103">
        <v>46113</v>
      </c>
      <c r="G206" s="105"/>
      <c r="H206" s="104" t="s">
        <v>182</v>
      </c>
      <c r="I206" s="9">
        <v>1</v>
      </c>
      <c r="J206" s="9">
        <v>600</v>
      </c>
      <c r="K206" s="102">
        <f t="shared" si="37"/>
        <v>600</v>
      </c>
      <c r="L206" s="80">
        <v>46112</v>
      </c>
      <c r="M206" s="105"/>
      <c r="N206" s="95" t="s">
        <v>372</v>
      </c>
      <c r="O206" s="96"/>
      <c r="P206" s="106">
        <f t="shared" si="32"/>
        <v>600</v>
      </c>
      <c r="Q206" s="106">
        <f t="shared" si="33"/>
        <v>600</v>
      </c>
      <c r="R206" s="106"/>
      <c r="S206" s="95" t="s">
        <v>185</v>
      </c>
      <c r="T206" s="96"/>
      <c r="U206" s="106">
        <f t="shared" si="34"/>
        <v>600</v>
      </c>
      <c r="V206" s="106">
        <f t="shared" si="35"/>
        <v>1</v>
      </c>
      <c r="W206" s="105">
        <f t="shared" si="36"/>
        <v>600</v>
      </c>
      <c r="X206" s="95" t="s">
        <v>186</v>
      </c>
      <c r="Y206" s="107" t="s">
        <v>181</v>
      </c>
      <c r="Z206" s="107" t="s">
        <v>176</v>
      </c>
    </row>
    <row r="207" spans="1:26" s="107" customFormat="1" ht="15" customHeight="1" x14ac:dyDescent="0.2">
      <c r="A207" s="101">
        <f t="shared" si="38"/>
        <v>205</v>
      </c>
      <c r="B207" s="77" t="s">
        <v>354</v>
      </c>
      <c r="C207" s="102" t="str">
        <f>IF($B207&lt;&gt;"",_xlfn.IFNA(VLOOKUP($B207,'Node Details'!$B:$U,C$1,0),"Check"),"")</f>
        <v>0000AXY16-AXY160103</v>
      </c>
      <c r="D207" s="102" t="str">
        <f>IF($B207&lt;&gt;"",_xlfn.IFNA(VLOOKUP($B207,'Node Details'!$B:$U,D$1,0),"Check"),"")</f>
        <v>AXY</v>
      </c>
      <c r="E207" s="102" t="str">
        <f>IF($B207&lt;&gt;"",_xlfn.IFNA(VLOOKUP($B207,'Node Details'!$B:$U,E$1,0),"Check"),"")</f>
        <v>Airtel</v>
      </c>
      <c r="F207" s="103">
        <v>46113</v>
      </c>
      <c r="G207" s="105"/>
      <c r="H207" s="104" t="s">
        <v>182</v>
      </c>
      <c r="I207" s="9">
        <v>1</v>
      </c>
      <c r="J207" s="9">
        <v>600</v>
      </c>
      <c r="K207" s="102">
        <f t="shared" si="37"/>
        <v>600</v>
      </c>
      <c r="L207" s="80">
        <v>46112</v>
      </c>
      <c r="M207" s="105"/>
      <c r="N207" s="95" t="s">
        <v>372</v>
      </c>
      <c r="O207" s="96"/>
      <c r="P207" s="106">
        <f t="shared" si="32"/>
        <v>600</v>
      </c>
      <c r="Q207" s="106">
        <f t="shared" si="33"/>
        <v>600</v>
      </c>
      <c r="R207" s="106"/>
      <c r="S207" s="95" t="s">
        <v>185</v>
      </c>
      <c r="T207" s="96"/>
      <c r="U207" s="106">
        <f t="shared" si="34"/>
        <v>600</v>
      </c>
      <c r="V207" s="106">
        <f t="shared" si="35"/>
        <v>1</v>
      </c>
      <c r="W207" s="105">
        <f t="shared" si="36"/>
        <v>600</v>
      </c>
      <c r="X207" s="95" t="s">
        <v>186</v>
      </c>
      <c r="Y207" s="107" t="s">
        <v>181</v>
      </c>
      <c r="Z207" s="107" t="s">
        <v>176</v>
      </c>
    </row>
    <row r="208" spans="1:26" s="107" customFormat="1" ht="15" customHeight="1" x14ac:dyDescent="0.2">
      <c r="A208" s="101">
        <f t="shared" si="38"/>
        <v>206</v>
      </c>
      <c r="B208" s="77" t="s">
        <v>355</v>
      </c>
      <c r="C208" s="102" t="str">
        <f>IF($B208&lt;&gt;"",_xlfn.IFNA(VLOOKUP($B208,'Node Details'!$B:$U,C$1,0),"Check"),"")</f>
        <v>0000AXY16-AXY160103</v>
      </c>
      <c r="D208" s="102" t="str">
        <f>IF($B208&lt;&gt;"",_xlfn.IFNA(VLOOKUP($B208,'Node Details'!$B:$U,D$1,0),"Check"),"")</f>
        <v>AXY</v>
      </c>
      <c r="E208" s="102" t="str">
        <f>IF($B208&lt;&gt;"",_xlfn.IFNA(VLOOKUP($B208,'Node Details'!$B:$U,E$1,0),"Check"),"")</f>
        <v>Airtel</v>
      </c>
      <c r="F208" s="103">
        <v>46113</v>
      </c>
      <c r="G208" s="105"/>
      <c r="H208" s="104" t="s">
        <v>182</v>
      </c>
      <c r="I208" s="9">
        <v>1</v>
      </c>
      <c r="J208" s="9">
        <v>600</v>
      </c>
      <c r="K208" s="102">
        <f t="shared" si="37"/>
        <v>600</v>
      </c>
      <c r="L208" s="80">
        <v>46112</v>
      </c>
      <c r="M208" s="105"/>
      <c r="N208" s="95" t="s">
        <v>372</v>
      </c>
      <c r="O208" s="96"/>
      <c r="P208" s="106">
        <f t="shared" si="32"/>
        <v>600</v>
      </c>
      <c r="Q208" s="106">
        <f t="shared" si="33"/>
        <v>600</v>
      </c>
      <c r="R208" s="106"/>
      <c r="S208" s="95" t="s">
        <v>185</v>
      </c>
      <c r="T208" s="96"/>
      <c r="U208" s="106">
        <f t="shared" si="34"/>
        <v>600</v>
      </c>
      <c r="V208" s="106">
        <f t="shared" si="35"/>
        <v>1</v>
      </c>
      <c r="W208" s="105">
        <f t="shared" si="36"/>
        <v>600</v>
      </c>
      <c r="X208" s="95" t="s">
        <v>186</v>
      </c>
      <c r="Y208" s="107" t="s">
        <v>181</v>
      </c>
      <c r="Z208" s="107" t="s">
        <v>176</v>
      </c>
    </row>
    <row r="209" spans="1:26" s="107" customFormat="1" ht="15" customHeight="1" x14ac:dyDescent="0.2">
      <c r="A209" s="101">
        <f t="shared" si="38"/>
        <v>207</v>
      </c>
      <c r="B209" s="77" t="s">
        <v>356</v>
      </c>
      <c r="C209" s="102" t="str">
        <f>IF($B209&lt;&gt;"",_xlfn.IFNA(VLOOKUP($B209,'Node Details'!$B:$U,C$1,0),"Check"),"")</f>
        <v>0000AXY16-AXY160103</v>
      </c>
      <c r="D209" s="102" t="str">
        <f>IF($B209&lt;&gt;"",_xlfn.IFNA(VLOOKUP($B209,'Node Details'!$B:$U,D$1,0),"Check"),"")</f>
        <v>AXY</v>
      </c>
      <c r="E209" s="102" t="str">
        <f>IF($B209&lt;&gt;"",_xlfn.IFNA(VLOOKUP($B209,'Node Details'!$B:$U,E$1,0),"Check"),"")</f>
        <v>Airtel</v>
      </c>
      <c r="F209" s="103">
        <v>46113</v>
      </c>
      <c r="G209" s="105"/>
      <c r="H209" s="104" t="s">
        <v>182</v>
      </c>
      <c r="I209" s="9">
        <v>1</v>
      </c>
      <c r="J209" s="9">
        <v>600</v>
      </c>
      <c r="K209" s="102">
        <f t="shared" si="37"/>
        <v>600</v>
      </c>
      <c r="L209" s="80">
        <v>46112</v>
      </c>
      <c r="M209" s="105"/>
      <c r="N209" s="95" t="s">
        <v>372</v>
      </c>
      <c r="O209" s="96"/>
      <c r="P209" s="106">
        <f t="shared" si="32"/>
        <v>600</v>
      </c>
      <c r="Q209" s="106">
        <f t="shared" si="33"/>
        <v>600</v>
      </c>
      <c r="R209" s="106"/>
      <c r="S209" s="95" t="s">
        <v>185</v>
      </c>
      <c r="T209" s="96"/>
      <c r="U209" s="106">
        <f t="shared" si="34"/>
        <v>600</v>
      </c>
      <c r="V209" s="106">
        <f t="shared" si="35"/>
        <v>1</v>
      </c>
      <c r="W209" s="105">
        <f t="shared" si="36"/>
        <v>600</v>
      </c>
      <c r="X209" s="95" t="s">
        <v>186</v>
      </c>
      <c r="Y209" s="107" t="s">
        <v>181</v>
      </c>
      <c r="Z209" s="107" t="s">
        <v>176</v>
      </c>
    </row>
    <row r="210" spans="1:26" s="107" customFormat="1" ht="15" customHeight="1" x14ac:dyDescent="0.2">
      <c r="A210" s="101">
        <f t="shared" si="38"/>
        <v>208</v>
      </c>
      <c r="B210" s="77" t="s">
        <v>357</v>
      </c>
      <c r="C210" s="102" t="str">
        <f>IF($B210&lt;&gt;"",_xlfn.IFNA(VLOOKUP($B210,'Node Details'!$B:$U,C$1,0),"Check"),"")</f>
        <v>0000AXY16-AXY160107</v>
      </c>
      <c r="D210" s="102" t="str">
        <f>IF($B210&lt;&gt;"",_xlfn.IFNA(VLOOKUP($B210,'Node Details'!$B:$U,D$1,0),"Check"),"")</f>
        <v>AXY</v>
      </c>
      <c r="E210" s="102" t="str">
        <f>IF($B210&lt;&gt;"",_xlfn.IFNA(VLOOKUP($B210,'Node Details'!$B:$U,E$1,0),"Check"),"")</f>
        <v>Airtel</v>
      </c>
      <c r="F210" s="103">
        <v>46113</v>
      </c>
      <c r="G210" s="105"/>
      <c r="H210" s="104" t="s">
        <v>182</v>
      </c>
      <c r="I210" s="9">
        <v>1</v>
      </c>
      <c r="J210" s="9">
        <v>600</v>
      </c>
      <c r="K210" s="102">
        <f t="shared" si="37"/>
        <v>600</v>
      </c>
      <c r="L210" s="80">
        <v>46112</v>
      </c>
      <c r="M210" s="105"/>
      <c r="N210" s="95" t="s">
        <v>372</v>
      </c>
      <c r="O210" s="96"/>
      <c r="P210" s="106">
        <f t="shared" si="32"/>
        <v>600</v>
      </c>
      <c r="Q210" s="106">
        <f t="shared" si="33"/>
        <v>600</v>
      </c>
      <c r="R210" s="106"/>
      <c r="S210" s="95" t="s">
        <v>185</v>
      </c>
      <c r="T210" s="96"/>
      <c r="U210" s="106">
        <f t="shared" si="34"/>
        <v>600</v>
      </c>
      <c r="V210" s="106">
        <f t="shared" si="35"/>
        <v>1</v>
      </c>
      <c r="W210" s="105">
        <f t="shared" si="36"/>
        <v>600</v>
      </c>
      <c r="X210" s="95" t="s">
        <v>186</v>
      </c>
      <c r="Y210" s="107" t="s">
        <v>181</v>
      </c>
      <c r="Z210" s="107" t="s">
        <v>176</v>
      </c>
    </row>
    <row r="211" spans="1:26" s="107" customFormat="1" ht="15" customHeight="1" x14ac:dyDescent="0.2">
      <c r="A211" s="101">
        <f t="shared" si="38"/>
        <v>209</v>
      </c>
      <c r="B211" s="77" t="s">
        <v>358</v>
      </c>
      <c r="C211" s="102" t="str">
        <f>IF($B211&lt;&gt;"",_xlfn.IFNA(VLOOKUP($B211,'Node Details'!$B:$U,C$1,0),"Check"),"")</f>
        <v>0000AXY16-AXY160107</v>
      </c>
      <c r="D211" s="102" t="str">
        <f>IF($B211&lt;&gt;"",_xlfn.IFNA(VLOOKUP($B211,'Node Details'!$B:$U,D$1,0),"Check"),"")</f>
        <v>AXY</v>
      </c>
      <c r="E211" s="102" t="str">
        <f>IF($B211&lt;&gt;"",_xlfn.IFNA(VLOOKUP($B211,'Node Details'!$B:$U,E$1,0),"Check"),"")</f>
        <v>Airtel</v>
      </c>
      <c r="F211" s="103">
        <v>46113</v>
      </c>
      <c r="G211" s="105"/>
      <c r="H211" s="104" t="s">
        <v>182</v>
      </c>
      <c r="I211" s="9">
        <v>1</v>
      </c>
      <c r="J211" s="9">
        <v>600</v>
      </c>
      <c r="K211" s="102">
        <f t="shared" si="37"/>
        <v>600</v>
      </c>
      <c r="L211" s="80">
        <v>46112</v>
      </c>
      <c r="M211" s="105"/>
      <c r="N211" s="95" t="s">
        <v>372</v>
      </c>
      <c r="O211" s="96"/>
      <c r="P211" s="106">
        <f t="shared" si="32"/>
        <v>600</v>
      </c>
      <c r="Q211" s="106">
        <f t="shared" si="33"/>
        <v>600</v>
      </c>
      <c r="R211" s="106"/>
      <c r="S211" s="95" t="s">
        <v>185</v>
      </c>
      <c r="T211" s="96"/>
      <c r="U211" s="106">
        <f t="shared" si="34"/>
        <v>600</v>
      </c>
      <c r="V211" s="106">
        <f t="shared" si="35"/>
        <v>1</v>
      </c>
      <c r="W211" s="105">
        <f t="shared" si="36"/>
        <v>600</v>
      </c>
      <c r="X211" s="95" t="s">
        <v>186</v>
      </c>
      <c r="Y211" s="107" t="s">
        <v>181</v>
      </c>
      <c r="Z211" s="107" t="s">
        <v>176</v>
      </c>
    </row>
    <row r="212" spans="1:26" s="107" customFormat="1" ht="15" customHeight="1" x14ac:dyDescent="0.2">
      <c r="A212" s="101">
        <f t="shared" si="38"/>
        <v>210</v>
      </c>
      <c r="B212" s="77" t="s">
        <v>359</v>
      </c>
      <c r="C212" s="102" t="str">
        <f>IF($B212&lt;&gt;"",_xlfn.IFNA(VLOOKUP($B212,'Node Details'!$B:$U,C$1,0),"Check"),"")</f>
        <v>0000AXY16-AXY160107</v>
      </c>
      <c r="D212" s="102" t="str">
        <f>IF($B212&lt;&gt;"",_xlfn.IFNA(VLOOKUP($B212,'Node Details'!$B:$U,D$1,0),"Check"),"")</f>
        <v>AXY</v>
      </c>
      <c r="E212" s="102" t="str">
        <f>IF($B212&lt;&gt;"",_xlfn.IFNA(VLOOKUP($B212,'Node Details'!$B:$U,E$1,0),"Check"),"")</f>
        <v>Airtel</v>
      </c>
      <c r="F212" s="103">
        <v>46113</v>
      </c>
      <c r="G212" s="105"/>
      <c r="H212" s="104" t="s">
        <v>182</v>
      </c>
      <c r="I212" s="9">
        <v>1</v>
      </c>
      <c r="J212" s="9">
        <v>600</v>
      </c>
      <c r="K212" s="102">
        <f t="shared" si="37"/>
        <v>600</v>
      </c>
      <c r="L212" s="80">
        <v>46112</v>
      </c>
      <c r="M212" s="105"/>
      <c r="N212" s="95" t="s">
        <v>372</v>
      </c>
      <c r="O212" s="96"/>
      <c r="P212" s="106">
        <f t="shared" si="32"/>
        <v>600</v>
      </c>
      <c r="Q212" s="106">
        <f t="shared" si="33"/>
        <v>600</v>
      </c>
      <c r="R212" s="106"/>
      <c r="S212" s="95" t="s">
        <v>185</v>
      </c>
      <c r="T212" s="96"/>
      <c r="U212" s="106">
        <f t="shared" si="34"/>
        <v>600</v>
      </c>
      <c r="V212" s="106">
        <f t="shared" si="35"/>
        <v>1</v>
      </c>
      <c r="W212" s="105">
        <f t="shared" si="36"/>
        <v>600</v>
      </c>
      <c r="X212" s="95" t="s">
        <v>186</v>
      </c>
      <c r="Y212" s="107" t="s">
        <v>181</v>
      </c>
      <c r="Z212" s="107" t="s">
        <v>176</v>
      </c>
    </row>
    <row r="213" spans="1:26" s="107" customFormat="1" ht="15" customHeight="1" x14ac:dyDescent="0.2">
      <c r="A213" s="101">
        <f t="shared" si="38"/>
        <v>211</v>
      </c>
      <c r="B213" s="77" t="s">
        <v>360</v>
      </c>
      <c r="C213" s="102" t="str">
        <f>IF($B213&lt;&gt;"",_xlfn.IFNA(VLOOKUP($B213,'Node Details'!$B:$U,C$1,0),"Check"),"")</f>
        <v>0000AXY16-AXY160108</v>
      </c>
      <c r="D213" s="102" t="str">
        <f>IF($B213&lt;&gt;"",_xlfn.IFNA(VLOOKUP($B213,'Node Details'!$B:$U,D$1,0),"Check"),"")</f>
        <v>AXY</v>
      </c>
      <c r="E213" s="102" t="str">
        <f>IF($B213&lt;&gt;"",_xlfn.IFNA(VLOOKUP($B213,'Node Details'!$B:$U,E$1,0),"Check"),"")</f>
        <v>Airtel</v>
      </c>
      <c r="F213" s="103">
        <v>46113</v>
      </c>
      <c r="G213" s="105"/>
      <c r="H213" s="104" t="s">
        <v>182</v>
      </c>
      <c r="I213" s="9">
        <v>1</v>
      </c>
      <c r="J213" s="9">
        <v>600</v>
      </c>
      <c r="K213" s="102">
        <f t="shared" si="37"/>
        <v>600</v>
      </c>
      <c r="L213" s="80">
        <v>46112</v>
      </c>
      <c r="M213" s="105"/>
      <c r="N213" s="95" t="s">
        <v>372</v>
      </c>
      <c r="O213" s="96"/>
      <c r="P213" s="106">
        <f t="shared" si="32"/>
        <v>600</v>
      </c>
      <c r="Q213" s="106">
        <f t="shared" si="33"/>
        <v>600</v>
      </c>
      <c r="R213" s="106"/>
      <c r="S213" s="95" t="s">
        <v>185</v>
      </c>
      <c r="T213" s="96"/>
      <c r="U213" s="106">
        <f t="shared" si="34"/>
        <v>600</v>
      </c>
      <c r="V213" s="106">
        <f t="shared" si="35"/>
        <v>1</v>
      </c>
      <c r="W213" s="105">
        <f t="shared" si="36"/>
        <v>600</v>
      </c>
      <c r="X213" s="95" t="s">
        <v>186</v>
      </c>
      <c r="Y213" s="107" t="s">
        <v>181</v>
      </c>
      <c r="Z213" s="107" t="s">
        <v>176</v>
      </c>
    </row>
    <row r="214" spans="1:26" s="107" customFormat="1" ht="15" customHeight="1" x14ac:dyDescent="0.2">
      <c r="A214" s="101">
        <f t="shared" si="38"/>
        <v>212</v>
      </c>
      <c r="B214" s="77" t="s">
        <v>362</v>
      </c>
      <c r="C214" s="102" t="str">
        <f>IF($B214&lt;&gt;"",_xlfn.IFNA(VLOOKUP($B214,'Node Details'!$B:$U,C$1,0),"Check"),"")</f>
        <v>0000AXY17-AXY170101</v>
      </c>
      <c r="D214" s="102" t="str">
        <f>IF($B214&lt;&gt;"",_xlfn.IFNA(VLOOKUP($B214,'Node Details'!$B:$U,D$1,0),"Check"),"")</f>
        <v>AXY</v>
      </c>
      <c r="E214" s="102" t="str">
        <f>IF($B214&lt;&gt;"",_xlfn.IFNA(VLOOKUP($B214,'Node Details'!$B:$U,E$1,0),"Check"),"")</f>
        <v>Airtel</v>
      </c>
      <c r="F214" s="103">
        <v>46113</v>
      </c>
      <c r="G214" s="105"/>
      <c r="H214" s="104" t="s">
        <v>182</v>
      </c>
      <c r="I214" s="9">
        <v>1</v>
      </c>
      <c r="J214" s="9">
        <v>600</v>
      </c>
      <c r="K214" s="102">
        <f t="shared" si="37"/>
        <v>600</v>
      </c>
      <c r="L214" s="80">
        <v>46112</v>
      </c>
      <c r="M214" s="105"/>
      <c r="N214" s="95" t="s">
        <v>372</v>
      </c>
      <c r="O214" s="96"/>
      <c r="P214" s="106">
        <f t="shared" si="32"/>
        <v>600</v>
      </c>
      <c r="Q214" s="106">
        <f t="shared" si="33"/>
        <v>600</v>
      </c>
      <c r="R214" s="106"/>
      <c r="S214" s="95" t="s">
        <v>185</v>
      </c>
      <c r="T214" s="96"/>
      <c r="U214" s="106">
        <f t="shared" si="34"/>
        <v>600</v>
      </c>
      <c r="V214" s="106">
        <f t="shared" si="35"/>
        <v>1</v>
      </c>
      <c r="W214" s="105">
        <f t="shared" si="36"/>
        <v>600</v>
      </c>
      <c r="X214" s="95" t="s">
        <v>186</v>
      </c>
      <c r="Y214" s="107" t="s">
        <v>181</v>
      </c>
      <c r="Z214" s="107" t="s">
        <v>176</v>
      </c>
    </row>
    <row r="215" spans="1:26" s="107" customFormat="1" ht="15" customHeight="1" x14ac:dyDescent="0.2">
      <c r="A215" s="101">
        <f t="shared" si="38"/>
        <v>213</v>
      </c>
      <c r="B215" s="77" t="s">
        <v>363</v>
      </c>
      <c r="C215" s="102" t="str">
        <f>IF($B215&lt;&gt;"",_xlfn.IFNA(VLOOKUP($B215,'Node Details'!$B:$U,C$1,0),"Check"),"")</f>
        <v>0000AXY17-AXY170107</v>
      </c>
      <c r="D215" s="102" t="str">
        <f>IF($B215&lt;&gt;"",_xlfn.IFNA(VLOOKUP($B215,'Node Details'!$B:$U,D$1,0),"Check"),"")</f>
        <v>AXY</v>
      </c>
      <c r="E215" s="102" t="str">
        <f>IF($B215&lt;&gt;"",_xlfn.IFNA(VLOOKUP($B215,'Node Details'!$B:$U,E$1,0),"Check"),"")</f>
        <v>Airtel</v>
      </c>
      <c r="F215" s="103">
        <v>46113</v>
      </c>
      <c r="G215" s="105"/>
      <c r="H215" s="104" t="s">
        <v>182</v>
      </c>
      <c r="I215" s="9">
        <v>1</v>
      </c>
      <c r="J215" s="9">
        <v>600</v>
      </c>
      <c r="K215" s="102">
        <f t="shared" si="37"/>
        <v>600</v>
      </c>
      <c r="L215" s="80">
        <v>46112</v>
      </c>
      <c r="M215" s="105"/>
      <c r="N215" s="95" t="s">
        <v>372</v>
      </c>
      <c r="O215" s="96"/>
      <c r="P215" s="106">
        <f t="shared" si="32"/>
        <v>600</v>
      </c>
      <c r="Q215" s="106">
        <f t="shared" si="33"/>
        <v>600</v>
      </c>
      <c r="R215" s="106"/>
      <c r="S215" s="95" t="s">
        <v>185</v>
      </c>
      <c r="T215" s="96"/>
      <c r="U215" s="106">
        <f t="shared" si="34"/>
        <v>600</v>
      </c>
      <c r="V215" s="106">
        <f t="shared" si="35"/>
        <v>1</v>
      </c>
      <c r="W215" s="105">
        <f t="shared" si="36"/>
        <v>600</v>
      </c>
      <c r="X215" s="95" t="s">
        <v>186</v>
      </c>
      <c r="Y215" s="107" t="s">
        <v>181</v>
      </c>
      <c r="Z215" s="107" t="s">
        <v>176</v>
      </c>
    </row>
    <row r="216" spans="1:26" s="107" customFormat="1" ht="15" customHeight="1" x14ac:dyDescent="0.2">
      <c r="A216" s="101">
        <f t="shared" si="38"/>
        <v>214</v>
      </c>
      <c r="B216" s="77" t="s">
        <v>364</v>
      </c>
      <c r="C216" s="102" t="str">
        <f>IF($B216&lt;&gt;"",_xlfn.IFNA(VLOOKUP($B216,'Node Details'!$B:$U,C$1,0),"Check"),"")</f>
        <v>0000AXY17-AXY170107</v>
      </c>
      <c r="D216" s="102" t="str">
        <f>IF($B216&lt;&gt;"",_xlfn.IFNA(VLOOKUP($B216,'Node Details'!$B:$U,D$1,0),"Check"),"")</f>
        <v>AXY</v>
      </c>
      <c r="E216" s="102" t="str">
        <f>IF($B216&lt;&gt;"",_xlfn.IFNA(VLOOKUP($B216,'Node Details'!$B:$U,E$1,0),"Check"),"")</f>
        <v>Airtel</v>
      </c>
      <c r="F216" s="103">
        <v>46113</v>
      </c>
      <c r="G216" s="105"/>
      <c r="H216" s="104" t="s">
        <v>182</v>
      </c>
      <c r="I216" s="9">
        <v>1</v>
      </c>
      <c r="J216" s="9">
        <v>600</v>
      </c>
      <c r="K216" s="102">
        <f t="shared" si="37"/>
        <v>600</v>
      </c>
      <c r="L216" s="80">
        <v>46112</v>
      </c>
      <c r="M216" s="105"/>
      <c r="N216" s="95" t="s">
        <v>372</v>
      </c>
      <c r="O216" s="96"/>
      <c r="P216" s="106">
        <f t="shared" si="32"/>
        <v>600</v>
      </c>
      <c r="Q216" s="106">
        <f t="shared" si="33"/>
        <v>600</v>
      </c>
      <c r="R216" s="106"/>
      <c r="S216" s="95" t="s">
        <v>185</v>
      </c>
      <c r="T216" s="96"/>
      <c r="U216" s="106">
        <f t="shared" si="34"/>
        <v>600</v>
      </c>
      <c r="V216" s="106">
        <f t="shared" si="35"/>
        <v>1</v>
      </c>
      <c r="W216" s="105">
        <f t="shared" si="36"/>
        <v>600</v>
      </c>
      <c r="X216" s="95" t="s">
        <v>186</v>
      </c>
      <c r="Y216" s="107" t="s">
        <v>181</v>
      </c>
      <c r="Z216" s="107" t="s">
        <v>176</v>
      </c>
    </row>
    <row r="217" spans="1:26" s="107" customFormat="1" ht="15" customHeight="1" x14ac:dyDescent="0.2">
      <c r="A217" s="101">
        <f t="shared" si="38"/>
        <v>215</v>
      </c>
      <c r="B217" s="77" t="s">
        <v>365</v>
      </c>
      <c r="C217" s="102" t="str">
        <f>IF($B217&lt;&gt;"",_xlfn.IFNA(VLOOKUP($B217,'Node Details'!$B:$U,C$1,0),"Check"),"")</f>
        <v>0000AXY17-AXY170201</v>
      </c>
      <c r="D217" s="102" t="str">
        <f>IF($B217&lt;&gt;"",_xlfn.IFNA(VLOOKUP($B217,'Node Details'!$B:$U,D$1,0),"Check"),"")</f>
        <v>AXY</v>
      </c>
      <c r="E217" s="102" t="str">
        <f>IF($B217&lt;&gt;"",_xlfn.IFNA(VLOOKUP($B217,'Node Details'!$B:$U,E$1,0),"Check"),"")</f>
        <v>Airtel</v>
      </c>
      <c r="F217" s="103">
        <v>46113</v>
      </c>
      <c r="G217" s="105"/>
      <c r="H217" s="104" t="s">
        <v>182</v>
      </c>
      <c r="I217" s="9">
        <v>1</v>
      </c>
      <c r="J217" s="9">
        <v>600</v>
      </c>
      <c r="K217" s="102">
        <f t="shared" si="37"/>
        <v>600</v>
      </c>
      <c r="L217" s="80">
        <v>46112</v>
      </c>
      <c r="M217" s="105"/>
      <c r="N217" s="95" t="s">
        <v>372</v>
      </c>
      <c r="O217" s="96"/>
      <c r="P217" s="106">
        <f t="shared" si="32"/>
        <v>600</v>
      </c>
      <c r="Q217" s="106">
        <f t="shared" si="33"/>
        <v>600</v>
      </c>
      <c r="R217" s="106"/>
      <c r="S217" s="95" t="s">
        <v>185</v>
      </c>
      <c r="T217" s="96"/>
      <c r="U217" s="106">
        <f t="shared" si="34"/>
        <v>600</v>
      </c>
      <c r="V217" s="106">
        <f t="shared" si="35"/>
        <v>1</v>
      </c>
      <c r="W217" s="105">
        <f t="shared" si="36"/>
        <v>600</v>
      </c>
      <c r="X217" s="95" t="s">
        <v>186</v>
      </c>
      <c r="Y217" s="107" t="s">
        <v>181</v>
      </c>
      <c r="Z217" s="107" t="s">
        <v>176</v>
      </c>
    </row>
    <row r="218" spans="1:26" s="107" customFormat="1" ht="15" customHeight="1" x14ac:dyDescent="0.2">
      <c r="A218" s="101">
        <f t="shared" si="38"/>
        <v>216</v>
      </c>
      <c r="B218" s="77" t="s">
        <v>366</v>
      </c>
      <c r="C218" s="102" t="str">
        <f>IF($B218&lt;&gt;"",_xlfn.IFNA(VLOOKUP($B218,'Node Details'!$B:$U,C$1,0),"Check"),"")</f>
        <v>0000AXY17-AXY170201</v>
      </c>
      <c r="D218" s="102" t="str">
        <f>IF($B218&lt;&gt;"",_xlfn.IFNA(VLOOKUP($B218,'Node Details'!$B:$U,D$1,0),"Check"),"")</f>
        <v>AXY</v>
      </c>
      <c r="E218" s="102" t="str">
        <f>IF($B218&lt;&gt;"",_xlfn.IFNA(VLOOKUP($B218,'Node Details'!$B:$U,E$1,0),"Check"),"")</f>
        <v>Airtel</v>
      </c>
      <c r="F218" s="103">
        <v>46113</v>
      </c>
      <c r="G218" s="105"/>
      <c r="H218" s="104" t="s">
        <v>182</v>
      </c>
      <c r="I218" s="9">
        <v>1</v>
      </c>
      <c r="J218" s="9">
        <v>600</v>
      </c>
      <c r="K218" s="102">
        <f t="shared" si="37"/>
        <v>600</v>
      </c>
      <c r="L218" s="80">
        <v>46112</v>
      </c>
      <c r="M218" s="105"/>
      <c r="N218" s="95" t="s">
        <v>372</v>
      </c>
      <c r="O218" s="96"/>
      <c r="P218" s="106">
        <f t="shared" si="32"/>
        <v>600</v>
      </c>
      <c r="Q218" s="106">
        <f t="shared" si="33"/>
        <v>600</v>
      </c>
      <c r="R218" s="106"/>
      <c r="S218" s="95" t="s">
        <v>185</v>
      </c>
      <c r="T218" s="96"/>
      <c r="U218" s="106">
        <f t="shared" si="34"/>
        <v>600</v>
      </c>
      <c r="V218" s="106">
        <f t="shared" si="35"/>
        <v>1</v>
      </c>
      <c r="W218" s="105">
        <f t="shared" si="36"/>
        <v>600</v>
      </c>
      <c r="X218" s="95" t="s">
        <v>186</v>
      </c>
      <c r="Y218" s="107" t="s">
        <v>181</v>
      </c>
      <c r="Z218" s="107" t="s">
        <v>176</v>
      </c>
    </row>
    <row r="219" spans="1:26" s="107" customFormat="1" ht="15" customHeight="1" x14ac:dyDescent="0.2">
      <c r="A219" s="101">
        <f t="shared" si="38"/>
        <v>217</v>
      </c>
      <c r="B219" s="77" t="s">
        <v>367</v>
      </c>
      <c r="C219" s="102" t="str">
        <f>IF($B219&lt;&gt;"",_xlfn.IFNA(VLOOKUP($B219,'Node Details'!$B:$U,C$1,0),"Check"),"")</f>
        <v>AXY170103-AXY170107</v>
      </c>
      <c r="D219" s="102" t="str">
        <f>IF($B219&lt;&gt;"",_xlfn.IFNA(VLOOKUP($B219,'Node Details'!$B:$U,D$1,0),"Check"),"")</f>
        <v>AXY</v>
      </c>
      <c r="E219" s="102" t="str">
        <f>IF($B219&lt;&gt;"",_xlfn.IFNA(VLOOKUP($B219,'Node Details'!$B:$U,E$1,0),"Check"),"")</f>
        <v>Airtel</v>
      </c>
      <c r="F219" s="103">
        <v>46113</v>
      </c>
      <c r="G219" s="105"/>
      <c r="H219" s="104" t="s">
        <v>182</v>
      </c>
      <c r="I219" s="9">
        <v>1</v>
      </c>
      <c r="J219" s="9">
        <v>600</v>
      </c>
      <c r="K219" s="102">
        <f t="shared" si="37"/>
        <v>600</v>
      </c>
      <c r="L219" s="80">
        <v>46112</v>
      </c>
      <c r="M219" s="105"/>
      <c r="N219" s="95" t="s">
        <v>372</v>
      </c>
      <c r="O219" s="96"/>
      <c r="P219" s="106">
        <f t="shared" si="32"/>
        <v>600</v>
      </c>
      <c r="Q219" s="106">
        <f t="shared" si="33"/>
        <v>600</v>
      </c>
      <c r="R219" s="106"/>
      <c r="S219" s="95" t="s">
        <v>185</v>
      </c>
      <c r="T219" s="96"/>
      <c r="U219" s="106">
        <f t="shared" si="34"/>
        <v>600</v>
      </c>
      <c r="V219" s="106">
        <f t="shared" si="35"/>
        <v>1</v>
      </c>
      <c r="W219" s="105">
        <f t="shared" si="36"/>
        <v>600</v>
      </c>
      <c r="X219" s="95" t="s">
        <v>186</v>
      </c>
      <c r="Y219" s="107" t="s">
        <v>181</v>
      </c>
      <c r="Z219" s="107" t="s">
        <v>176</v>
      </c>
    </row>
    <row r="220" spans="1:26" s="107" customFormat="1" ht="15" customHeight="1" x14ac:dyDescent="0.2">
      <c r="A220" s="101">
        <f t="shared" si="38"/>
        <v>218</v>
      </c>
      <c r="B220" s="77" t="s">
        <v>368</v>
      </c>
      <c r="C220" s="102" t="str">
        <f>IF($B220&lt;&gt;"",_xlfn.IFNA(VLOOKUP($B220,'Node Details'!$B:$U,C$1,0),"Check"),"")</f>
        <v>AXY170103-AXY170107</v>
      </c>
      <c r="D220" s="102" t="str">
        <f>IF($B220&lt;&gt;"",_xlfn.IFNA(VLOOKUP($B220,'Node Details'!$B:$U,D$1,0),"Check"),"")</f>
        <v>AXY</v>
      </c>
      <c r="E220" s="102" t="str">
        <f>IF($B220&lt;&gt;"",_xlfn.IFNA(VLOOKUP($B220,'Node Details'!$B:$U,E$1,0),"Check"),"")</f>
        <v>Airtel</v>
      </c>
      <c r="F220" s="103">
        <v>46113</v>
      </c>
      <c r="G220" s="105"/>
      <c r="H220" s="104" t="s">
        <v>182</v>
      </c>
      <c r="I220" s="9">
        <v>1</v>
      </c>
      <c r="J220" s="9">
        <v>600</v>
      </c>
      <c r="K220" s="102">
        <f t="shared" si="37"/>
        <v>600</v>
      </c>
      <c r="L220" s="80">
        <v>46112</v>
      </c>
      <c r="M220" s="105"/>
      <c r="N220" s="95" t="s">
        <v>372</v>
      </c>
      <c r="O220" s="96"/>
      <c r="P220" s="106">
        <f t="shared" si="32"/>
        <v>600</v>
      </c>
      <c r="Q220" s="106">
        <f t="shared" si="33"/>
        <v>600</v>
      </c>
      <c r="R220" s="106"/>
      <c r="S220" s="95" t="s">
        <v>185</v>
      </c>
      <c r="T220" s="96"/>
      <c r="U220" s="106">
        <f t="shared" si="34"/>
        <v>600</v>
      </c>
      <c r="V220" s="106">
        <f t="shared" si="35"/>
        <v>1</v>
      </c>
      <c r="W220" s="105">
        <f t="shared" si="36"/>
        <v>600</v>
      </c>
      <c r="X220" s="95" t="s">
        <v>186</v>
      </c>
      <c r="Y220" s="107" t="s">
        <v>181</v>
      </c>
      <c r="Z220" s="107" t="s">
        <v>176</v>
      </c>
    </row>
    <row r="221" spans="1:26" s="107" customFormat="1" ht="15" customHeight="1" x14ac:dyDescent="0.2">
      <c r="A221" s="101">
        <f t="shared" si="38"/>
        <v>219</v>
      </c>
      <c r="B221" s="77" t="s">
        <v>225</v>
      </c>
      <c r="C221" s="102" t="str">
        <f>IF($B221&lt;&gt;"",_xlfn.IFNA(VLOOKUP($B221,'Node Details'!$B:$U,C$1,0),"Check"),"")</f>
        <v>000000AXY-0000AXY01</v>
      </c>
      <c r="D221" s="102" t="str">
        <f>IF($B221&lt;&gt;"",_xlfn.IFNA(VLOOKUP($B221,'Node Details'!$B:$U,D$1,0),"Check"),"")</f>
        <v>AXY</v>
      </c>
      <c r="E221" s="102" t="str">
        <f>IF($B221&lt;&gt;"",_xlfn.IFNA(VLOOKUP($B221,'Node Details'!$B:$U,E$1,0),"Check"),"")</f>
        <v>Airtel</v>
      </c>
      <c r="F221" s="103">
        <v>46113</v>
      </c>
      <c r="G221" s="105"/>
      <c r="H221" s="104" t="s">
        <v>183</v>
      </c>
      <c r="I221" s="9">
        <v>1</v>
      </c>
      <c r="J221" s="9">
        <v>600</v>
      </c>
      <c r="K221" s="102">
        <f t="shared" si="37"/>
        <v>600</v>
      </c>
      <c r="L221" s="80">
        <v>46112</v>
      </c>
      <c r="M221" s="105"/>
      <c r="N221" s="95" t="s">
        <v>372</v>
      </c>
      <c r="O221" s="96"/>
      <c r="P221" s="106">
        <f t="shared" ref="P221:P284" si="39">J221</f>
        <v>600</v>
      </c>
      <c r="Q221" s="106">
        <f t="shared" ref="Q221:Q284" si="40">P221*I221</f>
        <v>600</v>
      </c>
      <c r="R221" s="106"/>
      <c r="S221" s="95" t="s">
        <v>185</v>
      </c>
      <c r="T221" s="96"/>
      <c r="U221" s="106">
        <f t="shared" ref="U221:U284" si="41">J221</f>
        <v>600</v>
      </c>
      <c r="V221" s="106">
        <f t="shared" ref="V221:V284" si="42">I221</f>
        <v>1</v>
      </c>
      <c r="W221" s="105">
        <f t="shared" ref="W221:W284" si="43">IF(V221&lt;&gt;"",V221*U221,0)</f>
        <v>600</v>
      </c>
      <c r="X221" s="95" t="s">
        <v>186</v>
      </c>
      <c r="Y221" s="107" t="s">
        <v>181</v>
      </c>
      <c r="Z221" s="107" t="s">
        <v>176</v>
      </c>
    </row>
    <row r="222" spans="1:26" s="107" customFormat="1" ht="15" customHeight="1" x14ac:dyDescent="0.2">
      <c r="A222" s="101">
        <f t="shared" si="38"/>
        <v>220</v>
      </c>
      <c r="B222" s="77" t="s">
        <v>230</v>
      </c>
      <c r="C222" s="102" t="str">
        <f>IF($B222&lt;&gt;"",_xlfn.IFNA(VLOOKUP($B222,'Node Details'!$B:$U,C$1,0),"Check"),"")</f>
        <v>0000AXY02-0000AXY03</v>
      </c>
      <c r="D222" s="102" t="str">
        <f>IF($B222&lt;&gt;"",_xlfn.IFNA(VLOOKUP($B222,'Node Details'!$B:$U,D$1,0),"Check"),"")</f>
        <v>AXY</v>
      </c>
      <c r="E222" s="102" t="str">
        <f>IF($B222&lt;&gt;"",_xlfn.IFNA(VLOOKUP($B222,'Node Details'!$B:$U,E$1,0),"Check"),"")</f>
        <v>Airtel</v>
      </c>
      <c r="F222" s="103">
        <v>46113</v>
      </c>
      <c r="G222" s="105"/>
      <c r="H222" s="104" t="s">
        <v>183</v>
      </c>
      <c r="I222" s="9">
        <v>1</v>
      </c>
      <c r="J222" s="9">
        <v>600</v>
      </c>
      <c r="K222" s="102">
        <f t="shared" ref="K222:K285" si="44">IF(I222&lt;&gt;"",J222*I222,0)</f>
        <v>600</v>
      </c>
      <c r="L222" s="80">
        <v>46112</v>
      </c>
      <c r="M222" s="105"/>
      <c r="N222" s="95" t="s">
        <v>372</v>
      </c>
      <c r="O222" s="96"/>
      <c r="P222" s="106">
        <f t="shared" si="39"/>
        <v>600</v>
      </c>
      <c r="Q222" s="106">
        <f t="shared" si="40"/>
        <v>600</v>
      </c>
      <c r="R222" s="106"/>
      <c r="S222" s="95" t="s">
        <v>185</v>
      </c>
      <c r="T222" s="96"/>
      <c r="U222" s="106">
        <f t="shared" si="41"/>
        <v>600</v>
      </c>
      <c r="V222" s="106">
        <f t="shared" si="42"/>
        <v>1</v>
      </c>
      <c r="W222" s="105">
        <f t="shared" si="43"/>
        <v>600</v>
      </c>
      <c r="X222" s="95" t="s">
        <v>186</v>
      </c>
      <c r="Y222" s="107" t="s">
        <v>181</v>
      </c>
      <c r="Z222" s="107" t="s">
        <v>176</v>
      </c>
    </row>
    <row r="223" spans="1:26" s="107" customFormat="1" ht="15" customHeight="1" x14ac:dyDescent="0.2">
      <c r="A223" s="101">
        <f t="shared" si="38"/>
        <v>221</v>
      </c>
      <c r="B223" s="77" t="s">
        <v>240</v>
      </c>
      <c r="C223" s="102" t="str">
        <f>IF($B223&lt;&gt;"",_xlfn.IFNA(VLOOKUP($B223,'Node Details'!$B:$U,C$1,0),"Check"),"")</f>
        <v>000000AXY-0000AXY12</v>
      </c>
      <c r="D223" s="102" t="str">
        <f>IF($B223&lt;&gt;"",_xlfn.IFNA(VLOOKUP($B223,'Node Details'!$B:$U,D$1,0),"Check"),"")</f>
        <v>AXY</v>
      </c>
      <c r="E223" s="102" t="str">
        <f>IF($B223&lt;&gt;"",_xlfn.IFNA(VLOOKUP($B223,'Node Details'!$B:$U,E$1,0),"Check"),"")</f>
        <v>Airtel</v>
      </c>
      <c r="F223" s="103">
        <v>46113</v>
      </c>
      <c r="G223" s="105"/>
      <c r="H223" s="104" t="s">
        <v>183</v>
      </c>
      <c r="I223" s="9">
        <v>1</v>
      </c>
      <c r="J223" s="9">
        <v>600</v>
      </c>
      <c r="K223" s="102">
        <f t="shared" si="44"/>
        <v>600</v>
      </c>
      <c r="L223" s="80">
        <v>46112</v>
      </c>
      <c r="M223" s="105"/>
      <c r="N223" s="95" t="s">
        <v>372</v>
      </c>
      <c r="O223" s="96"/>
      <c r="P223" s="106">
        <f t="shared" si="39"/>
        <v>600</v>
      </c>
      <c r="Q223" s="106">
        <f t="shared" si="40"/>
        <v>600</v>
      </c>
      <c r="R223" s="106"/>
      <c r="S223" s="95" t="s">
        <v>185</v>
      </c>
      <c r="T223" s="96"/>
      <c r="U223" s="106">
        <f t="shared" si="41"/>
        <v>600</v>
      </c>
      <c r="V223" s="106">
        <f t="shared" si="42"/>
        <v>1</v>
      </c>
      <c r="W223" s="105">
        <f t="shared" si="43"/>
        <v>600</v>
      </c>
      <c r="X223" s="95" t="s">
        <v>186</v>
      </c>
      <c r="Y223" s="107" t="s">
        <v>181</v>
      </c>
      <c r="Z223" s="107" t="s">
        <v>176</v>
      </c>
    </row>
    <row r="224" spans="1:26" s="107" customFormat="1" ht="15" customHeight="1" x14ac:dyDescent="0.2">
      <c r="A224" s="101">
        <f t="shared" si="38"/>
        <v>222</v>
      </c>
      <c r="B224" s="77" t="s">
        <v>251</v>
      </c>
      <c r="C224" s="102" t="str">
        <f>IF($B224&lt;&gt;"",_xlfn.IFNA(VLOOKUP($B224,'Node Details'!$B:$U,C$1,0),"Check"),"")</f>
        <v>0000AXY04-0000AXY05</v>
      </c>
      <c r="D224" s="102" t="str">
        <f>IF($B224&lt;&gt;"",_xlfn.IFNA(VLOOKUP($B224,'Node Details'!$B:$U,D$1,0),"Check"),"")</f>
        <v>AXY</v>
      </c>
      <c r="E224" s="102" t="str">
        <f>IF($B224&lt;&gt;"",_xlfn.IFNA(VLOOKUP($B224,'Node Details'!$B:$U,E$1,0),"Check"),"")</f>
        <v>Airtel</v>
      </c>
      <c r="F224" s="103">
        <v>46113</v>
      </c>
      <c r="G224" s="105"/>
      <c r="H224" s="104" t="s">
        <v>183</v>
      </c>
      <c r="I224" s="9">
        <v>1</v>
      </c>
      <c r="J224" s="9">
        <v>600</v>
      </c>
      <c r="K224" s="102">
        <f t="shared" si="44"/>
        <v>600</v>
      </c>
      <c r="L224" s="80">
        <v>46112</v>
      </c>
      <c r="M224" s="105"/>
      <c r="N224" s="95" t="s">
        <v>372</v>
      </c>
      <c r="O224" s="96"/>
      <c r="P224" s="106">
        <f t="shared" si="39"/>
        <v>600</v>
      </c>
      <c r="Q224" s="106">
        <f t="shared" si="40"/>
        <v>600</v>
      </c>
      <c r="R224" s="106"/>
      <c r="S224" s="95" t="s">
        <v>185</v>
      </c>
      <c r="T224" s="96"/>
      <c r="U224" s="106">
        <f t="shared" si="41"/>
        <v>600</v>
      </c>
      <c r="V224" s="106">
        <f t="shared" si="42"/>
        <v>1</v>
      </c>
      <c r="W224" s="105">
        <f t="shared" si="43"/>
        <v>600</v>
      </c>
      <c r="X224" s="95" t="s">
        <v>186</v>
      </c>
      <c r="Y224" s="107" t="s">
        <v>181</v>
      </c>
      <c r="Z224" s="107" t="s">
        <v>176</v>
      </c>
    </row>
    <row r="225" spans="1:26" s="107" customFormat="1" ht="15" customHeight="1" x14ac:dyDescent="0.2">
      <c r="A225" s="101">
        <f t="shared" si="38"/>
        <v>223</v>
      </c>
      <c r="B225" s="77" t="s">
        <v>262</v>
      </c>
      <c r="C225" s="102" t="str">
        <f>IF($B225&lt;&gt;"",_xlfn.IFNA(VLOOKUP($B225,'Node Details'!$B:$U,C$1,0),"Check"),"")</f>
        <v>000000AXY-0000AXY12</v>
      </c>
      <c r="D225" s="102" t="str">
        <f>IF($B225&lt;&gt;"",_xlfn.IFNA(VLOOKUP($B225,'Node Details'!$B:$U,D$1,0),"Check"),"")</f>
        <v>AXY</v>
      </c>
      <c r="E225" s="102" t="str">
        <f>IF($B225&lt;&gt;"",_xlfn.IFNA(VLOOKUP($B225,'Node Details'!$B:$U,E$1,0),"Check"),"")</f>
        <v>Airtel</v>
      </c>
      <c r="F225" s="103">
        <v>46113</v>
      </c>
      <c r="G225" s="105"/>
      <c r="H225" s="104" t="s">
        <v>183</v>
      </c>
      <c r="I225" s="9">
        <v>1</v>
      </c>
      <c r="J225" s="9">
        <v>600</v>
      </c>
      <c r="K225" s="102">
        <f t="shared" si="44"/>
        <v>600</v>
      </c>
      <c r="L225" s="80">
        <v>46112</v>
      </c>
      <c r="M225" s="105"/>
      <c r="N225" s="95" t="s">
        <v>372</v>
      </c>
      <c r="O225" s="96"/>
      <c r="P225" s="106">
        <f t="shared" si="39"/>
        <v>600</v>
      </c>
      <c r="Q225" s="106">
        <f t="shared" si="40"/>
        <v>600</v>
      </c>
      <c r="R225" s="106"/>
      <c r="S225" s="95" t="s">
        <v>185</v>
      </c>
      <c r="T225" s="96"/>
      <c r="U225" s="106">
        <f t="shared" si="41"/>
        <v>600</v>
      </c>
      <c r="V225" s="106">
        <f t="shared" si="42"/>
        <v>1</v>
      </c>
      <c r="W225" s="105">
        <f t="shared" si="43"/>
        <v>600</v>
      </c>
      <c r="X225" s="95" t="s">
        <v>186</v>
      </c>
      <c r="Y225" s="107" t="s">
        <v>181</v>
      </c>
      <c r="Z225" s="107" t="s">
        <v>176</v>
      </c>
    </row>
    <row r="226" spans="1:26" s="107" customFormat="1" ht="15" customHeight="1" x14ac:dyDescent="0.2">
      <c r="A226" s="101">
        <f t="shared" si="38"/>
        <v>224</v>
      </c>
      <c r="B226" s="77" t="s">
        <v>272</v>
      </c>
      <c r="C226" s="102" t="str">
        <f>IF($B226&lt;&gt;"",_xlfn.IFNA(VLOOKUP($B226,'Node Details'!$B:$U,C$1,0),"Check"),"")</f>
        <v>000000AXY-0000AXY12</v>
      </c>
      <c r="D226" s="102" t="str">
        <f>IF($B226&lt;&gt;"",_xlfn.IFNA(VLOOKUP($B226,'Node Details'!$B:$U,D$1,0),"Check"),"")</f>
        <v>AXY</v>
      </c>
      <c r="E226" s="102" t="str">
        <f>IF($B226&lt;&gt;"",_xlfn.IFNA(VLOOKUP($B226,'Node Details'!$B:$U,E$1,0),"Check"),"")</f>
        <v>Airtel</v>
      </c>
      <c r="F226" s="103">
        <v>46113</v>
      </c>
      <c r="G226" s="105"/>
      <c r="H226" s="104" t="s">
        <v>183</v>
      </c>
      <c r="I226" s="9">
        <v>1</v>
      </c>
      <c r="J226" s="9">
        <v>600</v>
      </c>
      <c r="K226" s="102">
        <f t="shared" si="44"/>
        <v>600</v>
      </c>
      <c r="L226" s="80">
        <v>46112</v>
      </c>
      <c r="M226" s="105"/>
      <c r="N226" s="95" t="s">
        <v>372</v>
      </c>
      <c r="O226" s="96"/>
      <c r="P226" s="106">
        <f t="shared" si="39"/>
        <v>600</v>
      </c>
      <c r="Q226" s="106">
        <f t="shared" si="40"/>
        <v>600</v>
      </c>
      <c r="R226" s="106"/>
      <c r="S226" s="95" t="s">
        <v>185</v>
      </c>
      <c r="T226" s="96"/>
      <c r="U226" s="106">
        <f t="shared" si="41"/>
        <v>600</v>
      </c>
      <c r="V226" s="106">
        <f t="shared" si="42"/>
        <v>1</v>
      </c>
      <c r="W226" s="105">
        <f t="shared" si="43"/>
        <v>600</v>
      </c>
      <c r="X226" s="95" t="s">
        <v>186</v>
      </c>
      <c r="Y226" s="107" t="s">
        <v>181</v>
      </c>
      <c r="Z226" s="107" t="s">
        <v>176</v>
      </c>
    </row>
    <row r="227" spans="1:26" s="107" customFormat="1" ht="15" customHeight="1" x14ac:dyDescent="0.2">
      <c r="A227" s="101">
        <f t="shared" si="38"/>
        <v>225</v>
      </c>
      <c r="B227" s="77" t="s">
        <v>278</v>
      </c>
      <c r="C227" s="102" t="str">
        <f>IF($B227&lt;&gt;"",_xlfn.IFNA(VLOOKUP($B227,'Node Details'!$B:$U,C$1,0),"Check"),"")</f>
        <v>000000AXY-0000AXY12</v>
      </c>
      <c r="D227" s="102" t="str">
        <f>IF($B227&lt;&gt;"",_xlfn.IFNA(VLOOKUP($B227,'Node Details'!$B:$U,D$1,0),"Check"),"")</f>
        <v>AXY</v>
      </c>
      <c r="E227" s="102" t="str">
        <f>IF($B227&lt;&gt;"",_xlfn.IFNA(VLOOKUP($B227,'Node Details'!$B:$U,E$1,0),"Check"),"")</f>
        <v>Airtel</v>
      </c>
      <c r="F227" s="103">
        <v>46113</v>
      </c>
      <c r="G227" s="105"/>
      <c r="H227" s="104" t="s">
        <v>183</v>
      </c>
      <c r="I227" s="9">
        <v>1</v>
      </c>
      <c r="J227" s="9">
        <v>600</v>
      </c>
      <c r="K227" s="102">
        <f t="shared" si="44"/>
        <v>600</v>
      </c>
      <c r="L227" s="80">
        <v>46112</v>
      </c>
      <c r="M227" s="105"/>
      <c r="N227" s="95" t="s">
        <v>372</v>
      </c>
      <c r="O227" s="96"/>
      <c r="P227" s="106">
        <f t="shared" si="39"/>
        <v>600</v>
      </c>
      <c r="Q227" s="106">
        <f t="shared" si="40"/>
        <v>600</v>
      </c>
      <c r="R227" s="106"/>
      <c r="S227" s="95" t="s">
        <v>185</v>
      </c>
      <c r="T227" s="96"/>
      <c r="U227" s="106">
        <f t="shared" si="41"/>
        <v>600</v>
      </c>
      <c r="V227" s="106">
        <f t="shared" si="42"/>
        <v>1</v>
      </c>
      <c r="W227" s="105">
        <f t="shared" si="43"/>
        <v>600</v>
      </c>
      <c r="X227" s="95" t="s">
        <v>186</v>
      </c>
      <c r="Y227" s="107" t="s">
        <v>181</v>
      </c>
      <c r="Z227" s="107" t="s">
        <v>176</v>
      </c>
    </row>
    <row r="228" spans="1:26" s="107" customFormat="1" ht="15" customHeight="1" x14ac:dyDescent="0.2">
      <c r="A228" s="101">
        <f t="shared" si="38"/>
        <v>226</v>
      </c>
      <c r="B228" s="77" t="s">
        <v>289</v>
      </c>
      <c r="C228" s="102" t="str">
        <f>IF($B228&lt;&gt;"",_xlfn.IFNA(VLOOKUP($B228,'Node Details'!$B:$U,C$1,0),"Check"),"")</f>
        <v>000000AXY-0000AXY12</v>
      </c>
      <c r="D228" s="102" t="str">
        <f>IF($B228&lt;&gt;"",_xlfn.IFNA(VLOOKUP($B228,'Node Details'!$B:$U,D$1,0),"Check"),"")</f>
        <v>AXY</v>
      </c>
      <c r="E228" s="102" t="str">
        <f>IF($B228&lt;&gt;"",_xlfn.IFNA(VLOOKUP($B228,'Node Details'!$B:$U,E$1,0),"Check"),"")</f>
        <v>Airtel</v>
      </c>
      <c r="F228" s="103">
        <v>46113</v>
      </c>
      <c r="G228" s="105"/>
      <c r="H228" s="104" t="s">
        <v>183</v>
      </c>
      <c r="I228" s="9">
        <v>1</v>
      </c>
      <c r="J228" s="9">
        <v>600</v>
      </c>
      <c r="K228" s="102">
        <f t="shared" si="44"/>
        <v>600</v>
      </c>
      <c r="L228" s="80">
        <v>46112</v>
      </c>
      <c r="M228" s="105"/>
      <c r="N228" s="95" t="s">
        <v>372</v>
      </c>
      <c r="O228" s="96"/>
      <c r="P228" s="106">
        <f t="shared" si="39"/>
        <v>600</v>
      </c>
      <c r="Q228" s="106">
        <f t="shared" si="40"/>
        <v>600</v>
      </c>
      <c r="R228" s="106"/>
      <c r="S228" s="95" t="s">
        <v>185</v>
      </c>
      <c r="T228" s="96"/>
      <c r="U228" s="106">
        <f t="shared" si="41"/>
        <v>600</v>
      </c>
      <c r="V228" s="106">
        <f t="shared" si="42"/>
        <v>1</v>
      </c>
      <c r="W228" s="105">
        <f t="shared" si="43"/>
        <v>600</v>
      </c>
      <c r="X228" s="95" t="s">
        <v>186</v>
      </c>
      <c r="Y228" s="107" t="s">
        <v>181</v>
      </c>
      <c r="Z228" s="107" t="s">
        <v>176</v>
      </c>
    </row>
    <row r="229" spans="1:26" s="107" customFormat="1" ht="15" customHeight="1" x14ac:dyDescent="0.2">
      <c r="A229" s="101">
        <f t="shared" si="38"/>
        <v>227</v>
      </c>
      <c r="B229" s="77" t="s">
        <v>301</v>
      </c>
      <c r="C229" s="102" t="str">
        <f>IF($B229&lt;&gt;"",_xlfn.IFNA(VLOOKUP($B229,'Node Details'!$B:$U,C$1,0),"Check"),"")</f>
        <v>000000AXY-0000AXY12</v>
      </c>
      <c r="D229" s="102" t="str">
        <f>IF($B229&lt;&gt;"",_xlfn.IFNA(VLOOKUP($B229,'Node Details'!$B:$U,D$1,0),"Check"),"")</f>
        <v>AXY</v>
      </c>
      <c r="E229" s="102" t="str">
        <f>IF($B229&lt;&gt;"",_xlfn.IFNA(VLOOKUP($B229,'Node Details'!$B:$U,E$1,0),"Check"),"")</f>
        <v>Airtel</v>
      </c>
      <c r="F229" s="103">
        <v>46113</v>
      </c>
      <c r="G229" s="105"/>
      <c r="H229" s="104" t="s">
        <v>183</v>
      </c>
      <c r="I229" s="9">
        <v>1</v>
      </c>
      <c r="J229" s="9">
        <v>600</v>
      </c>
      <c r="K229" s="102">
        <f t="shared" si="44"/>
        <v>600</v>
      </c>
      <c r="L229" s="80">
        <v>46112</v>
      </c>
      <c r="M229" s="105"/>
      <c r="N229" s="95" t="s">
        <v>372</v>
      </c>
      <c r="O229" s="96"/>
      <c r="P229" s="106">
        <f t="shared" si="39"/>
        <v>600</v>
      </c>
      <c r="Q229" s="106">
        <f t="shared" si="40"/>
        <v>600</v>
      </c>
      <c r="R229" s="106"/>
      <c r="S229" s="95" t="s">
        <v>185</v>
      </c>
      <c r="T229" s="96"/>
      <c r="U229" s="106">
        <f t="shared" si="41"/>
        <v>600</v>
      </c>
      <c r="V229" s="106">
        <f t="shared" si="42"/>
        <v>1</v>
      </c>
      <c r="W229" s="105">
        <f t="shared" si="43"/>
        <v>600</v>
      </c>
      <c r="X229" s="95" t="s">
        <v>186</v>
      </c>
      <c r="Y229" s="107" t="s">
        <v>181</v>
      </c>
      <c r="Z229" s="107" t="s">
        <v>176</v>
      </c>
    </row>
    <row r="230" spans="1:26" s="107" customFormat="1" ht="15" customHeight="1" x14ac:dyDescent="0.2">
      <c r="A230" s="101">
        <f t="shared" si="38"/>
        <v>228</v>
      </c>
      <c r="B230" s="77" t="s">
        <v>309</v>
      </c>
      <c r="C230" s="102" t="str">
        <f>IF($B230&lt;&gt;"",_xlfn.IFNA(VLOOKUP($B230,'Node Details'!$B:$U,C$1,0),"Check"),"")</f>
        <v>000000AXY-0000AXY12</v>
      </c>
      <c r="D230" s="102" t="str">
        <f>IF($B230&lt;&gt;"",_xlfn.IFNA(VLOOKUP($B230,'Node Details'!$B:$U,D$1,0),"Check"),"")</f>
        <v>AXY</v>
      </c>
      <c r="E230" s="102" t="str">
        <f>IF($B230&lt;&gt;"",_xlfn.IFNA(VLOOKUP($B230,'Node Details'!$B:$U,E$1,0),"Check"),"")</f>
        <v>Airtel</v>
      </c>
      <c r="F230" s="103">
        <v>46113</v>
      </c>
      <c r="G230" s="105"/>
      <c r="H230" s="104" t="s">
        <v>183</v>
      </c>
      <c r="I230" s="9">
        <v>1</v>
      </c>
      <c r="J230" s="9">
        <v>600</v>
      </c>
      <c r="K230" s="102">
        <f t="shared" si="44"/>
        <v>600</v>
      </c>
      <c r="L230" s="80">
        <v>46112</v>
      </c>
      <c r="M230" s="105"/>
      <c r="N230" s="95" t="s">
        <v>372</v>
      </c>
      <c r="O230" s="96"/>
      <c r="P230" s="106">
        <f t="shared" si="39"/>
        <v>600</v>
      </c>
      <c r="Q230" s="106">
        <f t="shared" si="40"/>
        <v>600</v>
      </c>
      <c r="R230" s="106"/>
      <c r="S230" s="95" t="s">
        <v>185</v>
      </c>
      <c r="T230" s="96"/>
      <c r="U230" s="106">
        <f t="shared" si="41"/>
        <v>600</v>
      </c>
      <c r="V230" s="106">
        <f t="shared" si="42"/>
        <v>1</v>
      </c>
      <c r="W230" s="105">
        <f t="shared" si="43"/>
        <v>600</v>
      </c>
      <c r="X230" s="95" t="s">
        <v>186</v>
      </c>
      <c r="Y230" s="107" t="s">
        <v>181</v>
      </c>
      <c r="Z230" s="107" t="s">
        <v>176</v>
      </c>
    </row>
    <row r="231" spans="1:26" s="107" customFormat="1" ht="15" customHeight="1" x14ac:dyDescent="0.2">
      <c r="A231" s="101">
        <f t="shared" si="38"/>
        <v>229</v>
      </c>
      <c r="B231" s="77" t="s">
        <v>319</v>
      </c>
      <c r="C231" s="102" t="str">
        <f>IF($B231&lt;&gt;"",_xlfn.IFNA(VLOOKUP($B231,'Node Details'!$B:$U,C$1,0),"Check"),"")</f>
        <v>000000AXY-0000AXY12</v>
      </c>
      <c r="D231" s="102" t="str">
        <f>IF($B231&lt;&gt;"",_xlfn.IFNA(VLOOKUP($B231,'Node Details'!$B:$U,D$1,0),"Check"),"")</f>
        <v>AXY</v>
      </c>
      <c r="E231" s="102" t="str">
        <f>IF($B231&lt;&gt;"",_xlfn.IFNA(VLOOKUP($B231,'Node Details'!$B:$U,E$1,0),"Check"),"")</f>
        <v>Airtel</v>
      </c>
      <c r="F231" s="103">
        <v>46113</v>
      </c>
      <c r="G231" s="105"/>
      <c r="H231" s="104" t="s">
        <v>183</v>
      </c>
      <c r="I231" s="9">
        <v>1</v>
      </c>
      <c r="J231" s="9">
        <v>600</v>
      </c>
      <c r="K231" s="102">
        <f t="shared" si="44"/>
        <v>600</v>
      </c>
      <c r="L231" s="80">
        <v>46112</v>
      </c>
      <c r="M231" s="105"/>
      <c r="N231" s="95" t="s">
        <v>372</v>
      </c>
      <c r="O231" s="96"/>
      <c r="P231" s="106">
        <f t="shared" si="39"/>
        <v>600</v>
      </c>
      <c r="Q231" s="106">
        <f t="shared" si="40"/>
        <v>600</v>
      </c>
      <c r="R231" s="106"/>
      <c r="S231" s="95" t="s">
        <v>185</v>
      </c>
      <c r="T231" s="96"/>
      <c r="U231" s="106">
        <f t="shared" si="41"/>
        <v>600</v>
      </c>
      <c r="V231" s="106">
        <f t="shared" si="42"/>
        <v>1</v>
      </c>
      <c r="W231" s="105">
        <f t="shared" si="43"/>
        <v>600</v>
      </c>
      <c r="X231" s="95" t="s">
        <v>186</v>
      </c>
      <c r="Y231" s="107" t="s">
        <v>181</v>
      </c>
      <c r="Z231" s="107" t="s">
        <v>176</v>
      </c>
    </row>
    <row r="232" spans="1:26" s="107" customFormat="1" ht="15" customHeight="1" x14ac:dyDescent="0.2">
      <c r="A232" s="101">
        <f t="shared" si="38"/>
        <v>230</v>
      </c>
      <c r="B232" s="77" t="s">
        <v>324</v>
      </c>
      <c r="C232" s="102" t="str">
        <f>IF($B232&lt;&gt;"",_xlfn.IFNA(VLOOKUP($B232,'Node Details'!$B:$U,C$1,0),"Check"),"")</f>
        <v>000000AXY-0000AXY17</v>
      </c>
      <c r="D232" s="102" t="str">
        <f>IF($B232&lt;&gt;"",_xlfn.IFNA(VLOOKUP($B232,'Node Details'!$B:$U,D$1,0),"Check"),"")</f>
        <v>AXY</v>
      </c>
      <c r="E232" s="102" t="str">
        <f>IF($B232&lt;&gt;"",_xlfn.IFNA(VLOOKUP($B232,'Node Details'!$B:$U,E$1,0),"Check"),"")</f>
        <v>Airtel</v>
      </c>
      <c r="F232" s="103">
        <v>46113</v>
      </c>
      <c r="G232" s="105"/>
      <c r="H232" s="104" t="s">
        <v>183</v>
      </c>
      <c r="I232" s="9">
        <v>1</v>
      </c>
      <c r="J232" s="9">
        <v>600</v>
      </c>
      <c r="K232" s="102">
        <f t="shared" si="44"/>
        <v>600</v>
      </c>
      <c r="L232" s="80">
        <v>46112</v>
      </c>
      <c r="M232" s="105"/>
      <c r="N232" s="95" t="s">
        <v>372</v>
      </c>
      <c r="O232" s="96"/>
      <c r="P232" s="106">
        <f t="shared" si="39"/>
        <v>600</v>
      </c>
      <c r="Q232" s="106">
        <f t="shared" si="40"/>
        <v>600</v>
      </c>
      <c r="R232" s="106"/>
      <c r="S232" s="95" t="s">
        <v>185</v>
      </c>
      <c r="T232" s="96"/>
      <c r="U232" s="106">
        <f t="shared" si="41"/>
        <v>600</v>
      </c>
      <c r="V232" s="106">
        <f t="shared" si="42"/>
        <v>1</v>
      </c>
      <c r="W232" s="105">
        <f t="shared" si="43"/>
        <v>600</v>
      </c>
      <c r="X232" s="95" t="s">
        <v>186</v>
      </c>
      <c r="Y232" s="107" t="s">
        <v>181</v>
      </c>
      <c r="Z232" s="107" t="s">
        <v>176</v>
      </c>
    </row>
    <row r="233" spans="1:26" s="107" customFormat="1" ht="15" customHeight="1" x14ac:dyDescent="0.2">
      <c r="A233" s="101">
        <f t="shared" si="38"/>
        <v>231</v>
      </c>
      <c r="B233" s="77" t="s">
        <v>333</v>
      </c>
      <c r="C233" s="102" t="str">
        <f>IF($B233&lt;&gt;"",_xlfn.IFNA(VLOOKUP($B233,'Node Details'!$B:$U,C$1,0),"Check"),"")</f>
        <v>000000AXY-0000AXY17</v>
      </c>
      <c r="D233" s="102" t="str">
        <f>IF($B233&lt;&gt;"",_xlfn.IFNA(VLOOKUP($B233,'Node Details'!$B:$U,D$1,0),"Check"),"")</f>
        <v>AXY</v>
      </c>
      <c r="E233" s="102" t="str">
        <f>IF($B233&lt;&gt;"",_xlfn.IFNA(VLOOKUP($B233,'Node Details'!$B:$U,E$1,0),"Check"),"")</f>
        <v>Airtel</v>
      </c>
      <c r="F233" s="103">
        <v>46113</v>
      </c>
      <c r="G233" s="105"/>
      <c r="H233" s="104" t="s">
        <v>183</v>
      </c>
      <c r="I233" s="9">
        <v>1</v>
      </c>
      <c r="J233" s="9">
        <v>600</v>
      </c>
      <c r="K233" s="102">
        <f t="shared" si="44"/>
        <v>600</v>
      </c>
      <c r="L233" s="80">
        <v>46112</v>
      </c>
      <c r="M233" s="105"/>
      <c r="N233" s="95" t="s">
        <v>372</v>
      </c>
      <c r="O233" s="96"/>
      <c r="P233" s="106">
        <f t="shared" si="39"/>
        <v>600</v>
      </c>
      <c r="Q233" s="106">
        <f t="shared" si="40"/>
        <v>600</v>
      </c>
      <c r="R233" s="106"/>
      <c r="S233" s="95" t="s">
        <v>185</v>
      </c>
      <c r="T233" s="96"/>
      <c r="U233" s="106">
        <f t="shared" si="41"/>
        <v>600</v>
      </c>
      <c r="V233" s="106">
        <f t="shared" si="42"/>
        <v>1</v>
      </c>
      <c r="W233" s="105">
        <f t="shared" si="43"/>
        <v>600</v>
      </c>
      <c r="X233" s="95" t="s">
        <v>186</v>
      </c>
      <c r="Y233" s="107" t="s">
        <v>181</v>
      </c>
      <c r="Z233" s="107" t="s">
        <v>176</v>
      </c>
    </row>
    <row r="234" spans="1:26" s="107" customFormat="1" ht="15" customHeight="1" x14ac:dyDescent="0.2">
      <c r="A234" s="101">
        <f t="shared" si="38"/>
        <v>232</v>
      </c>
      <c r="B234" s="77" t="s">
        <v>344</v>
      </c>
      <c r="C234" s="102" t="str">
        <f>IF($B234&lt;&gt;"",_xlfn.IFNA(VLOOKUP($B234,'Node Details'!$B:$U,C$1,0),"Check"),"")</f>
        <v>000000AXY-0000AXY17</v>
      </c>
      <c r="D234" s="102" t="str">
        <f>IF($B234&lt;&gt;"",_xlfn.IFNA(VLOOKUP($B234,'Node Details'!$B:$U,D$1,0),"Check"),"")</f>
        <v>AXY</v>
      </c>
      <c r="E234" s="102" t="str">
        <f>IF($B234&lt;&gt;"",_xlfn.IFNA(VLOOKUP($B234,'Node Details'!$B:$U,E$1,0),"Check"),"")</f>
        <v>Airtel</v>
      </c>
      <c r="F234" s="103">
        <v>46113</v>
      </c>
      <c r="G234" s="105"/>
      <c r="H234" s="104" t="s">
        <v>183</v>
      </c>
      <c r="I234" s="9">
        <v>1</v>
      </c>
      <c r="J234" s="9">
        <v>600</v>
      </c>
      <c r="K234" s="102">
        <f t="shared" si="44"/>
        <v>600</v>
      </c>
      <c r="L234" s="80">
        <v>46112</v>
      </c>
      <c r="M234" s="105"/>
      <c r="N234" s="95" t="s">
        <v>372</v>
      </c>
      <c r="O234" s="96"/>
      <c r="P234" s="106">
        <f t="shared" si="39"/>
        <v>600</v>
      </c>
      <c r="Q234" s="106">
        <f t="shared" si="40"/>
        <v>600</v>
      </c>
      <c r="R234" s="106"/>
      <c r="S234" s="95" t="s">
        <v>185</v>
      </c>
      <c r="T234" s="96"/>
      <c r="U234" s="106">
        <f t="shared" si="41"/>
        <v>600</v>
      </c>
      <c r="V234" s="106">
        <f t="shared" si="42"/>
        <v>1</v>
      </c>
      <c r="W234" s="105">
        <f t="shared" si="43"/>
        <v>600</v>
      </c>
      <c r="X234" s="95" t="s">
        <v>186</v>
      </c>
      <c r="Y234" s="107" t="s">
        <v>181</v>
      </c>
      <c r="Z234" s="107" t="s">
        <v>176</v>
      </c>
    </row>
    <row r="235" spans="1:26" s="107" customFormat="1" ht="15" customHeight="1" x14ac:dyDescent="0.2">
      <c r="A235" s="101">
        <f t="shared" si="38"/>
        <v>233</v>
      </c>
      <c r="B235" s="77" t="s">
        <v>352</v>
      </c>
      <c r="C235" s="102" t="str">
        <f>IF($B235&lt;&gt;"",_xlfn.IFNA(VLOOKUP($B235,'Node Details'!$B:$U,C$1,0),"Check"),"")</f>
        <v>000000AXY-0000AXY17</v>
      </c>
      <c r="D235" s="102" t="str">
        <f>IF($B235&lt;&gt;"",_xlfn.IFNA(VLOOKUP($B235,'Node Details'!$B:$U,D$1,0),"Check"),"")</f>
        <v>AXY</v>
      </c>
      <c r="E235" s="102" t="str">
        <f>IF($B235&lt;&gt;"",_xlfn.IFNA(VLOOKUP($B235,'Node Details'!$B:$U,E$1,0),"Check"),"")</f>
        <v>Airtel</v>
      </c>
      <c r="F235" s="103">
        <v>46113</v>
      </c>
      <c r="G235" s="105"/>
      <c r="H235" s="104" t="s">
        <v>183</v>
      </c>
      <c r="I235" s="9">
        <v>1</v>
      </c>
      <c r="J235" s="9">
        <v>600</v>
      </c>
      <c r="K235" s="102">
        <f t="shared" si="44"/>
        <v>600</v>
      </c>
      <c r="L235" s="80">
        <v>46112</v>
      </c>
      <c r="M235" s="105"/>
      <c r="N235" s="95" t="s">
        <v>372</v>
      </c>
      <c r="O235" s="96"/>
      <c r="P235" s="106">
        <f t="shared" si="39"/>
        <v>600</v>
      </c>
      <c r="Q235" s="106">
        <f t="shared" si="40"/>
        <v>600</v>
      </c>
      <c r="R235" s="106"/>
      <c r="S235" s="95" t="s">
        <v>185</v>
      </c>
      <c r="T235" s="96"/>
      <c r="U235" s="106">
        <f t="shared" si="41"/>
        <v>600</v>
      </c>
      <c r="V235" s="106">
        <f t="shared" si="42"/>
        <v>1</v>
      </c>
      <c r="W235" s="105">
        <f t="shared" si="43"/>
        <v>600</v>
      </c>
      <c r="X235" s="95" t="s">
        <v>186</v>
      </c>
      <c r="Y235" s="107" t="s">
        <v>181</v>
      </c>
      <c r="Z235" s="107" t="s">
        <v>176</v>
      </c>
    </row>
    <row r="236" spans="1:26" s="107" customFormat="1" ht="15" customHeight="1" x14ac:dyDescent="0.2">
      <c r="A236" s="101">
        <f t="shared" si="38"/>
        <v>234</v>
      </c>
      <c r="B236" s="77" t="s">
        <v>361</v>
      </c>
      <c r="C236" s="102" t="str">
        <f>IF($B236&lt;&gt;"",_xlfn.IFNA(VLOOKUP($B236,'Node Details'!$B:$U,C$1,0),"Check"),"")</f>
        <v>000000AXY-0000AXY17</v>
      </c>
      <c r="D236" s="102" t="str">
        <f>IF($B236&lt;&gt;"",_xlfn.IFNA(VLOOKUP($B236,'Node Details'!$B:$U,D$1,0),"Check"),"")</f>
        <v>AXY</v>
      </c>
      <c r="E236" s="102" t="str">
        <f>IF($B236&lt;&gt;"",_xlfn.IFNA(VLOOKUP($B236,'Node Details'!$B:$U,E$1,0),"Check"),"")</f>
        <v>Airtel</v>
      </c>
      <c r="F236" s="103">
        <v>46113</v>
      </c>
      <c r="G236" s="105"/>
      <c r="H236" s="104" t="s">
        <v>183</v>
      </c>
      <c r="I236" s="9">
        <v>1</v>
      </c>
      <c r="J236" s="9">
        <v>600</v>
      </c>
      <c r="K236" s="102">
        <f t="shared" si="44"/>
        <v>600</v>
      </c>
      <c r="L236" s="80">
        <v>46112</v>
      </c>
      <c r="M236" s="105"/>
      <c r="N236" s="95" t="s">
        <v>372</v>
      </c>
      <c r="O236" s="96"/>
      <c r="P236" s="106">
        <f t="shared" si="39"/>
        <v>600</v>
      </c>
      <c r="Q236" s="106">
        <f t="shared" si="40"/>
        <v>600</v>
      </c>
      <c r="R236" s="106"/>
      <c r="S236" s="95" t="s">
        <v>185</v>
      </c>
      <c r="T236" s="96"/>
      <c r="U236" s="106">
        <f t="shared" si="41"/>
        <v>600</v>
      </c>
      <c r="V236" s="106">
        <f t="shared" si="42"/>
        <v>1</v>
      </c>
      <c r="W236" s="105">
        <f t="shared" si="43"/>
        <v>600</v>
      </c>
      <c r="X236" s="95" t="s">
        <v>186</v>
      </c>
      <c r="Y236" s="107" t="s">
        <v>181</v>
      </c>
      <c r="Z236" s="107" t="s">
        <v>176</v>
      </c>
    </row>
    <row r="237" spans="1:26" s="107" customFormat="1" ht="15" customHeight="1" x14ac:dyDescent="0.2">
      <c r="A237" s="101">
        <f t="shared" si="38"/>
        <v>235</v>
      </c>
      <c r="B237" s="77" t="s">
        <v>225</v>
      </c>
      <c r="C237" s="102" t="str">
        <f>IF($B237&lt;&gt;"",_xlfn.IFNA(VLOOKUP($B237,'Node Details'!$B:$U,C$1,0),"Check"),"")</f>
        <v>000000AXY-0000AXY01</v>
      </c>
      <c r="D237" s="102" t="str">
        <f>IF($B237&lt;&gt;"",_xlfn.IFNA(VLOOKUP($B237,'Node Details'!$B:$U,D$1,0),"Check"),"")</f>
        <v>AXY</v>
      </c>
      <c r="E237" s="102" t="str">
        <f>IF($B237&lt;&gt;"",_xlfn.IFNA(VLOOKUP($B237,'Node Details'!$B:$U,E$1,0),"Check"),"")</f>
        <v>Airtel</v>
      </c>
      <c r="F237" s="103">
        <v>46113</v>
      </c>
      <c r="G237" s="105"/>
      <c r="H237" s="104" t="s">
        <v>184</v>
      </c>
      <c r="I237" s="9">
        <v>1</v>
      </c>
      <c r="J237" s="9">
        <v>48</v>
      </c>
      <c r="K237" s="102">
        <f t="shared" si="44"/>
        <v>48</v>
      </c>
      <c r="L237" s="80">
        <v>46112</v>
      </c>
      <c r="M237" s="105"/>
      <c r="N237" s="95" t="s">
        <v>372</v>
      </c>
      <c r="O237" s="96"/>
      <c r="P237" s="106">
        <f t="shared" si="39"/>
        <v>48</v>
      </c>
      <c r="Q237" s="106">
        <f t="shared" si="40"/>
        <v>48</v>
      </c>
      <c r="R237" s="106"/>
      <c r="S237" s="95" t="s">
        <v>185</v>
      </c>
      <c r="T237" s="96"/>
      <c r="U237" s="106">
        <f t="shared" si="41"/>
        <v>48</v>
      </c>
      <c r="V237" s="106">
        <f t="shared" si="42"/>
        <v>1</v>
      </c>
      <c r="W237" s="105">
        <f t="shared" si="43"/>
        <v>48</v>
      </c>
      <c r="X237" s="95" t="s">
        <v>186</v>
      </c>
      <c r="Y237" s="107" t="s">
        <v>181</v>
      </c>
      <c r="Z237" s="107" t="s">
        <v>176</v>
      </c>
    </row>
    <row r="238" spans="1:26" s="107" customFormat="1" ht="15" customHeight="1" x14ac:dyDescent="0.2">
      <c r="A238" s="101">
        <f t="shared" si="38"/>
        <v>236</v>
      </c>
      <c r="B238" s="77" t="s">
        <v>226</v>
      </c>
      <c r="C238" s="102" t="str">
        <f>IF($B238&lt;&gt;"",_xlfn.IFNA(VLOOKUP($B238,'Node Details'!$B:$U,C$1,0),"Check"),"")</f>
        <v>0000AXY01-AXY010101</v>
      </c>
      <c r="D238" s="102" t="str">
        <f>IF($B238&lt;&gt;"",_xlfn.IFNA(VLOOKUP($B238,'Node Details'!$B:$U,D$1,0),"Check"),"")</f>
        <v>AXY</v>
      </c>
      <c r="E238" s="102" t="str">
        <f>IF($B238&lt;&gt;"",_xlfn.IFNA(VLOOKUP($B238,'Node Details'!$B:$U,E$1,0),"Check"),"")</f>
        <v>Airtel</v>
      </c>
      <c r="F238" s="103">
        <v>46113</v>
      </c>
      <c r="G238" s="105"/>
      <c r="H238" s="104" t="s">
        <v>184</v>
      </c>
      <c r="I238" s="9">
        <v>1</v>
      </c>
      <c r="J238" s="9">
        <v>48</v>
      </c>
      <c r="K238" s="102">
        <f t="shared" si="44"/>
        <v>48</v>
      </c>
      <c r="L238" s="80">
        <v>46112</v>
      </c>
      <c r="M238" s="105"/>
      <c r="N238" s="95" t="s">
        <v>372</v>
      </c>
      <c r="O238" s="96"/>
      <c r="P238" s="106">
        <f t="shared" si="39"/>
        <v>48</v>
      </c>
      <c r="Q238" s="106">
        <f t="shared" si="40"/>
        <v>48</v>
      </c>
      <c r="R238" s="106"/>
      <c r="S238" s="95" t="s">
        <v>185</v>
      </c>
      <c r="T238" s="96"/>
      <c r="U238" s="106">
        <f t="shared" si="41"/>
        <v>48</v>
      </c>
      <c r="V238" s="106">
        <f t="shared" si="42"/>
        <v>1</v>
      </c>
      <c r="W238" s="105">
        <f t="shared" si="43"/>
        <v>48</v>
      </c>
      <c r="X238" s="95" t="s">
        <v>186</v>
      </c>
      <c r="Y238" s="107" t="s">
        <v>181</v>
      </c>
      <c r="Z238" s="107" t="s">
        <v>176</v>
      </c>
    </row>
    <row r="239" spans="1:26" s="107" customFormat="1" ht="15" customHeight="1" x14ac:dyDescent="0.2">
      <c r="A239" s="101">
        <f t="shared" si="38"/>
        <v>237</v>
      </c>
      <c r="B239" s="77" t="s">
        <v>227</v>
      </c>
      <c r="C239" s="102" t="str">
        <f>IF($B239&lt;&gt;"",_xlfn.IFNA(VLOOKUP($B239,'Node Details'!$B:$U,C$1,0),"Check"),"")</f>
        <v>0000AXY01-AXY010104</v>
      </c>
      <c r="D239" s="102" t="str">
        <f>IF($B239&lt;&gt;"",_xlfn.IFNA(VLOOKUP($B239,'Node Details'!$B:$U,D$1,0),"Check"),"")</f>
        <v>AXY</v>
      </c>
      <c r="E239" s="102" t="str">
        <f>IF($B239&lt;&gt;"",_xlfn.IFNA(VLOOKUP($B239,'Node Details'!$B:$U,E$1,0),"Check"),"")</f>
        <v>Airtel</v>
      </c>
      <c r="F239" s="103">
        <v>46113</v>
      </c>
      <c r="G239" s="105"/>
      <c r="H239" s="104" t="s">
        <v>184</v>
      </c>
      <c r="I239" s="9">
        <v>1</v>
      </c>
      <c r="J239" s="9">
        <v>48</v>
      </c>
      <c r="K239" s="102">
        <f t="shared" si="44"/>
        <v>48</v>
      </c>
      <c r="L239" s="80">
        <v>46112</v>
      </c>
      <c r="M239" s="105"/>
      <c r="N239" s="95" t="s">
        <v>372</v>
      </c>
      <c r="O239" s="96"/>
      <c r="P239" s="106">
        <f t="shared" si="39"/>
        <v>48</v>
      </c>
      <c r="Q239" s="106">
        <f t="shared" si="40"/>
        <v>48</v>
      </c>
      <c r="R239" s="106"/>
      <c r="S239" s="95" t="s">
        <v>185</v>
      </c>
      <c r="T239" s="96"/>
      <c r="U239" s="106">
        <f t="shared" si="41"/>
        <v>48</v>
      </c>
      <c r="V239" s="106">
        <f t="shared" si="42"/>
        <v>1</v>
      </c>
      <c r="W239" s="105">
        <f t="shared" si="43"/>
        <v>48</v>
      </c>
      <c r="X239" s="95" t="s">
        <v>186</v>
      </c>
      <c r="Y239" s="107" t="s">
        <v>181</v>
      </c>
      <c r="Z239" s="107" t="s">
        <v>176</v>
      </c>
    </row>
    <row r="240" spans="1:26" s="107" customFormat="1" ht="15" customHeight="1" x14ac:dyDescent="0.2">
      <c r="A240" s="101">
        <f t="shared" si="38"/>
        <v>238</v>
      </c>
      <c r="B240" s="77" t="s">
        <v>228</v>
      </c>
      <c r="C240" s="102" t="str">
        <f>IF($B240&lt;&gt;"",_xlfn.IFNA(VLOOKUP($B240,'Node Details'!$B:$U,C$1,0),"Check"),"")</f>
        <v>0000AXY01-AXY010104</v>
      </c>
      <c r="D240" s="102" t="str">
        <f>IF($B240&lt;&gt;"",_xlfn.IFNA(VLOOKUP($B240,'Node Details'!$B:$U,D$1,0),"Check"),"")</f>
        <v>AXY</v>
      </c>
      <c r="E240" s="102" t="str">
        <f>IF($B240&lt;&gt;"",_xlfn.IFNA(VLOOKUP($B240,'Node Details'!$B:$U,E$1,0),"Check"),"")</f>
        <v>Airtel</v>
      </c>
      <c r="F240" s="103">
        <v>46113</v>
      </c>
      <c r="G240" s="105"/>
      <c r="H240" s="104" t="s">
        <v>184</v>
      </c>
      <c r="I240" s="9">
        <v>1</v>
      </c>
      <c r="J240" s="9">
        <v>48</v>
      </c>
      <c r="K240" s="102">
        <f t="shared" si="44"/>
        <v>48</v>
      </c>
      <c r="L240" s="80">
        <v>46112</v>
      </c>
      <c r="M240" s="105"/>
      <c r="N240" s="95" t="s">
        <v>372</v>
      </c>
      <c r="O240" s="96"/>
      <c r="P240" s="106">
        <f t="shared" si="39"/>
        <v>48</v>
      </c>
      <c r="Q240" s="106">
        <f t="shared" si="40"/>
        <v>48</v>
      </c>
      <c r="R240" s="106"/>
      <c r="S240" s="95" t="s">
        <v>185</v>
      </c>
      <c r="T240" s="96"/>
      <c r="U240" s="106">
        <f t="shared" si="41"/>
        <v>48</v>
      </c>
      <c r="V240" s="106">
        <f t="shared" si="42"/>
        <v>1</v>
      </c>
      <c r="W240" s="105">
        <f t="shared" si="43"/>
        <v>48</v>
      </c>
      <c r="X240" s="95" t="s">
        <v>186</v>
      </c>
      <c r="Y240" s="107" t="s">
        <v>181</v>
      </c>
      <c r="Z240" s="107" t="s">
        <v>176</v>
      </c>
    </row>
    <row r="241" spans="1:26" s="107" customFormat="1" ht="15" customHeight="1" x14ac:dyDescent="0.2">
      <c r="A241" s="101">
        <f t="shared" si="38"/>
        <v>239</v>
      </c>
      <c r="B241" s="77" t="s">
        <v>229</v>
      </c>
      <c r="C241" s="102" t="str">
        <f>IF($B241&lt;&gt;"",_xlfn.IFNA(VLOOKUP($B241,'Node Details'!$B:$U,C$1,0),"Check"),"")</f>
        <v>0000AXY01-AXY010102</v>
      </c>
      <c r="D241" s="102" t="str">
        <f>IF($B241&lt;&gt;"",_xlfn.IFNA(VLOOKUP($B241,'Node Details'!$B:$U,D$1,0),"Check"),"")</f>
        <v>AXY</v>
      </c>
      <c r="E241" s="102" t="str">
        <f>IF($B241&lt;&gt;"",_xlfn.IFNA(VLOOKUP($B241,'Node Details'!$B:$U,E$1,0),"Check"),"")</f>
        <v>Airtel</v>
      </c>
      <c r="F241" s="103">
        <v>46113</v>
      </c>
      <c r="G241" s="105"/>
      <c r="H241" s="104" t="s">
        <v>184</v>
      </c>
      <c r="I241" s="9">
        <v>1</v>
      </c>
      <c r="J241" s="9">
        <v>48</v>
      </c>
      <c r="K241" s="102">
        <f t="shared" si="44"/>
        <v>48</v>
      </c>
      <c r="L241" s="80">
        <v>46112</v>
      </c>
      <c r="M241" s="105"/>
      <c r="N241" s="95" t="s">
        <v>372</v>
      </c>
      <c r="O241" s="96"/>
      <c r="P241" s="106">
        <f t="shared" si="39"/>
        <v>48</v>
      </c>
      <c r="Q241" s="106">
        <f t="shared" si="40"/>
        <v>48</v>
      </c>
      <c r="R241" s="106"/>
      <c r="S241" s="95" t="s">
        <v>185</v>
      </c>
      <c r="T241" s="96"/>
      <c r="U241" s="106">
        <f t="shared" si="41"/>
        <v>48</v>
      </c>
      <c r="V241" s="106">
        <f t="shared" si="42"/>
        <v>1</v>
      </c>
      <c r="W241" s="105">
        <f t="shared" si="43"/>
        <v>48</v>
      </c>
      <c r="X241" s="95" t="s">
        <v>186</v>
      </c>
      <c r="Y241" s="107" t="s">
        <v>181</v>
      </c>
      <c r="Z241" s="107" t="s">
        <v>176</v>
      </c>
    </row>
    <row r="242" spans="1:26" s="107" customFormat="1" ht="15" customHeight="1" x14ac:dyDescent="0.2">
      <c r="A242" s="101">
        <f t="shared" si="38"/>
        <v>240</v>
      </c>
      <c r="B242" s="77" t="s">
        <v>230</v>
      </c>
      <c r="C242" s="102" t="str">
        <f>IF($B242&lt;&gt;"",_xlfn.IFNA(VLOOKUP($B242,'Node Details'!$B:$U,C$1,0),"Check"),"")</f>
        <v>0000AXY02-0000AXY03</v>
      </c>
      <c r="D242" s="102" t="str">
        <f>IF($B242&lt;&gt;"",_xlfn.IFNA(VLOOKUP($B242,'Node Details'!$B:$U,D$1,0),"Check"),"")</f>
        <v>AXY</v>
      </c>
      <c r="E242" s="102" t="str">
        <f>IF($B242&lt;&gt;"",_xlfn.IFNA(VLOOKUP($B242,'Node Details'!$B:$U,E$1,0),"Check"),"")</f>
        <v>Airtel</v>
      </c>
      <c r="F242" s="103">
        <v>46113</v>
      </c>
      <c r="G242" s="105"/>
      <c r="H242" s="104" t="s">
        <v>184</v>
      </c>
      <c r="I242" s="9">
        <v>1</v>
      </c>
      <c r="J242" s="9">
        <v>48</v>
      </c>
      <c r="K242" s="102">
        <f t="shared" si="44"/>
        <v>48</v>
      </c>
      <c r="L242" s="80">
        <v>46112</v>
      </c>
      <c r="M242" s="105"/>
      <c r="N242" s="95" t="s">
        <v>372</v>
      </c>
      <c r="O242" s="96"/>
      <c r="P242" s="106">
        <f t="shared" si="39"/>
        <v>48</v>
      </c>
      <c r="Q242" s="106">
        <f t="shared" si="40"/>
        <v>48</v>
      </c>
      <c r="R242" s="106"/>
      <c r="S242" s="95" t="s">
        <v>185</v>
      </c>
      <c r="T242" s="96"/>
      <c r="U242" s="106">
        <f t="shared" si="41"/>
        <v>48</v>
      </c>
      <c r="V242" s="106">
        <f t="shared" si="42"/>
        <v>1</v>
      </c>
      <c r="W242" s="105">
        <f t="shared" si="43"/>
        <v>48</v>
      </c>
      <c r="X242" s="95" t="s">
        <v>186</v>
      </c>
      <c r="Y242" s="107" t="s">
        <v>181</v>
      </c>
      <c r="Z242" s="107" t="s">
        <v>176</v>
      </c>
    </row>
    <row r="243" spans="1:26" s="107" customFormat="1" ht="15" customHeight="1" x14ac:dyDescent="0.2">
      <c r="A243" s="101">
        <f t="shared" si="38"/>
        <v>241</v>
      </c>
      <c r="B243" s="77" t="s">
        <v>231</v>
      </c>
      <c r="C243" s="102" t="str">
        <f>IF($B243&lt;&gt;"",_xlfn.IFNA(VLOOKUP($B243,'Node Details'!$B:$U,C$1,0),"Check"),"")</f>
        <v>0000AXY03-AXY030101</v>
      </c>
      <c r="D243" s="102" t="str">
        <f>IF($B243&lt;&gt;"",_xlfn.IFNA(VLOOKUP($B243,'Node Details'!$B:$U,D$1,0),"Check"),"")</f>
        <v>AXY</v>
      </c>
      <c r="E243" s="102" t="str">
        <f>IF($B243&lt;&gt;"",_xlfn.IFNA(VLOOKUP($B243,'Node Details'!$B:$U,E$1,0),"Check"),"")</f>
        <v>Airtel</v>
      </c>
      <c r="F243" s="103">
        <v>46113</v>
      </c>
      <c r="G243" s="105"/>
      <c r="H243" s="104" t="s">
        <v>184</v>
      </c>
      <c r="I243" s="9">
        <v>1</v>
      </c>
      <c r="J243" s="9">
        <v>48</v>
      </c>
      <c r="K243" s="102">
        <f t="shared" si="44"/>
        <v>48</v>
      </c>
      <c r="L243" s="80">
        <v>46112</v>
      </c>
      <c r="M243" s="105"/>
      <c r="N243" s="95" t="s">
        <v>372</v>
      </c>
      <c r="O243" s="96"/>
      <c r="P243" s="106">
        <f t="shared" si="39"/>
        <v>48</v>
      </c>
      <c r="Q243" s="106">
        <f t="shared" si="40"/>
        <v>48</v>
      </c>
      <c r="R243" s="106"/>
      <c r="S243" s="95" t="s">
        <v>185</v>
      </c>
      <c r="T243" s="96"/>
      <c r="U243" s="106">
        <f t="shared" si="41"/>
        <v>48</v>
      </c>
      <c r="V243" s="106">
        <f t="shared" si="42"/>
        <v>1</v>
      </c>
      <c r="W243" s="105">
        <f t="shared" si="43"/>
        <v>48</v>
      </c>
      <c r="X243" s="95" t="s">
        <v>186</v>
      </c>
      <c r="Y243" s="107" t="s">
        <v>181</v>
      </c>
      <c r="Z243" s="107" t="s">
        <v>176</v>
      </c>
    </row>
    <row r="244" spans="1:26" s="107" customFormat="1" ht="15" customHeight="1" x14ac:dyDescent="0.2">
      <c r="A244" s="101">
        <f t="shared" si="38"/>
        <v>242</v>
      </c>
      <c r="B244" s="77" t="s">
        <v>232</v>
      </c>
      <c r="C244" s="102" t="str">
        <f>IF($B244&lt;&gt;"",_xlfn.IFNA(VLOOKUP($B244,'Node Details'!$B:$U,C$1,0),"Check"),"")</f>
        <v>0000AXY03-AXY030104</v>
      </c>
      <c r="D244" s="102" t="str">
        <f>IF($B244&lt;&gt;"",_xlfn.IFNA(VLOOKUP($B244,'Node Details'!$B:$U,D$1,0),"Check"),"")</f>
        <v>AXY</v>
      </c>
      <c r="E244" s="102" t="str">
        <f>IF($B244&lt;&gt;"",_xlfn.IFNA(VLOOKUP($B244,'Node Details'!$B:$U,E$1,0),"Check"),"")</f>
        <v>Airtel</v>
      </c>
      <c r="F244" s="103">
        <v>46113</v>
      </c>
      <c r="G244" s="105"/>
      <c r="H244" s="104" t="s">
        <v>184</v>
      </c>
      <c r="I244" s="9">
        <v>1</v>
      </c>
      <c r="J244" s="9">
        <v>48</v>
      </c>
      <c r="K244" s="102">
        <f t="shared" si="44"/>
        <v>48</v>
      </c>
      <c r="L244" s="80">
        <v>46112</v>
      </c>
      <c r="M244" s="105"/>
      <c r="N244" s="95" t="s">
        <v>372</v>
      </c>
      <c r="O244" s="96"/>
      <c r="P244" s="106">
        <f t="shared" si="39"/>
        <v>48</v>
      </c>
      <c r="Q244" s="106">
        <f t="shared" si="40"/>
        <v>48</v>
      </c>
      <c r="R244" s="106"/>
      <c r="S244" s="95" t="s">
        <v>185</v>
      </c>
      <c r="T244" s="96"/>
      <c r="U244" s="106">
        <f t="shared" si="41"/>
        <v>48</v>
      </c>
      <c r="V244" s="106">
        <f t="shared" si="42"/>
        <v>1</v>
      </c>
      <c r="W244" s="105">
        <f t="shared" si="43"/>
        <v>48</v>
      </c>
      <c r="X244" s="95" t="s">
        <v>186</v>
      </c>
      <c r="Y244" s="107" t="s">
        <v>181</v>
      </c>
      <c r="Z244" s="107" t="s">
        <v>176</v>
      </c>
    </row>
    <row r="245" spans="1:26" s="107" customFormat="1" ht="15" customHeight="1" x14ac:dyDescent="0.2">
      <c r="A245" s="101">
        <f t="shared" si="38"/>
        <v>243</v>
      </c>
      <c r="B245" s="77" t="s">
        <v>233</v>
      </c>
      <c r="C245" s="102" t="str">
        <f>IF($B245&lt;&gt;"",_xlfn.IFNA(VLOOKUP($B245,'Node Details'!$B:$U,C$1,0),"Check"),"")</f>
        <v>0000AXY03-AXY030104</v>
      </c>
      <c r="D245" s="102" t="str">
        <f>IF($B245&lt;&gt;"",_xlfn.IFNA(VLOOKUP($B245,'Node Details'!$B:$U,D$1,0),"Check"),"")</f>
        <v>AXY</v>
      </c>
      <c r="E245" s="102" t="str">
        <f>IF($B245&lt;&gt;"",_xlfn.IFNA(VLOOKUP($B245,'Node Details'!$B:$U,E$1,0),"Check"),"")</f>
        <v>Airtel</v>
      </c>
      <c r="F245" s="103">
        <v>46113</v>
      </c>
      <c r="G245" s="105"/>
      <c r="H245" s="104" t="s">
        <v>184</v>
      </c>
      <c r="I245" s="9">
        <v>1</v>
      </c>
      <c r="J245" s="9">
        <v>48</v>
      </c>
      <c r="K245" s="102">
        <f t="shared" si="44"/>
        <v>48</v>
      </c>
      <c r="L245" s="80">
        <v>46112</v>
      </c>
      <c r="M245" s="105"/>
      <c r="N245" s="95" t="s">
        <v>372</v>
      </c>
      <c r="O245" s="96"/>
      <c r="P245" s="106">
        <f t="shared" si="39"/>
        <v>48</v>
      </c>
      <c r="Q245" s="106">
        <f t="shared" si="40"/>
        <v>48</v>
      </c>
      <c r="R245" s="106"/>
      <c r="S245" s="95" t="s">
        <v>185</v>
      </c>
      <c r="T245" s="96"/>
      <c r="U245" s="106">
        <f t="shared" si="41"/>
        <v>48</v>
      </c>
      <c r="V245" s="106">
        <f t="shared" si="42"/>
        <v>1</v>
      </c>
      <c r="W245" s="105">
        <f t="shared" si="43"/>
        <v>48</v>
      </c>
      <c r="X245" s="95" t="s">
        <v>186</v>
      </c>
      <c r="Y245" s="107" t="s">
        <v>181</v>
      </c>
      <c r="Z245" s="107" t="s">
        <v>176</v>
      </c>
    </row>
    <row r="246" spans="1:26" s="107" customFormat="1" ht="15" customHeight="1" x14ac:dyDescent="0.2">
      <c r="A246" s="101">
        <f t="shared" si="38"/>
        <v>244</v>
      </c>
      <c r="B246" s="77" t="s">
        <v>234</v>
      </c>
      <c r="C246" s="102" t="str">
        <f>IF($B246&lt;&gt;"",_xlfn.IFNA(VLOOKUP($B246,'Node Details'!$B:$U,C$1,0),"Check"),"")</f>
        <v>AXY030103-AXY030105</v>
      </c>
      <c r="D246" s="102" t="str">
        <f>IF($B246&lt;&gt;"",_xlfn.IFNA(VLOOKUP($B246,'Node Details'!$B:$U,D$1,0),"Check"),"")</f>
        <v>AXY</v>
      </c>
      <c r="E246" s="102" t="str">
        <f>IF($B246&lt;&gt;"",_xlfn.IFNA(VLOOKUP($B246,'Node Details'!$B:$U,E$1,0),"Check"),"")</f>
        <v>Airtel</v>
      </c>
      <c r="F246" s="103">
        <v>46113</v>
      </c>
      <c r="G246" s="105"/>
      <c r="H246" s="104" t="s">
        <v>184</v>
      </c>
      <c r="I246" s="9">
        <v>1</v>
      </c>
      <c r="J246" s="9">
        <v>48</v>
      </c>
      <c r="K246" s="102">
        <f t="shared" si="44"/>
        <v>48</v>
      </c>
      <c r="L246" s="80">
        <v>46112</v>
      </c>
      <c r="M246" s="105"/>
      <c r="N246" s="95" t="s">
        <v>372</v>
      </c>
      <c r="O246" s="96"/>
      <c r="P246" s="106">
        <f t="shared" si="39"/>
        <v>48</v>
      </c>
      <c r="Q246" s="106">
        <f t="shared" si="40"/>
        <v>48</v>
      </c>
      <c r="R246" s="106"/>
      <c r="S246" s="95" t="s">
        <v>185</v>
      </c>
      <c r="T246" s="96"/>
      <c r="U246" s="106">
        <f t="shared" si="41"/>
        <v>48</v>
      </c>
      <c r="V246" s="106">
        <f t="shared" si="42"/>
        <v>1</v>
      </c>
      <c r="W246" s="105">
        <f t="shared" si="43"/>
        <v>48</v>
      </c>
      <c r="X246" s="95" t="s">
        <v>186</v>
      </c>
      <c r="Y246" s="107" t="s">
        <v>181</v>
      </c>
      <c r="Z246" s="107" t="s">
        <v>176</v>
      </c>
    </row>
    <row r="247" spans="1:26" s="107" customFormat="1" ht="15" customHeight="1" x14ac:dyDescent="0.2">
      <c r="A247" s="101">
        <f t="shared" si="38"/>
        <v>245</v>
      </c>
      <c r="B247" s="77" t="s">
        <v>235</v>
      </c>
      <c r="C247" s="102" t="str">
        <f>IF($B247&lt;&gt;"",_xlfn.IFNA(VLOOKUP($B247,'Node Details'!$B:$U,C$1,0),"Check"),"")</f>
        <v>0000AXY03-AXY030108</v>
      </c>
      <c r="D247" s="102" t="str">
        <f>IF($B247&lt;&gt;"",_xlfn.IFNA(VLOOKUP($B247,'Node Details'!$B:$U,D$1,0),"Check"),"")</f>
        <v>AXY</v>
      </c>
      <c r="E247" s="102" t="str">
        <f>IF($B247&lt;&gt;"",_xlfn.IFNA(VLOOKUP($B247,'Node Details'!$B:$U,E$1,0),"Check"),"")</f>
        <v>Airtel</v>
      </c>
      <c r="F247" s="103">
        <v>46113</v>
      </c>
      <c r="G247" s="105"/>
      <c r="H247" s="104" t="s">
        <v>184</v>
      </c>
      <c r="I247" s="9">
        <v>1</v>
      </c>
      <c r="J247" s="9">
        <v>48</v>
      </c>
      <c r="K247" s="102">
        <f t="shared" si="44"/>
        <v>48</v>
      </c>
      <c r="L247" s="80">
        <v>46112</v>
      </c>
      <c r="M247" s="105"/>
      <c r="N247" s="95" t="s">
        <v>372</v>
      </c>
      <c r="O247" s="96"/>
      <c r="P247" s="106">
        <f t="shared" si="39"/>
        <v>48</v>
      </c>
      <c r="Q247" s="106">
        <f t="shared" si="40"/>
        <v>48</v>
      </c>
      <c r="R247" s="106"/>
      <c r="S247" s="95" t="s">
        <v>185</v>
      </c>
      <c r="T247" s="96"/>
      <c r="U247" s="106">
        <f t="shared" si="41"/>
        <v>48</v>
      </c>
      <c r="V247" s="106">
        <f t="shared" si="42"/>
        <v>1</v>
      </c>
      <c r="W247" s="105">
        <f t="shared" si="43"/>
        <v>48</v>
      </c>
      <c r="X247" s="95" t="s">
        <v>186</v>
      </c>
      <c r="Y247" s="107" t="s">
        <v>181</v>
      </c>
      <c r="Z247" s="107" t="s">
        <v>176</v>
      </c>
    </row>
    <row r="248" spans="1:26" s="107" customFormat="1" ht="15" customHeight="1" x14ac:dyDescent="0.2">
      <c r="A248" s="101">
        <f t="shared" si="38"/>
        <v>246</v>
      </c>
      <c r="B248" s="77" t="s">
        <v>236</v>
      </c>
      <c r="C248" s="102" t="str">
        <f>IF($B248&lt;&gt;"",_xlfn.IFNA(VLOOKUP($B248,'Node Details'!$B:$U,C$1,0),"Check"),"")</f>
        <v>0000AXY03-AXY030108</v>
      </c>
      <c r="D248" s="102" t="str">
        <f>IF($B248&lt;&gt;"",_xlfn.IFNA(VLOOKUP($B248,'Node Details'!$B:$U,D$1,0),"Check"),"")</f>
        <v>AXY</v>
      </c>
      <c r="E248" s="102" t="str">
        <f>IF($B248&lt;&gt;"",_xlfn.IFNA(VLOOKUP($B248,'Node Details'!$B:$U,E$1,0),"Check"),"")</f>
        <v>Airtel</v>
      </c>
      <c r="F248" s="103">
        <v>46113</v>
      </c>
      <c r="G248" s="105"/>
      <c r="H248" s="104" t="s">
        <v>184</v>
      </c>
      <c r="I248" s="9">
        <v>1</v>
      </c>
      <c r="J248" s="9">
        <v>48</v>
      </c>
      <c r="K248" s="102">
        <f t="shared" si="44"/>
        <v>48</v>
      </c>
      <c r="L248" s="80">
        <v>46112</v>
      </c>
      <c r="M248" s="105"/>
      <c r="N248" s="95" t="s">
        <v>372</v>
      </c>
      <c r="O248" s="96"/>
      <c r="P248" s="106">
        <f t="shared" si="39"/>
        <v>48</v>
      </c>
      <c r="Q248" s="106">
        <f t="shared" si="40"/>
        <v>48</v>
      </c>
      <c r="R248" s="106"/>
      <c r="S248" s="95" t="s">
        <v>185</v>
      </c>
      <c r="T248" s="96"/>
      <c r="U248" s="106">
        <f t="shared" si="41"/>
        <v>48</v>
      </c>
      <c r="V248" s="106">
        <f t="shared" si="42"/>
        <v>1</v>
      </c>
      <c r="W248" s="105">
        <f t="shared" si="43"/>
        <v>48</v>
      </c>
      <c r="X248" s="95" t="s">
        <v>186</v>
      </c>
      <c r="Y248" s="107" t="s">
        <v>181</v>
      </c>
      <c r="Z248" s="107" t="s">
        <v>176</v>
      </c>
    </row>
    <row r="249" spans="1:26" s="107" customFormat="1" ht="15" customHeight="1" x14ac:dyDescent="0.2">
      <c r="A249" s="101">
        <f t="shared" si="38"/>
        <v>247</v>
      </c>
      <c r="B249" s="77" t="s">
        <v>237</v>
      </c>
      <c r="C249" s="102" t="str">
        <f>IF($B249&lt;&gt;"",_xlfn.IFNA(VLOOKUP($B249,'Node Details'!$B:$U,C$1,0),"Check"),"")</f>
        <v>AXY030107-AXY030201</v>
      </c>
      <c r="D249" s="102" t="str">
        <f>IF($B249&lt;&gt;"",_xlfn.IFNA(VLOOKUP($B249,'Node Details'!$B:$U,D$1,0),"Check"),"")</f>
        <v>AXY</v>
      </c>
      <c r="E249" s="102" t="str">
        <f>IF($B249&lt;&gt;"",_xlfn.IFNA(VLOOKUP($B249,'Node Details'!$B:$U,E$1,0),"Check"),"")</f>
        <v>Airtel</v>
      </c>
      <c r="F249" s="103">
        <v>46113</v>
      </c>
      <c r="G249" s="105"/>
      <c r="H249" s="104" t="s">
        <v>184</v>
      </c>
      <c r="I249" s="9">
        <v>1</v>
      </c>
      <c r="J249" s="9">
        <v>48</v>
      </c>
      <c r="K249" s="102">
        <f t="shared" si="44"/>
        <v>48</v>
      </c>
      <c r="L249" s="80">
        <v>46112</v>
      </c>
      <c r="M249" s="105"/>
      <c r="N249" s="95" t="s">
        <v>372</v>
      </c>
      <c r="O249" s="96"/>
      <c r="P249" s="106">
        <f t="shared" si="39"/>
        <v>48</v>
      </c>
      <c r="Q249" s="106">
        <f t="shared" si="40"/>
        <v>48</v>
      </c>
      <c r="R249" s="106"/>
      <c r="S249" s="95" t="s">
        <v>185</v>
      </c>
      <c r="T249" s="96"/>
      <c r="U249" s="106">
        <f t="shared" si="41"/>
        <v>48</v>
      </c>
      <c r="V249" s="106">
        <f t="shared" si="42"/>
        <v>1</v>
      </c>
      <c r="W249" s="105">
        <f t="shared" si="43"/>
        <v>48</v>
      </c>
      <c r="X249" s="95" t="s">
        <v>186</v>
      </c>
      <c r="Y249" s="107" t="s">
        <v>181</v>
      </c>
      <c r="Z249" s="107" t="s">
        <v>176</v>
      </c>
    </row>
    <row r="250" spans="1:26" s="107" customFormat="1" ht="15" customHeight="1" x14ac:dyDescent="0.2">
      <c r="A250" s="101">
        <f t="shared" si="38"/>
        <v>248</v>
      </c>
      <c r="B250" s="77" t="s">
        <v>238</v>
      </c>
      <c r="C250" s="102" t="str">
        <f>IF($B250&lt;&gt;"",_xlfn.IFNA(VLOOKUP($B250,'Node Details'!$B:$U,C$1,0),"Check"),"")</f>
        <v>AXY030201-AXY030204</v>
      </c>
      <c r="D250" s="102" t="str">
        <f>IF($B250&lt;&gt;"",_xlfn.IFNA(VLOOKUP($B250,'Node Details'!$B:$U,D$1,0),"Check"),"")</f>
        <v>AXY</v>
      </c>
      <c r="E250" s="102" t="str">
        <f>IF($B250&lt;&gt;"",_xlfn.IFNA(VLOOKUP($B250,'Node Details'!$B:$U,E$1,0),"Check"),"")</f>
        <v>Airtel</v>
      </c>
      <c r="F250" s="103">
        <v>46113</v>
      </c>
      <c r="G250" s="105"/>
      <c r="H250" s="104" t="s">
        <v>184</v>
      </c>
      <c r="I250" s="9">
        <v>1</v>
      </c>
      <c r="J250" s="9">
        <v>48</v>
      </c>
      <c r="K250" s="102">
        <f t="shared" si="44"/>
        <v>48</v>
      </c>
      <c r="L250" s="80">
        <v>46112</v>
      </c>
      <c r="M250" s="105"/>
      <c r="N250" s="95" t="s">
        <v>372</v>
      </c>
      <c r="O250" s="96"/>
      <c r="P250" s="106">
        <f t="shared" si="39"/>
        <v>48</v>
      </c>
      <c r="Q250" s="106">
        <f t="shared" si="40"/>
        <v>48</v>
      </c>
      <c r="R250" s="106"/>
      <c r="S250" s="95" t="s">
        <v>185</v>
      </c>
      <c r="T250" s="96"/>
      <c r="U250" s="106">
        <f t="shared" si="41"/>
        <v>48</v>
      </c>
      <c r="V250" s="106">
        <f t="shared" si="42"/>
        <v>1</v>
      </c>
      <c r="W250" s="105">
        <f t="shared" si="43"/>
        <v>48</v>
      </c>
      <c r="X250" s="95" t="s">
        <v>186</v>
      </c>
      <c r="Y250" s="107" t="s">
        <v>181</v>
      </c>
      <c r="Z250" s="107" t="s">
        <v>176</v>
      </c>
    </row>
    <row r="251" spans="1:26" s="107" customFormat="1" ht="15" customHeight="1" x14ac:dyDescent="0.2">
      <c r="A251" s="101">
        <f t="shared" si="38"/>
        <v>249</v>
      </c>
      <c r="B251" s="77" t="s">
        <v>239</v>
      </c>
      <c r="C251" s="102" t="str">
        <f>IF($B251&lt;&gt;"",_xlfn.IFNA(VLOOKUP($B251,'Node Details'!$B:$U,C$1,0),"Check"),"")</f>
        <v>AXY030201-AXY030204</v>
      </c>
      <c r="D251" s="102" t="str">
        <f>IF($B251&lt;&gt;"",_xlfn.IFNA(VLOOKUP($B251,'Node Details'!$B:$U,D$1,0),"Check"),"")</f>
        <v>AXY</v>
      </c>
      <c r="E251" s="102" t="str">
        <f>IF($B251&lt;&gt;"",_xlfn.IFNA(VLOOKUP($B251,'Node Details'!$B:$U,E$1,0),"Check"),"")</f>
        <v>Airtel</v>
      </c>
      <c r="F251" s="103">
        <v>46113</v>
      </c>
      <c r="G251" s="105"/>
      <c r="H251" s="104" t="s">
        <v>184</v>
      </c>
      <c r="I251" s="9">
        <v>1</v>
      </c>
      <c r="J251" s="9">
        <v>48</v>
      </c>
      <c r="K251" s="102">
        <f t="shared" si="44"/>
        <v>48</v>
      </c>
      <c r="L251" s="80">
        <v>46112</v>
      </c>
      <c r="M251" s="105"/>
      <c r="N251" s="95" t="s">
        <v>372</v>
      </c>
      <c r="O251" s="96"/>
      <c r="P251" s="106">
        <f t="shared" si="39"/>
        <v>48</v>
      </c>
      <c r="Q251" s="106">
        <f t="shared" si="40"/>
        <v>48</v>
      </c>
      <c r="R251" s="106"/>
      <c r="S251" s="95" t="s">
        <v>185</v>
      </c>
      <c r="T251" s="96"/>
      <c r="U251" s="106">
        <f t="shared" si="41"/>
        <v>48</v>
      </c>
      <c r="V251" s="106">
        <f t="shared" si="42"/>
        <v>1</v>
      </c>
      <c r="W251" s="105">
        <f t="shared" si="43"/>
        <v>48</v>
      </c>
      <c r="X251" s="95" t="s">
        <v>186</v>
      </c>
      <c r="Y251" s="107" t="s">
        <v>181</v>
      </c>
      <c r="Z251" s="107" t="s">
        <v>176</v>
      </c>
    </row>
    <row r="252" spans="1:26" s="107" customFormat="1" ht="15" customHeight="1" x14ac:dyDescent="0.2">
      <c r="A252" s="101">
        <f t="shared" si="38"/>
        <v>250</v>
      </c>
      <c r="B252" s="77" t="s">
        <v>240</v>
      </c>
      <c r="C252" s="102" t="str">
        <f>IF($B252&lt;&gt;"",_xlfn.IFNA(VLOOKUP($B252,'Node Details'!$B:$U,C$1,0),"Check"),"")</f>
        <v>000000AXY-0000AXY12</v>
      </c>
      <c r="D252" s="102" t="str">
        <f>IF($B252&lt;&gt;"",_xlfn.IFNA(VLOOKUP($B252,'Node Details'!$B:$U,D$1,0),"Check"),"")</f>
        <v>AXY</v>
      </c>
      <c r="E252" s="102" t="str">
        <f>IF($B252&lt;&gt;"",_xlfn.IFNA(VLOOKUP($B252,'Node Details'!$B:$U,E$1,0),"Check"),"")</f>
        <v>Airtel</v>
      </c>
      <c r="F252" s="103">
        <v>46113</v>
      </c>
      <c r="G252" s="105"/>
      <c r="H252" s="104" t="s">
        <v>184</v>
      </c>
      <c r="I252" s="9">
        <v>1</v>
      </c>
      <c r="J252" s="9">
        <v>48</v>
      </c>
      <c r="K252" s="102">
        <f t="shared" si="44"/>
        <v>48</v>
      </c>
      <c r="L252" s="80">
        <v>46112</v>
      </c>
      <c r="M252" s="105"/>
      <c r="N252" s="95" t="s">
        <v>372</v>
      </c>
      <c r="O252" s="96"/>
      <c r="P252" s="106">
        <f t="shared" si="39"/>
        <v>48</v>
      </c>
      <c r="Q252" s="106">
        <f t="shared" si="40"/>
        <v>48</v>
      </c>
      <c r="R252" s="106"/>
      <c r="S252" s="95" t="s">
        <v>185</v>
      </c>
      <c r="T252" s="96"/>
      <c r="U252" s="106">
        <f t="shared" si="41"/>
        <v>48</v>
      </c>
      <c r="V252" s="106">
        <f t="shared" si="42"/>
        <v>1</v>
      </c>
      <c r="W252" s="105">
        <f t="shared" si="43"/>
        <v>48</v>
      </c>
      <c r="X252" s="95" t="s">
        <v>186</v>
      </c>
      <c r="Y252" s="107" t="s">
        <v>181</v>
      </c>
      <c r="Z252" s="107" t="s">
        <v>176</v>
      </c>
    </row>
    <row r="253" spans="1:26" s="107" customFormat="1" ht="15" customHeight="1" x14ac:dyDescent="0.2">
      <c r="A253" s="101">
        <f t="shared" si="38"/>
        <v>251</v>
      </c>
      <c r="B253" s="77" t="s">
        <v>241</v>
      </c>
      <c r="C253" s="102" t="str">
        <f>IF($B253&lt;&gt;"",_xlfn.IFNA(VLOOKUP($B253,'Node Details'!$B:$U,C$1,0),"Check"),"")</f>
        <v>0000AXY04-AXY040101</v>
      </c>
      <c r="D253" s="102" t="str">
        <f>IF($B253&lt;&gt;"",_xlfn.IFNA(VLOOKUP($B253,'Node Details'!$B:$U,D$1,0),"Check"),"")</f>
        <v>AXY</v>
      </c>
      <c r="E253" s="102" t="str">
        <f>IF($B253&lt;&gt;"",_xlfn.IFNA(VLOOKUP($B253,'Node Details'!$B:$U,E$1,0),"Check"),"")</f>
        <v>Airtel</v>
      </c>
      <c r="F253" s="103">
        <v>46113</v>
      </c>
      <c r="G253" s="105"/>
      <c r="H253" s="104" t="s">
        <v>184</v>
      </c>
      <c r="I253" s="9">
        <v>1</v>
      </c>
      <c r="J253" s="9">
        <v>48</v>
      </c>
      <c r="K253" s="102">
        <f t="shared" si="44"/>
        <v>48</v>
      </c>
      <c r="L253" s="80">
        <v>46112</v>
      </c>
      <c r="M253" s="105"/>
      <c r="N253" s="95" t="s">
        <v>372</v>
      </c>
      <c r="O253" s="96"/>
      <c r="P253" s="106">
        <f t="shared" si="39"/>
        <v>48</v>
      </c>
      <c r="Q253" s="106">
        <f t="shared" si="40"/>
        <v>48</v>
      </c>
      <c r="R253" s="106"/>
      <c r="S253" s="95" t="s">
        <v>185</v>
      </c>
      <c r="T253" s="96"/>
      <c r="U253" s="106">
        <f t="shared" si="41"/>
        <v>48</v>
      </c>
      <c r="V253" s="106">
        <f t="shared" si="42"/>
        <v>1</v>
      </c>
      <c r="W253" s="105">
        <f t="shared" si="43"/>
        <v>48</v>
      </c>
      <c r="X253" s="95" t="s">
        <v>186</v>
      </c>
      <c r="Y253" s="107" t="s">
        <v>181</v>
      </c>
      <c r="Z253" s="107" t="s">
        <v>176</v>
      </c>
    </row>
    <row r="254" spans="1:26" s="107" customFormat="1" ht="15" customHeight="1" x14ac:dyDescent="0.2">
      <c r="A254" s="101">
        <f t="shared" si="38"/>
        <v>252</v>
      </c>
      <c r="B254" s="77" t="s">
        <v>242</v>
      </c>
      <c r="C254" s="102" t="str">
        <f>IF($B254&lt;&gt;"",_xlfn.IFNA(VLOOKUP($B254,'Node Details'!$B:$U,C$1,0),"Check"),"")</f>
        <v>0000AXY04-00AXY-FMS</v>
      </c>
      <c r="D254" s="102" t="str">
        <f>IF($B254&lt;&gt;"",_xlfn.IFNA(VLOOKUP($B254,'Node Details'!$B:$U,D$1,0),"Check"),"")</f>
        <v>AXY</v>
      </c>
      <c r="E254" s="102" t="str">
        <f>IF($B254&lt;&gt;"",_xlfn.IFNA(VLOOKUP($B254,'Node Details'!$B:$U,E$1,0),"Check"),"")</f>
        <v>Airtel</v>
      </c>
      <c r="F254" s="103">
        <v>46113</v>
      </c>
      <c r="G254" s="105"/>
      <c r="H254" s="104" t="s">
        <v>184</v>
      </c>
      <c r="I254" s="9">
        <v>1</v>
      </c>
      <c r="J254" s="9">
        <v>48</v>
      </c>
      <c r="K254" s="102">
        <f t="shared" si="44"/>
        <v>48</v>
      </c>
      <c r="L254" s="80">
        <v>46112</v>
      </c>
      <c r="M254" s="105"/>
      <c r="N254" s="95" t="s">
        <v>372</v>
      </c>
      <c r="O254" s="96"/>
      <c r="P254" s="106">
        <f t="shared" si="39"/>
        <v>48</v>
      </c>
      <c r="Q254" s="106">
        <f t="shared" si="40"/>
        <v>48</v>
      </c>
      <c r="R254" s="106"/>
      <c r="S254" s="95" t="s">
        <v>185</v>
      </c>
      <c r="T254" s="96"/>
      <c r="U254" s="106">
        <f t="shared" si="41"/>
        <v>48</v>
      </c>
      <c r="V254" s="106">
        <f t="shared" si="42"/>
        <v>1</v>
      </c>
      <c r="W254" s="105">
        <f t="shared" si="43"/>
        <v>48</v>
      </c>
      <c r="X254" s="95" t="s">
        <v>186</v>
      </c>
      <c r="Y254" s="107" t="s">
        <v>181</v>
      </c>
      <c r="Z254" s="107" t="s">
        <v>176</v>
      </c>
    </row>
    <row r="255" spans="1:26" s="107" customFormat="1" ht="15" customHeight="1" x14ac:dyDescent="0.2">
      <c r="A255" s="101">
        <f t="shared" si="38"/>
        <v>253</v>
      </c>
      <c r="B255" s="77" t="s">
        <v>243</v>
      </c>
      <c r="C255" s="102" t="str">
        <f>IF($B255&lt;&gt;"",_xlfn.IFNA(VLOOKUP($B255,'Node Details'!$B:$U,C$1,0),"Check"),"")</f>
        <v>00AXY-FMS-AXY040108</v>
      </c>
      <c r="D255" s="102" t="str">
        <f>IF($B255&lt;&gt;"",_xlfn.IFNA(VLOOKUP($B255,'Node Details'!$B:$U,D$1,0),"Check"),"")</f>
        <v>AXY</v>
      </c>
      <c r="E255" s="102" t="str">
        <f>IF($B255&lt;&gt;"",_xlfn.IFNA(VLOOKUP($B255,'Node Details'!$B:$U,E$1,0),"Check"),"")</f>
        <v>Airtel</v>
      </c>
      <c r="F255" s="103">
        <v>46113</v>
      </c>
      <c r="G255" s="105"/>
      <c r="H255" s="104" t="s">
        <v>184</v>
      </c>
      <c r="I255" s="9">
        <v>1</v>
      </c>
      <c r="J255" s="9">
        <v>48</v>
      </c>
      <c r="K255" s="102">
        <f t="shared" si="44"/>
        <v>48</v>
      </c>
      <c r="L255" s="80">
        <v>46112</v>
      </c>
      <c r="M255" s="105"/>
      <c r="N255" s="95" t="s">
        <v>372</v>
      </c>
      <c r="O255" s="96"/>
      <c r="P255" s="106">
        <f t="shared" si="39"/>
        <v>48</v>
      </c>
      <c r="Q255" s="106">
        <f t="shared" si="40"/>
        <v>48</v>
      </c>
      <c r="R255" s="106"/>
      <c r="S255" s="95" t="s">
        <v>185</v>
      </c>
      <c r="T255" s="96"/>
      <c r="U255" s="106">
        <f t="shared" si="41"/>
        <v>48</v>
      </c>
      <c r="V255" s="106">
        <f t="shared" si="42"/>
        <v>1</v>
      </c>
      <c r="W255" s="105">
        <f t="shared" si="43"/>
        <v>48</v>
      </c>
      <c r="X255" s="95" t="s">
        <v>186</v>
      </c>
      <c r="Y255" s="107" t="s">
        <v>181</v>
      </c>
      <c r="Z255" s="107" t="s">
        <v>176</v>
      </c>
    </row>
    <row r="256" spans="1:26" s="107" customFormat="1" ht="15" customHeight="1" x14ac:dyDescent="0.2">
      <c r="A256" s="101">
        <f t="shared" si="38"/>
        <v>254</v>
      </c>
      <c r="B256" s="77" t="s">
        <v>244</v>
      </c>
      <c r="C256" s="102" t="str">
        <f>IF($B256&lt;&gt;"",_xlfn.IFNA(VLOOKUP($B256,'Node Details'!$B:$U,C$1,0),"Check"),"")</f>
        <v>00AXY-FMS-AXY040108</v>
      </c>
      <c r="D256" s="102" t="str">
        <f>IF($B256&lt;&gt;"",_xlfn.IFNA(VLOOKUP($B256,'Node Details'!$B:$U,D$1,0),"Check"),"")</f>
        <v>AXY</v>
      </c>
      <c r="E256" s="102" t="str">
        <f>IF($B256&lt;&gt;"",_xlfn.IFNA(VLOOKUP($B256,'Node Details'!$B:$U,E$1,0),"Check"),"")</f>
        <v>Airtel</v>
      </c>
      <c r="F256" s="103">
        <v>46113</v>
      </c>
      <c r="G256" s="105"/>
      <c r="H256" s="104" t="s">
        <v>184</v>
      </c>
      <c r="I256" s="9">
        <v>1</v>
      </c>
      <c r="J256" s="9">
        <v>48</v>
      </c>
      <c r="K256" s="102">
        <f t="shared" si="44"/>
        <v>48</v>
      </c>
      <c r="L256" s="80">
        <v>46112</v>
      </c>
      <c r="M256" s="105"/>
      <c r="N256" s="95" t="s">
        <v>372</v>
      </c>
      <c r="O256" s="96"/>
      <c r="P256" s="106">
        <f t="shared" si="39"/>
        <v>48</v>
      </c>
      <c r="Q256" s="106">
        <f t="shared" si="40"/>
        <v>48</v>
      </c>
      <c r="R256" s="106"/>
      <c r="S256" s="95" t="s">
        <v>185</v>
      </c>
      <c r="T256" s="96"/>
      <c r="U256" s="106">
        <f t="shared" si="41"/>
        <v>48</v>
      </c>
      <c r="V256" s="106">
        <f t="shared" si="42"/>
        <v>1</v>
      </c>
      <c r="W256" s="105">
        <f t="shared" si="43"/>
        <v>48</v>
      </c>
      <c r="X256" s="95" t="s">
        <v>186</v>
      </c>
      <c r="Y256" s="107" t="s">
        <v>181</v>
      </c>
      <c r="Z256" s="107" t="s">
        <v>176</v>
      </c>
    </row>
    <row r="257" spans="1:26" s="107" customFormat="1" ht="15" customHeight="1" x14ac:dyDescent="0.2">
      <c r="A257" s="101">
        <f t="shared" si="38"/>
        <v>255</v>
      </c>
      <c r="B257" s="77" t="s">
        <v>245</v>
      </c>
      <c r="C257" s="102" t="str">
        <f>IF($B257&lt;&gt;"",_xlfn.IFNA(VLOOKUP($B257,'Node Details'!$B:$U,C$1,0),"Check"),"")</f>
        <v>00AXY-FMS-AXY040108</v>
      </c>
      <c r="D257" s="102" t="str">
        <f>IF($B257&lt;&gt;"",_xlfn.IFNA(VLOOKUP($B257,'Node Details'!$B:$U,D$1,0),"Check"),"")</f>
        <v>AXY</v>
      </c>
      <c r="E257" s="102" t="str">
        <f>IF($B257&lt;&gt;"",_xlfn.IFNA(VLOOKUP($B257,'Node Details'!$B:$U,E$1,0),"Check"),"")</f>
        <v>Airtel</v>
      </c>
      <c r="F257" s="103">
        <v>46113</v>
      </c>
      <c r="G257" s="105"/>
      <c r="H257" s="104" t="s">
        <v>184</v>
      </c>
      <c r="I257" s="9">
        <v>1</v>
      </c>
      <c r="J257" s="9">
        <v>48</v>
      </c>
      <c r="K257" s="102">
        <f t="shared" si="44"/>
        <v>48</v>
      </c>
      <c r="L257" s="80">
        <v>46112</v>
      </c>
      <c r="M257" s="105"/>
      <c r="N257" s="95" t="s">
        <v>372</v>
      </c>
      <c r="O257" s="96"/>
      <c r="P257" s="106">
        <f t="shared" si="39"/>
        <v>48</v>
      </c>
      <c r="Q257" s="106">
        <f t="shared" si="40"/>
        <v>48</v>
      </c>
      <c r="R257" s="106"/>
      <c r="S257" s="95" t="s">
        <v>185</v>
      </c>
      <c r="T257" s="96"/>
      <c r="U257" s="106">
        <f t="shared" si="41"/>
        <v>48</v>
      </c>
      <c r="V257" s="106">
        <f t="shared" si="42"/>
        <v>1</v>
      </c>
      <c r="W257" s="105">
        <f t="shared" si="43"/>
        <v>48</v>
      </c>
      <c r="X257" s="95" t="s">
        <v>186</v>
      </c>
      <c r="Y257" s="107" t="s">
        <v>181</v>
      </c>
      <c r="Z257" s="107" t="s">
        <v>176</v>
      </c>
    </row>
    <row r="258" spans="1:26" s="107" customFormat="1" ht="15" customHeight="1" x14ac:dyDescent="0.2">
      <c r="A258" s="101">
        <f t="shared" si="38"/>
        <v>256</v>
      </c>
      <c r="B258" s="77" t="s">
        <v>246</v>
      </c>
      <c r="C258" s="102" t="str">
        <f>IF($B258&lt;&gt;"",_xlfn.IFNA(VLOOKUP($B258,'Node Details'!$B:$U,C$1,0),"Check"),"")</f>
        <v>00AXY-FMS-AXY040108</v>
      </c>
      <c r="D258" s="102" t="str">
        <f>IF($B258&lt;&gt;"",_xlfn.IFNA(VLOOKUP($B258,'Node Details'!$B:$U,D$1,0),"Check"),"")</f>
        <v>AXY</v>
      </c>
      <c r="E258" s="102" t="str">
        <f>IF($B258&lt;&gt;"",_xlfn.IFNA(VLOOKUP($B258,'Node Details'!$B:$U,E$1,0),"Check"),"")</f>
        <v>Airtel</v>
      </c>
      <c r="F258" s="103">
        <v>46113</v>
      </c>
      <c r="G258" s="105"/>
      <c r="H258" s="104" t="s">
        <v>184</v>
      </c>
      <c r="I258" s="9">
        <v>1</v>
      </c>
      <c r="J258" s="9">
        <v>48</v>
      </c>
      <c r="K258" s="102">
        <f t="shared" si="44"/>
        <v>48</v>
      </c>
      <c r="L258" s="80">
        <v>46112</v>
      </c>
      <c r="M258" s="105"/>
      <c r="N258" s="95" t="s">
        <v>372</v>
      </c>
      <c r="O258" s="96"/>
      <c r="P258" s="106">
        <f t="shared" si="39"/>
        <v>48</v>
      </c>
      <c r="Q258" s="106">
        <f t="shared" si="40"/>
        <v>48</v>
      </c>
      <c r="R258" s="106"/>
      <c r="S258" s="95" t="s">
        <v>185</v>
      </c>
      <c r="T258" s="96"/>
      <c r="U258" s="106">
        <f t="shared" si="41"/>
        <v>48</v>
      </c>
      <c r="V258" s="106">
        <f t="shared" si="42"/>
        <v>1</v>
      </c>
      <c r="W258" s="105">
        <f t="shared" si="43"/>
        <v>48</v>
      </c>
      <c r="X258" s="95" t="s">
        <v>186</v>
      </c>
      <c r="Y258" s="107" t="s">
        <v>181</v>
      </c>
      <c r="Z258" s="107" t="s">
        <v>176</v>
      </c>
    </row>
    <row r="259" spans="1:26" s="107" customFormat="1" ht="15" customHeight="1" x14ac:dyDescent="0.2">
      <c r="A259" s="101">
        <f t="shared" si="38"/>
        <v>257</v>
      </c>
      <c r="B259" s="77" t="s">
        <v>247</v>
      </c>
      <c r="C259" s="102" t="str">
        <f>IF($B259&lt;&gt;"",_xlfn.IFNA(VLOOKUP($B259,'Node Details'!$B:$U,C$1,0),"Check"),"")</f>
        <v>0000AXY04-AXY040201</v>
      </c>
      <c r="D259" s="102" t="str">
        <f>IF($B259&lt;&gt;"",_xlfn.IFNA(VLOOKUP($B259,'Node Details'!$B:$U,D$1,0),"Check"),"")</f>
        <v>AXY</v>
      </c>
      <c r="E259" s="102" t="str">
        <f>IF($B259&lt;&gt;"",_xlfn.IFNA(VLOOKUP($B259,'Node Details'!$B:$U,E$1,0),"Check"),"")</f>
        <v>Airtel</v>
      </c>
      <c r="F259" s="103">
        <v>46113</v>
      </c>
      <c r="G259" s="105"/>
      <c r="H259" s="104" t="s">
        <v>184</v>
      </c>
      <c r="I259" s="9">
        <v>1</v>
      </c>
      <c r="J259" s="9">
        <v>48</v>
      </c>
      <c r="K259" s="102">
        <f t="shared" si="44"/>
        <v>48</v>
      </c>
      <c r="L259" s="80">
        <v>46112</v>
      </c>
      <c r="M259" s="105"/>
      <c r="N259" s="95" t="s">
        <v>372</v>
      </c>
      <c r="O259" s="96"/>
      <c r="P259" s="106">
        <f t="shared" si="39"/>
        <v>48</v>
      </c>
      <c r="Q259" s="106">
        <f t="shared" si="40"/>
        <v>48</v>
      </c>
      <c r="R259" s="106"/>
      <c r="S259" s="95" t="s">
        <v>185</v>
      </c>
      <c r="T259" s="96"/>
      <c r="U259" s="106">
        <f t="shared" si="41"/>
        <v>48</v>
      </c>
      <c r="V259" s="106">
        <f t="shared" si="42"/>
        <v>1</v>
      </c>
      <c r="W259" s="105">
        <f t="shared" si="43"/>
        <v>48</v>
      </c>
      <c r="X259" s="95" t="s">
        <v>186</v>
      </c>
      <c r="Y259" s="107" t="s">
        <v>181</v>
      </c>
      <c r="Z259" s="107" t="s">
        <v>176</v>
      </c>
    </row>
    <row r="260" spans="1:26" s="107" customFormat="1" ht="15" customHeight="1" x14ac:dyDescent="0.2">
      <c r="A260" s="101">
        <f t="shared" ref="A260:A323" si="45">A259+1</f>
        <v>258</v>
      </c>
      <c r="B260" s="77" t="s">
        <v>248</v>
      </c>
      <c r="C260" s="102" t="str">
        <f>IF($B260&lt;&gt;"",_xlfn.IFNA(VLOOKUP($B260,'Node Details'!$B:$U,C$1,0),"Check"),"")</f>
        <v>AXY040201-AXY040204</v>
      </c>
      <c r="D260" s="102" t="str">
        <f>IF($B260&lt;&gt;"",_xlfn.IFNA(VLOOKUP($B260,'Node Details'!$B:$U,D$1,0),"Check"),"")</f>
        <v>AXY</v>
      </c>
      <c r="E260" s="102" t="str">
        <f>IF($B260&lt;&gt;"",_xlfn.IFNA(VLOOKUP($B260,'Node Details'!$B:$U,E$1,0),"Check"),"")</f>
        <v>Airtel</v>
      </c>
      <c r="F260" s="103">
        <v>46113</v>
      </c>
      <c r="G260" s="105"/>
      <c r="H260" s="104" t="s">
        <v>184</v>
      </c>
      <c r="I260" s="9">
        <v>1</v>
      </c>
      <c r="J260" s="9">
        <v>48</v>
      </c>
      <c r="K260" s="102">
        <f t="shared" si="44"/>
        <v>48</v>
      </c>
      <c r="L260" s="80">
        <v>46112</v>
      </c>
      <c r="M260" s="105"/>
      <c r="N260" s="95" t="s">
        <v>372</v>
      </c>
      <c r="O260" s="96"/>
      <c r="P260" s="106">
        <f t="shared" si="39"/>
        <v>48</v>
      </c>
      <c r="Q260" s="106">
        <f t="shared" si="40"/>
        <v>48</v>
      </c>
      <c r="R260" s="106"/>
      <c r="S260" s="95" t="s">
        <v>185</v>
      </c>
      <c r="T260" s="96"/>
      <c r="U260" s="106">
        <f t="shared" si="41"/>
        <v>48</v>
      </c>
      <c r="V260" s="106">
        <f t="shared" si="42"/>
        <v>1</v>
      </c>
      <c r="W260" s="105">
        <f t="shared" si="43"/>
        <v>48</v>
      </c>
      <c r="X260" s="95" t="s">
        <v>186</v>
      </c>
      <c r="Y260" s="107" t="s">
        <v>181</v>
      </c>
      <c r="Z260" s="107" t="s">
        <v>176</v>
      </c>
    </row>
    <row r="261" spans="1:26" s="107" customFormat="1" ht="15" customHeight="1" x14ac:dyDescent="0.2">
      <c r="A261" s="101">
        <f t="shared" si="45"/>
        <v>259</v>
      </c>
      <c r="B261" s="77" t="s">
        <v>249</v>
      </c>
      <c r="C261" s="102" t="str">
        <f>IF($B261&lt;&gt;"",_xlfn.IFNA(VLOOKUP($B261,'Node Details'!$B:$U,C$1,0),"Check"),"")</f>
        <v>AXY040201-AXY040204</v>
      </c>
      <c r="D261" s="102" t="str">
        <f>IF($B261&lt;&gt;"",_xlfn.IFNA(VLOOKUP($B261,'Node Details'!$B:$U,D$1,0),"Check"),"")</f>
        <v>AXY</v>
      </c>
      <c r="E261" s="102" t="str">
        <f>IF($B261&lt;&gt;"",_xlfn.IFNA(VLOOKUP($B261,'Node Details'!$B:$U,E$1,0),"Check"),"")</f>
        <v>Airtel</v>
      </c>
      <c r="F261" s="103">
        <v>46113</v>
      </c>
      <c r="G261" s="105"/>
      <c r="H261" s="104" t="s">
        <v>184</v>
      </c>
      <c r="I261" s="9">
        <v>1</v>
      </c>
      <c r="J261" s="9">
        <v>48</v>
      </c>
      <c r="K261" s="102">
        <f t="shared" si="44"/>
        <v>48</v>
      </c>
      <c r="L261" s="80">
        <v>46112</v>
      </c>
      <c r="M261" s="105"/>
      <c r="N261" s="95" t="s">
        <v>372</v>
      </c>
      <c r="O261" s="96"/>
      <c r="P261" s="106">
        <f t="shared" si="39"/>
        <v>48</v>
      </c>
      <c r="Q261" s="106">
        <f t="shared" si="40"/>
        <v>48</v>
      </c>
      <c r="R261" s="106"/>
      <c r="S261" s="95" t="s">
        <v>185</v>
      </c>
      <c r="T261" s="96"/>
      <c r="U261" s="106">
        <f t="shared" si="41"/>
        <v>48</v>
      </c>
      <c r="V261" s="106">
        <f t="shared" si="42"/>
        <v>1</v>
      </c>
      <c r="W261" s="105">
        <f t="shared" si="43"/>
        <v>48</v>
      </c>
      <c r="X261" s="95" t="s">
        <v>186</v>
      </c>
      <c r="Y261" s="107" t="s">
        <v>181</v>
      </c>
      <c r="Z261" s="107" t="s">
        <v>176</v>
      </c>
    </row>
    <row r="262" spans="1:26" s="107" customFormat="1" ht="15" customHeight="1" x14ac:dyDescent="0.2">
      <c r="A262" s="101">
        <f t="shared" si="45"/>
        <v>260</v>
      </c>
      <c r="B262" s="77" t="s">
        <v>250</v>
      </c>
      <c r="C262" s="102" t="str">
        <f>IF($B262&lt;&gt;"",_xlfn.IFNA(VLOOKUP($B262,'Node Details'!$B:$U,C$1,0),"Check"),"")</f>
        <v>AXY040201-AXY040204</v>
      </c>
      <c r="D262" s="102" t="str">
        <f>IF($B262&lt;&gt;"",_xlfn.IFNA(VLOOKUP($B262,'Node Details'!$B:$U,D$1,0),"Check"),"")</f>
        <v>AXY</v>
      </c>
      <c r="E262" s="102" t="str">
        <f>IF($B262&lt;&gt;"",_xlfn.IFNA(VLOOKUP($B262,'Node Details'!$B:$U,E$1,0),"Check"),"")</f>
        <v>Airtel</v>
      </c>
      <c r="F262" s="103">
        <v>46113</v>
      </c>
      <c r="G262" s="105"/>
      <c r="H262" s="104" t="s">
        <v>184</v>
      </c>
      <c r="I262" s="9">
        <v>1</v>
      </c>
      <c r="J262" s="9">
        <v>48</v>
      </c>
      <c r="K262" s="102">
        <f t="shared" si="44"/>
        <v>48</v>
      </c>
      <c r="L262" s="80">
        <v>46112</v>
      </c>
      <c r="M262" s="105"/>
      <c r="N262" s="95" t="s">
        <v>372</v>
      </c>
      <c r="O262" s="96"/>
      <c r="P262" s="106">
        <f t="shared" si="39"/>
        <v>48</v>
      </c>
      <c r="Q262" s="106">
        <f t="shared" si="40"/>
        <v>48</v>
      </c>
      <c r="R262" s="106"/>
      <c r="S262" s="95" t="s">
        <v>185</v>
      </c>
      <c r="T262" s="96"/>
      <c r="U262" s="106">
        <f t="shared" si="41"/>
        <v>48</v>
      </c>
      <c r="V262" s="106">
        <f t="shared" si="42"/>
        <v>1</v>
      </c>
      <c r="W262" s="105">
        <f t="shared" si="43"/>
        <v>48</v>
      </c>
      <c r="X262" s="95" t="s">
        <v>186</v>
      </c>
      <c r="Y262" s="107" t="s">
        <v>181</v>
      </c>
      <c r="Z262" s="107" t="s">
        <v>176</v>
      </c>
    </row>
    <row r="263" spans="1:26" s="107" customFormat="1" ht="15" customHeight="1" x14ac:dyDescent="0.2">
      <c r="A263" s="101">
        <f t="shared" si="45"/>
        <v>261</v>
      </c>
      <c r="B263" s="77" t="s">
        <v>251</v>
      </c>
      <c r="C263" s="102" t="str">
        <f>IF($B263&lt;&gt;"",_xlfn.IFNA(VLOOKUP($B263,'Node Details'!$B:$U,C$1,0),"Check"),"")</f>
        <v>0000AXY04-0000AXY05</v>
      </c>
      <c r="D263" s="102" t="str">
        <f>IF($B263&lt;&gt;"",_xlfn.IFNA(VLOOKUP($B263,'Node Details'!$B:$U,D$1,0),"Check"),"")</f>
        <v>AXY</v>
      </c>
      <c r="E263" s="102" t="str">
        <f>IF($B263&lt;&gt;"",_xlfn.IFNA(VLOOKUP($B263,'Node Details'!$B:$U,E$1,0),"Check"),"")</f>
        <v>Airtel</v>
      </c>
      <c r="F263" s="103">
        <v>46113</v>
      </c>
      <c r="G263" s="105"/>
      <c r="H263" s="104" t="s">
        <v>184</v>
      </c>
      <c r="I263" s="9">
        <v>1</v>
      </c>
      <c r="J263" s="9">
        <v>48</v>
      </c>
      <c r="K263" s="102">
        <f t="shared" si="44"/>
        <v>48</v>
      </c>
      <c r="L263" s="80">
        <v>46112</v>
      </c>
      <c r="M263" s="105"/>
      <c r="N263" s="95" t="s">
        <v>372</v>
      </c>
      <c r="O263" s="96"/>
      <c r="P263" s="106">
        <f t="shared" si="39"/>
        <v>48</v>
      </c>
      <c r="Q263" s="106">
        <f t="shared" si="40"/>
        <v>48</v>
      </c>
      <c r="R263" s="106"/>
      <c r="S263" s="95" t="s">
        <v>185</v>
      </c>
      <c r="T263" s="96"/>
      <c r="U263" s="106">
        <f t="shared" si="41"/>
        <v>48</v>
      </c>
      <c r="V263" s="106">
        <f t="shared" si="42"/>
        <v>1</v>
      </c>
      <c r="W263" s="105">
        <f t="shared" si="43"/>
        <v>48</v>
      </c>
      <c r="X263" s="95" t="s">
        <v>186</v>
      </c>
      <c r="Y263" s="107" t="s">
        <v>181</v>
      </c>
      <c r="Z263" s="107" t="s">
        <v>176</v>
      </c>
    </row>
    <row r="264" spans="1:26" s="107" customFormat="1" ht="15" customHeight="1" x14ac:dyDescent="0.2">
      <c r="A264" s="101">
        <f t="shared" si="45"/>
        <v>262</v>
      </c>
      <c r="B264" s="77" t="s">
        <v>252</v>
      </c>
      <c r="C264" s="102" t="str">
        <f>IF($B264&lt;&gt;"",_xlfn.IFNA(VLOOKUP($B264,'Node Details'!$B:$U,C$1,0),"Check"),"")</f>
        <v>0000AXY05-AXY050101</v>
      </c>
      <c r="D264" s="102" t="str">
        <f>IF($B264&lt;&gt;"",_xlfn.IFNA(VLOOKUP($B264,'Node Details'!$B:$U,D$1,0),"Check"),"")</f>
        <v>AXY</v>
      </c>
      <c r="E264" s="102" t="str">
        <f>IF($B264&lt;&gt;"",_xlfn.IFNA(VLOOKUP($B264,'Node Details'!$B:$U,E$1,0),"Check"),"")</f>
        <v>Airtel</v>
      </c>
      <c r="F264" s="103">
        <v>46113</v>
      </c>
      <c r="G264" s="105"/>
      <c r="H264" s="104" t="s">
        <v>184</v>
      </c>
      <c r="I264" s="9">
        <v>1</v>
      </c>
      <c r="J264" s="9">
        <v>48</v>
      </c>
      <c r="K264" s="102">
        <f t="shared" si="44"/>
        <v>48</v>
      </c>
      <c r="L264" s="80">
        <v>46112</v>
      </c>
      <c r="M264" s="105"/>
      <c r="N264" s="95" t="s">
        <v>372</v>
      </c>
      <c r="O264" s="96"/>
      <c r="P264" s="106">
        <f t="shared" si="39"/>
        <v>48</v>
      </c>
      <c r="Q264" s="106">
        <f t="shared" si="40"/>
        <v>48</v>
      </c>
      <c r="R264" s="106"/>
      <c r="S264" s="95" t="s">
        <v>185</v>
      </c>
      <c r="T264" s="96"/>
      <c r="U264" s="106">
        <f t="shared" si="41"/>
        <v>48</v>
      </c>
      <c r="V264" s="106">
        <f t="shared" si="42"/>
        <v>1</v>
      </c>
      <c r="W264" s="105">
        <f t="shared" si="43"/>
        <v>48</v>
      </c>
      <c r="X264" s="95" t="s">
        <v>186</v>
      </c>
      <c r="Y264" s="107" t="s">
        <v>181</v>
      </c>
      <c r="Z264" s="107" t="s">
        <v>176</v>
      </c>
    </row>
    <row r="265" spans="1:26" s="107" customFormat="1" ht="15" customHeight="1" x14ac:dyDescent="0.2">
      <c r="A265" s="101">
        <f t="shared" si="45"/>
        <v>263</v>
      </c>
      <c r="B265" s="77" t="s">
        <v>253</v>
      </c>
      <c r="C265" s="102" t="str">
        <f>IF($B265&lt;&gt;"",_xlfn.IFNA(VLOOKUP($B265,'Node Details'!$B:$U,C$1,0),"Check"),"")</f>
        <v>0000AXY5 -AXY050104</v>
      </c>
      <c r="D265" s="102" t="str">
        <f>IF($B265&lt;&gt;"",_xlfn.IFNA(VLOOKUP($B265,'Node Details'!$B:$U,D$1,0),"Check"),"")</f>
        <v>AXY</v>
      </c>
      <c r="E265" s="102" t="str">
        <f>IF($B265&lt;&gt;"",_xlfn.IFNA(VLOOKUP($B265,'Node Details'!$B:$U,E$1,0),"Check"),"")</f>
        <v>Airtel</v>
      </c>
      <c r="F265" s="103">
        <v>46113</v>
      </c>
      <c r="G265" s="105"/>
      <c r="H265" s="104" t="s">
        <v>184</v>
      </c>
      <c r="I265" s="9">
        <v>1</v>
      </c>
      <c r="J265" s="9">
        <v>48</v>
      </c>
      <c r="K265" s="102">
        <f t="shared" si="44"/>
        <v>48</v>
      </c>
      <c r="L265" s="80">
        <v>46112</v>
      </c>
      <c r="M265" s="105"/>
      <c r="N265" s="95" t="s">
        <v>372</v>
      </c>
      <c r="O265" s="96"/>
      <c r="P265" s="106">
        <f t="shared" si="39"/>
        <v>48</v>
      </c>
      <c r="Q265" s="106">
        <f t="shared" si="40"/>
        <v>48</v>
      </c>
      <c r="R265" s="106"/>
      <c r="S265" s="95" t="s">
        <v>185</v>
      </c>
      <c r="T265" s="96"/>
      <c r="U265" s="106">
        <f t="shared" si="41"/>
        <v>48</v>
      </c>
      <c r="V265" s="106">
        <f t="shared" si="42"/>
        <v>1</v>
      </c>
      <c r="W265" s="105">
        <f t="shared" si="43"/>
        <v>48</v>
      </c>
      <c r="X265" s="95" t="s">
        <v>186</v>
      </c>
      <c r="Y265" s="107" t="s">
        <v>181</v>
      </c>
      <c r="Z265" s="107" t="s">
        <v>176</v>
      </c>
    </row>
    <row r="266" spans="1:26" s="107" customFormat="1" ht="15" customHeight="1" x14ac:dyDescent="0.2">
      <c r="A266" s="101">
        <f t="shared" si="45"/>
        <v>264</v>
      </c>
      <c r="B266" s="77" t="s">
        <v>254</v>
      </c>
      <c r="C266" s="102" t="str">
        <f>IF($B266&lt;&gt;"",_xlfn.IFNA(VLOOKUP($B266,'Node Details'!$B:$U,C$1,0),"Check"),"")</f>
        <v>0000AXY5 -AXY050104</v>
      </c>
      <c r="D266" s="102" t="str">
        <f>IF($B266&lt;&gt;"",_xlfn.IFNA(VLOOKUP($B266,'Node Details'!$B:$U,D$1,0),"Check"),"")</f>
        <v>AXY</v>
      </c>
      <c r="E266" s="102" t="str">
        <f>IF($B266&lt;&gt;"",_xlfn.IFNA(VLOOKUP($B266,'Node Details'!$B:$U,E$1,0),"Check"),"")</f>
        <v>Airtel</v>
      </c>
      <c r="F266" s="103">
        <v>46113</v>
      </c>
      <c r="G266" s="105"/>
      <c r="H266" s="104" t="s">
        <v>184</v>
      </c>
      <c r="I266" s="9">
        <v>1</v>
      </c>
      <c r="J266" s="9">
        <v>48</v>
      </c>
      <c r="K266" s="102">
        <f t="shared" si="44"/>
        <v>48</v>
      </c>
      <c r="L266" s="80">
        <v>46112</v>
      </c>
      <c r="M266" s="105"/>
      <c r="N266" s="95" t="s">
        <v>372</v>
      </c>
      <c r="O266" s="96"/>
      <c r="P266" s="106">
        <f t="shared" si="39"/>
        <v>48</v>
      </c>
      <c r="Q266" s="106">
        <f t="shared" si="40"/>
        <v>48</v>
      </c>
      <c r="R266" s="106"/>
      <c r="S266" s="95" t="s">
        <v>185</v>
      </c>
      <c r="T266" s="96"/>
      <c r="U266" s="106">
        <f t="shared" si="41"/>
        <v>48</v>
      </c>
      <c r="V266" s="106">
        <f t="shared" si="42"/>
        <v>1</v>
      </c>
      <c r="W266" s="105">
        <f t="shared" si="43"/>
        <v>48</v>
      </c>
      <c r="X266" s="95" t="s">
        <v>186</v>
      </c>
      <c r="Y266" s="107" t="s">
        <v>181</v>
      </c>
      <c r="Z266" s="107" t="s">
        <v>176</v>
      </c>
    </row>
    <row r="267" spans="1:26" s="107" customFormat="1" ht="15" customHeight="1" x14ac:dyDescent="0.2">
      <c r="A267" s="101">
        <f t="shared" si="45"/>
        <v>265</v>
      </c>
      <c r="B267" s="77" t="s">
        <v>255</v>
      </c>
      <c r="C267" s="102" t="str">
        <f>IF($B267&lt;&gt;"",_xlfn.IFNA(VLOOKUP($B267,'Node Details'!$B:$U,C$1,0),"Check"),"")</f>
        <v>0000AXY5 -AXY050104</v>
      </c>
      <c r="D267" s="102" t="str">
        <f>IF($B267&lt;&gt;"",_xlfn.IFNA(VLOOKUP($B267,'Node Details'!$B:$U,D$1,0),"Check"),"")</f>
        <v>AXY</v>
      </c>
      <c r="E267" s="102" t="str">
        <f>IF($B267&lt;&gt;"",_xlfn.IFNA(VLOOKUP($B267,'Node Details'!$B:$U,E$1,0),"Check"),"")</f>
        <v>Airtel</v>
      </c>
      <c r="F267" s="103">
        <v>46113</v>
      </c>
      <c r="G267" s="105"/>
      <c r="H267" s="104" t="s">
        <v>184</v>
      </c>
      <c r="I267" s="9">
        <v>1</v>
      </c>
      <c r="J267" s="9">
        <v>48</v>
      </c>
      <c r="K267" s="102">
        <f t="shared" si="44"/>
        <v>48</v>
      </c>
      <c r="L267" s="80">
        <v>46112</v>
      </c>
      <c r="M267" s="105"/>
      <c r="N267" s="95" t="s">
        <v>372</v>
      </c>
      <c r="O267" s="96"/>
      <c r="P267" s="106">
        <f t="shared" si="39"/>
        <v>48</v>
      </c>
      <c r="Q267" s="106">
        <f t="shared" si="40"/>
        <v>48</v>
      </c>
      <c r="R267" s="106"/>
      <c r="S267" s="95" t="s">
        <v>185</v>
      </c>
      <c r="T267" s="96"/>
      <c r="U267" s="106">
        <f t="shared" si="41"/>
        <v>48</v>
      </c>
      <c r="V267" s="106">
        <f t="shared" si="42"/>
        <v>1</v>
      </c>
      <c r="W267" s="105">
        <f t="shared" si="43"/>
        <v>48</v>
      </c>
      <c r="X267" s="95" t="s">
        <v>186</v>
      </c>
      <c r="Y267" s="107" t="s">
        <v>181</v>
      </c>
      <c r="Z267" s="107" t="s">
        <v>176</v>
      </c>
    </row>
    <row r="268" spans="1:26" s="107" customFormat="1" ht="15" customHeight="1" x14ac:dyDescent="0.2">
      <c r="A268" s="101">
        <f t="shared" si="45"/>
        <v>266</v>
      </c>
      <c r="B268" s="77" t="s">
        <v>256</v>
      </c>
      <c r="C268" s="102" t="str">
        <f>IF($B268&lt;&gt;"",_xlfn.IFNA(VLOOKUP($B268,'Node Details'!$B:$U,C$1,0),"Check"),"")</f>
        <v>0000AXY05-AXY050107</v>
      </c>
      <c r="D268" s="102" t="str">
        <f>IF($B268&lt;&gt;"",_xlfn.IFNA(VLOOKUP($B268,'Node Details'!$B:$U,D$1,0),"Check"),"")</f>
        <v>AXY</v>
      </c>
      <c r="E268" s="102" t="str">
        <f>IF($B268&lt;&gt;"",_xlfn.IFNA(VLOOKUP($B268,'Node Details'!$B:$U,E$1,0),"Check"),"")</f>
        <v>Airtel</v>
      </c>
      <c r="F268" s="103">
        <v>46113</v>
      </c>
      <c r="G268" s="105"/>
      <c r="H268" s="104" t="s">
        <v>184</v>
      </c>
      <c r="I268" s="9">
        <v>1</v>
      </c>
      <c r="J268" s="9">
        <v>48</v>
      </c>
      <c r="K268" s="102">
        <f t="shared" si="44"/>
        <v>48</v>
      </c>
      <c r="L268" s="80">
        <v>46112</v>
      </c>
      <c r="M268" s="105"/>
      <c r="N268" s="95" t="s">
        <v>372</v>
      </c>
      <c r="O268" s="96"/>
      <c r="P268" s="106">
        <f t="shared" si="39"/>
        <v>48</v>
      </c>
      <c r="Q268" s="106">
        <f t="shared" si="40"/>
        <v>48</v>
      </c>
      <c r="R268" s="106"/>
      <c r="S268" s="95" t="s">
        <v>185</v>
      </c>
      <c r="T268" s="96"/>
      <c r="U268" s="106">
        <f t="shared" si="41"/>
        <v>48</v>
      </c>
      <c r="V268" s="106">
        <f t="shared" si="42"/>
        <v>1</v>
      </c>
      <c r="W268" s="105">
        <f t="shared" si="43"/>
        <v>48</v>
      </c>
      <c r="X268" s="95" t="s">
        <v>186</v>
      </c>
      <c r="Y268" s="107" t="s">
        <v>181</v>
      </c>
      <c r="Z268" s="107" t="s">
        <v>176</v>
      </c>
    </row>
    <row r="269" spans="1:26" s="107" customFormat="1" ht="15" customHeight="1" x14ac:dyDescent="0.2">
      <c r="A269" s="101">
        <f t="shared" si="45"/>
        <v>267</v>
      </c>
      <c r="B269" s="77" t="s">
        <v>257</v>
      </c>
      <c r="C269" s="102" t="str">
        <f>IF($B269&lt;&gt;"",_xlfn.IFNA(VLOOKUP($B269,'Node Details'!$B:$U,C$1,0),"Check"),"")</f>
        <v>0000AXY05-AXY050107</v>
      </c>
      <c r="D269" s="102" t="str">
        <f>IF($B269&lt;&gt;"",_xlfn.IFNA(VLOOKUP($B269,'Node Details'!$B:$U,D$1,0),"Check"),"")</f>
        <v>AXY</v>
      </c>
      <c r="E269" s="102" t="str">
        <f>IF($B269&lt;&gt;"",_xlfn.IFNA(VLOOKUP($B269,'Node Details'!$B:$U,E$1,0),"Check"),"")</f>
        <v>Airtel</v>
      </c>
      <c r="F269" s="103">
        <v>46113</v>
      </c>
      <c r="G269" s="105"/>
      <c r="H269" s="104" t="s">
        <v>184</v>
      </c>
      <c r="I269" s="9">
        <v>1</v>
      </c>
      <c r="J269" s="9">
        <v>48</v>
      </c>
      <c r="K269" s="102">
        <f t="shared" si="44"/>
        <v>48</v>
      </c>
      <c r="L269" s="80">
        <v>46112</v>
      </c>
      <c r="M269" s="105"/>
      <c r="N269" s="95" t="s">
        <v>372</v>
      </c>
      <c r="O269" s="96"/>
      <c r="P269" s="106">
        <f t="shared" si="39"/>
        <v>48</v>
      </c>
      <c r="Q269" s="106">
        <f t="shared" si="40"/>
        <v>48</v>
      </c>
      <c r="R269" s="106"/>
      <c r="S269" s="95" t="s">
        <v>185</v>
      </c>
      <c r="T269" s="96"/>
      <c r="U269" s="106">
        <f t="shared" si="41"/>
        <v>48</v>
      </c>
      <c r="V269" s="106">
        <f t="shared" si="42"/>
        <v>1</v>
      </c>
      <c r="W269" s="105">
        <f t="shared" si="43"/>
        <v>48</v>
      </c>
      <c r="X269" s="95" t="s">
        <v>186</v>
      </c>
      <c r="Y269" s="107" t="s">
        <v>181</v>
      </c>
      <c r="Z269" s="107" t="s">
        <v>176</v>
      </c>
    </row>
    <row r="270" spans="1:26" s="107" customFormat="1" ht="15" customHeight="1" x14ac:dyDescent="0.2">
      <c r="A270" s="101">
        <f t="shared" si="45"/>
        <v>268</v>
      </c>
      <c r="B270" s="77" t="s">
        <v>258</v>
      </c>
      <c r="C270" s="102" t="str">
        <f>IF($B270&lt;&gt;"",_xlfn.IFNA(VLOOKUP($B270,'Node Details'!$B:$U,C$1,0),"Check"),"")</f>
        <v>0000AXY05-AXY050107</v>
      </c>
      <c r="D270" s="102" t="str">
        <f>IF($B270&lt;&gt;"",_xlfn.IFNA(VLOOKUP($B270,'Node Details'!$B:$U,D$1,0),"Check"),"")</f>
        <v>AXY</v>
      </c>
      <c r="E270" s="102" t="str">
        <f>IF($B270&lt;&gt;"",_xlfn.IFNA(VLOOKUP($B270,'Node Details'!$B:$U,E$1,0),"Check"),"")</f>
        <v>Airtel</v>
      </c>
      <c r="F270" s="103">
        <v>46113</v>
      </c>
      <c r="G270" s="105"/>
      <c r="H270" s="104" t="s">
        <v>184</v>
      </c>
      <c r="I270" s="9">
        <v>1</v>
      </c>
      <c r="J270" s="9">
        <v>48</v>
      </c>
      <c r="K270" s="102">
        <f t="shared" si="44"/>
        <v>48</v>
      </c>
      <c r="L270" s="80">
        <v>46112</v>
      </c>
      <c r="M270" s="105"/>
      <c r="N270" s="95" t="s">
        <v>372</v>
      </c>
      <c r="O270" s="96"/>
      <c r="P270" s="106">
        <f t="shared" si="39"/>
        <v>48</v>
      </c>
      <c r="Q270" s="106">
        <f t="shared" si="40"/>
        <v>48</v>
      </c>
      <c r="R270" s="106"/>
      <c r="S270" s="95" t="s">
        <v>185</v>
      </c>
      <c r="T270" s="96"/>
      <c r="U270" s="106">
        <f t="shared" si="41"/>
        <v>48</v>
      </c>
      <c r="V270" s="106">
        <f t="shared" si="42"/>
        <v>1</v>
      </c>
      <c r="W270" s="105">
        <f t="shared" si="43"/>
        <v>48</v>
      </c>
      <c r="X270" s="95" t="s">
        <v>186</v>
      </c>
      <c r="Y270" s="107" t="s">
        <v>181</v>
      </c>
      <c r="Z270" s="107" t="s">
        <v>176</v>
      </c>
    </row>
    <row r="271" spans="1:26" s="107" customFormat="1" ht="15" customHeight="1" x14ac:dyDescent="0.2">
      <c r="A271" s="101">
        <f t="shared" si="45"/>
        <v>269</v>
      </c>
      <c r="B271" s="77" t="s">
        <v>259</v>
      </c>
      <c r="C271" s="102" t="str">
        <f>IF($B271&lt;&gt;"",_xlfn.IFNA(VLOOKUP($B271,'Node Details'!$B:$U,C$1,0),"Check"),"")</f>
        <v>AXY050105-AXY050202</v>
      </c>
      <c r="D271" s="102" t="str">
        <f>IF($B271&lt;&gt;"",_xlfn.IFNA(VLOOKUP($B271,'Node Details'!$B:$U,D$1,0),"Check"),"")</f>
        <v>AXY</v>
      </c>
      <c r="E271" s="102" t="str">
        <f>IF($B271&lt;&gt;"",_xlfn.IFNA(VLOOKUP($B271,'Node Details'!$B:$U,E$1,0),"Check"),"")</f>
        <v>Airtel</v>
      </c>
      <c r="F271" s="103">
        <v>46113</v>
      </c>
      <c r="G271" s="105"/>
      <c r="H271" s="104" t="s">
        <v>184</v>
      </c>
      <c r="I271" s="9">
        <v>1</v>
      </c>
      <c r="J271" s="9">
        <v>48</v>
      </c>
      <c r="K271" s="102">
        <f t="shared" si="44"/>
        <v>48</v>
      </c>
      <c r="L271" s="80">
        <v>46112</v>
      </c>
      <c r="M271" s="105"/>
      <c r="N271" s="95" t="s">
        <v>372</v>
      </c>
      <c r="O271" s="96"/>
      <c r="P271" s="106">
        <f t="shared" si="39"/>
        <v>48</v>
      </c>
      <c r="Q271" s="106">
        <f t="shared" si="40"/>
        <v>48</v>
      </c>
      <c r="R271" s="106"/>
      <c r="S271" s="95" t="s">
        <v>185</v>
      </c>
      <c r="T271" s="96"/>
      <c r="U271" s="106">
        <f t="shared" si="41"/>
        <v>48</v>
      </c>
      <c r="V271" s="106">
        <f t="shared" si="42"/>
        <v>1</v>
      </c>
      <c r="W271" s="105">
        <f t="shared" si="43"/>
        <v>48</v>
      </c>
      <c r="X271" s="95" t="s">
        <v>186</v>
      </c>
      <c r="Y271" s="107" t="s">
        <v>181</v>
      </c>
      <c r="Z271" s="107" t="s">
        <v>176</v>
      </c>
    </row>
    <row r="272" spans="1:26" s="107" customFormat="1" ht="15" customHeight="1" x14ac:dyDescent="0.2">
      <c r="A272" s="101">
        <f t="shared" si="45"/>
        <v>270</v>
      </c>
      <c r="B272" s="77" t="s">
        <v>260</v>
      </c>
      <c r="C272" s="102" t="str">
        <f>IF($B272&lt;&gt;"",_xlfn.IFNA(VLOOKUP($B272,'Node Details'!$B:$U,C$1,0),"Check"),"")</f>
        <v>AXY050105-AXY050202</v>
      </c>
      <c r="D272" s="102" t="str">
        <f>IF($B272&lt;&gt;"",_xlfn.IFNA(VLOOKUP($B272,'Node Details'!$B:$U,D$1,0),"Check"),"")</f>
        <v>AXY</v>
      </c>
      <c r="E272" s="102" t="str">
        <f>IF($B272&lt;&gt;"",_xlfn.IFNA(VLOOKUP($B272,'Node Details'!$B:$U,E$1,0),"Check"),"")</f>
        <v>Airtel</v>
      </c>
      <c r="F272" s="103">
        <v>46113</v>
      </c>
      <c r="G272" s="105"/>
      <c r="H272" s="104" t="s">
        <v>184</v>
      </c>
      <c r="I272" s="9">
        <v>1</v>
      </c>
      <c r="J272" s="9">
        <v>48</v>
      </c>
      <c r="K272" s="102">
        <f t="shared" si="44"/>
        <v>48</v>
      </c>
      <c r="L272" s="80">
        <v>46112</v>
      </c>
      <c r="M272" s="105"/>
      <c r="N272" s="95" t="s">
        <v>372</v>
      </c>
      <c r="O272" s="96"/>
      <c r="P272" s="106">
        <f t="shared" si="39"/>
        <v>48</v>
      </c>
      <c r="Q272" s="106">
        <f t="shared" si="40"/>
        <v>48</v>
      </c>
      <c r="R272" s="106"/>
      <c r="S272" s="95" t="s">
        <v>185</v>
      </c>
      <c r="T272" s="96"/>
      <c r="U272" s="106">
        <f t="shared" si="41"/>
        <v>48</v>
      </c>
      <c r="V272" s="106">
        <f t="shared" si="42"/>
        <v>1</v>
      </c>
      <c r="W272" s="105">
        <f t="shared" si="43"/>
        <v>48</v>
      </c>
      <c r="X272" s="95" t="s">
        <v>186</v>
      </c>
      <c r="Y272" s="107" t="s">
        <v>181</v>
      </c>
      <c r="Z272" s="107" t="s">
        <v>176</v>
      </c>
    </row>
    <row r="273" spans="1:26" s="107" customFormat="1" ht="15" customHeight="1" x14ac:dyDescent="0.2">
      <c r="A273" s="101">
        <f t="shared" si="45"/>
        <v>271</v>
      </c>
      <c r="B273" s="77" t="s">
        <v>261</v>
      </c>
      <c r="C273" s="102" t="str">
        <f>IF($B273&lt;&gt;"",_xlfn.IFNA(VLOOKUP($B273,'Node Details'!$B:$U,C$1,0),"Check"),"")</f>
        <v>AXY050105-AXY050202</v>
      </c>
      <c r="D273" s="102" t="str">
        <f>IF($B273&lt;&gt;"",_xlfn.IFNA(VLOOKUP($B273,'Node Details'!$B:$U,D$1,0),"Check"),"")</f>
        <v>AXY</v>
      </c>
      <c r="E273" s="102" t="str">
        <f>IF($B273&lt;&gt;"",_xlfn.IFNA(VLOOKUP($B273,'Node Details'!$B:$U,E$1,0),"Check"),"")</f>
        <v>Airtel</v>
      </c>
      <c r="F273" s="103">
        <v>46113</v>
      </c>
      <c r="G273" s="105"/>
      <c r="H273" s="104" t="s">
        <v>184</v>
      </c>
      <c r="I273" s="9">
        <v>1</v>
      </c>
      <c r="J273" s="9">
        <v>48</v>
      </c>
      <c r="K273" s="102">
        <f t="shared" si="44"/>
        <v>48</v>
      </c>
      <c r="L273" s="80">
        <v>46112</v>
      </c>
      <c r="M273" s="105"/>
      <c r="N273" s="95" t="s">
        <v>372</v>
      </c>
      <c r="O273" s="96"/>
      <c r="P273" s="106">
        <f t="shared" si="39"/>
        <v>48</v>
      </c>
      <c r="Q273" s="106">
        <f t="shared" si="40"/>
        <v>48</v>
      </c>
      <c r="R273" s="106"/>
      <c r="S273" s="95" t="s">
        <v>185</v>
      </c>
      <c r="T273" s="96"/>
      <c r="U273" s="106">
        <f t="shared" si="41"/>
        <v>48</v>
      </c>
      <c r="V273" s="106">
        <f t="shared" si="42"/>
        <v>1</v>
      </c>
      <c r="W273" s="105">
        <f t="shared" si="43"/>
        <v>48</v>
      </c>
      <c r="X273" s="95" t="s">
        <v>186</v>
      </c>
      <c r="Y273" s="107" t="s">
        <v>181</v>
      </c>
      <c r="Z273" s="107" t="s">
        <v>176</v>
      </c>
    </row>
    <row r="274" spans="1:26" s="107" customFormat="1" ht="15" customHeight="1" x14ac:dyDescent="0.2">
      <c r="A274" s="101">
        <f t="shared" si="45"/>
        <v>272</v>
      </c>
      <c r="B274" s="77" t="s">
        <v>262</v>
      </c>
      <c r="C274" s="102" t="str">
        <f>IF($B274&lt;&gt;"",_xlfn.IFNA(VLOOKUP($B274,'Node Details'!$B:$U,C$1,0),"Check"),"")</f>
        <v>000000AXY-0000AXY12</v>
      </c>
      <c r="D274" s="102" t="str">
        <f>IF($B274&lt;&gt;"",_xlfn.IFNA(VLOOKUP($B274,'Node Details'!$B:$U,D$1,0),"Check"),"")</f>
        <v>AXY</v>
      </c>
      <c r="E274" s="102" t="str">
        <f>IF($B274&lt;&gt;"",_xlfn.IFNA(VLOOKUP($B274,'Node Details'!$B:$U,E$1,0),"Check"),"")</f>
        <v>Airtel</v>
      </c>
      <c r="F274" s="103">
        <v>46113</v>
      </c>
      <c r="G274" s="105"/>
      <c r="H274" s="104" t="s">
        <v>184</v>
      </c>
      <c r="I274" s="9">
        <v>1</v>
      </c>
      <c r="J274" s="9">
        <v>48</v>
      </c>
      <c r="K274" s="102">
        <f t="shared" si="44"/>
        <v>48</v>
      </c>
      <c r="L274" s="80">
        <v>46112</v>
      </c>
      <c r="M274" s="105"/>
      <c r="N274" s="95" t="s">
        <v>372</v>
      </c>
      <c r="O274" s="96"/>
      <c r="P274" s="106">
        <f t="shared" si="39"/>
        <v>48</v>
      </c>
      <c r="Q274" s="106">
        <f t="shared" si="40"/>
        <v>48</v>
      </c>
      <c r="R274" s="106"/>
      <c r="S274" s="95" t="s">
        <v>185</v>
      </c>
      <c r="T274" s="96"/>
      <c r="U274" s="106">
        <f t="shared" si="41"/>
        <v>48</v>
      </c>
      <c r="V274" s="106">
        <f t="shared" si="42"/>
        <v>1</v>
      </c>
      <c r="W274" s="105">
        <f t="shared" si="43"/>
        <v>48</v>
      </c>
      <c r="X274" s="95" t="s">
        <v>186</v>
      </c>
      <c r="Y274" s="107" t="s">
        <v>181</v>
      </c>
      <c r="Z274" s="107" t="s">
        <v>176</v>
      </c>
    </row>
    <row r="275" spans="1:26" s="107" customFormat="1" ht="15" customHeight="1" x14ac:dyDescent="0.2">
      <c r="A275" s="101">
        <f t="shared" si="45"/>
        <v>273</v>
      </c>
      <c r="B275" s="77" t="s">
        <v>263</v>
      </c>
      <c r="C275" s="102" t="str">
        <f>IF($B275&lt;&gt;"",_xlfn.IFNA(VLOOKUP($B275,'Node Details'!$B:$U,C$1,0),"Check"),"")</f>
        <v>0000AXY06-AXY060102</v>
      </c>
      <c r="D275" s="102" t="str">
        <f>IF($B275&lt;&gt;"",_xlfn.IFNA(VLOOKUP($B275,'Node Details'!$B:$U,D$1,0),"Check"),"")</f>
        <v>AXY</v>
      </c>
      <c r="E275" s="102" t="str">
        <f>IF($B275&lt;&gt;"",_xlfn.IFNA(VLOOKUP($B275,'Node Details'!$B:$U,E$1,0),"Check"),"")</f>
        <v>Airtel</v>
      </c>
      <c r="F275" s="103">
        <v>46113</v>
      </c>
      <c r="G275" s="105"/>
      <c r="H275" s="104" t="s">
        <v>184</v>
      </c>
      <c r="I275" s="9">
        <v>1</v>
      </c>
      <c r="J275" s="9">
        <v>48</v>
      </c>
      <c r="K275" s="102">
        <f t="shared" si="44"/>
        <v>48</v>
      </c>
      <c r="L275" s="80">
        <v>46112</v>
      </c>
      <c r="M275" s="105"/>
      <c r="N275" s="95" t="s">
        <v>372</v>
      </c>
      <c r="O275" s="96"/>
      <c r="P275" s="106">
        <f t="shared" si="39"/>
        <v>48</v>
      </c>
      <c r="Q275" s="106">
        <f t="shared" si="40"/>
        <v>48</v>
      </c>
      <c r="R275" s="106"/>
      <c r="S275" s="95" t="s">
        <v>185</v>
      </c>
      <c r="T275" s="96"/>
      <c r="U275" s="106">
        <f t="shared" si="41"/>
        <v>48</v>
      </c>
      <c r="V275" s="106">
        <f t="shared" si="42"/>
        <v>1</v>
      </c>
      <c r="W275" s="105">
        <f t="shared" si="43"/>
        <v>48</v>
      </c>
      <c r="X275" s="95" t="s">
        <v>186</v>
      </c>
      <c r="Y275" s="107" t="s">
        <v>181</v>
      </c>
      <c r="Z275" s="107" t="s">
        <v>176</v>
      </c>
    </row>
    <row r="276" spans="1:26" s="107" customFormat="1" ht="15" customHeight="1" x14ac:dyDescent="0.2">
      <c r="A276" s="101">
        <f t="shared" si="45"/>
        <v>274</v>
      </c>
      <c r="B276" s="77" t="s">
        <v>264</v>
      </c>
      <c r="C276" s="102" t="str">
        <f>IF($B276&lt;&gt;"",_xlfn.IFNA(VLOOKUP($B276,'Node Details'!$B:$U,C$1,0),"Check"),"")</f>
        <v>0000AXY06-AXY060102</v>
      </c>
      <c r="D276" s="102" t="str">
        <f>IF($B276&lt;&gt;"",_xlfn.IFNA(VLOOKUP($B276,'Node Details'!$B:$U,D$1,0),"Check"),"")</f>
        <v>AXY</v>
      </c>
      <c r="E276" s="102" t="str">
        <f>IF($B276&lt;&gt;"",_xlfn.IFNA(VLOOKUP($B276,'Node Details'!$B:$U,E$1,0),"Check"),"")</f>
        <v>Airtel</v>
      </c>
      <c r="F276" s="103">
        <v>46113</v>
      </c>
      <c r="G276" s="105"/>
      <c r="H276" s="104" t="s">
        <v>184</v>
      </c>
      <c r="I276" s="9">
        <v>1</v>
      </c>
      <c r="J276" s="9">
        <v>48</v>
      </c>
      <c r="K276" s="102">
        <f t="shared" si="44"/>
        <v>48</v>
      </c>
      <c r="L276" s="80">
        <v>46112</v>
      </c>
      <c r="M276" s="105"/>
      <c r="N276" s="95" t="s">
        <v>372</v>
      </c>
      <c r="O276" s="96"/>
      <c r="P276" s="106">
        <f t="shared" si="39"/>
        <v>48</v>
      </c>
      <c r="Q276" s="106">
        <f t="shared" si="40"/>
        <v>48</v>
      </c>
      <c r="R276" s="106"/>
      <c r="S276" s="95" t="s">
        <v>185</v>
      </c>
      <c r="T276" s="96"/>
      <c r="U276" s="106">
        <f t="shared" si="41"/>
        <v>48</v>
      </c>
      <c r="V276" s="106">
        <f t="shared" si="42"/>
        <v>1</v>
      </c>
      <c r="W276" s="105">
        <f t="shared" si="43"/>
        <v>48</v>
      </c>
      <c r="X276" s="95" t="s">
        <v>186</v>
      </c>
      <c r="Y276" s="107" t="s">
        <v>181</v>
      </c>
      <c r="Z276" s="107" t="s">
        <v>176</v>
      </c>
    </row>
    <row r="277" spans="1:26" s="107" customFormat="1" ht="15" customHeight="1" x14ac:dyDescent="0.2">
      <c r="A277" s="101">
        <f t="shared" si="45"/>
        <v>275</v>
      </c>
      <c r="B277" s="77" t="s">
        <v>265</v>
      </c>
      <c r="C277" s="102" t="str">
        <f>IF($B277&lt;&gt;"",_xlfn.IFNA(VLOOKUP($B277,'Node Details'!$B:$U,C$1,0),"Check"),"")</f>
        <v>0000AXY06-AXY060105</v>
      </c>
      <c r="D277" s="102" t="str">
        <f>IF($B277&lt;&gt;"",_xlfn.IFNA(VLOOKUP($B277,'Node Details'!$B:$U,D$1,0),"Check"),"")</f>
        <v>AXY</v>
      </c>
      <c r="E277" s="102" t="str">
        <f>IF($B277&lt;&gt;"",_xlfn.IFNA(VLOOKUP($B277,'Node Details'!$B:$U,E$1,0),"Check"),"")</f>
        <v>Airtel</v>
      </c>
      <c r="F277" s="103">
        <v>46113</v>
      </c>
      <c r="G277" s="105"/>
      <c r="H277" s="104" t="s">
        <v>184</v>
      </c>
      <c r="I277" s="9">
        <v>1</v>
      </c>
      <c r="J277" s="9">
        <v>48</v>
      </c>
      <c r="K277" s="102">
        <f t="shared" si="44"/>
        <v>48</v>
      </c>
      <c r="L277" s="80">
        <v>46112</v>
      </c>
      <c r="M277" s="105"/>
      <c r="N277" s="95" t="s">
        <v>372</v>
      </c>
      <c r="O277" s="96"/>
      <c r="P277" s="106">
        <f t="shared" si="39"/>
        <v>48</v>
      </c>
      <c r="Q277" s="106">
        <f t="shared" si="40"/>
        <v>48</v>
      </c>
      <c r="R277" s="106"/>
      <c r="S277" s="95" t="s">
        <v>185</v>
      </c>
      <c r="T277" s="96"/>
      <c r="U277" s="106">
        <f t="shared" si="41"/>
        <v>48</v>
      </c>
      <c r="V277" s="106">
        <f t="shared" si="42"/>
        <v>1</v>
      </c>
      <c r="W277" s="105">
        <f t="shared" si="43"/>
        <v>48</v>
      </c>
      <c r="X277" s="95" t="s">
        <v>186</v>
      </c>
      <c r="Y277" s="107" t="s">
        <v>181</v>
      </c>
      <c r="Z277" s="107" t="s">
        <v>176</v>
      </c>
    </row>
    <row r="278" spans="1:26" s="107" customFormat="1" ht="15" customHeight="1" x14ac:dyDescent="0.2">
      <c r="A278" s="101">
        <f t="shared" si="45"/>
        <v>276</v>
      </c>
      <c r="B278" s="77" t="s">
        <v>266</v>
      </c>
      <c r="C278" s="102" t="str">
        <f>IF($B278&lt;&gt;"",_xlfn.IFNA(VLOOKUP($B278,'Node Details'!$B:$U,C$1,0),"Check"),"")</f>
        <v>0000AXY06-AXY060105</v>
      </c>
      <c r="D278" s="102" t="str">
        <f>IF($B278&lt;&gt;"",_xlfn.IFNA(VLOOKUP($B278,'Node Details'!$B:$U,D$1,0),"Check"),"")</f>
        <v>AXY</v>
      </c>
      <c r="E278" s="102" t="str">
        <f>IF($B278&lt;&gt;"",_xlfn.IFNA(VLOOKUP($B278,'Node Details'!$B:$U,E$1,0),"Check"),"")</f>
        <v>Airtel</v>
      </c>
      <c r="F278" s="103">
        <v>46113</v>
      </c>
      <c r="G278" s="105"/>
      <c r="H278" s="104" t="s">
        <v>184</v>
      </c>
      <c r="I278" s="9">
        <v>1</v>
      </c>
      <c r="J278" s="9">
        <v>48</v>
      </c>
      <c r="K278" s="102">
        <f t="shared" si="44"/>
        <v>48</v>
      </c>
      <c r="L278" s="80">
        <v>46112</v>
      </c>
      <c r="M278" s="105"/>
      <c r="N278" s="95" t="s">
        <v>372</v>
      </c>
      <c r="O278" s="96"/>
      <c r="P278" s="106">
        <f t="shared" si="39"/>
        <v>48</v>
      </c>
      <c r="Q278" s="106">
        <f t="shared" si="40"/>
        <v>48</v>
      </c>
      <c r="R278" s="106"/>
      <c r="S278" s="95" t="s">
        <v>185</v>
      </c>
      <c r="T278" s="96"/>
      <c r="U278" s="106">
        <f t="shared" si="41"/>
        <v>48</v>
      </c>
      <c r="V278" s="106">
        <f t="shared" si="42"/>
        <v>1</v>
      </c>
      <c r="W278" s="105">
        <f t="shared" si="43"/>
        <v>48</v>
      </c>
      <c r="X278" s="95" t="s">
        <v>186</v>
      </c>
      <c r="Y278" s="107" t="s">
        <v>181</v>
      </c>
      <c r="Z278" s="107" t="s">
        <v>176</v>
      </c>
    </row>
    <row r="279" spans="1:26" s="107" customFormat="1" ht="15" customHeight="1" x14ac:dyDescent="0.2">
      <c r="A279" s="101">
        <f t="shared" si="45"/>
        <v>277</v>
      </c>
      <c r="B279" s="77" t="s">
        <v>267</v>
      </c>
      <c r="C279" s="102" t="str">
        <f>IF($B279&lt;&gt;"",_xlfn.IFNA(VLOOKUP($B279,'Node Details'!$B:$U,C$1,0),"Check"),"")</f>
        <v>0000AXY06-AXY060105</v>
      </c>
      <c r="D279" s="102" t="str">
        <f>IF($B279&lt;&gt;"",_xlfn.IFNA(VLOOKUP($B279,'Node Details'!$B:$U,D$1,0),"Check"),"")</f>
        <v>AXY</v>
      </c>
      <c r="E279" s="102" t="str">
        <f>IF($B279&lt;&gt;"",_xlfn.IFNA(VLOOKUP($B279,'Node Details'!$B:$U,E$1,0),"Check"),"")</f>
        <v>Airtel</v>
      </c>
      <c r="F279" s="103">
        <v>46113</v>
      </c>
      <c r="G279" s="105"/>
      <c r="H279" s="104" t="s">
        <v>184</v>
      </c>
      <c r="I279" s="9">
        <v>1</v>
      </c>
      <c r="J279" s="9">
        <v>48</v>
      </c>
      <c r="K279" s="102">
        <f t="shared" si="44"/>
        <v>48</v>
      </c>
      <c r="L279" s="80">
        <v>46112</v>
      </c>
      <c r="M279" s="105"/>
      <c r="N279" s="95" t="s">
        <v>372</v>
      </c>
      <c r="O279" s="96"/>
      <c r="P279" s="106">
        <f t="shared" si="39"/>
        <v>48</v>
      </c>
      <c r="Q279" s="106">
        <f t="shared" si="40"/>
        <v>48</v>
      </c>
      <c r="R279" s="106"/>
      <c r="S279" s="95" t="s">
        <v>185</v>
      </c>
      <c r="T279" s="96"/>
      <c r="U279" s="106">
        <f t="shared" si="41"/>
        <v>48</v>
      </c>
      <c r="V279" s="106">
        <f t="shared" si="42"/>
        <v>1</v>
      </c>
      <c r="W279" s="105">
        <f t="shared" si="43"/>
        <v>48</v>
      </c>
      <c r="X279" s="95" t="s">
        <v>186</v>
      </c>
      <c r="Y279" s="107" t="s">
        <v>181</v>
      </c>
      <c r="Z279" s="107" t="s">
        <v>176</v>
      </c>
    </row>
    <row r="280" spans="1:26" s="107" customFormat="1" ht="15" customHeight="1" x14ac:dyDescent="0.2">
      <c r="A280" s="101">
        <f t="shared" si="45"/>
        <v>278</v>
      </c>
      <c r="B280" s="77" t="s">
        <v>268</v>
      </c>
      <c r="C280" s="102" t="str">
        <f>IF($B280&lt;&gt;"",_xlfn.IFNA(VLOOKUP($B280,'Node Details'!$B:$U,C$1,0),"Check"),"")</f>
        <v>0000AXY06-AXY060201</v>
      </c>
      <c r="D280" s="102" t="str">
        <f>IF($B280&lt;&gt;"",_xlfn.IFNA(VLOOKUP($B280,'Node Details'!$B:$U,D$1,0),"Check"),"")</f>
        <v>AXY</v>
      </c>
      <c r="E280" s="102" t="str">
        <f>IF($B280&lt;&gt;"",_xlfn.IFNA(VLOOKUP($B280,'Node Details'!$B:$U,E$1,0),"Check"),"")</f>
        <v>Airtel</v>
      </c>
      <c r="F280" s="103">
        <v>46113</v>
      </c>
      <c r="G280" s="105"/>
      <c r="H280" s="104" t="s">
        <v>184</v>
      </c>
      <c r="I280" s="9">
        <v>1</v>
      </c>
      <c r="J280" s="9">
        <v>48</v>
      </c>
      <c r="K280" s="102">
        <f t="shared" si="44"/>
        <v>48</v>
      </c>
      <c r="L280" s="80">
        <v>46112</v>
      </c>
      <c r="M280" s="105"/>
      <c r="N280" s="95" t="s">
        <v>372</v>
      </c>
      <c r="O280" s="96"/>
      <c r="P280" s="106">
        <f t="shared" si="39"/>
        <v>48</v>
      </c>
      <c r="Q280" s="106">
        <f t="shared" si="40"/>
        <v>48</v>
      </c>
      <c r="R280" s="106"/>
      <c r="S280" s="95" t="s">
        <v>185</v>
      </c>
      <c r="T280" s="96"/>
      <c r="U280" s="106">
        <f t="shared" si="41"/>
        <v>48</v>
      </c>
      <c r="V280" s="106">
        <f t="shared" si="42"/>
        <v>1</v>
      </c>
      <c r="W280" s="105">
        <f t="shared" si="43"/>
        <v>48</v>
      </c>
      <c r="X280" s="95" t="s">
        <v>186</v>
      </c>
      <c r="Y280" s="107" t="s">
        <v>181</v>
      </c>
      <c r="Z280" s="107" t="s">
        <v>176</v>
      </c>
    </row>
    <row r="281" spans="1:26" s="107" customFormat="1" ht="15" customHeight="1" x14ac:dyDescent="0.2">
      <c r="A281" s="101">
        <f t="shared" si="45"/>
        <v>279</v>
      </c>
      <c r="B281" s="77" t="s">
        <v>269</v>
      </c>
      <c r="C281" s="102" t="str">
        <f>IF($B281&lt;&gt;"",_xlfn.IFNA(VLOOKUP($B281,'Node Details'!$B:$U,C$1,0),"Check"),"")</f>
        <v>0000AXY06-AXY060201</v>
      </c>
      <c r="D281" s="102" t="str">
        <f>IF($B281&lt;&gt;"",_xlfn.IFNA(VLOOKUP($B281,'Node Details'!$B:$U,D$1,0),"Check"),"")</f>
        <v>AXY</v>
      </c>
      <c r="E281" s="102" t="str">
        <f>IF($B281&lt;&gt;"",_xlfn.IFNA(VLOOKUP($B281,'Node Details'!$B:$U,E$1,0),"Check"),"")</f>
        <v>Airtel</v>
      </c>
      <c r="F281" s="103">
        <v>46113</v>
      </c>
      <c r="G281" s="105"/>
      <c r="H281" s="104" t="s">
        <v>184</v>
      </c>
      <c r="I281" s="9">
        <v>1</v>
      </c>
      <c r="J281" s="9">
        <v>48</v>
      </c>
      <c r="K281" s="102">
        <f t="shared" si="44"/>
        <v>48</v>
      </c>
      <c r="L281" s="80">
        <v>46112</v>
      </c>
      <c r="M281" s="105"/>
      <c r="N281" s="95" t="s">
        <v>372</v>
      </c>
      <c r="O281" s="96"/>
      <c r="P281" s="106">
        <f t="shared" si="39"/>
        <v>48</v>
      </c>
      <c r="Q281" s="106">
        <f t="shared" si="40"/>
        <v>48</v>
      </c>
      <c r="R281" s="106"/>
      <c r="S281" s="95" t="s">
        <v>185</v>
      </c>
      <c r="T281" s="96"/>
      <c r="U281" s="106">
        <f t="shared" si="41"/>
        <v>48</v>
      </c>
      <c r="V281" s="106">
        <f t="shared" si="42"/>
        <v>1</v>
      </c>
      <c r="W281" s="105">
        <f t="shared" si="43"/>
        <v>48</v>
      </c>
      <c r="X281" s="95" t="s">
        <v>186</v>
      </c>
      <c r="Y281" s="107" t="s">
        <v>181</v>
      </c>
      <c r="Z281" s="107" t="s">
        <v>176</v>
      </c>
    </row>
    <row r="282" spans="1:26" s="107" customFormat="1" ht="15" customHeight="1" x14ac:dyDescent="0.2">
      <c r="A282" s="101">
        <f t="shared" si="45"/>
        <v>280</v>
      </c>
      <c r="B282" s="77" t="s">
        <v>270</v>
      </c>
      <c r="C282" s="102" t="str">
        <f>IF($B282&lt;&gt;"",_xlfn.IFNA(VLOOKUP($B282,'Node Details'!$B:$U,C$1,0),"Check"),"")</f>
        <v>0000AXY06-AXY060201</v>
      </c>
      <c r="D282" s="102" t="str">
        <f>IF($B282&lt;&gt;"",_xlfn.IFNA(VLOOKUP($B282,'Node Details'!$B:$U,D$1,0),"Check"),"")</f>
        <v>AXY</v>
      </c>
      <c r="E282" s="102" t="str">
        <f>IF($B282&lt;&gt;"",_xlfn.IFNA(VLOOKUP($B282,'Node Details'!$B:$U,E$1,0),"Check"),"")</f>
        <v>Airtel</v>
      </c>
      <c r="F282" s="103">
        <v>46113</v>
      </c>
      <c r="G282" s="105"/>
      <c r="H282" s="104" t="s">
        <v>184</v>
      </c>
      <c r="I282" s="9">
        <v>1</v>
      </c>
      <c r="J282" s="9">
        <v>48</v>
      </c>
      <c r="K282" s="102">
        <f t="shared" si="44"/>
        <v>48</v>
      </c>
      <c r="L282" s="80">
        <v>46112</v>
      </c>
      <c r="M282" s="105"/>
      <c r="N282" s="95" t="s">
        <v>372</v>
      </c>
      <c r="O282" s="96"/>
      <c r="P282" s="106">
        <f t="shared" si="39"/>
        <v>48</v>
      </c>
      <c r="Q282" s="106">
        <f t="shared" si="40"/>
        <v>48</v>
      </c>
      <c r="R282" s="106"/>
      <c r="S282" s="95" t="s">
        <v>185</v>
      </c>
      <c r="T282" s="96"/>
      <c r="U282" s="106">
        <f t="shared" si="41"/>
        <v>48</v>
      </c>
      <c r="V282" s="106">
        <f t="shared" si="42"/>
        <v>1</v>
      </c>
      <c r="W282" s="105">
        <f t="shared" si="43"/>
        <v>48</v>
      </c>
      <c r="X282" s="95" t="s">
        <v>186</v>
      </c>
      <c r="Y282" s="107" t="s">
        <v>181</v>
      </c>
      <c r="Z282" s="107" t="s">
        <v>176</v>
      </c>
    </row>
    <row r="283" spans="1:26" s="107" customFormat="1" ht="15" customHeight="1" x14ac:dyDescent="0.2">
      <c r="A283" s="101">
        <f t="shared" si="45"/>
        <v>281</v>
      </c>
      <c r="B283" s="77" t="s">
        <v>271</v>
      </c>
      <c r="C283" s="102" t="str">
        <f>IF($B283&lt;&gt;"",_xlfn.IFNA(VLOOKUP($B283,'Node Details'!$B:$U,C$1,0),"Check"),"")</f>
        <v>0000AXY06-AXY060201</v>
      </c>
      <c r="D283" s="102" t="str">
        <f>IF($B283&lt;&gt;"",_xlfn.IFNA(VLOOKUP($B283,'Node Details'!$B:$U,D$1,0),"Check"),"")</f>
        <v>AXY</v>
      </c>
      <c r="E283" s="102" t="str">
        <f>IF($B283&lt;&gt;"",_xlfn.IFNA(VLOOKUP($B283,'Node Details'!$B:$U,E$1,0),"Check"),"")</f>
        <v>Airtel</v>
      </c>
      <c r="F283" s="103">
        <v>46113</v>
      </c>
      <c r="G283" s="105"/>
      <c r="H283" s="104" t="s">
        <v>184</v>
      </c>
      <c r="I283" s="9">
        <v>1</v>
      </c>
      <c r="J283" s="9">
        <v>48</v>
      </c>
      <c r="K283" s="102">
        <f t="shared" si="44"/>
        <v>48</v>
      </c>
      <c r="L283" s="80">
        <v>46112</v>
      </c>
      <c r="M283" s="105"/>
      <c r="N283" s="95" t="s">
        <v>372</v>
      </c>
      <c r="O283" s="96"/>
      <c r="P283" s="106">
        <f t="shared" si="39"/>
        <v>48</v>
      </c>
      <c r="Q283" s="106">
        <f t="shared" si="40"/>
        <v>48</v>
      </c>
      <c r="R283" s="106"/>
      <c r="S283" s="95" t="s">
        <v>185</v>
      </c>
      <c r="T283" s="96"/>
      <c r="U283" s="106">
        <f t="shared" si="41"/>
        <v>48</v>
      </c>
      <c r="V283" s="106">
        <f t="shared" si="42"/>
        <v>1</v>
      </c>
      <c r="W283" s="105">
        <f t="shared" si="43"/>
        <v>48</v>
      </c>
      <c r="X283" s="95" t="s">
        <v>186</v>
      </c>
      <c r="Y283" s="107" t="s">
        <v>181</v>
      </c>
      <c r="Z283" s="107" t="s">
        <v>176</v>
      </c>
    </row>
    <row r="284" spans="1:26" s="107" customFormat="1" ht="15" customHeight="1" x14ac:dyDescent="0.2">
      <c r="A284" s="101">
        <f t="shared" si="45"/>
        <v>282</v>
      </c>
      <c r="B284" s="77" t="s">
        <v>272</v>
      </c>
      <c r="C284" s="102" t="str">
        <f>IF($B284&lt;&gt;"",_xlfn.IFNA(VLOOKUP($B284,'Node Details'!$B:$U,C$1,0),"Check"),"")</f>
        <v>000000AXY-0000AXY12</v>
      </c>
      <c r="D284" s="102" t="str">
        <f>IF($B284&lt;&gt;"",_xlfn.IFNA(VLOOKUP($B284,'Node Details'!$B:$U,D$1,0),"Check"),"")</f>
        <v>AXY</v>
      </c>
      <c r="E284" s="102" t="str">
        <f>IF($B284&lt;&gt;"",_xlfn.IFNA(VLOOKUP($B284,'Node Details'!$B:$U,E$1,0),"Check"),"")</f>
        <v>Airtel</v>
      </c>
      <c r="F284" s="103">
        <v>46113</v>
      </c>
      <c r="G284" s="105"/>
      <c r="H284" s="104" t="s">
        <v>184</v>
      </c>
      <c r="I284" s="9">
        <v>1</v>
      </c>
      <c r="J284" s="9">
        <v>48</v>
      </c>
      <c r="K284" s="102">
        <f t="shared" si="44"/>
        <v>48</v>
      </c>
      <c r="L284" s="80">
        <v>46112</v>
      </c>
      <c r="M284" s="105"/>
      <c r="N284" s="95" t="s">
        <v>372</v>
      </c>
      <c r="O284" s="96"/>
      <c r="P284" s="106">
        <f t="shared" si="39"/>
        <v>48</v>
      </c>
      <c r="Q284" s="106">
        <f t="shared" si="40"/>
        <v>48</v>
      </c>
      <c r="R284" s="106"/>
      <c r="S284" s="95" t="s">
        <v>185</v>
      </c>
      <c r="T284" s="96"/>
      <c r="U284" s="106">
        <f t="shared" si="41"/>
        <v>48</v>
      </c>
      <c r="V284" s="106">
        <f t="shared" si="42"/>
        <v>1</v>
      </c>
      <c r="W284" s="105">
        <f t="shared" si="43"/>
        <v>48</v>
      </c>
      <c r="X284" s="95" t="s">
        <v>186</v>
      </c>
      <c r="Y284" s="107" t="s">
        <v>181</v>
      </c>
      <c r="Z284" s="107" t="s">
        <v>176</v>
      </c>
    </row>
    <row r="285" spans="1:26" s="107" customFormat="1" ht="15" customHeight="1" x14ac:dyDescent="0.2">
      <c r="A285" s="101">
        <f t="shared" si="45"/>
        <v>283</v>
      </c>
      <c r="B285" s="77" t="s">
        <v>273</v>
      </c>
      <c r="C285" s="102" t="str">
        <f>IF($B285&lt;&gt;"",_xlfn.IFNA(VLOOKUP($B285,'Node Details'!$B:$U,C$1,0),"Check"),"")</f>
        <v>0000AXY07-AXY070101</v>
      </c>
      <c r="D285" s="102" t="str">
        <f>IF($B285&lt;&gt;"",_xlfn.IFNA(VLOOKUP($B285,'Node Details'!$B:$U,D$1,0),"Check"),"")</f>
        <v>AXY</v>
      </c>
      <c r="E285" s="102" t="str">
        <f>IF($B285&lt;&gt;"",_xlfn.IFNA(VLOOKUP($B285,'Node Details'!$B:$U,E$1,0),"Check"),"")</f>
        <v>Airtel</v>
      </c>
      <c r="F285" s="103">
        <v>46113</v>
      </c>
      <c r="G285" s="105"/>
      <c r="H285" s="104" t="s">
        <v>184</v>
      </c>
      <c r="I285" s="9">
        <v>1</v>
      </c>
      <c r="J285" s="9">
        <v>48</v>
      </c>
      <c r="K285" s="102">
        <f t="shared" si="44"/>
        <v>48</v>
      </c>
      <c r="L285" s="80">
        <v>46112</v>
      </c>
      <c r="M285" s="105"/>
      <c r="N285" s="95" t="s">
        <v>372</v>
      </c>
      <c r="O285" s="96"/>
      <c r="P285" s="106">
        <f t="shared" ref="P285:P348" si="46">J285</f>
        <v>48</v>
      </c>
      <c r="Q285" s="106">
        <f t="shared" ref="Q285:Q348" si="47">P285*I285</f>
        <v>48</v>
      </c>
      <c r="R285" s="106"/>
      <c r="S285" s="95" t="s">
        <v>185</v>
      </c>
      <c r="T285" s="96"/>
      <c r="U285" s="106">
        <f t="shared" ref="U285:U348" si="48">J285</f>
        <v>48</v>
      </c>
      <c r="V285" s="106">
        <f t="shared" ref="V285:V348" si="49">I285</f>
        <v>1</v>
      </c>
      <c r="W285" s="105">
        <f t="shared" ref="W285:W348" si="50">IF(V285&lt;&gt;"",V285*U285,0)</f>
        <v>48</v>
      </c>
      <c r="X285" s="95" t="s">
        <v>186</v>
      </c>
      <c r="Y285" s="107" t="s">
        <v>181</v>
      </c>
      <c r="Z285" s="107" t="s">
        <v>176</v>
      </c>
    </row>
    <row r="286" spans="1:26" s="107" customFormat="1" ht="15" customHeight="1" x14ac:dyDescent="0.2">
      <c r="A286" s="101">
        <f t="shared" si="45"/>
        <v>284</v>
      </c>
      <c r="B286" s="77" t="s">
        <v>274</v>
      </c>
      <c r="C286" s="102" t="str">
        <f>IF($B286&lt;&gt;"",_xlfn.IFNA(VLOOKUP($B286,'Node Details'!$B:$U,C$1,0),"Check"),"")</f>
        <v>0000AXY07-AXY070102</v>
      </c>
      <c r="D286" s="102" t="str">
        <f>IF($B286&lt;&gt;"",_xlfn.IFNA(VLOOKUP($B286,'Node Details'!$B:$U,D$1,0),"Check"),"")</f>
        <v>AXY</v>
      </c>
      <c r="E286" s="102" t="str">
        <f>IF($B286&lt;&gt;"",_xlfn.IFNA(VLOOKUP($B286,'Node Details'!$B:$U,E$1,0),"Check"),"")</f>
        <v>Airtel</v>
      </c>
      <c r="F286" s="103">
        <v>46113</v>
      </c>
      <c r="G286" s="105"/>
      <c r="H286" s="104" t="s">
        <v>184</v>
      </c>
      <c r="I286" s="9">
        <v>1</v>
      </c>
      <c r="J286" s="9">
        <v>48</v>
      </c>
      <c r="K286" s="102">
        <f t="shared" ref="K286:K349" si="51">IF(I286&lt;&gt;"",J286*I286,0)</f>
        <v>48</v>
      </c>
      <c r="L286" s="80">
        <v>46112</v>
      </c>
      <c r="M286" s="105"/>
      <c r="N286" s="95" t="s">
        <v>372</v>
      </c>
      <c r="O286" s="96"/>
      <c r="P286" s="106">
        <f t="shared" si="46"/>
        <v>48</v>
      </c>
      <c r="Q286" s="106">
        <f t="shared" si="47"/>
        <v>48</v>
      </c>
      <c r="R286" s="106"/>
      <c r="S286" s="95" t="s">
        <v>185</v>
      </c>
      <c r="T286" s="96"/>
      <c r="U286" s="106">
        <f t="shared" si="48"/>
        <v>48</v>
      </c>
      <c r="V286" s="106">
        <f t="shared" si="49"/>
        <v>1</v>
      </c>
      <c r="W286" s="105">
        <f t="shared" si="50"/>
        <v>48</v>
      </c>
      <c r="X286" s="95" t="s">
        <v>186</v>
      </c>
      <c r="Y286" s="107" t="s">
        <v>181</v>
      </c>
      <c r="Z286" s="107" t="s">
        <v>176</v>
      </c>
    </row>
    <row r="287" spans="1:26" s="107" customFormat="1" ht="15" customHeight="1" x14ac:dyDescent="0.2">
      <c r="A287" s="101">
        <f t="shared" si="45"/>
        <v>285</v>
      </c>
      <c r="B287" s="77" t="s">
        <v>275</v>
      </c>
      <c r="C287" s="102" t="str">
        <f>IF($B287&lt;&gt;"",_xlfn.IFNA(VLOOKUP($B287,'Node Details'!$B:$U,C$1,0),"Check"),"")</f>
        <v>0000AXY07-AXY070105</v>
      </c>
      <c r="D287" s="102" t="str">
        <f>IF($B287&lt;&gt;"",_xlfn.IFNA(VLOOKUP($B287,'Node Details'!$B:$U,D$1,0),"Check"),"")</f>
        <v>AXY</v>
      </c>
      <c r="E287" s="102" t="str">
        <f>IF($B287&lt;&gt;"",_xlfn.IFNA(VLOOKUP($B287,'Node Details'!$B:$U,E$1,0),"Check"),"")</f>
        <v>Airtel</v>
      </c>
      <c r="F287" s="103">
        <v>46113</v>
      </c>
      <c r="G287" s="105"/>
      <c r="H287" s="104" t="s">
        <v>184</v>
      </c>
      <c r="I287" s="9">
        <v>1</v>
      </c>
      <c r="J287" s="9">
        <v>48</v>
      </c>
      <c r="K287" s="102">
        <f t="shared" si="51"/>
        <v>48</v>
      </c>
      <c r="L287" s="80">
        <v>46112</v>
      </c>
      <c r="M287" s="105"/>
      <c r="N287" s="95" t="s">
        <v>372</v>
      </c>
      <c r="O287" s="96"/>
      <c r="P287" s="106">
        <f t="shared" si="46"/>
        <v>48</v>
      </c>
      <c r="Q287" s="106">
        <f t="shared" si="47"/>
        <v>48</v>
      </c>
      <c r="R287" s="106"/>
      <c r="S287" s="95" t="s">
        <v>185</v>
      </c>
      <c r="T287" s="96"/>
      <c r="U287" s="106">
        <f t="shared" si="48"/>
        <v>48</v>
      </c>
      <c r="V287" s="106">
        <f t="shared" si="49"/>
        <v>1</v>
      </c>
      <c r="W287" s="105">
        <f t="shared" si="50"/>
        <v>48</v>
      </c>
      <c r="X287" s="95" t="s">
        <v>186</v>
      </c>
      <c r="Y287" s="107" t="s">
        <v>181</v>
      </c>
      <c r="Z287" s="107" t="s">
        <v>176</v>
      </c>
    </row>
    <row r="288" spans="1:26" s="107" customFormat="1" ht="15" customHeight="1" x14ac:dyDescent="0.2">
      <c r="A288" s="101">
        <f t="shared" si="45"/>
        <v>286</v>
      </c>
      <c r="B288" s="77" t="s">
        <v>276</v>
      </c>
      <c r="C288" s="102" t="str">
        <f>IF($B288&lt;&gt;"",_xlfn.IFNA(VLOOKUP($B288,'Node Details'!$B:$U,C$1,0),"Check"),"")</f>
        <v>0000AXY07-AXY070105</v>
      </c>
      <c r="D288" s="102" t="str">
        <f>IF($B288&lt;&gt;"",_xlfn.IFNA(VLOOKUP($B288,'Node Details'!$B:$U,D$1,0),"Check"),"")</f>
        <v>AXY</v>
      </c>
      <c r="E288" s="102" t="str">
        <f>IF($B288&lt;&gt;"",_xlfn.IFNA(VLOOKUP($B288,'Node Details'!$B:$U,E$1,0),"Check"),"")</f>
        <v>Airtel</v>
      </c>
      <c r="F288" s="103">
        <v>46113</v>
      </c>
      <c r="G288" s="105"/>
      <c r="H288" s="104" t="s">
        <v>184</v>
      </c>
      <c r="I288" s="9">
        <v>1</v>
      </c>
      <c r="J288" s="9">
        <v>48</v>
      </c>
      <c r="K288" s="102">
        <f t="shared" si="51"/>
        <v>48</v>
      </c>
      <c r="L288" s="80">
        <v>46112</v>
      </c>
      <c r="M288" s="105"/>
      <c r="N288" s="95" t="s">
        <v>372</v>
      </c>
      <c r="O288" s="96"/>
      <c r="P288" s="106">
        <f t="shared" si="46"/>
        <v>48</v>
      </c>
      <c r="Q288" s="106">
        <f t="shared" si="47"/>
        <v>48</v>
      </c>
      <c r="R288" s="106"/>
      <c r="S288" s="95" t="s">
        <v>185</v>
      </c>
      <c r="T288" s="96"/>
      <c r="U288" s="106">
        <f t="shared" si="48"/>
        <v>48</v>
      </c>
      <c r="V288" s="106">
        <f t="shared" si="49"/>
        <v>1</v>
      </c>
      <c r="W288" s="105">
        <f t="shared" si="50"/>
        <v>48</v>
      </c>
      <c r="X288" s="95" t="s">
        <v>186</v>
      </c>
      <c r="Y288" s="107" t="s">
        <v>181</v>
      </c>
      <c r="Z288" s="107" t="s">
        <v>176</v>
      </c>
    </row>
    <row r="289" spans="1:26" s="107" customFormat="1" ht="15" customHeight="1" x14ac:dyDescent="0.2">
      <c r="A289" s="101">
        <f t="shared" si="45"/>
        <v>287</v>
      </c>
      <c r="B289" s="77" t="s">
        <v>277</v>
      </c>
      <c r="C289" s="102" t="str">
        <f>IF($B289&lt;&gt;"",_xlfn.IFNA(VLOOKUP($B289,'Node Details'!$B:$U,C$1,0),"Check"),"")</f>
        <v>0000AXY07-AXY070105</v>
      </c>
      <c r="D289" s="102" t="str">
        <f>IF($B289&lt;&gt;"",_xlfn.IFNA(VLOOKUP($B289,'Node Details'!$B:$U,D$1,0),"Check"),"")</f>
        <v>AXY</v>
      </c>
      <c r="E289" s="102" t="str">
        <f>IF($B289&lt;&gt;"",_xlfn.IFNA(VLOOKUP($B289,'Node Details'!$B:$U,E$1,0),"Check"),"")</f>
        <v>Airtel</v>
      </c>
      <c r="F289" s="103">
        <v>46113</v>
      </c>
      <c r="G289" s="105"/>
      <c r="H289" s="104" t="s">
        <v>184</v>
      </c>
      <c r="I289" s="9">
        <v>1</v>
      </c>
      <c r="J289" s="9">
        <v>48</v>
      </c>
      <c r="K289" s="102">
        <f t="shared" si="51"/>
        <v>48</v>
      </c>
      <c r="L289" s="80">
        <v>46112</v>
      </c>
      <c r="M289" s="105"/>
      <c r="N289" s="95" t="s">
        <v>372</v>
      </c>
      <c r="O289" s="96"/>
      <c r="P289" s="106">
        <f t="shared" si="46"/>
        <v>48</v>
      </c>
      <c r="Q289" s="106">
        <f t="shared" si="47"/>
        <v>48</v>
      </c>
      <c r="R289" s="106"/>
      <c r="S289" s="95" t="s">
        <v>185</v>
      </c>
      <c r="T289" s="96"/>
      <c r="U289" s="106">
        <f t="shared" si="48"/>
        <v>48</v>
      </c>
      <c r="V289" s="106">
        <f t="shared" si="49"/>
        <v>1</v>
      </c>
      <c r="W289" s="105">
        <f t="shared" si="50"/>
        <v>48</v>
      </c>
      <c r="X289" s="95" t="s">
        <v>186</v>
      </c>
      <c r="Y289" s="107" t="s">
        <v>181</v>
      </c>
      <c r="Z289" s="107" t="s">
        <v>176</v>
      </c>
    </row>
    <row r="290" spans="1:26" s="107" customFormat="1" ht="15" customHeight="1" x14ac:dyDescent="0.2">
      <c r="A290" s="101">
        <f t="shared" si="45"/>
        <v>288</v>
      </c>
      <c r="B290" s="77" t="s">
        <v>278</v>
      </c>
      <c r="C290" s="102" t="str">
        <f>IF($B290&lt;&gt;"",_xlfn.IFNA(VLOOKUP($B290,'Node Details'!$B:$U,C$1,0),"Check"),"")</f>
        <v>000000AXY-0000AXY12</v>
      </c>
      <c r="D290" s="102" t="str">
        <f>IF($B290&lt;&gt;"",_xlfn.IFNA(VLOOKUP($B290,'Node Details'!$B:$U,D$1,0),"Check"),"")</f>
        <v>AXY</v>
      </c>
      <c r="E290" s="102" t="str">
        <f>IF($B290&lt;&gt;"",_xlfn.IFNA(VLOOKUP($B290,'Node Details'!$B:$U,E$1,0),"Check"),"")</f>
        <v>Airtel</v>
      </c>
      <c r="F290" s="103">
        <v>46113</v>
      </c>
      <c r="G290" s="105"/>
      <c r="H290" s="104" t="s">
        <v>184</v>
      </c>
      <c r="I290" s="9">
        <v>1</v>
      </c>
      <c r="J290" s="9">
        <v>48</v>
      </c>
      <c r="K290" s="102">
        <f t="shared" si="51"/>
        <v>48</v>
      </c>
      <c r="L290" s="80">
        <v>46112</v>
      </c>
      <c r="M290" s="105"/>
      <c r="N290" s="95" t="s">
        <v>372</v>
      </c>
      <c r="O290" s="96"/>
      <c r="P290" s="106">
        <f t="shared" si="46"/>
        <v>48</v>
      </c>
      <c r="Q290" s="106">
        <f t="shared" si="47"/>
        <v>48</v>
      </c>
      <c r="R290" s="106"/>
      <c r="S290" s="95" t="s">
        <v>185</v>
      </c>
      <c r="T290" s="96"/>
      <c r="U290" s="106">
        <f t="shared" si="48"/>
        <v>48</v>
      </c>
      <c r="V290" s="106">
        <f t="shared" si="49"/>
        <v>1</v>
      </c>
      <c r="W290" s="105">
        <f t="shared" si="50"/>
        <v>48</v>
      </c>
      <c r="X290" s="95" t="s">
        <v>186</v>
      </c>
      <c r="Y290" s="107" t="s">
        <v>181</v>
      </c>
      <c r="Z290" s="107" t="s">
        <v>176</v>
      </c>
    </row>
    <row r="291" spans="1:26" s="107" customFormat="1" ht="15" customHeight="1" x14ac:dyDescent="0.2">
      <c r="A291" s="101">
        <f t="shared" si="45"/>
        <v>289</v>
      </c>
      <c r="B291" s="77" t="s">
        <v>279</v>
      </c>
      <c r="C291" s="102" t="str">
        <f>IF($B291&lt;&gt;"",_xlfn.IFNA(VLOOKUP($B291,'Node Details'!$B:$U,C$1,0),"Check"),"")</f>
        <v>0000AXY08-AXY080104</v>
      </c>
      <c r="D291" s="102" t="str">
        <f>IF($B291&lt;&gt;"",_xlfn.IFNA(VLOOKUP($B291,'Node Details'!$B:$U,D$1,0),"Check"),"")</f>
        <v>AXY</v>
      </c>
      <c r="E291" s="102" t="str">
        <f>IF($B291&lt;&gt;"",_xlfn.IFNA(VLOOKUP($B291,'Node Details'!$B:$U,E$1,0),"Check"),"")</f>
        <v>Airtel</v>
      </c>
      <c r="F291" s="103">
        <v>46113</v>
      </c>
      <c r="G291" s="105"/>
      <c r="H291" s="104" t="s">
        <v>184</v>
      </c>
      <c r="I291" s="9">
        <v>1</v>
      </c>
      <c r="J291" s="9">
        <v>48</v>
      </c>
      <c r="K291" s="102">
        <f t="shared" si="51"/>
        <v>48</v>
      </c>
      <c r="L291" s="80">
        <v>46112</v>
      </c>
      <c r="M291" s="105"/>
      <c r="N291" s="95" t="s">
        <v>372</v>
      </c>
      <c r="O291" s="96"/>
      <c r="P291" s="106">
        <f t="shared" si="46"/>
        <v>48</v>
      </c>
      <c r="Q291" s="106">
        <f t="shared" si="47"/>
        <v>48</v>
      </c>
      <c r="R291" s="106"/>
      <c r="S291" s="95" t="s">
        <v>185</v>
      </c>
      <c r="T291" s="96"/>
      <c r="U291" s="106">
        <f t="shared" si="48"/>
        <v>48</v>
      </c>
      <c r="V291" s="106">
        <f t="shared" si="49"/>
        <v>1</v>
      </c>
      <c r="W291" s="105">
        <f t="shared" si="50"/>
        <v>48</v>
      </c>
      <c r="X291" s="95" t="s">
        <v>186</v>
      </c>
      <c r="Y291" s="107" t="s">
        <v>181</v>
      </c>
      <c r="Z291" s="107" t="s">
        <v>176</v>
      </c>
    </row>
    <row r="292" spans="1:26" s="107" customFormat="1" ht="15" customHeight="1" x14ac:dyDescent="0.2">
      <c r="A292" s="101">
        <f t="shared" si="45"/>
        <v>290</v>
      </c>
      <c r="B292" s="77" t="s">
        <v>280</v>
      </c>
      <c r="C292" s="102" t="str">
        <f>IF($B292&lt;&gt;"",_xlfn.IFNA(VLOOKUP($B292,'Node Details'!$B:$U,C$1,0),"Check"),"")</f>
        <v>0000AXY08-AXY080103</v>
      </c>
      <c r="D292" s="102" t="str">
        <f>IF($B292&lt;&gt;"",_xlfn.IFNA(VLOOKUP($B292,'Node Details'!$B:$U,D$1,0),"Check"),"")</f>
        <v>AXY</v>
      </c>
      <c r="E292" s="102" t="str">
        <f>IF($B292&lt;&gt;"",_xlfn.IFNA(VLOOKUP($B292,'Node Details'!$B:$U,E$1,0),"Check"),"")</f>
        <v>Airtel</v>
      </c>
      <c r="F292" s="103">
        <v>46113</v>
      </c>
      <c r="G292" s="105"/>
      <c r="H292" s="104" t="s">
        <v>184</v>
      </c>
      <c r="I292" s="9">
        <v>1</v>
      </c>
      <c r="J292" s="9">
        <v>48</v>
      </c>
      <c r="K292" s="102">
        <f t="shared" si="51"/>
        <v>48</v>
      </c>
      <c r="L292" s="80">
        <v>46112</v>
      </c>
      <c r="M292" s="105"/>
      <c r="N292" s="95" t="s">
        <v>372</v>
      </c>
      <c r="O292" s="96"/>
      <c r="P292" s="106">
        <f t="shared" si="46"/>
        <v>48</v>
      </c>
      <c r="Q292" s="106">
        <f t="shared" si="47"/>
        <v>48</v>
      </c>
      <c r="R292" s="106"/>
      <c r="S292" s="95" t="s">
        <v>185</v>
      </c>
      <c r="T292" s="96"/>
      <c r="U292" s="106">
        <f t="shared" si="48"/>
        <v>48</v>
      </c>
      <c r="V292" s="106">
        <f t="shared" si="49"/>
        <v>1</v>
      </c>
      <c r="W292" s="105">
        <f t="shared" si="50"/>
        <v>48</v>
      </c>
      <c r="X292" s="95" t="s">
        <v>186</v>
      </c>
      <c r="Y292" s="107" t="s">
        <v>181</v>
      </c>
      <c r="Z292" s="107" t="s">
        <v>176</v>
      </c>
    </row>
    <row r="293" spans="1:26" s="107" customFormat="1" ht="15" customHeight="1" x14ac:dyDescent="0.2">
      <c r="A293" s="101">
        <f t="shared" si="45"/>
        <v>291</v>
      </c>
      <c r="B293" s="77" t="s">
        <v>281</v>
      </c>
      <c r="C293" s="102" t="str">
        <f>IF($B293&lt;&gt;"",_xlfn.IFNA(VLOOKUP($B293,'Node Details'!$B:$U,C$1,0),"Check"),"")</f>
        <v>0000AXY08-AXY080103</v>
      </c>
      <c r="D293" s="102" t="str">
        <f>IF($B293&lt;&gt;"",_xlfn.IFNA(VLOOKUP($B293,'Node Details'!$B:$U,D$1,0),"Check"),"")</f>
        <v>AXY</v>
      </c>
      <c r="E293" s="102" t="str">
        <f>IF($B293&lt;&gt;"",_xlfn.IFNA(VLOOKUP($B293,'Node Details'!$B:$U,E$1,0),"Check"),"")</f>
        <v>Airtel</v>
      </c>
      <c r="F293" s="103">
        <v>46113</v>
      </c>
      <c r="G293" s="105"/>
      <c r="H293" s="104" t="s">
        <v>184</v>
      </c>
      <c r="I293" s="9">
        <v>1</v>
      </c>
      <c r="J293" s="9">
        <v>48</v>
      </c>
      <c r="K293" s="102">
        <f t="shared" si="51"/>
        <v>48</v>
      </c>
      <c r="L293" s="80">
        <v>46112</v>
      </c>
      <c r="M293" s="105"/>
      <c r="N293" s="95" t="s">
        <v>372</v>
      </c>
      <c r="O293" s="96"/>
      <c r="P293" s="106">
        <f t="shared" si="46"/>
        <v>48</v>
      </c>
      <c r="Q293" s="106">
        <f t="shared" si="47"/>
        <v>48</v>
      </c>
      <c r="R293" s="106"/>
      <c r="S293" s="95" t="s">
        <v>185</v>
      </c>
      <c r="T293" s="96"/>
      <c r="U293" s="106">
        <f t="shared" si="48"/>
        <v>48</v>
      </c>
      <c r="V293" s="106">
        <f t="shared" si="49"/>
        <v>1</v>
      </c>
      <c r="W293" s="105">
        <f t="shared" si="50"/>
        <v>48</v>
      </c>
      <c r="X293" s="95" t="s">
        <v>186</v>
      </c>
      <c r="Y293" s="107" t="s">
        <v>181</v>
      </c>
      <c r="Z293" s="107" t="s">
        <v>176</v>
      </c>
    </row>
    <row r="294" spans="1:26" s="107" customFormat="1" ht="15" customHeight="1" x14ac:dyDescent="0.2">
      <c r="A294" s="101">
        <f t="shared" si="45"/>
        <v>292</v>
      </c>
      <c r="B294" s="77" t="s">
        <v>282</v>
      </c>
      <c r="C294" s="102" t="str">
        <f>IF($B294&lt;&gt;"",_xlfn.IFNA(VLOOKUP($B294,'Node Details'!$B:$U,C$1,0),"Check"),"")</f>
        <v>0000AXY08-AXY080103</v>
      </c>
      <c r="D294" s="102" t="str">
        <f>IF($B294&lt;&gt;"",_xlfn.IFNA(VLOOKUP($B294,'Node Details'!$B:$U,D$1,0),"Check"),"")</f>
        <v>AXY</v>
      </c>
      <c r="E294" s="102" t="str">
        <f>IF($B294&lt;&gt;"",_xlfn.IFNA(VLOOKUP($B294,'Node Details'!$B:$U,E$1,0),"Check"),"")</f>
        <v>Airtel</v>
      </c>
      <c r="F294" s="103">
        <v>46113</v>
      </c>
      <c r="G294" s="105"/>
      <c r="H294" s="104" t="s">
        <v>184</v>
      </c>
      <c r="I294" s="9">
        <v>1</v>
      </c>
      <c r="J294" s="9">
        <v>48</v>
      </c>
      <c r="K294" s="102">
        <f t="shared" si="51"/>
        <v>48</v>
      </c>
      <c r="L294" s="80">
        <v>46112</v>
      </c>
      <c r="M294" s="105"/>
      <c r="N294" s="95" t="s">
        <v>372</v>
      </c>
      <c r="O294" s="96"/>
      <c r="P294" s="106">
        <f t="shared" si="46"/>
        <v>48</v>
      </c>
      <c r="Q294" s="106">
        <f t="shared" si="47"/>
        <v>48</v>
      </c>
      <c r="R294" s="106"/>
      <c r="S294" s="95" t="s">
        <v>185</v>
      </c>
      <c r="T294" s="96"/>
      <c r="U294" s="106">
        <f t="shared" si="48"/>
        <v>48</v>
      </c>
      <c r="V294" s="106">
        <f t="shared" si="49"/>
        <v>1</v>
      </c>
      <c r="W294" s="105">
        <f t="shared" si="50"/>
        <v>48</v>
      </c>
      <c r="X294" s="95" t="s">
        <v>186</v>
      </c>
      <c r="Y294" s="107" t="s">
        <v>181</v>
      </c>
      <c r="Z294" s="107" t="s">
        <v>176</v>
      </c>
    </row>
    <row r="295" spans="1:26" s="107" customFormat="1" ht="15" customHeight="1" x14ac:dyDescent="0.2">
      <c r="A295" s="101">
        <f t="shared" si="45"/>
        <v>293</v>
      </c>
      <c r="B295" s="77" t="s">
        <v>283</v>
      </c>
      <c r="C295" s="102" t="str">
        <f>IF($B295&lt;&gt;"",_xlfn.IFNA(VLOOKUP($B295,'Node Details'!$B:$U,C$1,0),"Check"),"")</f>
        <v>0000AXY08-AXY080105</v>
      </c>
      <c r="D295" s="102" t="str">
        <f>IF($B295&lt;&gt;"",_xlfn.IFNA(VLOOKUP($B295,'Node Details'!$B:$U,D$1,0),"Check"),"")</f>
        <v>AXY</v>
      </c>
      <c r="E295" s="102" t="str">
        <f>IF($B295&lt;&gt;"",_xlfn.IFNA(VLOOKUP($B295,'Node Details'!$B:$U,E$1,0),"Check"),"")</f>
        <v>Airtel</v>
      </c>
      <c r="F295" s="103">
        <v>46113</v>
      </c>
      <c r="G295" s="105"/>
      <c r="H295" s="104" t="s">
        <v>184</v>
      </c>
      <c r="I295" s="9">
        <v>1</v>
      </c>
      <c r="J295" s="9">
        <v>48</v>
      </c>
      <c r="K295" s="102">
        <f t="shared" si="51"/>
        <v>48</v>
      </c>
      <c r="L295" s="80">
        <v>46112</v>
      </c>
      <c r="M295" s="105"/>
      <c r="N295" s="95" t="s">
        <v>372</v>
      </c>
      <c r="O295" s="96"/>
      <c r="P295" s="106">
        <f t="shared" si="46"/>
        <v>48</v>
      </c>
      <c r="Q295" s="106">
        <f t="shared" si="47"/>
        <v>48</v>
      </c>
      <c r="R295" s="106"/>
      <c r="S295" s="95" t="s">
        <v>185</v>
      </c>
      <c r="T295" s="96"/>
      <c r="U295" s="106">
        <f t="shared" si="48"/>
        <v>48</v>
      </c>
      <c r="V295" s="106">
        <f t="shared" si="49"/>
        <v>1</v>
      </c>
      <c r="W295" s="105">
        <f t="shared" si="50"/>
        <v>48</v>
      </c>
      <c r="X295" s="95" t="s">
        <v>186</v>
      </c>
      <c r="Y295" s="107" t="s">
        <v>181</v>
      </c>
      <c r="Z295" s="107" t="s">
        <v>176</v>
      </c>
    </row>
    <row r="296" spans="1:26" s="107" customFormat="1" ht="15" customHeight="1" x14ac:dyDescent="0.2">
      <c r="A296" s="101">
        <f t="shared" si="45"/>
        <v>294</v>
      </c>
      <c r="B296" s="77" t="s">
        <v>284</v>
      </c>
      <c r="C296" s="102" t="str">
        <f>IF($B296&lt;&gt;"",_xlfn.IFNA(VLOOKUP($B296,'Node Details'!$B:$U,C$1,0),"Check"),"")</f>
        <v>0000AXY08-AXY080106</v>
      </c>
      <c r="D296" s="102" t="str">
        <f>IF($B296&lt;&gt;"",_xlfn.IFNA(VLOOKUP($B296,'Node Details'!$B:$U,D$1,0),"Check"),"")</f>
        <v>AXY</v>
      </c>
      <c r="E296" s="102" t="str">
        <f>IF($B296&lt;&gt;"",_xlfn.IFNA(VLOOKUP($B296,'Node Details'!$B:$U,E$1,0),"Check"),"")</f>
        <v>Airtel</v>
      </c>
      <c r="F296" s="103">
        <v>46113</v>
      </c>
      <c r="G296" s="105"/>
      <c r="H296" s="104" t="s">
        <v>184</v>
      </c>
      <c r="I296" s="9">
        <v>1</v>
      </c>
      <c r="J296" s="9">
        <v>48</v>
      </c>
      <c r="K296" s="102">
        <f t="shared" si="51"/>
        <v>48</v>
      </c>
      <c r="L296" s="80">
        <v>46112</v>
      </c>
      <c r="M296" s="105"/>
      <c r="N296" s="95" t="s">
        <v>372</v>
      </c>
      <c r="O296" s="96"/>
      <c r="P296" s="106">
        <f t="shared" si="46"/>
        <v>48</v>
      </c>
      <c r="Q296" s="106">
        <f t="shared" si="47"/>
        <v>48</v>
      </c>
      <c r="R296" s="106"/>
      <c r="S296" s="95" t="s">
        <v>185</v>
      </c>
      <c r="T296" s="96"/>
      <c r="U296" s="106">
        <f t="shared" si="48"/>
        <v>48</v>
      </c>
      <c r="V296" s="106">
        <f t="shared" si="49"/>
        <v>1</v>
      </c>
      <c r="W296" s="105">
        <f t="shared" si="50"/>
        <v>48</v>
      </c>
      <c r="X296" s="95" t="s">
        <v>186</v>
      </c>
      <c r="Y296" s="107" t="s">
        <v>181</v>
      </c>
      <c r="Z296" s="107" t="s">
        <v>176</v>
      </c>
    </row>
    <row r="297" spans="1:26" s="107" customFormat="1" ht="15" customHeight="1" x14ac:dyDescent="0.2">
      <c r="A297" s="101">
        <f t="shared" si="45"/>
        <v>295</v>
      </c>
      <c r="B297" s="77" t="s">
        <v>285</v>
      </c>
      <c r="C297" s="102" t="str">
        <f>IF($B297&lt;&gt;"",_xlfn.IFNA(VLOOKUP($B297,'Node Details'!$B:$U,C$1,0),"Check"),"")</f>
        <v>AXY080106-AXY080203</v>
      </c>
      <c r="D297" s="102" t="str">
        <f>IF($B297&lt;&gt;"",_xlfn.IFNA(VLOOKUP($B297,'Node Details'!$B:$U,D$1,0),"Check"),"")</f>
        <v>AXY</v>
      </c>
      <c r="E297" s="102" t="str">
        <f>IF($B297&lt;&gt;"",_xlfn.IFNA(VLOOKUP($B297,'Node Details'!$B:$U,E$1,0),"Check"),"")</f>
        <v>Airtel</v>
      </c>
      <c r="F297" s="103">
        <v>46113</v>
      </c>
      <c r="G297" s="105"/>
      <c r="H297" s="104" t="s">
        <v>184</v>
      </c>
      <c r="I297" s="9">
        <v>1</v>
      </c>
      <c r="J297" s="9">
        <v>48</v>
      </c>
      <c r="K297" s="102">
        <f t="shared" si="51"/>
        <v>48</v>
      </c>
      <c r="L297" s="80">
        <v>46112</v>
      </c>
      <c r="M297" s="105"/>
      <c r="N297" s="95" t="s">
        <v>372</v>
      </c>
      <c r="O297" s="96"/>
      <c r="P297" s="106">
        <f t="shared" si="46"/>
        <v>48</v>
      </c>
      <c r="Q297" s="106">
        <f t="shared" si="47"/>
        <v>48</v>
      </c>
      <c r="R297" s="106"/>
      <c r="S297" s="95" t="s">
        <v>185</v>
      </c>
      <c r="T297" s="96"/>
      <c r="U297" s="106">
        <f t="shared" si="48"/>
        <v>48</v>
      </c>
      <c r="V297" s="106">
        <f t="shared" si="49"/>
        <v>1</v>
      </c>
      <c r="W297" s="105">
        <f t="shared" si="50"/>
        <v>48</v>
      </c>
      <c r="X297" s="95" t="s">
        <v>186</v>
      </c>
      <c r="Y297" s="107" t="s">
        <v>181</v>
      </c>
      <c r="Z297" s="107" t="s">
        <v>176</v>
      </c>
    </row>
    <row r="298" spans="1:26" s="107" customFormat="1" ht="15" customHeight="1" x14ac:dyDescent="0.2">
      <c r="A298" s="101">
        <f t="shared" si="45"/>
        <v>296</v>
      </c>
      <c r="B298" s="77" t="s">
        <v>286</v>
      </c>
      <c r="C298" s="102" t="str">
        <f>IF($B298&lt;&gt;"",_xlfn.IFNA(VLOOKUP($B298,'Node Details'!$B:$U,C$1,0),"Check"),"")</f>
        <v>AXY080106-AXY080203</v>
      </c>
      <c r="D298" s="102" t="str">
        <f>IF($B298&lt;&gt;"",_xlfn.IFNA(VLOOKUP($B298,'Node Details'!$B:$U,D$1,0),"Check"),"")</f>
        <v>AXY</v>
      </c>
      <c r="E298" s="102" t="str">
        <f>IF($B298&lt;&gt;"",_xlfn.IFNA(VLOOKUP($B298,'Node Details'!$B:$U,E$1,0),"Check"),"")</f>
        <v>Airtel</v>
      </c>
      <c r="F298" s="103">
        <v>46113</v>
      </c>
      <c r="G298" s="105"/>
      <c r="H298" s="104" t="s">
        <v>184</v>
      </c>
      <c r="I298" s="9">
        <v>1</v>
      </c>
      <c r="J298" s="9">
        <v>48</v>
      </c>
      <c r="K298" s="102">
        <f t="shared" si="51"/>
        <v>48</v>
      </c>
      <c r="L298" s="80">
        <v>46112</v>
      </c>
      <c r="M298" s="105"/>
      <c r="N298" s="95" t="s">
        <v>372</v>
      </c>
      <c r="O298" s="96"/>
      <c r="P298" s="106">
        <f t="shared" si="46"/>
        <v>48</v>
      </c>
      <c r="Q298" s="106">
        <f t="shared" si="47"/>
        <v>48</v>
      </c>
      <c r="R298" s="106"/>
      <c r="S298" s="95" t="s">
        <v>185</v>
      </c>
      <c r="T298" s="96"/>
      <c r="U298" s="106">
        <f t="shared" si="48"/>
        <v>48</v>
      </c>
      <c r="V298" s="106">
        <f t="shared" si="49"/>
        <v>1</v>
      </c>
      <c r="W298" s="105">
        <f t="shared" si="50"/>
        <v>48</v>
      </c>
      <c r="X298" s="95" t="s">
        <v>186</v>
      </c>
      <c r="Y298" s="107" t="s">
        <v>181</v>
      </c>
      <c r="Z298" s="107" t="s">
        <v>176</v>
      </c>
    </row>
    <row r="299" spans="1:26" s="107" customFormat="1" ht="15" customHeight="1" x14ac:dyDescent="0.2">
      <c r="A299" s="101">
        <f t="shared" si="45"/>
        <v>297</v>
      </c>
      <c r="B299" s="77" t="s">
        <v>287</v>
      </c>
      <c r="C299" s="102" t="str">
        <f>IF($B299&lt;&gt;"",_xlfn.IFNA(VLOOKUP($B299,'Node Details'!$B:$U,C$1,0),"Check"),"")</f>
        <v>AXY080106-AXY080201</v>
      </c>
      <c r="D299" s="102" t="str">
        <f>IF($B299&lt;&gt;"",_xlfn.IFNA(VLOOKUP($B299,'Node Details'!$B:$U,D$1,0),"Check"),"")</f>
        <v>AXY</v>
      </c>
      <c r="E299" s="102" t="str">
        <f>IF($B299&lt;&gt;"",_xlfn.IFNA(VLOOKUP($B299,'Node Details'!$B:$U,E$1,0),"Check"),"")</f>
        <v>Airtel</v>
      </c>
      <c r="F299" s="103">
        <v>46113</v>
      </c>
      <c r="G299" s="105"/>
      <c r="H299" s="104" t="s">
        <v>184</v>
      </c>
      <c r="I299" s="9">
        <v>1</v>
      </c>
      <c r="J299" s="9">
        <v>48</v>
      </c>
      <c r="K299" s="102">
        <f t="shared" si="51"/>
        <v>48</v>
      </c>
      <c r="L299" s="80">
        <v>46112</v>
      </c>
      <c r="M299" s="105"/>
      <c r="N299" s="95" t="s">
        <v>372</v>
      </c>
      <c r="O299" s="96"/>
      <c r="P299" s="106">
        <f t="shared" si="46"/>
        <v>48</v>
      </c>
      <c r="Q299" s="106">
        <f t="shared" si="47"/>
        <v>48</v>
      </c>
      <c r="R299" s="106"/>
      <c r="S299" s="95" t="s">
        <v>185</v>
      </c>
      <c r="T299" s="96"/>
      <c r="U299" s="106">
        <f t="shared" si="48"/>
        <v>48</v>
      </c>
      <c r="V299" s="106">
        <f t="shared" si="49"/>
        <v>1</v>
      </c>
      <c r="W299" s="105">
        <f t="shared" si="50"/>
        <v>48</v>
      </c>
      <c r="X299" s="95" t="s">
        <v>186</v>
      </c>
      <c r="Y299" s="107" t="s">
        <v>181</v>
      </c>
      <c r="Z299" s="107" t="s">
        <v>176</v>
      </c>
    </row>
    <row r="300" spans="1:26" s="107" customFormat="1" ht="15" customHeight="1" x14ac:dyDescent="0.2">
      <c r="A300" s="101">
        <f t="shared" si="45"/>
        <v>298</v>
      </c>
      <c r="B300" s="77" t="s">
        <v>288</v>
      </c>
      <c r="C300" s="102" t="str">
        <f>IF($B300&lt;&gt;"",_xlfn.IFNA(VLOOKUP($B300,'Node Details'!$B:$U,C$1,0),"Check"),"")</f>
        <v>AXY080106-AXY080201</v>
      </c>
      <c r="D300" s="102" t="str">
        <f>IF($B300&lt;&gt;"",_xlfn.IFNA(VLOOKUP($B300,'Node Details'!$B:$U,D$1,0),"Check"),"")</f>
        <v>AXY</v>
      </c>
      <c r="E300" s="102" t="str">
        <f>IF($B300&lt;&gt;"",_xlfn.IFNA(VLOOKUP($B300,'Node Details'!$B:$U,E$1,0),"Check"),"")</f>
        <v>Airtel</v>
      </c>
      <c r="F300" s="103">
        <v>46113</v>
      </c>
      <c r="G300" s="105"/>
      <c r="H300" s="104" t="s">
        <v>184</v>
      </c>
      <c r="I300" s="9">
        <v>1</v>
      </c>
      <c r="J300" s="9">
        <v>48</v>
      </c>
      <c r="K300" s="102">
        <f t="shared" si="51"/>
        <v>48</v>
      </c>
      <c r="L300" s="80">
        <v>46112</v>
      </c>
      <c r="M300" s="105"/>
      <c r="N300" s="95" t="s">
        <v>372</v>
      </c>
      <c r="O300" s="96"/>
      <c r="P300" s="106">
        <f t="shared" si="46"/>
        <v>48</v>
      </c>
      <c r="Q300" s="106">
        <f t="shared" si="47"/>
        <v>48</v>
      </c>
      <c r="R300" s="106"/>
      <c r="S300" s="95" t="s">
        <v>185</v>
      </c>
      <c r="T300" s="96"/>
      <c r="U300" s="106">
        <f t="shared" si="48"/>
        <v>48</v>
      </c>
      <c r="V300" s="106">
        <f t="shared" si="49"/>
        <v>1</v>
      </c>
      <c r="W300" s="105">
        <f t="shared" si="50"/>
        <v>48</v>
      </c>
      <c r="X300" s="95" t="s">
        <v>186</v>
      </c>
      <c r="Y300" s="107" t="s">
        <v>181</v>
      </c>
      <c r="Z300" s="107" t="s">
        <v>176</v>
      </c>
    </row>
    <row r="301" spans="1:26" s="107" customFormat="1" ht="15" customHeight="1" x14ac:dyDescent="0.2">
      <c r="A301" s="101">
        <f t="shared" si="45"/>
        <v>299</v>
      </c>
      <c r="B301" s="77" t="s">
        <v>289</v>
      </c>
      <c r="C301" s="102" t="str">
        <f>IF($B301&lt;&gt;"",_xlfn.IFNA(VLOOKUP($B301,'Node Details'!$B:$U,C$1,0),"Check"),"")</f>
        <v>000000AXY-0000AXY12</v>
      </c>
      <c r="D301" s="102" t="str">
        <f>IF($B301&lt;&gt;"",_xlfn.IFNA(VLOOKUP($B301,'Node Details'!$B:$U,D$1,0),"Check"),"")</f>
        <v>AXY</v>
      </c>
      <c r="E301" s="102" t="str">
        <f>IF($B301&lt;&gt;"",_xlfn.IFNA(VLOOKUP($B301,'Node Details'!$B:$U,E$1,0),"Check"),"")</f>
        <v>Airtel</v>
      </c>
      <c r="F301" s="103">
        <v>46113</v>
      </c>
      <c r="G301" s="105"/>
      <c r="H301" s="104" t="s">
        <v>184</v>
      </c>
      <c r="I301" s="9">
        <v>1</v>
      </c>
      <c r="J301" s="9">
        <v>48</v>
      </c>
      <c r="K301" s="102">
        <f t="shared" si="51"/>
        <v>48</v>
      </c>
      <c r="L301" s="80">
        <v>46112</v>
      </c>
      <c r="M301" s="105"/>
      <c r="N301" s="95" t="s">
        <v>372</v>
      </c>
      <c r="O301" s="96"/>
      <c r="P301" s="106">
        <f t="shared" si="46"/>
        <v>48</v>
      </c>
      <c r="Q301" s="106">
        <f t="shared" si="47"/>
        <v>48</v>
      </c>
      <c r="R301" s="106"/>
      <c r="S301" s="95" t="s">
        <v>185</v>
      </c>
      <c r="T301" s="96"/>
      <c r="U301" s="106">
        <f t="shared" si="48"/>
        <v>48</v>
      </c>
      <c r="V301" s="106">
        <f t="shared" si="49"/>
        <v>1</v>
      </c>
      <c r="W301" s="105">
        <f t="shared" si="50"/>
        <v>48</v>
      </c>
      <c r="X301" s="95" t="s">
        <v>186</v>
      </c>
      <c r="Y301" s="107" t="s">
        <v>181</v>
      </c>
      <c r="Z301" s="107" t="s">
        <v>176</v>
      </c>
    </row>
    <row r="302" spans="1:26" s="107" customFormat="1" ht="15" customHeight="1" x14ac:dyDescent="0.2">
      <c r="A302" s="101">
        <f t="shared" si="45"/>
        <v>300</v>
      </c>
      <c r="B302" s="77" t="s">
        <v>290</v>
      </c>
      <c r="C302" s="102" t="str">
        <f>IF($B302&lt;&gt;"",_xlfn.IFNA(VLOOKUP($B302,'Node Details'!$B:$U,C$1,0),"Check"),"")</f>
        <v>0000AXY09-AXY090101</v>
      </c>
      <c r="D302" s="102" t="str">
        <f>IF($B302&lt;&gt;"",_xlfn.IFNA(VLOOKUP($B302,'Node Details'!$B:$U,D$1,0),"Check"),"")</f>
        <v>AXY</v>
      </c>
      <c r="E302" s="102" t="str">
        <f>IF($B302&lt;&gt;"",_xlfn.IFNA(VLOOKUP($B302,'Node Details'!$B:$U,E$1,0),"Check"),"")</f>
        <v>Airtel</v>
      </c>
      <c r="F302" s="103">
        <v>46113</v>
      </c>
      <c r="G302" s="105"/>
      <c r="H302" s="104" t="s">
        <v>184</v>
      </c>
      <c r="I302" s="9">
        <v>1</v>
      </c>
      <c r="J302" s="9">
        <v>48</v>
      </c>
      <c r="K302" s="102">
        <f t="shared" si="51"/>
        <v>48</v>
      </c>
      <c r="L302" s="80">
        <v>46112</v>
      </c>
      <c r="M302" s="105"/>
      <c r="N302" s="95" t="s">
        <v>372</v>
      </c>
      <c r="O302" s="96"/>
      <c r="P302" s="106">
        <f t="shared" si="46"/>
        <v>48</v>
      </c>
      <c r="Q302" s="106">
        <f t="shared" si="47"/>
        <v>48</v>
      </c>
      <c r="R302" s="106"/>
      <c r="S302" s="95" t="s">
        <v>185</v>
      </c>
      <c r="T302" s="96"/>
      <c r="U302" s="106">
        <f t="shared" si="48"/>
        <v>48</v>
      </c>
      <c r="V302" s="106">
        <f t="shared" si="49"/>
        <v>1</v>
      </c>
      <c r="W302" s="105">
        <f t="shared" si="50"/>
        <v>48</v>
      </c>
      <c r="X302" s="95" t="s">
        <v>186</v>
      </c>
      <c r="Y302" s="107" t="s">
        <v>181</v>
      </c>
      <c r="Z302" s="107" t="s">
        <v>176</v>
      </c>
    </row>
    <row r="303" spans="1:26" s="107" customFormat="1" ht="15" customHeight="1" x14ac:dyDescent="0.2">
      <c r="A303" s="101">
        <f t="shared" si="45"/>
        <v>301</v>
      </c>
      <c r="B303" s="77" t="s">
        <v>291</v>
      </c>
      <c r="C303" s="102" t="str">
        <f>IF($B303&lt;&gt;"",_xlfn.IFNA(VLOOKUP($B303,'Node Details'!$B:$U,C$1,0),"Check"),"")</f>
        <v>0000AXY09-AXY090105</v>
      </c>
      <c r="D303" s="102" t="str">
        <f>IF($B303&lt;&gt;"",_xlfn.IFNA(VLOOKUP($B303,'Node Details'!$B:$U,D$1,0),"Check"),"")</f>
        <v>AXY</v>
      </c>
      <c r="E303" s="102" t="str">
        <f>IF($B303&lt;&gt;"",_xlfn.IFNA(VLOOKUP($B303,'Node Details'!$B:$U,E$1,0),"Check"),"")</f>
        <v>Airtel</v>
      </c>
      <c r="F303" s="103">
        <v>46113</v>
      </c>
      <c r="G303" s="105"/>
      <c r="H303" s="104" t="s">
        <v>184</v>
      </c>
      <c r="I303" s="9">
        <v>1</v>
      </c>
      <c r="J303" s="9">
        <v>48</v>
      </c>
      <c r="K303" s="102">
        <f t="shared" si="51"/>
        <v>48</v>
      </c>
      <c r="L303" s="80">
        <v>46112</v>
      </c>
      <c r="M303" s="105"/>
      <c r="N303" s="95" t="s">
        <v>372</v>
      </c>
      <c r="O303" s="96"/>
      <c r="P303" s="106">
        <f t="shared" si="46"/>
        <v>48</v>
      </c>
      <c r="Q303" s="106">
        <f t="shared" si="47"/>
        <v>48</v>
      </c>
      <c r="R303" s="106"/>
      <c r="S303" s="95" t="s">
        <v>185</v>
      </c>
      <c r="T303" s="96"/>
      <c r="U303" s="106">
        <f t="shared" si="48"/>
        <v>48</v>
      </c>
      <c r="V303" s="106">
        <f t="shared" si="49"/>
        <v>1</v>
      </c>
      <c r="W303" s="105">
        <f t="shared" si="50"/>
        <v>48</v>
      </c>
      <c r="X303" s="95" t="s">
        <v>186</v>
      </c>
      <c r="Y303" s="107" t="s">
        <v>181</v>
      </c>
      <c r="Z303" s="107" t="s">
        <v>176</v>
      </c>
    </row>
    <row r="304" spans="1:26" s="107" customFormat="1" ht="15" customHeight="1" x14ac:dyDescent="0.2">
      <c r="A304" s="101">
        <f t="shared" si="45"/>
        <v>302</v>
      </c>
      <c r="B304" s="77" t="s">
        <v>292</v>
      </c>
      <c r="C304" s="102" t="str">
        <f>IF($B304&lt;&gt;"",_xlfn.IFNA(VLOOKUP($B304,'Node Details'!$B:$U,C$1,0),"Check"),"")</f>
        <v>0000AXY09-AXY090105</v>
      </c>
      <c r="D304" s="102" t="str">
        <f>IF($B304&lt;&gt;"",_xlfn.IFNA(VLOOKUP($B304,'Node Details'!$B:$U,D$1,0),"Check"),"")</f>
        <v>AXY</v>
      </c>
      <c r="E304" s="102" t="str">
        <f>IF($B304&lt;&gt;"",_xlfn.IFNA(VLOOKUP($B304,'Node Details'!$B:$U,E$1,0),"Check"),"")</f>
        <v>Airtel</v>
      </c>
      <c r="F304" s="103">
        <v>46113</v>
      </c>
      <c r="G304" s="105"/>
      <c r="H304" s="104" t="s">
        <v>184</v>
      </c>
      <c r="I304" s="9">
        <v>1</v>
      </c>
      <c r="J304" s="9">
        <v>48</v>
      </c>
      <c r="K304" s="102">
        <f t="shared" si="51"/>
        <v>48</v>
      </c>
      <c r="L304" s="80">
        <v>46112</v>
      </c>
      <c r="M304" s="105"/>
      <c r="N304" s="95" t="s">
        <v>372</v>
      </c>
      <c r="O304" s="96"/>
      <c r="P304" s="106">
        <f t="shared" si="46"/>
        <v>48</v>
      </c>
      <c r="Q304" s="106">
        <f t="shared" si="47"/>
        <v>48</v>
      </c>
      <c r="R304" s="106"/>
      <c r="S304" s="95" t="s">
        <v>185</v>
      </c>
      <c r="T304" s="96"/>
      <c r="U304" s="106">
        <f t="shared" si="48"/>
        <v>48</v>
      </c>
      <c r="V304" s="106">
        <f t="shared" si="49"/>
        <v>1</v>
      </c>
      <c r="W304" s="105">
        <f t="shared" si="50"/>
        <v>48</v>
      </c>
      <c r="X304" s="95" t="s">
        <v>186</v>
      </c>
      <c r="Y304" s="107" t="s">
        <v>181</v>
      </c>
      <c r="Z304" s="107" t="s">
        <v>176</v>
      </c>
    </row>
    <row r="305" spans="1:26" s="107" customFormat="1" ht="15" customHeight="1" x14ac:dyDescent="0.2">
      <c r="A305" s="101">
        <f t="shared" si="45"/>
        <v>303</v>
      </c>
      <c r="B305" s="77" t="s">
        <v>293</v>
      </c>
      <c r="C305" s="102" t="str">
        <f>IF($B305&lt;&gt;"",_xlfn.IFNA(VLOOKUP($B305,'Node Details'!$B:$U,C$1,0),"Check"),"")</f>
        <v>0000AXY09-AXY090105</v>
      </c>
      <c r="D305" s="102" t="str">
        <f>IF($B305&lt;&gt;"",_xlfn.IFNA(VLOOKUP($B305,'Node Details'!$B:$U,D$1,0),"Check"),"")</f>
        <v>AXY</v>
      </c>
      <c r="E305" s="102" t="str">
        <f>IF($B305&lt;&gt;"",_xlfn.IFNA(VLOOKUP($B305,'Node Details'!$B:$U,E$1,0),"Check"),"")</f>
        <v>Airtel</v>
      </c>
      <c r="F305" s="103">
        <v>46113</v>
      </c>
      <c r="G305" s="105"/>
      <c r="H305" s="104" t="s">
        <v>184</v>
      </c>
      <c r="I305" s="9">
        <v>1</v>
      </c>
      <c r="J305" s="9">
        <v>48</v>
      </c>
      <c r="K305" s="102">
        <f t="shared" si="51"/>
        <v>48</v>
      </c>
      <c r="L305" s="80">
        <v>46112</v>
      </c>
      <c r="M305" s="105"/>
      <c r="N305" s="95" t="s">
        <v>372</v>
      </c>
      <c r="O305" s="96"/>
      <c r="P305" s="106">
        <f t="shared" si="46"/>
        <v>48</v>
      </c>
      <c r="Q305" s="106">
        <f t="shared" si="47"/>
        <v>48</v>
      </c>
      <c r="R305" s="106"/>
      <c r="S305" s="95" t="s">
        <v>185</v>
      </c>
      <c r="T305" s="96"/>
      <c r="U305" s="106">
        <f t="shared" si="48"/>
        <v>48</v>
      </c>
      <c r="V305" s="106">
        <f t="shared" si="49"/>
        <v>1</v>
      </c>
      <c r="W305" s="105">
        <f t="shared" si="50"/>
        <v>48</v>
      </c>
      <c r="X305" s="95" t="s">
        <v>186</v>
      </c>
      <c r="Y305" s="107" t="s">
        <v>181</v>
      </c>
      <c r="Z305" s="107" t="s">
        <v>176</v>
      </c>
    </row>
    <row r="306" spans="1:26" s="107" customFormat="1" ht="15" customHeight="1" x14ac:dyDescent="0.2">
      <c r="A306" s="101">
        <f t="shared" si="45"/>
        <v>304</v>
      </c>
      <c r="B306" s="77" t="s">
        <v>294</v>
      </c>
      <c r="C306" s="102" t="str">
        <f>IF($B306&lt;&gt;"",_xlfn.IFNA(VLOOKUP($B306,'Node Details'!$B:$U,C$1,0),"Check"),"")</f>
        <v>0000AXY09-AXY090201</v>
      </c>
      <c r="D306" s="102" t="str">
        <f>IF($B306&lt;&gt;"",_xlfn.IFNA(VLOOKUP($B306,'Node Details'!$B:$U,D$1,0),"Check"),"")</f>
        <v>AXY</v>
      </c>
      <c r="E306" s="102" t="str">
        <f>IF($B306&lt;&gt;"",_xlfn.IFNA(VLOOKUP($B306,'Node Details'!$B:$U,E$1,0),"Check"),"")</f>
        <v>Airtel</v>
      </c>
      <c r="F306" s="103">
        <v>46113</v>
      </c>
      <c r="G306" s="105"/>
      <c r="H306" s="104" t="s">
        <v>184</v>
      </c>
      <c r="I306" s="9">
        <v>1</v>
      </c>
      <c r="J306" s="9">
        <v>48</v>
      </c>
      <c r="K306" s="102">
        <f t="shared" si="51"/>
        <v>48</v>
      </c>
      <c r="L306" s="80">
        <v>46112</v>
      </c>
      <c r="M306" s="105"/>
      <c r="N306" s="95" t="s">
        <v>372</v>
      </c>
      <c r="O306" s="96"/>
      <c r="P306" s="106">
        <f t="shared" si="46"/>
        <v>48</v>
      </c>
      <c r="Q306" s="106">
        <f t="shared" si="47"/>
        <v>48</v>
      </c>
      <c r="R306" s="106"/>
      <c r="S306" s="95" t="s">
        <v>185</v>
      </c>
      <c r="T306" s="96"/>
      <c r="U306" s="106">
        <f t="shared" si="48"/>
        <v>48</v>
      </c>
      <c r="V306" s="106">
        <f t="shared" si="49"/>
        <v>1</v>
      </c>
      <c r="W306" s="105">
        <f t="shared" si="50"/>
        <v>48</v>
      </c>
      <c r="X306" s="95" t="s">
        <v>186</v>
      </c>
      <c r="Y306" s="107" t="s">
        <v>181</v>
      </c>
      <c r="Z306" s="107" t="s">
        <v>176</v>
      </c>
    </row>
    <row r="307" spans="1:26" s="107" customFormat="1" ht="15" customHeight="1" x14ac:dyDescent="0.2">
      <c r="A307" s="101">
        <f t="shared" si="45"/>
        <v>305</v>
      </c>
      <c r="B307" s="77" t="s">
        <v>295</v>
      </c>
      <c r="C307" s="102" t="str">
        <f>IF($B307&lt;&gt;"",_xlfn.IFNA(VLOOKUP($B307,'Node Details'!$B:$U,C$1,0),"Check"),"")</f>
        <v>0000AXY09-AXY090201</v>
      </c>
      <c r="D307" s="102" t="str">
        <f>IF($B307&lt;&gt;"",_xlfn.IFNA(VLOOKUP($B307,'Node Details'!$B:$U,D$1,0),"Check"),"")</f>
        <v>AXY</v>
      </c>
      <c r="E307" s="102" t="str">
        <f>IF($B307&lt;&gt;"",_xlfn.IFNA(VLOOKUP($B307,'Node Details'!$B:$U,E$1,0),"Check"),"")</f>
        <v>Airtel</v>
      </c>
      <c r="F307" s="103">
        <v>46113</v>
      </c>
      <c r="G307" s="105"/>
      <c r="H307" s="104" t="s">
        <v>184</v>
      </c>
      <c r="I307" s="9">
        <v>1</v>
      </c>
      <c r="J307" s="9">
        <v>48</v>
      </c>
      <c r="K307" s="102">
        <f t="shared" si="51"/>
        <v>48</v>
      </c>
      <c r="L307" s="80">
        <v>46112</v>
      </c>
      <c r="M307" s="105"/>
      <c r="N307" s="95" t="s">
        <v>372</v>
      </c>
      <c r="O307" s="96"/>
      <c r="P307" s="106">
        <f t="shared" si="46"/>
        <v>48</v>
      </c>
      <c r="Q307" s="106">
        <f t="shared" si="47"/>
        <v>48</v>
      </c>
      <c r="R307" s="106"/>
      <c r="S307" s="95" t="s">
        <v>185</v>
      </c>
      <c r="T307" s="96"/>
      <c r="U307" s="106">
        <f t="shared" si="48"/>
        <v>48</v>
      </c>
      <c r="V307" s="106">
        <f t="shared" si="49"/>
        <v>1</v>
      </c>
      <c r="W307" s="105">
        <f t="shared" si="50"/>
        <v>48</v>
      </c>
      <c r="X307" s="95" t="s">
        <v>186</v>
      </c>
      <c r="Y307" s="107" t="s">
        <v>181</v>
      </c>
      <c r="Z307" s="107" t="s">
        <v>176</v>
      </c>
    </row>
    <row r="308" spans="1:26" s="107" customFormat="1" ht="15" customHeight="1" x14ac:dyDescent="0.2">
      <c r="A308" s="101">
        <f t="shared" si="45"/>
        <v>306</v>
      </c>
      <c r="B308" s="77" t="s">
        <v>296</v>
      </c>
      <c r="C308" s="102" t="str">
        <f>IF($B308&lt;&gt;"",_xlfn.IFNA(VLOOKUP($B308,'Node Details'!$B:$U,C$1,0),"Check"),"")</f>
        <v>0000AXY09-AXY090201</v>
      </c>
      <c r="D308" s="102" t="str">
        <f>IF($B308&lt;&gt;"",_xlfn.IFNA(VLOOKUP($B308,'Node Details'!$B:$U,D$1,0),"Check"),"")</f>
        <v>AXY</v>
      </c>
      <c r="E308" s="102" t="str">
        <f>IF($B308&lt;&gt;"",_xlfn.IFNA(VLOOKUP($B308,'Node Details'!$B:$U,E$1,0),"Check"),"")</f>
        <v>Airtel</v>
      </c>
      <c r="F308" s="103">
        <v>46113</v>
      </c>
      <c r="G308" s="105"/>
      <c r="H308" s="104" t="s">
        <v>184</v>
      </c>
      <c r="I308" s="9">
        <v>1</v>
      </c>
      <c r="J308" s="9">
        <v>48</v>
      </c>
      <c r="K308" s="102">
        <f t="shared" si="51"/>
        <v>48</v>
      </c>
      <c r="L308" s="80">
        <v>46112</v>
      </c>
      <c r="M308" s="105"/>
      <c r="N308" s="95" t="s">
        <v>372</v>
      </c>
      <c r="O308" s="96"/>
      <c r="P308" s="106">
        <f t="shared" si="46"/>
        <v>48</v>
      </c>
      <c r="Q308" s="106">
        <f t="shared" si="47"/>
        <v>48</v>
      </c>
      <c r="R308" s="106"/>
      <c r="S308" s="95" t="s">
        <v>185</v>
      </c>
      <c r="T308" s="96"/>
      <c r="U308" s="106">
        <f t="shared" si="48"/>
        <v>48</v>
      </c>
      <c r="V308" s="106">
        <f t="shared" si="49"/>
        <v>1</v>
      </c>
      <c r="W308" s="105">
        <f t="shared" si="50"/>
        <v>48</v>
      </c>
      <c r="X308" s="95" t="s">
        <v>186</v>
      </c>
      <c r="Y308" s="107" t="s">
        <v>181</v>
      </c>
      <c r="Z308" s="107" t="s">
        <v>176</v>
      </c>
    </row>
    <row r="309" spans="1:26" s="107" customFormat="1" ht="15" customHeight="1" x14ac:dyDescent="0.2">
      <c r="A309" s="101">
        <f t="shared" si="45"/>
        <v>307</v>
      </c>
      <c r="B309" s="77" t="s">
        <v>297</v>
      </c>
      <c r="C309" s="102" t="str">
        <f>IF($B309&lt;&gt;"",_xlfn.IFNA(VLOOKUP($B309,'Node Details'!$B:$U,C$1,0),"Check"),"")</f>
        <v>0000AXY09-AXY090201</v>
      </c>
      <c r="D309" s="102" t="str">
        <f>IF($B309&lt;&gt;"",_xlfn.IFNA(VLOOKUP($B309,'Node Details'!$B:$U,D$1,0),"Check"),"")</f>
        <v>AXY</v>
      </c>
      <c r="E309" s="102" t="str">
        <f>IF($B309&lt;&gt;"",_xlfn.IFNA(VLOOKUP($B309,'Node Details'!$B:$U,E$1,0),"Check"),"")</f>
        <v>Airtel</v>
      </c>
      <c r="F309" s="103">
        <v>46113</v>
      </c>
      <c r="G309" s="105"/>
      <c r="H309" s="104" t="s">
        <v>184</v>
      </c>
      <c r="I309" s="9">
        <v>1</v>
      </c>
      <c r="J309" s="9">
        <v>48</v>
      </c>
      <c r="K309" s="102">
        <f t="shared" si="51"/>
        <v>48</v>
      </c>
      <c r="L309" s="80">
        <v>46112</v>
      </c>
      <c r="M309" s="105"/>
      <c r="N309" s="95" t="s">
        <v>372</v>
      </c>
      <c r="O309" s="96"/>
      <c r="P309" s="106">
        <f t="shared" si="46"/>
        <v>48</v>
      </c>
      <c r="Q309" s="106">
        <f t="shared" si="47"/>
        <v>48</v>
      </c>
      <c r="R309" s="106"/>
      <c r="S309" s="95" t="s">
        <v>185</v>
      </c>
      <c r="T309" s="96"/>
      <c r="U309" s="106">
        <f t="shared" si="48"/>
        <v>48</v>
      </c>
      <c r="V309" s="106">
        <f t="shared" si="49"/>
        <v>1</v>
      </c>
      <c r="W309" s="105">
        <f t="shared" si="50"/>
        <v>48</v>
      </c>
      <c r="X309" s="95" t="s">
        <v>186</v>
      </c>
      <c r="Y309" s="107" t="s">
        <v>181</v>
      </c>
      <c r="Z309" s="107" t="s">
        <v>176</v>
      </c>
    </row>
    <row r="310" spans="1:26" s="107" customFormat="1" ht="15" customHeight="1" x14ac:dyDescent="0.2">
      <c r="A310" s="101">
        <f t="shared" si="45"/>
        <v>308</v>
      </c>
      <c r="B310" s="77" t="s">
        <v>298</v>
      </c>
      <c r="C310" s="102" t="str">
        <f>IF($B310&lt;&gt;"",_xlfn.IFNA(VLOOKUP($B310,'Node Details'!$B:$U,C$1,0),"Check"),"")</f>
        <v>AXY090201-AXY090204</v>
      </c>
      <c r="D310" s="102" t="str">
        <f>IF($B310&lt;&gt;"",_xlfn.IFNA(VLOOKUP($B310,'Node Details'!$B:$U,D$1,0),"Check"),"")</f>
        <v>AXY</v>
      </c>
      <c r="E310" s="102" t="str">
        <f>IF($B310&lt;&gt;"",_xlfn.IFNA(VLOOKUP($B310,'Node Details'!$B:$U,E$1,0),"Check"),"")</f>
        <v>Airtel</v>
      </c>
      <c r="F310" s="103">
        <v>46113</v>
      </c>
      <c r="G310" s="105"/>
      <c r="H310" s="104" t="s">
        <v>184</v>
      </c>
      <c r="I310" s="9">
        <v>1</v>
      </c>
      <c r="J310" s="9">
        <v>48</v>
      </c>
      <c r="K310" s="102">
        <f t="shared" si="51"/>
        <v>48</v>
      </c>
      <c r="L310" s="80">
        <v>46112</v>
      </c>
      <c r="M310" s="105"/>
      <c r="N310" s="95" t="s">
        <v>372</v>
      </c>
      <c r="O310" s="96"/>
      <c r="P310" s="106">
        <f t="shared" si="46"/>
        <v>48</v>
      </c>
      <c r="Q310" s="106">
        <f t="shared" si="47"/>
        <v>48</v>
      </c>
      <c r="R310" s="106"/>
      <c r="S310" s="95" t="s">
        <v>185</v>
      </c>
      <c r="T310" s="96"/>
      <c r="U310" s="106">
        <f t="shared" si="48"/>
        <v>48</v>
      </c>
      <c r="V310" s="106">
        <f t="shared" si="49"/>
        <v>1</v>
      </c>
      <c r="W310" s="105">
        <f t="shared" si="50"/>
        <v>48</v>
      </c>
      <c r="X310" s="95" t="s">
        <v>186</v>
      </c>
      <c r="Y310" s="107" t="s">
        <v>181</v>
      </c>
      <c r="Z310" s="107" t="s">
        <v>176</v>
      </c>
    </row>
    <row r="311" spans="1:26" s="107" customFormat="1" ht="15" customHeight="1" x14ac:dyDescent="0.2">
      <c r="A311" s="101">
        <f t="shared" si="45"/>
        <v>309</v>
      </c>
      <c r="B311" s="77" t="s">
        <v>299</v>
      </c>
      <c r="C311" s="102" t="str">
        <f>IF($B311&lt;&gt;"",_xlfn.IFNA(VLOOKUP($B311,'Node Details'!$B:$U,C$1,0),"Check"),"")</f>
        <v>AXY090201-AXY090204</v>
      </c>
      <c r="D311" s="102" t="str">
        <f>IF($B311&lt;&gt;"",_xlfn.IFNA(VLOOKUP($B311,'Node Details'!$B:$U,D$1,0),"Check"),"")</f>
        <v>AXY</v>
      </c>
      <c r="E311" s="102" t="str">
        <f>IF($B311&lt;&gt;"",_xlfn.IFNA(VLOOKUP($B311,'Node Details'!$B:$U,E$1,0),"Check"),"")</f>
        <v>Airtel</v>
      </c>
      <c r="F311" s="103">
        <v>46113</v>
      </c>
      <c r="G311" s="105"/>
      <c r="H311" s="104" t="s">
        <v>184</v>
      </c>
      <c r="I311" s="9">
        <v>1</v>
      </c>
      <c r="J311" s="9">
        <v>48</v>
      </c>
      <c r="K311" s="102">
        <f t="shared" si="51"/>
        <v>48</v>
      </c>
      <c r="L311" s="80">
        <v>46112</v>
      </c>
      <c r="M311" s="105"/>
      <c r="N311" s="95" t="s">
        <v>372</v>
      </c>
      <c r="O311" s="96"/>
      <c r="P311" s="106">
        <f t="shared" si="46"/>
        <v>48</v>
      </c>
      <c r="Q311" s="106">
        <f t="shared" si="47"/>
        <v>48</v>
      </c>
      <c r="R311" s="106"/>
      <c r="S311" s="95" t="s">
        <v>185</v>
      </c>
      <c r="T311" s="96"/>
      <c r="U311" s="106">
        <f t="shared" si="48"/>
        <v>48</v>
      </c>
      <c r="V311" s="106">
        <f t="shared" si="49"/>
        <v>1</v>
      </c>
      <c r="W311" s="105">
        <f t="shared" si="50"/>
        <v>48</v>
      </c>
      <c r="X311" s="95" t="s">
        <v>186</v>
      </c>
      <c r="Y311" s="107" t="s">
        <v>181</v>
      </c>
      <c r="Z311" s="107" t="s">
        <v>176</v>
      </c>
    </row>
    <row r="312" spans="1:26" s="107" customFormat="1" ht="15" customHeight="1" x14ac:dyDescent="0.2">
      <c r="A312" s="101">
        <f t="shared" si="45"/>
        <v>310</v>
      </c>
      <c r="B312" s="77" t="s">
        <v>300</v>
      </c>
      <c r="C312" s="102" t="str">
        <f>IF($B312&lt;&gt;"",_xlfn.IFNA(VLOOKUP($B312,'Node Details'!$B:$U,C$1,0),"Check"),"")</f>
        <v>AXY090201-AXY090204</v>
      </c>
      <c r="D312" s="102" t="str">
        <f>IF($B312&lt;&gt;"",_xlfn.IFNA(VLOOKUP($B312,'Node Details'!$B:$U,D$1,0),"Check"),"")</f>
        <v>AXY</v>
      </c>
      <c r="E312" s="102" t="str">
        <f>IF($B312&lt;&gt;"",_xlfn.IFNA(VLOOKUP($B312,'Node Details'!$B:$U,E$1,0),"Check"),"")</f>
        <v>Airtel</v>
      </c>
      <c r="F312" s="103">
        <v>46113</v>
      </c>
      <c r="G312" s="105"/>
      <c r="H312" s="104" t="s">
        <v>184</v>
      </c>
      <c r="I312" s="9">
        <v>1</v>
      </c>
      <c r="J312" s="9">
        <v>48</v>
      </c>
      <c r="K312" s="102">
        <f t="shared" si="51"/>
        <v>48</v>
      </c>
      <c r="L312" s="80">
        <v>46112</v>
      </c>
      <c r="M312" s="105"/>
      <c r="N312" s="95" t="s">
        <v>372</v>
      </c>
      <c r="O312" s="96"/>
      <c r="P312" s="106">
        <f t="shared" si="46"/>
        <v>48</v>
      </c>
      <c r="Q312" s="106">
        <f t="shared" si="47"/>
        <v>48</v>
      </c>
      <c r="R312" s="106"/>
      <c r="S312" s="95" t="s">
        <v>185</v>
      </c>
      <c r="T312" s="96"/>
      <c r="U312" s="106">
        <f t="shared" si="48"/>
        <v>48</v>
      </c>
      <c r="V312" s="106">
        <f t="shared" si="49"/>
        <v>1</v>
      </c>
      <c r="W312" s="105">
        <f t="shared" si="50"/>
        <v>48</v>
      </c>
      <c r="X312" s="95" t="s">
        <v>186</v>
      </c>
      <c r="Y312" s="107" t="s">
        <v>181</v>
      </c>
      <c r="Z312" s="107" t="s">
        <v>176</v>
      </c>
    </row>
    <row r="313" spans="1:26" s="107" customFormat="1" ht="15" customHeight="1" x14ac:dyDescent="0.2">
      <c r="A313" s="101">
        <f t="shared" si="45"/>
        <v>311</v>
      </c>
      <c r="B313" s="77" t="s">
        <v>301</v>
      </c>
      <c r="C313" s="102" t="str">
        <f>IF($B313&lt;&gt;"",_xlfn.IFNA(VLOOKUP($B313,'Node Details'!$B:$U,C$1,0),"Check"),"")</f>
        <v>000000AXY-0000AXY12</v>
      </c>
      <c r="D313" s="102" t="str">
        <f>IF($B313&lt;&gt;"",_xlfn.IFNA(VLOOKUP($B313,'Node Details'!$B:$U,D$1,0),"Check"),"")</f>
        <v>AXY</v>
      </c>
      <c r="E313" s="102" t="str">
        <f>IF($B313&lt;&gt;"",_xlfn.IFNA(VLOOKUP($B313,'Node Details'!$B:$U,E$1,0),"Check"),"")</f>
        <v>Airtel</v>
      </c>
      <c r="F313" s="103">
        <v>46113</v>
      </c>
      <c r="G313" s="105"/>
      <c r="H313" s="104" t="s">
        <v>184</v>
      </c>
      <c r="I313" s="9">
        <v>1</v>
      </c>
      <c r="J313" s="9">
        <v>48</v>
      </c>
      <c r="K313" s="102">
        <f t="shared" si="51"/>
        <v>48</v>
      </c>
      <c r="L313" s="80">
        <v>46112</v>
      </c>
      <c r="M313" s="105"/>
      <c r="N313" s="95" t="s">
        <v>372</v>
      </c>
      <c r="O313" s="96"/>
      <c r="P313" s="106">
        <f t="shared" si="46"/>
        <v>48</v>
      </c>
      <c r="Q313" s="106">
        <f t="shared" si="47"/>
        <v>48</v>
      </c>
      <c r="R313" s="106"/>
      <c r="S313" s="95" t="s">
        <v>185</v>
      </c>
      <c r="T313" s="96"/>
      <c r="U313" s="106">
        <f t="shared" si="48"/>
        <v>48</v>
      </c>
      <c r="V313" s="106">
        <f t="shared" si="49"/>
        <v>1</v>
      </c>
      <c r="W313" s="105">
        <f t="shared" si="50"/>
        <v>48</v>
      </c>
      <c r="X313" s="95" t="s">
        <v>186</v>
      </c>
      <c r="Y313" s="107" t="s">
        <v>181</v>
      </c>
      <c r="Z313" s="107" t="s">
        <v>176</v>
      </c>
    </row>
    <row r="314" spans="1:26" s="107" customFormat="1" ht="15" customHeight="1" x14ac:dyDescent="0.2">
      <c r="A314" s="101">
        <f t="shared" si="45"/>
        <v>312</v>
      </c>
      <c r="B314" s="77" t="s">
        <v>302</v>
      </c>
      <c r="C314" s="102" t="str">
        <f>IF($B314&lt;&gt;"",_xlfn.IFNA(VLOOKUP($B314,'Node Details'!$B:$U,C$1,0),"Check"),"")</f>
        <v>0000AXY10-AXY100104</v>
      </c>
      <c r="D314" s="102" t="str">
        <f>IF($B314&lt;&gt;"",_xlfn.IFNA(VLOOKUP($B314,'Node Details'!$B:$U,D$1,0),"Check"),"")</f>
        <v>AXY</v>
      </c>
      <c r="E314" s="102" t="str">
        <f>IF($B314&lt;&gt;"",_xlfn.IFNA(VLOOKUP($B314,'Node Details'!$B:$U,E$1,0),"Check"),"")</f>
        <v>Airtel</v>
      </c>
      <c r="F314" s="103">
        <v>46113</v>
      </c>
      <c r="G314" s="105"/>
      <c r="H314" s="104" t="s">
        <v>184</v>
      </c>
      <c r="I314" s="9">
        <v>1</v>
      </c>
      <c r="J314" s="9">
        <v>48</v>
      </c>
      <c r="K314" s="102">
        <f t="shared" si="51"/>
        <v>48</v>
      </c>
      <c r="L314" s="80">
        <v>46112</v>
      </c>
      <c r="M314" s="105"/>
      <c r="N314" s="95" t="s">
        <v>372</v>
      </c>
      <c r="O314" s="96"/>
      <c r="P314" s="106">
        <f t="shared" si="46"/>
        <v>48</v>
      </c>
      <c r="Q314" s="106">
        <f t="shared" si="47"/>
        <v>48</v>
      </c>
      <c r="R314" s="106"/>
      <c r="S314" s="95" t="s">
        <v>185</v>
      </c>
      <c r="T314" s="96"/>
      <c r="U314" s="106">
        <f t="shared" si="48"/>
        <v>48</v>
      </c>
      <c r="V314" s="106">
        <f t="shared" si="49"/>
        <v>1</v>
      </c>
      <c r="W314" s="105">
        <f t="shared" si="50"/>
        <v>48</v>
      </c>
      <c r="X314" s="95" t="s">
        <v>186</v>
      </c>
      <c r="Y314" s="107" t="s">
        <v>181</v>
      </c>
      <c r="Z314" s="107" t="s">
        <v>176</v>
      </c>
    </row>
    <row r="315" spans="1:26" s="107" customFormat="1" ht="15" customHeight="1" x14ac:dyDescent="0.2">
      <c r="A315" s="101">
        <f t="shared" si="45"/>
        <v>313</v>
      </c>
      <c r="B315" s="77" t="s">
        <v>303</v>
      </c>
      <c r="C315" s="102" t="str">
        <f>IF($B315&lt;&gt;"",_xlfn.IFNA(VLOOKUP($B315,'Node Details'!$B:$U,C$1,0),"Check"),"")</f>
        <v>0000AXY10-AXY100104</v>
      </c>
      <c r="D315" s="102" t="str">
        <f>IF($B315&lt;&gt;"",_xlfn.IFNA(VLOOKUP($B315,'Node Details'!$B:$U,D$1,0),"Check"),"")</f>
        <v>AXY</v>
      </c>
      <c r="E315" s="102" t="str">
        <f>IF($B315&lt;&gt;"",_xlfn.IFNA(VLOOKUP($B315,'Node Details'!$B:$U,E$1,0),"Check"),"")</f>
        <v>Airtel</v>
      </c>
      <c r="F315" s="103">
        <v>46113</v>
      </c>
      <c r="G315" s="105"/>
      <c r="H315" s="104" t="s">
        <v>184</v>
      </c>
      <c r="I315" s="9">
        <v>1</v>
      </c>
      <c r="J315" s="9">
        <v>48</v>
      </c>
      <c r="K315" s="102">
        <f t="shared" si="51"/>
        <v>48</v>
      </c>
      <c r="L315" s="80">
        <v>46112</v>
      </c>
      <c r="M315" s="105"/>
      <c r="N315" s="95" t="s">
        <v>372</v>
      </c>
      <c r="O315" s="96"/>
      <c r="P315" s="106">
        <f t="shared" si="46"/>
        <v>48</v>
      </c>
      <c r="Q315" s="106">
        <f t="shared" si="47"/>
        <v>48</v>
      </c>
      <c r="R315" s="106"/>
      <c r="S315" s="95" t="s">
        <v>185</v>
      </c>
      <c r="T315" s="96"/>
      <c r="U315" s="106">
        <f t="shared" si="48"/>
        <v>48</v>
      </c>
      <c r="V315" s="106">
        <f t="shared" si="49"/>
        <v>1</v>
      </c>
      <c r="W315" s="105">
        <f t="shared" si="50"/>
        <v>48</v>
      </c>
      <c r="X315" s="95" t="s">
        <v>186</v>
      </c>
      <c r="Y315" s="107" t="s">
        <v>181</v>
      </c>
      <c r="Z315" s="107" t="s">
        <v>176</v>
      </c>
    </row>
    <row r="316" spans="1:26" s="107" customFormat="1" ht="15" customHeight="1" x14ac:dyDescent="0.2">
      <c r="A316" s="101">
        <f t="shared" si="45"/>
        <v>314</v>
      </c>
      <c r="B316" s="77" t="s">
        <v>304</v>
      </c>
      <c r="C316" s="102" t="str">
        <f>IF($B316&lt;&gt;"",_xlfn.IFNA(VLOOKUP($B316,'Node Details'!$B:$U,C$1,0),"Check"),"")</f>
        <v>0000AXY10-AXY100104</v>
      </c>
      <c r="D316" s="102" t="str">
        <f>IF($B316&lt;&gt;"",_xlfn.IFNA(VLOOKUP($B316,'Node Details'!$B:$U,D$1,0),"Check"),"")</f>
        <v>AXY</v>
      </c>
      <c r="E316" s="102" t="str">
        <f>IF($B316&lt;&gt;"",_xlfn.IFNA(VLOOKUP($B316,'Node Details'!$B:$U,E$1,0),"Check"),"")</f>
        <v>Airtel</v>
      </c>
      <c r="F316" s="103">
        <v>46113</v>
      </c>
      <c r="G316" s="105"/>
      <c r="H316" s="104" t="s">
        <v>184</v>
      </c>
      <c r="I316" s="9">
        <v>1</v>
      </c>
      <c r="J316" s="9">
        <v>48</v>
      </c>
      <c r="K316" s="102">
        <f t="shared" si="51"/>
        <v>48</v>
      </c>
      <c r="L316" s="80">
        <v>46112</v>
      </c>
      <c r="M316" s="105"/>
      <c r="N316" s="95" t="s">
        <v>372</v>
      </c>
      <c r="O316" s="96"/>
      <c r="P316" s="106">
        <f t="shared" si="46"/>
        <v>48</v>
      </c>
      <c r="Q316" s="106">
        <f t="shared" si="47"/>
        <v>48</v>
      </c>
      <c r="R316" s="106"/>
      <c r="S316" s="95" t="s">
        <v>185</v>
      </c>
      <c r="T316" s="96"/>
      <c r="U316" s="106">
        <f t="shared" si="48"/>
        <v>48</v>
      </c>
      <c r="V316" s="106">
        <f t="shared" si="49"/>
        <v>1</v>
      </c>
      <c r="W316" s="105">
        <f t="shared" si="50"/>
        <v>48</v>
      </c>
      <c r="X316" s="95" t="s">
        <v>186</v>
      </c>
      <c r="Y316" s="107" t="s">
        <v>181</v>
      </c>
      <c r="Z316" s="107" t="s">
        <v>176</v>
      </c>
    </row>
    <row r="317" spans="1:26" s="107" customFormat="1" ht="15" customHeight="1" x14ac:dyDescent="0.2">
      <c r="A317" s="101">
        <f t="shared" si="45"/>
        <v>315</v>
      </c>
      <c r="B317" s="77" t="s">
        <v>305</v>
      </c>
      <c r="C317" s="102" t="str">
        <f>IF($B317&lt;&gt;"",_xlfn.IFNA(VLOOKUP($B317,'Node Details'!$B:$U,C$1,0),"Check"),"")</f>
        <v>0000AXY10-AXY100105</v>
      </c>
      <c r="D317" s="102" t="str">
        <f>IF($B317&lt;&gt;"",_xlfn.IFNA(VLOOKUP($B317,'Node Details'!$B:$U,D$1,0),"Check"),"")</f>
        <v>AXY</v>
      </c>
      <c r="E317" s="102" t="str">
        <f>IF($B317&lt;&gt;"",_xlfn.IFNA(VLOOKUP($B317,'Node Details'!$B:$U,E$1,0),"Check"),"")</f>
        <v>Airtel</v>
      </c>
      <c r="F317" s="103">
        <v>46113</v>
      </c>
      <c r="G317" s="105"/>
      <c r="H317" s="104" t="s">
        <v>184</v>
      </c>
      <c r="I317" s="9">
        <v>1</v>
      </c>
      <c r="J317" s="9">
        <v>48</v>
      </c>
      <c r="K317" s="102">
        <f t="shared" si="51"/>
        <v>48</v>
      </c>
      <c r="L317" s="80">
        <v>46112</v>
      </c>
      <c r="M317" s="105"/>
      <c r="N317" s="95" t="s">
        <v>372</v>
      </c>
      <c r="O317" s="96"/>
      <c r="P317" s="106">
        <f t="shared" si="46"/>
        <v>48</v>
      </c>
      <c r="Q317" s="106">
        <f t="shared" si="47"/>
        <v>48</v>
      </c>
      <c r="R317" s="106"/>
      <c r="S317" s="95" t="s">
        <v>185</v>
      </c>
      <c r="T317" s="96"/>
      <c r="U317" s="106">
        <f t="shared" si="48"/>
        <v>48</v>
      </c>
      <c r="V317" s="106">
        <f t="shared" si="49"/>
        <v>1</v>
      </c>
      <c r="W317" s="105">
        <f t="shared" si="50"/>
        <v>48</v>
      </c>
      <c r="X317" s="95" t="s">
        <v>186</v>
      </c>
      <c r="Y317" s="107" t="s">
        <v>181</v>
      </c>
      <c r="Z317" s="107" t="s">
        <v>176</v>
      </c>
    </row>
    <row r="318" spans="1:26" s="107" customFormat="1" ht="15" customHeight="1" x14ac:dyDescent="0.2">
      <c r="A318" s="101">
        <f t="shared" si="45"/>
        <v>316</v>
      </c>
      <c r="B318" s="77" t="s">
        <v>306</v>
      </c>
      <c r="C318" s="102" t="str">
        <f>IF($B318&lt;&gt;"",_xlfn.IFNA(VLOOKUP($B318,'Node Details'!$B:$U,C$1,0),"Check"),"")</f>
        <v>0000AXY10-AXY100105</v>
      </c>
      <c r="D318" s="102" t="str">
        <f>IF($B318&lt;&gt;"",_xlfn.IFNA(VLOOKUP($B318,'Node Details'!$B:$U,D$1,0),"Check"),"")</f>
        <v>AXY</v>
      </c>
      <c r="E318" s="102" t="str">
        <f>IF($B318&lt;&gt;"",_xlfn.IFNA(VLOOKUP($B318,'Node Details'!$B:$U,E$1,0),"Check"),"")</f>
        <v>Airtel</v>
      </c>
      <c r="F318" s="103">
        <v>46113</v>
      </c>
      <c r="G318" s="105"/>
      <c r="H318" s="104" t="s">
        <v>184</v>
      </c>
      <c r="I318" s="9">
        <v>1</v>
      </c>
      <c r="J318" s="9">
        <v>48</v>
      </c>
      <c r="K318" s="102">
        <f t="shared" si="51"/>
        <v>48</v>
      </c>
      <c r="L318" s="80">
        <v>46112</v>
      </c>
      <c r="M318" s="105"/>
      <c r="N318" s="95" t="s">
        <v>372</v>
      </c>
      <c r="O318" s="96"/>
      <c r="P318" s="106">
        <f t="shared" si="46"/>
        <v>48</v>
      </c>
      <c r="Q318" s="106">
        <f t="shared" si="47"/>
        <v>48</v>
      </c>
      <c r="R318" s="106"/>
      <c r="S318" s="95" t="s">
        <v>185</v>
      </c>
      <c r="T318" s="96"/>
      <c r="U318" s="106">
        <f t="shared" si="48"/>
        <v>48</v>
      </c>
      <c r="V318" s="106">
        <f t="shared" si="49"/>
        <v>1</v>
      </c>
      <c r="W318" s="105">
        <f t="shared" si="50"/>
        <v>48</v>
      </c>
      <c r="X318" s="95" t="s">
        <v>186</v>
      </c>
      <c r="Y318" s="107" t="s">
        <v>181</v>
      </c>
      <c r="Z318" s="107" t="s">
        <v>176</v>
      </c>
    </row>
    <row r="319" spans="1:26" s="107" customFormat="1" ht="15" customHeight="1" x14ac:dyDescent="0.2">
      <c r="A319" s="101">
        <f t="shared" si="45"/>
        <v>317</v>
      </c>
      <c r="B319" s="77" t="s">
        <v>307</v>
      </c>
      <c r="C319" s="102" t="str">
        <f>IF($B319&lt;&gt;"",_xlfn.IFNA(VLOOKUP($B319,'Node Details'!$B:$U,C$1,0),"Check"),"")</f>
        <v>AXY100106-AXY100201</v>
      </c>
      <c r="D319" s="102" t="str">
        <f>IF($B319&lt;&gt;"",_xlfn.IFNA(VLOOKUP($B319,'Node Details'!$B:$U,D$1,0),"Check"),"")</f>
        <v>AXY</v>
      </c>
      <c r="E319" s="102" t="str">
        <f>IF($B319&lt;&gt;"",_xlfn.IFNA(VLOOKUP($B319,'Node Details'!$B:$U,E$1,0),"Check"),"")</f>
        <v>Airtel</v>
      </c>
      <c r="F319" s="103">
        <v>46113</v>
      </c>
      <c r="G319" s="105"/>
      <c r="H319" s="104" t="s">
        <v>184</v>
      </c>
      <c r="I319" s="9">
        <v>1</v>
      </c>
      <c r="J319" s="9">
        <v>48</v>
      </c>
      <c r="K319" s="102">
        <f t="shared" si="51"/>
        <v>48</v>
      </c>
      <c r="L319" s="80">
        <v>46112</v>
      </c>
      <c r="M319" s="105"/>
      <c r="N319" s="95" t="s">
        <v>372</v>
      </c>
      <c r="O319" s="96"/>
      <c r="P319" s="106">
        <f t="shared" si="46"/>
        <v>48</v>
      </c>
      <c r="Q319" s="106">
        <f t="shared" si="47"/>
        <v>48</v>
      </c>
      <c r="R319" s="106"/>
      <c r="S319" s="95" t="s">
        <v>185</v>
      </c>
      <c r="T319" s="96"/>
      <c r="U319" s="106">
        <f t="shared" si="48"/>
        <v>48</v>
      </c>
      <c r="V319" s="106">
        <f t="shared" si="49"/>
        <v>1</v>
      </c>
      <c r="W319" s="105">
        <f t="shared" si="50"/>
        <v>48</v>
      </c>
      <c r="X319" s="95" t="s">
        <v>186</v>
      </c>
      <c r="Y319" s="107" t="s">
        <v>181</v>
      </c>
      <c r="Z319" s="107" t="s">
        <v>176</v>
      </c>
    </row>
    <row r="320" spans="1:26" s="107" customFormat="1" ht="15" customHeight="1" x14ac:dyDescent="0.2">
      <c r="A320" s="101">
        <f t="shared" si="45"/>
        <v>318</v>
      </c>
      <c r="B320" s="77" t="s">
        <v>308</v>
      </c>
      <c r="C320" s="102" t="str">
        <f>IF($B320&lt;&gt;"",_xlfn.IFNA(VLOOKUP($B320,'Node Details'!$B:$U,C$1,0),"Check"),"")</f>
        <v>AXY100106-AXY100201</v>
      </c>
      <c r="D320" s="102" t="str">
        <f>IF($B320&lt;&gt;"",_xlfn.IFNA(VLOOKUP($B320,'Node Details'!$B:$U,D$1,0),"Check"),"")</f>
        <v>AXY</v>
      </c>
      <c r="E320" s="102" t="str">
        <f>IF($B320&lt;&gt;"",_xlfn.IFNA(VLOOKUP($B320,'Node Details'!$B:$U,E$1,0),"Check"),"")</f>
        <v>Airtel</v>
      </c>
      <c r="F320" s="103">
        <v>46113</v>
      </c>
      <c r="G320" s="105"/>
      <c r="H320" s="104" t="s">
        <v>184</v>
      </c>
      <c r="I320" s="9">
        <v>1</v>
      </c>
      <c r="J320" s="9">
        <v>48</v>
      </c>
      <c r="K320" s="102">
        <f t="shared" si="51"/>
        <v>48</v>
      </c>
      <c r="L320" s="80">
        <v>46112</v>
      </c>
      <c r="M320" s="105"/>
      <c r="N320" s="95" t="s">
        <v>372</v>
      </c>
      <c r="O320" s="96"/>
      <c r="P320" s="106">
        <f t="shared" si="46"/>
        <v>48</v>
      </c>
      <c r="Q320" s="106">
        <f t="shared" si="47"/>
        <v>48</v>
      </c>
      <c r="R320" s="106"/>
      <c r="S320" s="95" t="s">
        <v>185</v>
      </c>
      <c r="T320" s="96"/>
      <c r="U320" s="106">
        <f t="shared" si="48"/>
        <v>48</v>
      </c>
      <c r="V320" s="106">
        <f t="shared" si="49"/>
        <v>1</v>
      </c>
      <c r="W320" s="105">
        <f t="shared" si="50"/>
        <v>48</v>
      </c>
      <c r="X320" s="95" t="s">
        <v>186</v>
      </c>
      <c r="Y320" s="107" t="s">
        <v>181</v>
      </c>
      <c r="Z320" s="107" t="s">
        <v>176</v>
      </c>
    </row>
    <row r="321" spans="1:26" s="107" customFormat="1" ht="15" customHeight="1" x14ac:dyDescent="0.2">
      <c r="A321" s="101">
        <f t="shared" si="45"/>
        <v>319</v>
      </c>
      <c r="B321" s="77" t="s">
        <v>309</v>
      </c>
      <c r="C321" s="102" t="str">
        <f>IF($B321&lt;&gt;"",_xlfn.IFNA(VLOOKUP($B321,'Node Details'!$B:$U,C$1,0),"Check"),"")</f>
        <v>000000AXY-0000AXY12</v>
      </c>
      <c r="D321" s="102" t="str">
        <f>IF($B321&lt;&gt;"",_xlfn.IFNA(VLOOKUP($B321,'Node Details'!$B:$U,D$1,0),"Check"),"")</f>
        <v>AXY</v>
      </c>
      <c r="E321" s="102" t="str">
        <f>IF($B321&lt;&gt;"",_xlfn.IFNA(VLOOKUP($B321,'Node Details'!$B:$U,E$1,0),"Check"),"")</f>
        <v>Airtel</v>
      </c>
      <c r="F321" s="103">
        <v>46113</v>
      </c>
      <c r="G321" s="105"/>
      <c r="H321" s="104" t="s">
        <v>184</v>
      </c>
      <c r="I321" s="9">
        <v>1</v>
      </c>
      <c r="J321" s="9">
        <v>48</v>
      </c>
      <c r="K321" s="102">
        <f t="shared" si="51"/>
        <v>48</v>
      </c>
      <c r="L321" s="80">
        <v>46112</v>
      </c>
      <c r="M321" s="105"/>
      <c r="N321" s="95" t="s">
        <v>372</v>
      </c>
      <c r="O321" s="96"/>
      <c r="P321" s="106">
        <f t="shared" si="46"/>
        <v>48</v>
      </c>
      <c r="Q321" s="106">
        <f t="shared" si="47"/>
        <v>48</v>
      </c>
      <c r="R321" s="106"/>
      <c r="S321" s="95" t="s">
        <v>185</v>
      </c>
      <c r="T321" s="96"/>
      <c r="U321" s="106">
        <f t="shared" si="48"/>
        <v>48</v>
      </c>
      <c r="V321" s="106">
        <f t="shared" si="49"/>
        <v>1</v>
      </c>
      <c r="W321" s="105">
        <f t="shared" si="50"/>
        <v>48</v>
      </c>
      <c r="X321" s="95" t="s">
        <v>186</v>
      </c>
      <c r="Y321" s="107" t="s">
        <v>181</v>
      </c>
      <c r="Z321" s="107" t="s">
        <v>176</v>
      </c>
    </row>
    <row r="322" spans="1:26" s="107" customFormat="1" ht="15" customHeight="1" x14ac:dyDescent="0.2">
      <c r="A322" s="101">
        <f t="shared" si="45"/>
        <v>320</v>
      </c>
      <c r="B322" s="77" t="s">
        <v>310</v>
      </c>
      <c r="C322" s="102" t="str">
        <f>IF($B322&lt;&gt;"",_xlfn.IFNA(VLOOKUP($B322,'Node Details'!$B:$U,C$1,0),"Check"),"")</f>
        <v>0000AXY11-AXY110102</v>
      </c>
      <c r="D322" s="102" t="str">
        <f>IF($B322&lt;&gt;"",_xlfn.IFNA(VLOOKUP($B322,'Node Details'!$B:$U,D$1,0),"Check"),"")</f>
        <v>AXY</v>
      </c>
      <c r="E322" s="102" t="str">
        <f>IF($B322&lt;&gt;"",_xlfn.IFNA(VLOOKUP($B322,'Node Details'!$B:$U,E$1,0),"Check"),"")</f>
        <v>Airtel</v>
      </c>
      <c r="F322" s="103">
        <v>46113</v>
      </c>
      <c r="G322" s="105"/>
      <c r="H322" s="104" t="s">
        <v>184</v>
      </c>
      <c r="I322" s="9">
        <v>1</v>
      </c>
      <c r="J322" s="9">
        <v>48</v>
      </c>
      <c r="K322" s="102">
        <f t="shared" si="51"/>
        <v>48</v>
      </c>
      <c r="L322" s="80">
        <v>46112</v>
      </c>
      <c r="M322" s="105"/>
      <c r="N322" s="95" t="s">
        <v>372</v>
      </c>
      <c r="O322" s="96"/>
      <c r="P322" s="106">
        <f t="shared" si="46"/>
        <v>48</v>
      </c>
      <c r="Q322" s="106">
        <f t="shared" si="47"/>
        <v>48</v>
      </c>
      <c r="R322" s="106"/>
      <c r="S322" s="95" t="s">
        <v>185</v>
      </c>
      <c r="T322" s="96"/>
      <c r="U322" s="106">
        <f t="shared" si="48"/>
        <v>48</v>
      </c>
      <c r="V322" s="106">
        <f t="shared" si="49"/>
        <v>1</v>
      </c>
      <c r="W322" s="105">
        <f t="shared" si="50"/>
        <v>48</v>
      </c>
      <c r="X322" s="95" t="s">
        <v>186</v>
      </c>
      <c r="Y322" s="107" t="s">
        <v>181</v>
      </c>
      <c r="Z322" s="107" t="s">
        <v>176</v>
      </c>
    </row>
    <row r="323" spans="1:26" s="107" customFormat="1" ht="15" customHeight="1" x14ac:dyDescent="0.2">
      <c r="A323" s="101">
        <f t="shared" si="45"/>
        <v>321</v>
      </c>
      <c r="B323" s="77" t="s">
        <v>311</v>
      </c>
      <c r="C323" s="102" t="str">
        <f>IF($B323&lt;&gt;"",_xlfn.IFNA(VLOOKUP($B323,'Node Details'!$B:$U,C$1,0),"Check"),"")</f>
        <v>0000AXY11-AXY110102</v>
      </c>
      <c r="D323" s="102" t="str">
        <f>IF($B323&lt;&gt;"",_xlfn.IFNA(VLOOKUP($B323,'Node Details'!$B:$U,D$1,0),"Check"),"")</f>
        <v>AXY</v>
      </c>
      <c r="E323" s="102" t="str">
        <f>IF($B323&lt;&gt;"",_xlfn.IFNA(VLOOKUP($B323,'Node Details'!$B:$U,E$1,0),"Check"),"")</f>
        <v>Airtel</v>
      </c>
      <c r="F323" s="103">
        <v>46113</v>
      </c>
      <c r="G323" s="105"/>
      <c r="H323" s="104" t="s">
        <v>184</v>
      </c>
      <c r="I323" s="9">
        <v>1</v>
      </c>
      <c r="J323" s="9">
        <v>48</v>
      </c>
      <c r="K323" s="102">
        <f t="shared" si="51"/>
        <v>48</v>
      </c>
      <c r="L323" s="80">
        <v>46112</v>
      </c>
      <c r="M323" s="105"/>
      <c r="N323" s="95" t="s">
        <v>372</v>
      </c>
      <c r="O323" s="96"/>
      <c r="P323" s="106">
        <f t="shared" si="46"/>
        <v>48</v>
      </c>
      <c r="Q323" s="106">
        <f t="shared" si="47"/>
        <v>48</v>
      </c>
      <c r="R323" s="106"/>
      <c r="S323" s="95" t="s">
        <v>185</v>
      </c>
      <c r="T323" s="96"/>
      <c r="U323" s="106">
        <f t="shared" si="48"/>
        <v>48</v>
      </c>
      <c r="V323" s="106">
        <f t="shared" si="49"/>
        <v>1</v>
      </c>
      <c r="W323" s="105">
        <f t="shared" si="50"/>
        <v>48</v>
      </c>
      <c r="X323" s="95" t="s">
        <v>186</v>
      </c>
      <c r="Y323" s="107" t="s">
        <v>181</v>
      </c>
      <c r="Z323" s="107" t="s">
        <v>176</v>
      </c>
    </row>
    <row r="324" spans="1:26" s="107" customFormat="1" ht="15" customHeight="1" x14ac:dyDescent="0.2">
      <c r="A324" s="101">
        <f t="shared" ref="A324:A387" si="52">A323+1</f>
        <v>322</v>
      </c>
      <c r="B324" s="77" t="s">
        <v>312</v>
      </c>
      <c r="C324" s="102" t="str">
        <f>IF($B324&lt;&gt;"",_xlfn.IFNA(VLOOKUP($B324,'Node Details'!$B:$U,C$1,0),"Check"),"")</f>
        <v>0000AXY11-AXY110107</v>
      </c>
      <c r="D324" s="102" t="str">
        <f>IF($B324&lt;&gt;"",_xlfn.IFNA(VLOOKUP($B324,'Node Details'!$B:$U,D$1,0),"Check"),"")</f>
        <v>AXY</v>
      </c>
      <c r="E324" s="102" t="str">
        <f>IF($B324&lt;&gt;"",_xlfn.IFNA(VLOOKUP($B324,'Node Details'!$B:$U,E$1,0),"Check"),"")</f>
        <v>Airtel</v>
      </c>
      <c r="F324" s="103">
        <v>46113</v>
      </c>
      <c r="G324" s="105"/>
      <c r="H324" s="104" t="s">
        <v>184</v>
      </c>
      <c r="I324" s="9">
        <v>1</v>
      </c>
      <c r="J324" s="9">
        <v>48</v>
      </c>
      <c r="K324" s="102">
        <f t="shared" si="51"/>
        <v>48</v>
      </c>
      <c r="L324" s="80">
        <v>46112</v>
      </c>
      <c r="M324" s="105"/>
      <c r="N324" s="95" t="s">
        <v>372</v>
      </c>
      <c r="O324" s="96"/>
      <c r="P324" s="106">
        <f t="shared" si="46"/>
        <v>48</v>
      </c>
      <c r="Q324" s="106">
        <f t="shared" si="47"/>
        <v>48</v>
      </c>
      <c r="R324" s="106"/>
      <c r="S324" s="95" t="s">
        <v>185</v>
      </c>
      <c r="T324" s="96"/>
      <c r="U324" s="106">
        <f t="shared" si="48"/>
        <v>48</v>
      </c>
      <c r="V324" s="106">
        <f t="shared" si="49"/>
        <v>1</v>
      </c>
      <c r="W324" s="105">
        <f t="shared" si="50"/>
        <v>48</v>
      </c>
      <c r="X324" s="95" t="s">
        <v>186</v>
      </c>
      <c r="Y324" s="107" t="s">
        <v>181</v>
      </c>
      <c r="Z324" s="107" t="s">
        <v>176</v>
      </c>
    </row>
    <row r="325" spans="1:26" s="107" customFormat="1" ht="15" customHeight="1" x14ac:dyDescent="0.2">
      <c r="A325" s="101">
        <f t="shared" si="52"/>
        <v>323</v>
      </c>
      <c r="B325" s="77" t="s">
        <v>313</v>
      </c>
      <c r="C325" s="102" t="str">
        <f>IF($B325&lt;&gt;"",_xlfn.IFNA(VLOOKUP($B325,'Node Details'!$B:$U,C$1,0),"Check"),"")</f>
        <v>0000AXY11-AXY110107</v>
      </c>
      <c r="D325" s="102" t="str">
        <f>IF($B325&lt;&gt;"",_xlfn.IFNA(VLOOKUP($B325,'Node Details'!$B:$U,D$1,0),"Check"),"")</f>
        <v>AXY</v>
      </c>
      <c r="E325" s="102" t="str">
        <f>IF($B325&lt;&gt;"",_xlfn.IFNA(VLOOKUP($B325,'Node Details'!$B:$U,E$1,0),"Check"),"")</f>
        <v>Airtel</v>
      </c>
      <c r="F325" s="103">
        <v>46113</v>
      </c>
      <c r="G325" s="105"/>
      <c r="H325" s="104" t="s">
        <v>184</v>
      </c>
      <c r="I325" s="9">
        <v>1</v>
      </c>
      <c r="J325" s="9">
        <v>48</v>
      </c>
      <c r="K325" s="102">
        <f t="shared" si="51"/>
        <v>48</v>
      </c>
      <c r="L325" s="80">
        <v>46112</v>
      </c>
      <c r="M325" s="105"/>
      <c r="N325" s="95" t="s">
        <v>372</v>
      </c>
      <c r="O325" s="96"/>
      <c r="P325" s="106">
        <f t="shared" si="46"/>
        <v>48</v>
      </c>
      <c r="Q325" s="106">
        <f t="shared" si="47"/>
        <v>48</v>
      </c>
      <c r="R325" s="106"/>
      <c r="S325" s="95" t="s">
        <v>185</v>
      </c>
      <c r="T325" s="96"/>
      <c r="U325" s="106">
        <f t="shared" si="48"/>
        <v>48</v>
      </c>
      <c r="V325" s="106">
        <f t="shared" si="49"/>
        <v>1</v>
      </c>
      <c r="W325" s="105">
        <f t="shared" si="50"/>
        <v>48</v>
      </c>
      <c r="X325" s="95" t="s">
        <v>186</v>
      </c>
      <c r="Y325" s="107" t="s">
        <v>181</v>
      </c>
      <c r="Z325" s="107" t="s">
        <v>176</v>
      </c>
    </row>
    <row r="326" spans="1:26" s="107" customFormat="1" ht="15" customHeight="1" x14ac:dyDescent="0.2">
      <c r="A326" s="101">
        <f t="shared" si="52"/>
        <v>324</v>
      </c>
      <c r="B326" s="77" t="s">
        <v>314</v>
      </c>
      <c r="C326" s="102" t="str">
        <f>IF($B326&lt;&gt;"",_xlfn.IFNA(VLOOKUP($B326,'Node Details'!$B:$U,C$1,0),"Check"),"")</f>
        <v>AXY110103-AXY110106</v>
      </c>
      <c r="D326" s="102" t="str">
        <f>IF($B326&lt;&gt;"",_xlfn.IFNA(VLOOKUP($B326,'Node Details'!$B:$U,D$1,0),"Check"),"")</f>
        <v>AXY</v>
      </c>
      <c r="E326" s="102" t="str">
        <f>IF($B326&lt;&gt;"",_xlfn.IFNA(VLOOKUP($B326,'Node Details'!$B:$U,E$1,0),"Check"),"")</f>
        <v>Airtel</v>
      </c>
      <c r="F326" s="103">
        <v>46113</v>
      </c>
      <c r="G326" s="105"/>
      <c r="H326" s="104" t="s">
        <v>184</v>
      </c>
      <c r="I326" s="9">
        <v>1</v>
      </c>
      <c r="J326" s="9">
        <v>48</v>
      </c>
      <c r="K326" s="102">
        <f t="shared" si="51"/>
        <v>48</v>
      </c>
      <c r="L326" s="80">
        <v>46112</v>
      </c>
      <c r="M326" s="105"/>
      <c r="N326" s="95" t="s">
        <v>372</v>
      </c>
      <c r="O326" s="96"/>
      <c r="P326" s="106">
        <f t="shared" si="46"/>
        <v>48</v>
      </c>
      <c r="Q326" s="106">
        <f t="shared" si="47"/>
        <v>48</v>
      </c>
      <c r="R326" s="106"/>
      <c r="S326" s="95" t="s">
        <v>185</v>
      </c>
      <c r="T326" s="96"/>
      <c r="U326" s="106">
        <f t="shared" si="48"/>
        <v>48</v>
      </c>
      <c r="V326" s="106">
        <f t="shared" si="49"/>
        <v>1</v>
      </c>
      <c r="W326" s="105">
        <f t="shared" si="50"/>
        <v>48</v>
      </c>
      <c r="X326" s="95" t="s">
        <v>186</v>
      </c>
      <c r="Y326" s="107" t="s">
        <v>181</v>
      </c>
      <c r="Z326" s="107" t="s">
        <v>176</v>
      </c>
    </row>
    <row r="327" spans="1:26" s="107" customFormat="1" ht="15" customHeight="1" x14ac:dyDescent="0.2">
      <c r="A327" s="101">
        <f t="shared" si="52"/>
        <v>325</v>
      </c>
      <c r="B327" s="77" t="s">
        <v>315</v>
      </c>
      <c r="C327" s="102" t="str">
        <f>IF($B327&lt;&gt;"",_xlfn.IFNA(VLOOKUP($B327,'Node Details'!$B:$U,C$1,0),"Check"),"")</f>
        <v>AXY110103-AXY110106</v>
      </c>
      <c r="D327" s="102" t="str">
        <f>IF($B327&lt;&gt;"",_xlfn.IFNA(VLOOKUP($B327,'Node Details'!$B:$U,D$1,0),"Check"),"")</f>
        <v>AXY</v>
      </c>
      <c r="E327" s="102" t="str">
        <f>IF($B327&lt;&gt;"",_xlfn.IFNA(VLOOKUP($B327,'Node Details'!$B:$U,E$1,0),"Check"),"")</f>
        <v>Airtel</v>
      </c>
      <c r="F327" s="103">
        <v>46113</v>
      </c>
      <c r="G327" s="105"/>
      <c r="H327" s="104" t="s">
        <v>184</v>
      </c>
      <c r="I327" s="9">
        <v>1</v>
      </c>
      <c r="J327" s="9">
        <v>48</v>
      </c>
      <c r="K327" s="102">
        <f t="shared" si="51"/>
        <v>48</v>
      </c>
      <c r="L327" s="80">
        <v>46112</v>
      </c>
      <c r="M327" s="105"/>
      <c r="N327" s="95" t="s">
        <v>372</v>
      </c>
      <c r="O327" s="96"/>
      <c r="P327" s="106">
        <f t="shared" si="46"/>
        <v>48</v>
      </c>
      <c r="Q327" s="106">
        <f t="shared" si="47"/>
        <v>48</v>
      </c>
      <c r="R327" s="106"/>
      <c r="S327" s="95" t="s">
        <v>185</v>
      </c>
      <c r="T327" s="96"/>
      <c r="U327" s="106">
        <f t="shared" si="48"/>
        <v>48</v>
      </c>
      <c r="V327" s="106">
        <f t="shared" si="49"/>
        <v>1</v>
      </c>
      <c r="W327" s="105">
        <f t="shared" si="50"/>
        <v>48</v>
      </c>
      <c r="X327" s="95" t="s">
        <v>186</v>
      </c>
      <c r="Y327" s="107" t="s">
        <v>181</v>
      </c>
      <c r="Z327" s="107" t="s">
        <v>176</v>
      </c>
    </row>
    <row r="328" spans="1:26" s="107" customFormat="1" ht="15" customHeight="1" x14ac:dyDescent="0.2">
      <c r="A328" s="101">
        <f t="shared" si="52"/>
        <v>326</v>
      </c>
      <c r="B328" s="77" t="s">
        <v>316</v>
      </c>
      <c r="C328" s="102" t="str">
        <f>IF($B328&lt;&gt;"",_xlfn.IFNA(VLOOKUP($B328,'Node Details'!$B:$U,C$1,0),"Check"),"")</f>
        <v>AXY110107-AXY110202</v>
      </c>
      <c r="D328" s="102" t="str">
        <f>IF($B328&lt;&gt;"",_xlfn.IFNA(VLOOKUP($B328,'Node Details'!$B:$U,D$1,0),"Check"),"")</f>
        <v>AXY</v>
      </c>
      <c r="E328" s="102" t="str">
        <f>IF($B328&lt;&gt;"",_xlfn.IFNA(VLOOKUP($B328,'Node Details'!$B:$U,E$1,0),"Check"),"")</f>
        <v>Airtel</v>
      </c>
      <c r="F328" s="103">
        <v>46113</v>
      </c>
      <c r="G328" s="105"/>
      <c r="H328" s="104" t="s">
        <v>184</v>
      </c>
      <c r="I328" s="9">
        <v>1</v>
      </c>
      <c r="J328" s="9">
        <v>48</v>
      </c>
      <c r="K328" s="102">
        <f t="shared" si="51"/>
        <v>48</v>
      </c>
      <c r="L328" s="80">
        <v>46112</v>
      </c>
      <c r="M328" s="105"/>
      <c r="N328" s="95" t="s">
        <v>372</v>
      </c>
      <c r="O328" s="96"/>
      <c r="P328" s="106">
        <f t="shared" si="46"/>
        <v>48</v>
      </c>
      <c r="Q328" s="106">
        <f t="shared" si="47"/>
        <v>48</v>
      </c>
      <c r="R328" s="106"/>
      <c r="S328" s="95" t="s">
        <v>185</v>
      </c>
      <c r="T328" s="96"/>
      <c r="U328" s="106">
        <f t="shared" si="48"/>
        <v>48</v>
      </c>
      <c r="V328" s="106">
        <f t="shared" si="49"/>
        <v>1</v>
      </c>
      <c r="W328" s="105">
        <f t="shared" si="50"/>
        <v>48</v>
      </c>
      <c r="X328" s="95" t="s">
        <v>186</v>
      </c>
      <c r="Y328" s="107" t="s">
        <v>181</v>
      </c>
      <c r="Z328" s="107" t="s">
        <v>176</v>
      </c>
    </row>
    <row r="329" spans="1:26" s="107" customFormat="1" ht="15" customHeight="1" x14ac:dyDescent="0.2">
      <c r="A329" s="101">
        <f t="shared" si="52"/>
        <v>327</v>
      </c>
      <c r="B329" s="77" t="s">
        <v>317</v>
      </c>
      <c r="C329" s="102" t="str">
        <f>IF($B329&lt;&gt;"",_xlfn.IFNA(VLOOKUP($B329,'Node Details'!$B:$U,C$1,0),"Check"),"")</f>
        <v>AXY110107-AXY110202</v>
      </c>
      <c r="D329" s="102" t="str">
        <f>IF($B329&lt;&gt;"",_xlfn.IFNA(VLOOKUP($B329,'Node Details'!$B:$U,D$1,0),"Check"),"")</f>
        <v>AXY</v>
      </c>
      <c r="E329" s="102" t="str">
        <f>IF($B329&lt;&gt;"",_xlfn.IFNA(VLOOKUP($B329,'Node Details'!$B:$U,E$1,0),"Check"),"")</f>
        <v>Airtel</v>
      </c>
      <c r="F329" s="103">
        <v>46113</v>
      </c>
      <c r="G329" s="105"/>
      <c r="H329" s="104" t="s">
        <v>184</v>
      </c>
      <c r="I329" s="9">
        <v>1</v>
      </c>
      <c r="J329" s="9">
        <v>48</v>
      </c>
      <c r="K329" s="102">
        <f t="shared" si="51"/>
        <v>48</v>
      </c>
      <c r="L329" s="80">
        <v>46112</v>
      </c>
      <c r="M329" s="105"/>
      <c r="N329" s="95" t="s">
        <v>372</v>
      </c>
      <c r="O329" s="96"/>
      <c r="P329" s="106">
        <f t="shared" si="46"/>
        <v>48</v>
      </c>
      <c r="Q329" s="106">
        <f t="shared" si="47"/>
        <v>48</v>
      </c>
      <c r="R329" s="106"/>
      <c r="S329" s="95" t="s">
        <v>185</v>
      </c>
      <c r="T329" s="96"/>
      <c r="U329" s="106">
        <f t="shared" si="48"/>
        <v>48</v>
      </c>
      <c r="V329" s="106">
        <f t="shared" si="49"/>
        <v>1</v>
      </c>
      <c r="W329" s="105">
        <f t="shared" si="50"/>
        <v>48</v>
      </c>
      <c r="X329" s="95" t="s">
        <v>186</v>
      </c>
      <c r="Y329" s="107" t="s">
        <v>181</v>
      </c>
      <c r="Z329" s="107" t="s">
        <v>176</v>
      </c>
    </row>
    <row r="330" spans="1:26" s="107" customFormat="1" ht="15" customHeight="1" x14ac:dyDescent="0.2">
      <c r="A330" s="101">
        <f t="shared" si="52"/>
        <v>328</v>
      </c>
      <c r="B330" s="77" t="s">
        <v>318</v>
      </c>
      <c r="C330" s="102" t="str">
        <f>IF($B330&lt;&gt;"",_xlfn.IFNA(VLOOKUP($B330,'Node Details'!$B:$U,C$1,0),"Check"),"")</f>
        <v>AXY110108-AXY110201</v>
      </c>
      <c r="D330" s="102" t="str">
        <f>IF($B330&lt;&gt;"",_xlfn.IFNA(VLOOKUP($B330,'Node Details'!$B:$U,D$1,0),"Check"),"")</f>
        <v>AXY</v>
      </c>
      <c r="E330" s="102" t="str">
        <f>IF($B330&lt;&gt;"",_xlfn.IFNA(VLOOKUP($B330,'Node Details'!$B:$U,E$1,0),"Check"),"")</f>
        <v>Airtel</v>
      </c>
      <c r="F330" s="103">
        <v>46113</v>
      </c>
      <c r="G330" s="105"/>
      <c r="H330" s="104" t="s">
        <v>184</v>
      </c>
      <c r="I330" s="9">
        <v>1</v>
      </c>
      <c r="J330" s="9">
        <v>48</v>
      </c>
      <c r="K330" s="102">
        <f t="shared" si="51"/>
        <v>48</v>
      </c>
      <c r="L330" s="80">
        <v>46112</v>
      </c>
      <c r="M330" s="105"/>
      <c r="N330" s="95" t="s">
        <v>372</v>
      </c>
      <c r="O330" s="96"/>
      <c r="P330" s="106">
        <f t="shared" si="46"/>
        <v>48</v>
      </c>
      <c r="Q330" s="106">
        <f t="shared" si="47"/>
        <v>48</v>
      </c>
      <c r="R330" s="106"/>
      <c r="S330" s="95" t="s">
        <v>185</v>
      </c>
      <c r="T330" s="96"/>
      <c r="U330" s="106">
        <f t="shared" si="48"/>
        <v>48</v>
      </c>
      <c r="V330" s="106">
        <f t="shared" si="49"/>
        <v>1</v>
      </c>
      <c r="W330" s="105">
        <f t="shared" si="50"/>
        <v>48</v>
      </c>
      <c r="X330" s="95" t="s">
        <v>186</v>
      </c>
      <c r="Y330" s="107" t="s">
        <v>181</v>
      </c>
      <c r="Z330" s="107" t="s">
        <v>176</v>
      </c>
    </row>
    <row r="331" spans="1:26" s="107" customFormat="1" ht="15" customHeight="1" x14ac:dyDescent="0.2">
      <c r="A331" s="101">
        <f t="shared" si="52"/>
        <v>329</v>
      </c>
      <c r="B331" s="77" t="s">
        <v>319</v>
      </c>
      <c r="C331" s="102" t="str">
        <f>IF($B331&lt;&gt;"",_xlfn.IFNA(VLOOKUP($B331,'Node Details'!$B:$U,C$1,0),"Check"),"")</f>
        <v>000000AXY-0000AXY12</v>
      </c>
      <c r="D331" s="102" t="str">
        <f>IF($B331&lt;&gt;"",_xlfn.IFNA(VLOOKUP($B331,'Node Details'!$B:$U,D$1,0),"Check"),"")</f>
        <v>AXY</v>
      </c>
      <c r="E331" s="102" t="str">
        <f>IF($B331&lt;&gt;"",_xlfn.IFNA(VLOOKUP($B331,'Node Details'!$B:$U,E$1,0),"Check"),"")</f>
        <v>Airtel</v>
      </c>
      <c r="F331" s="103">
        <v>46113</v>
      </c>
      <c r="G331" s="105"/>
      <c r="H331" s="104" t="s">
        <v>184</v>
      </c>
      <c r="I331" s="9">
        <v>1</v>
      </c>
      <c r="J331" s="9">
        <v>48</v>
      </c>
      <c r="K331" s="102">
        <f t="shared" si="51"/>
        <v>48</v>
      </c>
      <c r="L331" s="80">
        <v>46112</v>
      </c>
      <c r="M331" s="105"/>
      <c r="N331" s="95" t="s">
        <v>372</v>
      </c>
      <c r="O331" s="96"/>
      <c r="P331" s="106">
        <f t="shared" si="46"/>
        <v>48</v>
      </c>
      <c r="Q331" s="106">
        <f t="shared" si="47"/>
        <v>48</v>
      </c>
      <c r="R331" s="106"/>
      <c r="S331" s="95" t="s">
        <v>185</v>
      </c>
      <c r="T331" s="96"/>
      <c r="U331" s="106">
        <f t="shared" si="48"/>
        <v>48</v>
      </c>
      <c r="V331" s="106">
        <f t="shared" si="49"/>
        <v>1</v>
      </c>
      <c r="W331" s="105">
        <f t="shared" si="50"/>
        <v>48</v>
      </c>
      <c r="X331" s="95" t="s">
        <v>186</v>
      </c>
      <c r="Y331" s="107" t="s">
        <v>181</v>
      </c>
      <c r="Z331" s="107" t="s">
        <v>176</v>
      </c>
    </row>
    <row r="332" spans="1:26" s="107" customFormat="1" ht="15" customHeight="1" x14ac:dyDescent="0.2">
      <c r="A332" s="101">
        <f t="shared" si="52"/>
        <v>330</v>
      </c>
      <c r="B332" s="77" t="s">
        <v>320</v>
      </c>
      <c r="C332" s="102" t="str">
        <f>IF($B332&lt;&gt;"",_xlfn.IFNA(VLOOKUP($B332,'Node Details'!$B:$U,C$1,0),"Check"),"")</f>
        <v>0000AXY12-AXY120101</v>
      </c>
      <c r="D332" s="102" t="str">
        <f>IF($B332&lt;&gt;"",_xlfn.IFNA(VLOOKUP($B332,'Node Details'!$B:$U,D$1,0),"Check"),"")</f>
        <v>AXY</v>
      </c>
      <c r="E332" s="102" t="str">
        <f>IF($B332&lt;&gt;"",_xlfn.IFNA(VLOOKUP($B332,'Node Details'!$B:$U,E$1,0),"Check"),"")</f>
        <v>Airtel</v>
      </c>
      <c r="F332" s="103">
        <v>46113</v>
      </c>
      <c r="G332" s="105"/>
      <c r="H332" s="104" t="s">
        <v>184</v>
      </c>
      <c r="I332" s="9">
        <v>1</v>
      </c>
      <c r="J332" s="9">
        <v>48</v>
      </c>
      <c r="K332" s="102">
        <f t="shared" si="51"/>
        <v>48</v>
      </c>
      <c r="L332" s="80">
        <v>46112</v>
      </c>
      <c r="M332" s="105"/>
      <c r="N332" s="95" t="s">
        <v>372</v>
      </c>
      <c r="O332" s="96"/>
      <c r="P332" s="106">
        <f t="shared" si="46"/>
        <v>48</v>
      </c>
      <c r="Q332" s="106">
        <f t="shared" si="47"/>
        <v>48</v>
      </c>
      <c r="R332" s="106"/>
      <c r="S332" s="95" t="s">
        <v>185</v>
      </c>
      <c r="T332" s="96"/>
      <c r="U332" s="106">
        <f t="shared" si="48"/>
        <v>48</v>
      </c>
      <c r="V332" s="106">
        <f t="shared" si="49"/>
        <v>1</v>
      </c>
      <c r="W332" s="105">
        <f t="shared" si="50"/>
        <v>48</v>
      </c>
      <c r="X332" s="95" t="s">
        <v>186</v>
      </c>
      <c r="Y332" s="107" t="s">
        <v>181</v>
      </c>
      <c r="Z332" s="107" t="s">
        <v>176</v>
      </c>
    </row>
    <row r="333" spans="1:26" s="107" customFormat="1" ht="15" customHeight="1" x14ac:dyDescent="0.2">
      <c r="A333" s="101">
        <f t="shared" si="52"/>
        <v>331</v>
      </c>
      <c r="B333" s="77" t="s">
        <v>321</v>
      </c>
      <c r="C333" s="102" t="str">
        <f>IF($B333&lt;&gt;"",_xlfn.IFNA(VLOOKUP($B333,'Node Details'!$B:$U,C$1,0),"Check"),"")</f>
        <v>0000AXY12-AXY120102</v>
      </c>
      <c r="D333" s="102" t="str">
        <f>IF($B333&lt;&gt;"",_xlfn.IFNA(VLOOKUP($B333,'Node Details'!$B:$U,D$1,0),"Check"),"")</f>
        <v>AXY</v>
      </c>
      <c r="E333" s="102" t="str">
        <f>IF($B333&lt;&gt;"",_xlfn.IFNA(VLOOKUP($B333,'Node Details'!$B:$U,E$1,0),"Check"),"")</f>
        <v>Airtel</v>
      </c>
      <c r="F333" s="103">
        <v>46113</v>
      </c>
      <c r="G333" s="105"/>
      <c r="H333" s="104" t="s">
        <v>184</v>
      </c>
      <c r="I333" s="9">
        <v>1</v>
      </c>
      <c r="J333" s="9">
        <v>48</v>
      </c>
      <c r="K333" s="102">
        <f t="shared" si="51"/>
        <v>48</v>
      </c>
      <c r="L333" s="80">
        <v>46112</v>
      </c>
      <c r="M333" s="105"/>
      <c r="N333" s="95" t="s">
        <v>372</v>
      </c>
      <c r="O333" s="96"/>
      <c r="P333" s="106">
        <f t="shared" si="46"/>
        <v>48</v>
      </c>
      <c r="Q333" s="106">
        <f t="shared" si="47"/>
        <v>48</v>
      </c>
      <c r="R333" s="106"/>
      <c r="S333" s="95" t="s">
        <v>185</v>
      </c>
      <c r="T333" s="96"/>
      <c r="U333" s="106">
        <f t="shared" si="48"/>
        <v>48</v>
      </c>
      <c r="V333" s="106">
        <f t="shared" si="49"/>
        <v>1</v>
      </c>
      <c r="W333" s="105">
        <f t="shared" si="50"/>
        <v>48</v>
      </c>
      <c r="X333" s="95" t="s">
        <v>186</v>
      </c>
      <c r="Y333" s="107" t="s">
        <v>181</v>
      </c>
      <c r="Z333" s="107" t="s">
        <v>176</v>
      </c>
    </row>
    <row r="334" spans="1:26" s="107" customFormat="1" ht="15" customHeight="1" x14ac:dyDescent="0.2">
      <c r="A334" s="101">
        <f t="shared" si="52"/>
        <v>332</v>
      </c>
      <c r="B334" s="77" t="s">
        <v>322</v>
      </c>
      <c r="C334" s="102" t="str">
        <f>IF($B334&lt;&gt;"",_xlfn.IFNA(VLOOKUP($B334,'Node Details'!$B:$U,C$1,0),"Check"),"")</f>
        <v>0000AXY12-AXY120105</v>
      </c>
      <c r="D334" s="102" t="str">
        <f>IF($B334&lt;&gt;"",_xlfn.IFNA(VLOOKUP($B334,'Node Details'!$B:$U,D$1,0),"Check"),"")</f>
        <v>AXY</v>
      </c>
      <c r="E334" s="102" t="str">
        <f>IF($B334&lt;&gt;"",_xlfn.IFNA(VLOOKUP($B334,'Node Details'!$B:$U,E$1,0),"Check"),"")</f>
        <v>Airtel</v>
      </c>
      <c r="F334" s="103">
        <v>46113</v>
      </c>
      <c r="G334" s="105"/>
      <c r="H334" s="104" t="s">
        <v>184</v>
      </c>
      <c r="I334" s="9">
        <v>1</v>
      </c>
      <c r="J334" s="9">
        <v>48</v>
      </c>
      <c r="K334" s="102">
        <f t="shared" si="51"/>
        <v>48</v>
      </c>
      <c r="L334" s="80">
        <v>46112</v>
      </c>
      <c r="M334" s="105"/>
      <c r="N334" s="95" t="s">
        <v>372</v>
      </c>
      <c r="O334" s="96"/>
      <c r="P334" s="106">
        <f t="shared" si="46"/>
        <v>48</v>
      </c>
      <c r="Q334" s="106">
        <f t="shared" si="47"/>
        <v>48</v>
      </c>
      <c r="R334" s="106"/>
      <c r="S334" s="95" t="s">
        <v>185</v>
      </c>
      <c r="T334" s="96"/>
      <c r="U334" s="106">
        <f t="shared" si="48"/>
        <v>48</v>
      </c>
      <c r="V334" s="106">
        <f t="shared" si="49"/>
        <v>1</v>
      </c>
      <c r="W334" s="105">
        <f t="shared" si="50"/>
        <v>48</v>
      </c>
      <c r="X334" s="95" t="s">
        <v>186</v>
      </c>
      <c r="Y334" s="107" t="s">
        <v>181</v>
      </c>
      <c r="Z334" s="107" t="s">
        <v>176</v>
      </c>
    </row>
    <row r="335" spans="1:26" s="107" customFormat="1" ht="15" customHeight="1" x14ac:dyDescent="0.2">
      <c r="A335" s="101">
        <f t="shared" si="52"/>
        <v>333</v>
      </c>
      <c r="B335" s="77" t="s">
        <v>323</v>
      </c>
      <c r="C335" s="102" t="str">
        <f>IF($B335&lt;&gt;"",_xlfn.IFNA(VLOOKUP($B335,'Node Details'!$B:$U,C$1,0),"Check"),"")</f>
        <v>0000AXY12-AXY120105</v>
      </c>
      <c r="D335" s="102" t="str">
        <f>IF($B335&lt;&gt;"",_xlfn.IFNA(VLOOKUP($B335,'Node Details'!$B:$U,D$1,0),"Check"),"")</f>
        <v>AXY</v>
      </c>
      <c r="E335" s="102" t="str">
        <f>IF($B335&lt;&gt;"",_xlfn.IFNA(VLOOKUP($B335,'Node Details'!$B:$U,E$1,0),"Check"),"")</f>
        <v>Airtel</v>
      </c>
      <c r="F335" s="103">
        <v>46113</v>
      </c>
      <c r="G335" s="105"/>
      <c r="H335" s="104" t="s">
        <v>184</v>
      </c>
      <c r="I335" s="9">
        <v>1</v>
      </c>
      <c r="J335" s="9">
        <v>48</v>
      </c>
      <c r="K335" s="102">
        <f t="shared" si="51"/>
        <v>48</v>
      </c>
      <c r="L335" s="80">
        <v>46112</v>
      </c>
      <c r="M335" s="105"/>
      <c r="N335" s="95" t="s">
        <v>372</v>
      </c>
      <c r="O335" s="96"/>
      <c r="P335" s="106">
        <f t="shared" si="46"/>
        <v>48</v>
      </c>
      <c r="Q335" s="106">
        <f t="shared" si="47"/>
        <v>48</v>
      </c>
      <c r="R335" s="106"/>
      <c r="S335" s="95" t="s">
        <v>185</v>
      </c>
      <c r="T335" s="96"/>
      <c r="U335" s="106">
        <f t="shared" si="48"/>
        <v>48</v>
      </c>
      <c r="V335" s="106">
        <f t="shared" si="49"/>
        <v>1</v>
      </c>
      <c r="W335" s="105">
        <f t="shared" si="50"/>
        <v>48</v>
      </c>
      <c r="X335" s="95" t="s">
        <v>186</v>
      </c>
      <c r="Y335" s="107" t="s">
        <v>181</v>
      </c>
      <c r="Z335" s="107" t="s">
        <v>176</v>
      </c>
    </row>
    <row r="336" spans="1:26" s="107" customFormat="1" ht="15" customHeight="1" x14ac:dyDescent="0.2">
      <c r="A336" s="101">
        <f t="shared" si="52"/>
        <v>334</v>
      </c>
      <c r="B336" s="77" t="s">
        <v>324</v>
      </c>
      <c r="C336" s="102" t="str">
        <f>IF($B336&lt;&gt;"",_xlfn.IFNA(VLOOKUP($B336,'Node Details'!$B:$U,C$1,0),"Check"),"")</f>
        <v>000000AXY-0000AXY17</v>
      </c>
      <c r="D336" s="102" t="str">
        <f>IF($B336&lt;&gt;"",_xlfn.IFNA(VLOOKUP($B336,'Node Details'!$B:$U,D$1,0),"Check"),"")</f>
        <v>AXY</v>
      </c>
      <c r="E336" s="102" t="str">
        <f>IF($B336&lt;&gt;"",_xlfn.IFNA(VLOOKUP($B336,'Node Details'!$B:$U,E$1,0),"Check"),"")</f>
        <v>Airtel</v>
      </c>
      <c r="F336" s="103">
        <v>46113</v>
      </c>
      <c r="G336" s="105"/>
      <c r="H336" s="104" t="s">
        <v>184</v>
      </c>
      <c r="I336" s="9">
        <v>1</v>
      </c>
      <c r="J336" s="9">
        <v>48</v>
      </c>
      <c r="K336" s="102">
        <f t="shared" si="51"/>
        <v>48</v>
      </c>
      <c r="L336" s="80">
        <v>46112</v>
      </c>
      <c r="M336" s="105"/>
      <c r="N336" s="95" t="s">
        <v>372</v>
      </c>
      <c r="O336" s="96"/>
      <c r="P336" s="106">
        <f t="shared" si="46"/>
        <v>48</v>
      </c>
      <c r="Q336" s="106">
        <f t="shared" si="47"/>
        <v>48</v>
      </c>
      <c r="R336" s="106"/>
      <c r="S336" s="95" t="s">
        <v>185</v>
      </c>
      <c r="T336" s="96"/>
      <c r="U336" s="106">
        <f t="shared" si="48"/>
        <v>48</v>
      </c>
      <c r="V336" s="106">
        <f t="shared" si="49"/>
        <v>1</v>
      </c>
      <c r="W336" s="105">
        <f t="shared" si="50"/>
        <v>48</v>
      </c>
      <c r="X336" s="95" t="s">
        <v>186</v>
      </c>
      <c r="Y336" s="107" t="s">
        <v>181</v>
      </c>
      <c r="Z336" s="107" t="s">
        <v>176</v>
      </c>
    </row>
    <row r="337" spans="1:26" s="107" customFormat="1" ht="15" customHeight="1" x14ac:dyDescent="0.2">
      <c r="A337" s="101">
        <f t="shared" si="52"/>
        <v>335</v>
      </c>
      <c r="B337" s="77" t="s">
        <v>325</v>
      </c>
      <c r="C337" s="102" t="str">
        <f>IF($B337&lt;&gt;"",_xlfn.IFNA(VLOOKUP($B337,'Node Details'!$B:$U,C$1,0),"Check"),"")</f>
        <v>0000AXY13-AXY130101</v>
      </c>
      <c r="D337" s="102" t="str">
        <f>IF($B337&lt;&gt;"",_xlfn.IFNA(VLOOKUP($B337,'Node Details'!$B:$U,D$1,0),"Check"),"")</f>
        <v>AXY</v>
      </c>
      <c r="E337" s="102" t="str">
        <f>IF($B337&lt;&gt;"",_xlfn.IFNA(VLOOKUP($B337,'Node Details'!$B:$U,E$1,0),"Check"),"")</f>
        <v>Airtel</v>
      </c>
      <c r="F337" s="103">
        <v>46113</v>
      </c>
      <c r="G337" s="105"/>
      <c r="H337" s="104" t="s">
        <v>184</v>
      </c>
      <c r="I337" s="9">
        <v>1</v>
      </c>
      <c r="J337" s="9">
        <v>48</v>
      </c>
      <c r="K337" s="102">
        <f t="shared" si="51"/>
        <v>48</v>
      </c>
      <c r="L337" s="80">
        <v>46112</v>
      </c>
      <c r="M337" s="105"/>
      <c r="N337" s="95" t="s">
        <v>372</v>
      </c>
      <c r="O337" s="96"/>
      <c r="P337" s="106">
        <f t="shared" si="46"/>
        <v>48</v>
      </c>
      <c r="Q337" s="106">
        <f t="shared" si="47"/>
        <v>48</v>
      </c>
      <c r="R337" s="106"/>
      <c r="S337" s="95" t="s">
        <v>185</v>
      </c>
      <c r="T337" s="96"/>
      <c r="U337" s="106">
        <f t="shared" si="48"/>
        <v>48</v>
      </c>
      <c r="V337" s="106">
        <f t="shared" si="49"/>
        <v>1</v>
      </c>
      <c r="W337" s="105">
        <f t="shared" si="50"/>
        <v>48</v>
      </c>
      <c r="X337" s="95" t="s">
        <v>186</v>
      </c>
      <c r="Y337" s="107" t="s">
        <v>181</v>
      </c>
      <c r="Z337" s="107" t="s">
        <v>176</v>
      </c>
    </row>
    <row r="338" spans="1:26" s="107" customFormat="1" ht="15" customHeight="1" x14ac:dyDescent="0.2">
      <c r="A338" s="101">
        <f t="shared" si="52"/>
        <v>336</v>
      </c>
      <c r="B338" s="77" t="s">
        <v>326</v>
      </c>
      <c r="C338" s="102" t="str">
        <f>IF($B338&lt;&gt;"",_xlfn.IFNA(VLOOKUP($B338,'Node Details'!$B:$U,C$1,0),"Check"),"")</f>
        <v>0000AXY13-AXY130104</v>
      </c>
      <c r="D338" s="102" t="str">
        <f>IF($B338&lt;&gt;"",_xlfn.IFNA(VLOOKUP($B338,'Node Details'!$B:$U,D$1,0),"Check"),"")</f>
        <v>AXY</v>
      </c>
      <c r="E338" s="102" t="str">
        <f>IF($B338&lt;&gt;"",_xlfn.IFNA(VLOOKUP($B338,'Node Details'!$B:$U,E$1,0),"Check"),"")</f>
        <v>Airtel</v>
      </c>
      <c r="F338" s="103">
        <v>46113</v>
      </c>
      <c r="G338" s="105"/>
      <c r="H338" s="104" t="s">
        <v>184</v>
      </c>
      <c r="I338" s="9">
        <v>1</v>
      </c>
      <c r="J338" s="9">
        <v>48</v>
      </c>
      <c r="K338" s="102">
        <f t="shared" si="51"/>
        <v>48</v>
      </c>
      <c r="L338" s="80">
        <v>46112</v>
      </c>
      <c r="M338" s="105"/>
      <c r="N338" s="95" t="s">
        <v>372</v>
      </c>
      <c r="O338" s="96"/>
      <c r="P338" s="106">
        <f t="shared" si="46"/>
        <v>48</v>
      </c>
      <c r="Q338" s="106">
        <f t="shared" si="47"/>
        <v>48</v>
      </c>
      <c r="R338" s="106"/>
      <c r="S338" s="95" t="s">
        <v>185</v>
      </c>
      <c r="T338" s="96"/>
      <c r="U338" s="106">
        <f t="shared" si="48"/>
        <v>48</v>
      </c>
      <c r="V338" s="106">
        <f t="shared" si="49"/>
        <v>1</v>
      </c>
      <c r="W338" s="105">
        <f t="shared" si="50"/>
        <v>48</v>
      </c>
      <c r="X338" s="95" t="s">
        <v>186</v>
      </c>
      <c r="Y338" s="107" t="s">
        <v>181</v>
      </c>
      <c r="Z338" s="107" t="s">
        <v>176</v>
      </c>
    </row>
    <row r="339" spans="1:26" s="107" customFormat="1" ht="15" customHeight="1" x14ac:dyDescent="0.2">
      <c r="A339" s="101">
        <f t="shared" si="52"/>
        <v>337</v>
      </c>
      <c r="B339" s="77" t="s">
        <v>327</v>
      </c>
      <c r="C339" s="102" t="str">
        <f>IF($B339&lt;&gt;"",_xlfn.IFNA(VLOOKUP($B339,'Node Details'!$B:$U,C$1,0),"Check"),"")</f>
        <v>0000AXY13-AXY130104</v>
      </c>
      <c r="D339" s="102" t="str">
        <f>IF($B339&lt;&gt;"",_xlfn.IFNA(VLOOKUP($B339,'Node Details'!$B:$U,D$1,0),"Check"),"")</f>
        <v>AXY</v>
      </c>
      <c r="E339" s="102" t="str">
        <f>IF($B339&lt;&gt;"",_xlfn.IFNA(VLOOKUP($B339,'Node Details'!$B:$U,E$1,0),"Check"),"")</f>
        <v>Airtel</v>
      </c>
      <c r="F339" s="103">
        <v>46113</v>
      </c>
      <c r="G339" s="105"/>
      <c r="H339" s="104" t="s">
        <v>184</v>
      </c>
      <c r="I339" s="9">
        <v>1</v>
      </c>
      <c r="J339" s="9">
        <v>48</v>
      </c>
      <c r="K339" s="102">
        <f t="shared" si="51"/>
        <v>48</v>
      </c>
      <c r="L339" s="80">
        <v>46112</v>
      </c>
      <c r="M339" s="105"/>
      <c r="N339" s="95" t="s">
        <v>372</v>
      </c>
      <c r="O339" s="96"/>
      <c r="P339" s="106">
        <f t="shared" si="46"/>
        <v>48</v>
      </c>
      <c r="Q339" s="106">
        <f t="shared" si="47"/>
        <v>48</v>
      </c>
      <c r="R339" s="106"/>
      <c r="S339" s="95" t="s">
        <v>185</v>
      </c>
      <c r="T339" s="96"/>
      <c r="U339" s="106">
        <f t="shared" si="48"/>
        <v>48</v>
      </c>
      <c r="V339" s="106">
        <f t="shared" si="49"/>
        <v>1</v>
      </c>
      <c r="W339" s="105">
        <f t="shared" si="50"/>
        <v>48</v>
      </c>
      <c r="X339" s="95" t="s">
        <v>186</v>
      </c>
      <c r="Y339" s="107" t="s">
        <v>181</v>
      </c>
      <c r="Z339" s="107" t="s">
        <v>176</v>
      </c>
    </row>
    <row r="340" spans="1:26" s="107" customFormat="1" ht="15" customHeight="1" x14ac:dyDescent="0.2">
      <c r="A340" s="101">
        <f t="shared" si="52"/>
        <v>338</v>
      </c>
      <c r="B340" s="77" t="s">
        <v>328</v>
      </c>
      <c r="C340" s="102" t="str">
        <f>IF($B340&lt;&gt;"",_xlfn.IFNA(VLOOKUP($B340,'Node Details'!$B:$U,C$1,0),"Check"),"")</f>
        <v>0000AXY13-AXY130104</v>
      </c>
      <c r="D340" s="102" t="str">
        <f>IF($B340&lt;&gt;"",_xlfn.IFNA(VLOOKUP($B340,'Node Details'!$B:$U,D$1,0),"Check"),"")</f>
        <v>AXY</v>
      </c>
      <c r="E340" s="102" t="str">
        <f>IF($B340&lt;&gt;"",_xlfn.IFNA(VLOOKUP($B340,'Node Details'!$B:$U,E$1,0),"Check"),"")</f>
        <v>Airtel</v>
      </c>
      <c r="F340" s="103">
        <v>46113</v>
      </c>
      <c r="G340" s="105"/>
      <c r="H340" s="104" t="s">
        <v>184</v>
      </c>
      <c r="I340" s="9">
        <v>1</v>
      </c>
      <c r="J340" s="9">
        <v>48</v>
      </c>
      <c r="K340" s="102">
        <f t="shared" si="51"/>
        <v>48</v>
      </c>
      <c r="L340" s="80">
        <v>46112</v>
      </c>
      <c r="M340" s="105"/>
      <c r="N340" s="95" t="s">
        <v>372</v>
      </c>
      <c r="O340" s="96"/>
      <c r="P340" s="106">
        <f t="shared" si="46"/>
        <v>48</v>
      </c>
      <c r="Q340" s="106">
        <f t="shared" si="47"/>
        <v>48</v>
      </c>
      <c r="R340" s="106"/>
      <c r="S340" s="95" t="s">
        <v>185</v>
      </c>
      <c r="T340" s="96"/>
      <c r="U340" s="106">
        <f t="shared" si="48"/>
        <v>48</v>
      </c>
      <c r="V340" s="106">
        <f t="shared" si="49"/>
        <v>1</v>
      </c>
      <c r="W340" s="105">
        <f t="shared" si="50"/>
        <v>48</v>
      </c>
      <c r="X340" s="95" t="s">
        <v>186</v>
      </c>
      <c r="Y340" s="107" t="s">
        <v>181</v>
      </c>
      <c r="Z340" s="107" t="s">
        <v>176</v>
      </c>
    </row>
    <row r="341" spans="1:26" s="107" customFormat="1" ht="15" customHeight="1" x14ac:dyDescent="0.2">
      <c r="A341" s="101">
        <f t="shared" si="52"/>
        <v>339</v>
      </c>
      <c r="B341" s="77" t="s">
        <v>329</v>
      </c>
      <c r="C341" s="102" t="str">
        <f>IF($B341&lt;&gt;"",_xlfn.IFNA(VLOOKUP($B341,'Node Details'!$B:$U,C$1,0),"Check"),"")</f>
        <v>0000AXY13-AXY130108</v>
      </c>
      <c r="D341" s="102" t="str">
        <f>IF($B341&lt;&gt;"",_xlfn.IFNA(VLOOKUP($B341,'Node Details'!$B:$U,D$1,0),"Check"),"")</f>
        <v>AXY</v>
      </c>
      <c r="E341" s="102" t="str">
        <f>IF($B341&lt;&gt;"",_xlfn.IFNA(VLOOKUP($B341,'Node Details'!$B:$U,E$1,0),"Check"),"")</f>
        <v>Airtel</v>
      </c>
      <c r="F341" s="103">
        <v>46113</v>
      </c>
      <c r="G341" s="105"/>
      <c r="H341" s="104" t="s">
        <v>184</v>
      </c>
      <c r="I341" s="9">
        <v>1</v>
      </c>
      <c r="J341" s="9">
        <v>48</v>
      </c>
      <c r="K341" s="102">
        <f t="shared" si="51"/>
        <v>48</v>
      </c>
      <c r="L341" s="80">
        <v>46112</v>
      </c>
      <c r="M341" s="105"/>
      <c r="N341" s="95" t="s">
        <v>372</v>
      </c>
      <c r="O341" s="96"/>
      <c r="P341" s="106">
        <f t="shared" si="46"/>
        <v>48</v>
      </c>
      <c r="Q341" s="106">
        <f t="shared" si="47"/>
        <v>48</v>
      </c>
      <c r="R341" s="106"/>
      <c r="S341" s="95" t="s">
        <v>185</v>
      </c>
      <c r="T341" s="96"/>
      <c r="U341" s="106">
        <f t="shared" si="48"/>
        <v>48</v>
      </c>
      <c r="V341" s="106">
        <f t="shared" si="49"/>
        <v>1</v>
      </c>
      <c r="W341" s="105">
        <f t="shared" si="50"/>
        <v>48</v>
      </c>
      <c r="X341" s="95" t="s">
        <v>186</v>
      </c>
      <c r="Y341" s="107" t="s">
        <v>181</v>
      </c>
      <c r="Z341" s="107" t="s">
        <v>176</v>
      </c>
    </row>
    <row r="342" spans="1:26" s="107" customFormat="1" ht="15" customHeight="1" x14ac:dyDescent="0.2">
      <c r="A342" s="101">
        <f t="shared" si="52"/>
        <v>340</v>
      </c>
      <c r="B342" s="77" t="s">
        <v>330</v>
      </c>
      <c r="C342" s="102" t="str">
        <f>IF($B342&lt;&gt;"",_xlfn.IFNA(VLOOKUP($B342,'Node Details'!$B:$U,C$1,0),"Check"),"")</f>
        <v>0000AXY13-AXY130108</v>
      </c>
      <c r="D342" s="102" t="str">
        <f>IF($B342&lt;&gt;"",_xlfn.IFNA(VLOOKUP($B342,'Node Details'!$B:$U,D$1,0),"Check"),"")</f>
        <v>AXY</v>
      </c>
      <c r="E342" s="102" t="str">
        <f>IF($B342&lt;&gt;"",_xlfn.IFNA(VLOOKUP($B342,'Node Details'!$B:$U,E$1,0),"Check"),"")</f>
        <v>Airtel</v>
      </c>
      <c r="F342" s="103">
        <v>46113</v>
      </c>
      <c r="G342" s="105"/>
      <c r="H342" s="104" t="s">
        <v>184</v>
      </c>
      <c r="I342" s="9">
        <v>1</v>
      </c>
      <c r="J342" s="9">
        <v>48</v>
      </c>
      <c r="K342" s="102">
        <f t="shared" si="51"/>
        <v>48</v>
      </c>
      <c r="L342" s="80">
        <v>46112</v>
      </c>
      <c r="M342" s="105"/>
      <c r="N342" s="95" t="s">
        <v>372</v>
      </c>
      <c r="O342" s="96"/>
      <c r="P342" s="106">
        <f t="shared" si="46"/>
        <v>48</v>
      </c>
      <c r="Q342" s="106">
        <f t="shared" si="47"/>
        <v>48</v>
      </c>
      <c r="R342" s="106"/>
      <c r="S342" s="95" t="s">
        <v>185</v>
      </c>
      <c r="T342" s="96"/>
      <c r="U342" s="106">
        <f t="shared" si="48"/>
        <v>48</v>
      </c>
      <c r="V342" s="106">
        <f t="shared" si="49"/>
        <v>1</v>
      </c>
      <c r="W342" s="105">
        <f t="shared" si="50"/>
        <v>48</v>
      </c>
      <c r="X342" s="95" t="s">
        <v>186</v>
      </c>
      <c r="Y342" s="107" t="s">
        <v>181</v>
      </c>
      <c r="Z342" s="107" t="s">
        <v>176</v>
      </c>
    </row>
    <row r="343" spans="1:26" s="107" customFormat="1" ht="15" customHeight="1" x14ac:dyDescent="0.2">
      <c r="A343" s="101">
        <f t="shared" si="52"/>
        <v>341</v>
      </c>
      <c r="B343" s="77" t="s">
        <v>331</v>
      </c>
      <c r="C343" s="102" t="str">
        <f>IF($B343&lt;&gt;"",_xlfn.IFNA(VLOOKUP($B343,'Node Details'!$B:$U,C$1,0),"Check"),"")</f>
        <v>0000AXY13-AXY130108</v>
      </c>
      <c r="D343" s="102" t="str">
        <f>IF($B343&lt;&gt;"",_xlfn.IFNA(VLOOKUP($B343,'Node Details'!$B:$U,D$1,0),"Check"),"")</f>
        <v>AXY</v>
      </c>
      <c r="E343" s="102" t="str">
        <f>IF($B343&lt;&gt;"",_xlfn.IFNA(VLOOKUP($B343,'Node Details'!$B:$U,E$1,0),"Check"),"")</f>
        <v>Airtel</v>
      </c>
      <c r="F343" s="103">
        <v>46113</v>
      </c>
      <c r="G343" s="105"/>
      <c r="H343" s="104" t="s">
        <v>184</v>
      </c>
      <c r="I343" s="9">
        <v>1</v>
      </c>
      <c r="J343" s="9">
        <v>48</v>
      </c>
      <c r="K343" s="102">
        <f t="shared" si="51"/>
        <v>48</v>
      </c>
      <c r="L343" s="80">
        <v>46112</v>
      </c>
      <c r="M343" s="105"/>
      <c r="N343" s="95" t="s">
        <v>372</v>
      </c>
      <c r="O343" s="96"/>
      <c r="P343" s="106">
        <f t="shared" si="46"/>
        <v>48</v>
      </c>
      <c r="Q343" s="106">
        <f t="shared" si="47"/>
        <v>48</v>
      </c>
      <c r="R343" s="106"/>
      <c r="S343" s="95" t="s">
        <v>185</v>
      </c>
      <c r="T343" s="96"/>
      <c r="U343" s="106">
        <f t="shared" si="48"/>
        <v>48</v>
      </c>
      <c r="V343" s="106">
        <f t="shared" si="49"/>
        <v>1</v>
      </c>
      <c r="W343" s="105">
        <f t="shared" si="50"/>
        <v>48</v>
      </c>
      <c r="X343" s="95" t="s">
        <v>186</v>
      </c>
      <c r="Y343" s="107" t="s">
        <v>181</v>
      </c>
      <c r="Z343" s="107" t="s">
        <v>176</v>
      </c>
    </row>
    <row r="344" spans="1:26" s="107" customFormat="1" ht="15" customHeight="1" x14ac:dyDescent="0.2">
      <c r="A344" s="101">
        <f t="shared" si="52"/>
        <v>342</v>
      </c>
      <c r="B344" s="77" t="s">
        <v>332</v>
      </c>
      <c r="C344" s="102" t="str">
        <f>IF($B344&lt;&gt;"",_xlfn.IFNA(VLOOKUP($B344,'Node Details'!$B:$U,C$1,0),"Check"),"")</f>
        <v>0000AXY13-AXY130108</v>
      </c>
      <c r="D344" s="102" t="str">
        <f>IF($B344&lt;&gt;"",_xlfn.IFNA(VLOOKUP($B344,'Node Details'!$B:$U,D$1,0),"Check"),"")</f>
        <v>AXY</v>
      </c>
      <c r="E344" s="102" t="str">
        <f>IF($B344&lt;&gt;"",_xlfn.IFNA(VLOOKUP($B344,'Node Details'!$B:$U,E$1,0),"Check"),"")</f>
        <v>Airtel</v>
      </c>
      <c r="F344" s="103">
        <v>46113</v>
      </c>
      <c r="G344" s="105"/>
      <c r="H344" s="104" t="s">
        <v>184</v>
      </c>
      <c r="I344" s="9">
        <v>1</v>
      </c>
      <c r="J344" s="9">
        <v>48</v>
      </c>
      <c r="K344" s="102">
        <f t="shared" si="51"/>
        <v>48</v>
      </c>
      <c r="L344" s="80">
        <v>46112</v>
      </c>
      <c r="M344" s="105"/>
      <c r="N344" s="95" t="s">
        <v>372</v>
      </c>
      <c r="O344" s="96"/>
      <c r="P344" s="106">
        <f t="shared" si="46"/>
        <v>48</v>
      </c>
      <c r="Q344" s="106">
        <f t="shared" si="47"/>
        <v>48</v>
      </c>
      <c r="R344" s="106"/>
      <c r="S344" s="95" t="s">
        <v>185</v>
      </c>
      <c r="T344" s="96"/>
      <c r="U344" s="106">
        <f t="shared" si="48"/>
        <v>48</v>
      </c>
      <c r="V344" s="106">
        <f t="shared" si="49"/>
        <v>1</v>
      </c>
      <c r="W344" s="105">
        <f t="shared" si="50"/>
        <v>48</v>
      </c>
      <c r="X344" s="95" t="s">
        <v>186</v>
      </c>
      <c r="Y344" s="107" t="s">
        <v>181</v>
      </c>
      <c r="Z344" s="107" t="s">
        <v>176</v>
      </c>
    </row>
    <row r="345" spans="1:26" s="107" customFormat="1" ht="15" customHeight="1" x14ac:dyDescent="0.2">
      <c r="A345" s="101">
        <f t="shared" si="52"/>
        <v>343</v>
      </c>
      <c r="B345" s="77" t="s">
        <v>333</v>
      </c>
      <c r="C345" s="102" t="str">
        <f>IF($B345&lt;&gt;"",_xlfn.IFNA(VLOOKUP($B345,'Node Details'!$B:$U,C$1,0),"Check"),"")</f>
        <v>000000AXY-0000AXY17</v>
      </c>
      <c r="D345" s="102" t="str">
        <f>IF($B345&lt;&gt;"",_xlfn.IFNA(VLOOKUP($B345,'Node Details'!$B:$U,D$1,0),"Check"),"")</f>
        <v>AXY</v>
      </c>
      <c r="E345" s="102" t="str">
        <f>IF($B345&lt;&gt;"",_xlfn.IFNA(VLOOKUP($B345,'Node Details'!$B:$U,E$1,0),"Check"),"")</f>
        <v>Airtel</v>
      </c>
      <c r="F345" s="103">
        <v>46113</v>
      </c>
      <c r="G345" s="105"/>
      <c r="H345" s="104" t="s">
        <v>184</v>
      </c>
      <c r="I345" s="9">
        <v>1</v>
      </c>
      <c r="J345" s="9">
        <v>48</v>
      </c>
      <c r="K345" s="102">
        <f t="shared" si="51"/>
        <v>48</v>
      </c>
      <c r="L345" s="80">
        <v>46112</v>
      </c>
      <c r="M345" s="105"/>
      <c r="N345" s="95" t="s">
        <v>372</v>
      </c>
      <c r="O345" s="96"/>
      <c r="P345" s="106">
        <f t="shared" si="46"/>
        <v>48</v>
      </c>
      <c r="Q345" s="106">
        <f t="shared" si="47"/>
        <v>48</v>
      </c>
      <c r="R345" s="106"/>
      <c r="S345" s="95" t="s">
        <v>185</v>
      </c>
      <c r="T345" s="96"/>
      <c r="U345" s="106">
        <f t="shared" si="48"/>
        <v>48</v>
      </c>
      <c r="V345" s="106">
        <f t="shared" si="49"/>
        <v>1</v>
      </c>
      <c r="W345" s="105">
        <f t="shared" si="50"/>
        <v>48</v>
      </c>
      <c r="X345" s="95" t="s">
        <v>186</v>
      </c>
      <c r="Y345" s="107" t="s">
        <v>181</v>
      </c>
      <c r="Z345" s="107" t="s">
        <v>176</v>
      </c>
    </row>
    <row r="346" spans="1:26" s="107" customFormat="1" ht="15" customHeight="1" x14ac:dyDescent="0.2">
      <c r="A346" s="101">
        <f t="shared" si="52"/>
        <v>344</v>
      </c>
      <c r="B346" s="77" t="s">
        <v>334</v>
      </c>
      <c r="C346" s="102" t="str">
        <f>IF($B346&lt;&gt;"",_xlfn.IFNA(VLOOKUP($B346,'Node Details'!$B:$U,C$1,0),"Check"),"")</f>
        <v>0000AXY14-AXY140102</v>
      </c>
      <c r="D346" s="102" t="str">
        <f>IF($B346&lt;&gt;"",_xlfn.IFNA(VLOOKUP($B346,'Node Details'!$B:$U,D$1,0),"Check"),"")</f>
        <v>AXY</v>
      </c>
      <c r="E346" s="102" t="str">
        <f>IF($B346&lt;&gt;"",_xlfn.IFNA(VLOOKUP($B346,'Node Details'!$B:$U,E$1,0),"Check"),"")</f>
        <v>Airtel</v>
      </c>
      <c r="F346" s="103">
        <v>46113</v>
      </c>
      <c r="G346" s="105"/>
      <c r="H346" s="104" t="s">
        <v>184</v>
      </c>
      <c r="I346" s="9">
        <v>1</v>
      </c>
      <c r="J346" s="9">
        <v>48</v>
      </c>
      <c r="K346" s="102">
        <f t="shared" si="51"/>
        <v>48</v>
      </c>
      <c r="L346" s="80">
        <v>46112</v>
      </c>
      <c r="M346" s="105"/>
      <c r="N346" s="95" t="s">
        <v>372</v>
      </c>
      <c r="O346" s="96"/>
      <c r="P346" s="106">
        <f t="shared" si="46"/>
        <v>48</v>
      </c>
      <c r="Q346" s="106">
        <f t="shared" si="47"/>
        <v>48</v>
      </c>
      <c r="R346" s="106"/>
      <c r="S346" s="95" t="s">
        <v>185</v>
      </c>
      <c r="T346" s="96"/>
      <c r="U346" s="106">
        <f t="shared" si="48"/>
        <v>48</v>
      </c>
      <c r="V346" s="106">
        <f t="shared" si="49"/>
        <v>1</v>
      </c>
      <c r="W346" s="105">
        <f t="shared" si="50"/>
        <v>48</v>
      </c>
      <c r="X346" s="95" t="s">
        <v>186</v>
      </c>
      <c r="Y346" s="107" t="s">
        <v>181</v>
      </c>
      <c r="Z346" s="107" t="s">
        <v>176</v>
      </c>
    </row>
    <row r="347" spans="1:26" s="107" customFormat="1" ht="15" customHeight="1" x14ac:dyDescent="0.2">
      <c r="A347" s="101">
        <f t="shared" si="52"/>
        <v>345</v>
      </c>
      <c r="B347" s="77" t="s">
        <v>335</v>
      </c>
      <c r="C347" s="102" t="str">
        <f>IF($B347&lt;&gt;"",_xlfn.IFNA(VLOOKUP($B347,'Node Details'!$B:$U,C$1,0),"Check"),"")</f>
        <v>0000AXY14-AXY140101</v>
      </c>
      <c r="D347" s="102" t="str">
        <f>IF($B347&lt;&gt;"",_xlfn.IFNA(VLOOKUP($B347,'Node Details'!$B:$U,D$1,0),"Check"),"")</f>
        <v>AXY</v>
      </c>
      <c r="E347" s="102" t="str">
        <f>IF($B347&lt;&gt;"",_xlfn.IFNA(VLOOKUP($B347,'Node Details'!$B:$U,E$1,0),"Check"),"")</f>
        <v>Airtel</v>
      </c>
      <c r="F347" s="103">
        <v>46113</v>
      </c>
      <c r="G347" s="105"/>
      <c r="H347" s="104" t="s">
        <v>184</v>
      </c>
      <c r="I347" s="9">
        <v>1</v>
      </c>
      <c r="J347" s="9">
        <v>48</v>
      </c>
      <c r="K347" s="102">
        <f t="shared" si="51"/>
        <v>48</v>
      </c>
      <c r="L347" s="80">
        <v>46112</v>
      </c>
      <c r="M347" s="105"/>
      <c r="N347" s="95" t="s">
        <v>372</v>
      </c>
      <c r="O347" s="96"/>
      <c r="P347" s="106">
        <f t="shared" si="46"/>
        <v>48</v>
      </c>
      <c r="Q347" s="106">
        <f t="shared" si="47"/>
        <v>48</v>
      </c>
      <c r="R347" s="106"/>
      <c r="S347" s="95" t="s">
        <v>185</v>
      </c>
      <c r="T347" s="96"/>
      <c r="U347" s="106">
        <f t="shared" si="48"/>
        <v>48</v>
      </c>
      <c r="V347" s="106">
        <f t="shared" si="49"/>
        <v>1</v>
      </c>
      <c r="W347" s="105">
        <f t="shared" si="50"/>
        <v>48</v>
      </c>
      <c r="X347" s="95" t="s">
        <v>186</v>
      </c>
      <c r="Y347" s="107" t="s">
        <v>181</v>
      </c>
      <c r="Z347" s="107" t="s">
        <v>176</v>
      </c>
    </row>
    <row r="348" spans="1:26" s="107" customFormat="1" ht="15" customHeight="1" x14ac:dyDescent="0.2">
      <c r="A348" s="101">
        <f t="shared" si="52"/>
        <v>346</v>
      </c>
      <c r="B348" s="77" t="s">
        <v>336</v>
      </c>
      <c r="C348" s="102" t="str">
        <f>IF($B348&lt;&gt;"",_xlfn.IFNA(VLOOKUP($B348,'Node Details'!$B:$U,C$1,0),"Check"),"")</f>
        <v>0000AXY14-AXY140202</v>
      </c>
      <c r="D348" s="102" t="str">
        <f>IF($B348&lt;&gt;"",_xlfn.IFNA(VLOOKUP($B348,'Node Details'!$B:$U,D$1,0),"Check"),"")</f>
        <v>AXY</v>
      </c>
      <c r="E348" s="102" t="str">
        <f>IF($B348&lt;&gt;"",_xlfn.IFNA(VLOOKUP($B348,'Node Details'!$B:$U,E$1,0),"Check"),"")</f>
        <v>Airtel</v>
      </c>
      <c r="F348" s="103">
        <v>46113</v>
      </c>
      <c r="G348" s="105"/>
      <c r="H348" s="104" t="s">
        <v>184</v>
      </c>
      <c r="I348" s="9">
        <v>1</v>
      </c>
      <c r="J348" s="9">
        <v>48</v>
      </c>
      <c r="K348" s="102">
        <f t="shared" si="51"/>
        <v>48</v>
      </c>
      <c r="L348" s="80">
        <v>46112</v>
      </c>
      <c r="M348" s="105"/>
      <c r="N348" s="95" t="s">
        <v>372</v>
      </c>
      <c r="O348" s="96"/>
      <c r="P348" s="106">
        <f t="shared" si="46"/>
        <v>48</v>
      </c>
      <c r="Q348" s="106">
        <f t="shared" si="47"/>
        <v>48</v>
      </c>
      <c r="R348" s="106"/>
      <c r="S348" s="95" t="s">
        <v>185</v>
      </c>
      <c r="T348" s="96"/>
      <c r="U348" s="106">
        <f t="shared" si="48"/>
        <v>48</v>
      </c>
      <c r="V348" s="106">
        <f t="shared" si="49"/>
        <v>1</v>
      </c>
      <c r="W348" s="105">
        <f t="shared" si="50"/>
        <v>48</v>
      </c>
      <c r="X348" s="95" t="s">
        <v>186</v>
      </c>
      <c r="Y348" s="107" t="s">
        <v>181</v>
      </c>
      <c r="Z348" s="107" t="s">
        <v>176</v>
      </c>
    </row>
    <row r="349" spans="1:26" s="107" customFormat="1" ht="15" customHeight="1" x14ac:dyDescent="0.2">
      <c r="A349" s="101">
        <f t="shared" si="52"/>
        <v>347</v>
      </c>
      <c r="B349" s="77" t="s">
        <v>337</v>
      </c>
      <c r="C349" s="102" t="str">
        <f>IF($B349&lt;&gt;"",_xlfn.IFNA(VLOOKUP($B349,'Node Details'!$B:$U,C$1,0),"Check"),"")</f>
        <v>0000AXY14-AXY140202</v>
      </c>
      <c r="D349" s="102" t="str">
        <f>IF($B349&lt;&gt;"",_xlfn.IFNA(VLOOKUP($B349,'Node Details'!$B:$U,D$1,0),"Check"),"")</f>
        <v>AXY</v>
      </c>
      <c r="E349" s="102" t="str">
        <f>IF($B349&lt;&gt;"",_xlfn.IFNA(VLOOKUP($B349,'Node Details'!$B:$U,E$1,0),"Check"),"")</f>
        <v>Airtel</v>
      </c>
      <c r="F349" s="103">
        <v>46113</v>
      </c>
      <c r="G349" s="105"/>
      <c r="H349" s="104" t="s">
        <v>184</v>
      </c>
      <c r="I349" s="9">
        <v>1</v>
      </c>
      <c r="J349" s="9">
        <v>48</v>
      </c>
      <c r="K349" s="102">
        <f t="shared" si="51"/>
        <v>48</v>
      </c>
      <c r="L349" s="80">
        <v>46112</v>
      </c>
      <c r="M349" s="105"/>
      <c r="N349" s="95" t="s">
        <v>372</v>
      </c>
      <c r="O349" s="96"/>
      <c r="P349" s="106">
        <f t="shared" ref="P349:P412" si="53">J349</f>
        <v>48</v>
      </c>
      <c r="Q349" s="106">
        <f t="shared" ref="Q349:Q412" si="54">P349*I349</f>
        <v>48</v>
      </c>
      <c r="R349" s="106"/>
      <c r="S349" s="95" t="s">
        <v>185</v>
      </c>
      <c r="T349" s="96"/>
      <c r="U349" s="106">
        <f t="shared" ref="U349:U412" si="55">J349</f>
        <v>48</v>
      </c>
      <c r="V349" s="106">
        <f t="shared" ref="V349:V412" si="56">I349</f>
        <v>1</v>
      </c>
      <c r="W349" s="105">
        <f t="shared" ref="W349:W412" si="57">IF(V349&lt;&gt;"",V349*U349,0)</f>
        <v>48</v>
      </c>
      <c r="X349" s="95" t="s">
        <v>186</v>
      </c>
      <c r="Y349" s="107" t="s">
        <v>181</v>
      </c>
      <c r="Z349" s="107" t="s">
        <v>176</v>
      </c>
    </row>
    <row r="350" spans="1:26" s="107" customFormat="1" ht="15" customHeight="1" x14ac:dyDescent="0.2">
      <c r="A350" s="101">
        <f t="shared" si="52"/>
        <v>348</v>
      </c>
      <c r="B350" s="77" t="s">
        <v>338</v>
      </c>
      <c r="C350" s="102" t="str">
        <f>IF($B350&lt;&gt;"",_xlfn.IFNA(VLOOKUP($B350,'Node Details'!$B:$U,C$1,0),"Check"),"")</f>
        <v>0000AXY14-AXY140202</v>
      </c>
      <c r="D350" s="102" t="str">
        <f>IF($B350&lt;&gt;"",_xlfn.IFNA(VLOOKUP($B350,'Node Details'!$B:$U,D$1,0),"Check"),"")</f>
        <v>AXY</v>
      </c>
      <c r="E350" s="102" t="str">
        <f>IF($B350&lt;&gt;"",_xlfn.IFNA(VLOOKUP($B350,'Node Details'!$B:$U,E$1,0),"Check"),"")</f>
        <v>Airtel</v>
      </c>
      <c r="F350" s="103">
        <v>46113</v>
      </c>
      <c r="G350" s="105"/>
      <c r="H350" s="104" t="s">
        <v>184</v>
      </c>
      <c r="I350" s="9">
        <v>1</v>
      </c>
      <c r="J350" s="9">
        <v>48</v>
      </c>
      <c r="K350" s="102">
        <f t="shared" ref="K350:K413" si="58">IF(I350&lt;&gt;"",J350*I350,0)</f>
        <v>48</v>
      </c>
      <c r="L350" s="80">
        <v>46112</v>
      </c>
      <c r="M350" s="105"/>
      <c r="N350" s="95" t="s">
        <v>372</v>
      </c>
      <c r="O350" s="96"/>
      <c r="P350" s="106">
        <f t="shared" si="53"/>
        <v>48</v>
      </c>
      <c r="Q350" s="106">
        <f t="shared" si="54"/>
        <v>48</v>
      </c>
      <c r="R350" s="106"/>
      <c r="S350" s="95" t="s">
        <v>185</v>
      </c>
      <c r="T350" s="96"/>
      <c r="U350" s="106">
        <f t="shared" si="55"/>
        <v>48</v>
      </c>
      <c r="V350" s="106">
        <f t="shared" si="56"/>
        <v>1</v>
      </c>
      <c r="W350" s="105">
        <f t="shared" si="57"/>
        <v>48</v>
      </c>
      <c r="X350" s="95" t="s">
        <v>186</v>
      </c>
      <c r="Y350" s="107" t="s">
        <v>181</v>
      </c>
      <c r="Z350" s="107" t="s">
        <v>176</v>
      </c>
    </row>
    <row r="351" spans="1:26" s="107" customFormat="1" ht="15" customHeight="1" x14ac:dyDescent="0.2">
      <c r="A351" s="101">
        <f t="shared" si="52"/>
        <v>349</v>
      </c>
      <c r="B351" s="77" t="s">
        <v>339</v>
      </c>
      <c r="C351" s="102" t="str">
        <f>IF($B351&lt;&gt;"",_xlfn.IFNA(VLOOKUP($B351,'Node Details'!$B:$U,C$1,0),"Check"),"")</f>
        <v>AXY140202-AXY140203</v>
      </c>
      <c r="D351" s="102" t="str">
        <f>IF($B351&lt;&gt;"",_xlfn.IFNA(VLOOKUP($B351,'Node Details'!$B:$U,D$1,0),"Check"),"")</f>
        <v>AXY</v>
      </c>
      <c r="E351" s="102" t="str">
        <f>IF($B351&lt;&gt;"",_xlfn.IFNA(VLOOKUP($B351,'Node Details'!$B:$U,E$1,0),"Check"),"")</f>
        <v>Airtel</v>
      </c>
      <c r="F351" s="103">
        <v>46113</v>
      </c>
      <c r="G351" s="105"/>
      <c r="H351" s="104" t="s">
        <v>184</v>
      </c>
      <c r="I351" s="9">
        <v>1</v>
      </c>
      <c r="J351" s="9">
        <v>48</v>
      </c>
      <c r="K351" s="102">
        <f t="shared" si="58"/>
        <v>48</v>
      </c>
      <c r="L351" s="80">
        <v>46112</v>
      </c>
      <c r="M351" s="105"/>
      <c r="N351" s="95" t="s">
        <v>372</v>
      </c>
      <c r="O351" s="96"/>
      <c r="P351" s="106">
        <f t="shared" si="53"/>
        <v>48</v>
      </c>
      <c r="Q351" s="106">
        <f t="shared" si="54"/>
        <v>48</v>
      </c>
      <c r="R351" s="106"/>
      <c r="S351" s="95" t="s">
        <v>185</v>
      </c>
      <c r="T351" s="96"/>
      <c r="U351" s="106">
        <f t="shared" si="55"/>
        <v>48</v>
      </c>
      <c r="V351" s="106">
        <f t="shared" si="56"/>
        <v>1</v>
      </c>
      <c r="W351" s="105">
        <f t="shared" si="57"/>
        <v>48</v>
      </c>
      <c r="X351" s="95" t="s">
        <v>186</v>
      </c>
      <c r="Y351" s="107" t="s">
        <v>181</v>
      </c>
      <c r="Z351" s="107" t="s">
        <v>176</v>
      </c>
    </row>
    <row r="352" spans="1:26" s="107" customFormat="1" ht="15" customHeight="1" x14ac:dyDescent="0.2">
      <c r="A352" s="101">
        <f t="shared" si="52"/>
        <v>350</v>
      </c>
      <c r="B352" s="77" t="s">
        <v>340</v>
      </c>
      <c r="C352" s="102" t="str">
        <f>IF($B352&lt;&gt;"",_xlfn.IFNA(VLOOKUP($B352,'Node Details'!$B:$U,C$1,0),"Check"),"")</f>
        <v>AXY140108-AXY140104</v>
      </c>
      <c r="D352" s="102" t="str">
        <f>IF($B352&lt;&gt;"",_xlfn.IFNA(VLOOKUP($B352,'Node Details'!$B:$U,D$1,0),"Check"),"")</f>
        <v>AXY</v>
      </c>
      <c r="E352" s="102" t="str">
        <f>IF($B352&lt;&gt;"",_xlfn.IFNA(VLOOKUP($B352,'Node Details'!$B:$U,E$1,0),"Check"),"")</f>
        <v>Airtel</v>
      </c>
      <c r="F352" s="103">
        <v>46113</v>
      </c>
      <c r="G352" s="105"/>
      <c r="H352" s="104" t="s">
        <v>184</v>
      </c>
      <c r="I352" s="9">
        <v>1</v>
      </c>
      <c r="J352" s="9">
        <v>48</v>
      </c>
      <c r="K352" s="102">
        <f t="shared" si="58"/>
        <v>48</v>
      </c>
      <c r="L352" s="80">
        <v>46112</v>
      </c>
      <c r="M352" s="105"/>
      <c r="N352" s="95" t="s">
        <v>372</v>
      </c>
      <c r="O352" s="96"/>
      <c r="P352" s="106">
        <f t="shared" si="53"/>
        <v>48</v>
      </c>
      <c r="Q352" s="106">
        <f t="shared" si="54"/>
        <v>48</v>
      </c>
      <c r="R352" s="106"/>
      <c r="S352" s="95" t="s">
        <v>185</v>
      </c>
      <c r="T352" s="96"/>
      <c r="U352" s="106">
        <f t="shared" si="55"/>
        <v>48</v>
      </c>
      <c r="V352" s="106">
        <f t="shared" si="56"/>
        <v>1</v>
      </c>
      <c r="W352" s="105">
        <f t="shared" si="57"/>
        <v>48</v>
      </c>
      <c r="X352" s="95" t="s">
        <v>186</v>
      </c>
      <c r="Y352" s="107" t="s">
        <v>181</v>
      </c>
      <c r="Z352" s="107" t="s">
        <v>176</v>
      </c>
    </row>
    <row r="353" spans="1:26" s="107" customFormat="1" ht="15" customHeight="1" x14ac:dyDescent="0.2">
      <c r="A353" s="101">
        <f t="shared" si="52"/>
        <v>351</v>
      </c>
      <c r="B353" s="77" t="s">
        <v>341</v>
      </c>
      <c r="C353" s="102" t="str">
        <f>IF($B353&lt;&gt;"",_xlfn.IFNA(VLOOKUP($B353,'Node Details'!$B:$U,C$1,0),"Check"),"")</f>
        <v>AXY140108-AXY140104</v>
      </c>
      <c r="D353" s="102" t="str">
        <f>IF($B353&lt;&gt;"",_xlfn.IFNA(VLOOKUP($B353,'Node Details'!$B:$U,D$1,0),"Check"),"")</f>
        <v>AXY</v>
      </c>
      <c r="E353" s="102" t="str">
        <f>IF($B353&lt;&gt;"",_xlfn.IFNA(VLOOKUP($B353,'Node Details'!$B:$U,E$1,0),"Check"),"")</f>
        <v>Airtel</v>
      </c>
      <c r="F353" s="103">
        <v>46113</v>
      </c>
      <c r="G353" s="105"/>
      <c r="H353" s="104" t="s">
        <v>184</v>
      </c>
      <c r="I353" s="9">
        <v>1</v>
      </c>
      <c r="J353" s="9">
        <v>48</v>
      </c>
      <c r="K353" s="102">
        <f t="shared" si="58"/>
        <v>48</v>
      </c>
      <c r="L353" s="80">
        <v>46112</v>
      </c>
      <c r="M353" s="105"/>
      <c r="N353" s="95" t="s">
        <v>372</v>
      </c>
      <c r="O353" s="96"/>
      <c r="P353" s="106">
        <f t="shared" si="53"/>
        <v>48</v>
      </c>
      <c r="Q353" s="106">
        <f t="shared" si="54"/>
        <v>48</v>
      </c>
      <c r="R353" s="106"/>
      <c r="S353" s="95" t="s">
        <v>185</v>
      </c>
      <c r="T353" s="96"/>
      <c r="U353" s="106">
        <f t="shared" si="55"/>
        <v>48</v>
      </c>
      <c r="V353" s="106">
        <f t="shared" si="56"/>
        <v>1</v>
      </c>
      <c r="W353" s="105">
        <f t="shared" si="57"/>
        <v>48</v>
      </c>
      <c r="X353" s="95" t="s">
        <v>186</v>
      </c>
      <c r="Y353" s="107" t="s">
        <v>181</v>
      </c>
      <c r="Z353" s="107" t="s">
        <v>176</v>
      </c>
    </row>
    <row r="354" spans="1:26" s="107" customFormat="1" ht="15" customHeight="1" x14ac:dyDescent="0.2">
      <c r="A354" s="101">
        <f t="shared" si="52"/>
        <v>352</v>
      </c>
      <c r="B354" s="77" t="s">
        <v>342</v>
      </c>
      <c r="C354" s="102" t="str">
        <f>IF($B354&lt;&gt;"",_xlfn.IFNA(VLOOKUP($B354,'Node Details'!$B:$U,C$1,0),"Check"),"")</f>
        <v>AXY140108-AXY140104</v>
      </c>
      <c r="D354" s="102" t="str">
        <f>IF($B354&lt;&gt;"",_xlfn.IFNA(VLOOKUP($B354,'Node Details'!$B:$U,D$1,0),"Check"),"")</f>
        <v>AXY</v>
      </c>
      <c r="E354" s="102" t="str">
        <f>IF($B354&lt;&gt;"",_xlfn.IFNA(VLOOKUP($B354,'Node Details'!$B:$U,E$1,0),"Check"),"")</f>
        <v>Airtel</v>
      </c>
      <c r="F354" s="103">
        <v>46113</v>
      </c>
      <c r="G354" s="105"/>
      <c r="H354" s="104" t="s">
        <v>184</v>
      </c>
      <c r="I354" s="9">
        <v>1</v>
      </c>
      <c r="J354" s="9">
        <v>48</v>
      </c>
      <c r="K354" s="102">
        <f t="shared" si="58"/>
        <v>48</v>
      </c>
      <c r="L354" s="80">
        <v>46112</v>
      </c>
      <c r="M354" s="105"/>
      <c r="N354" s="95" t="s">
        <v>372</v>
      </c>
      <c r="O354" s="96"/>
      <c r="P354" s="106">
        <f t="shared" si="53"/>
        <v>48</v>
      </c>
      <c r="Q354" s="106">
        <f t="shared" si="54"/>
        <v>48</v>
      </c>
      <c r="R354" s="106"/>
      <c r="S354" s="95" t="s">
        <v>185</v>
      </c>
      <c r="T354" s="96"/>
      <c r="U354" s="106">
        <f t="shared" si="55"/>
        <v>48</v>
      </c>
      <c r="V354" s="106">
        <f t="shared" si="56"/>
        <v>1</v>
      </c>
      <c r="W354" s="105">
        <f t="shared" si="57"/>
        <v>48</v>
      </c>
      <c r="X354" s="95" t="s">
        <v>186</v>
      </c>
      <c r="Y354" s="107" t="s">
        <v>181</v>
      </c>
      <c r="Z354" s="107" t="s">
        <v>176</v>
      </c>
    </row>
    <row r="355" spans="1:26" s="107" customFormat="1" ht="15" customHeight="1" x14ac:dyDescent="0.2">
      <c r="A355" s="101">
        <f t="shared" si="52"/>
        <v>353</v>
      </c>
      <c r="B355" s="77" t="s">
        <v>343</v>
      </c>
      <c r="C355" s="102" t="str">
        <f>IF($B355&lt;&gt;"",_xlfn.IFNA(VLOOKUP($B355,'Node Details'!$B:$U,C$1,0),"Check"),"")</f>
        <v>AXY140108-AXY140104</v>
      </c>
      <c r="D355" s="102" t="str">
        <f>IF($B355&lt;&gt;"",_xlfn.IFNA(VLOOKUP($B355,'Node Details'!$B:$U,D$1,0),"Check"),"")</f>
        <v>AXY</v>
      </c>
      <c r="E355" s="102" t="str">
        <f>IF($B355&lt;&gt;"",_xlfn.IFNA(VLOOKUP($B355,'Node Details'!$B:$U,E$1,0),"Check"),"")</f>
        <v>Airtel</v>
      </c>
      <c r="F355" s="103">
        <v>46113</v>
      </c>
      <c r="G355" s="105"/>
      <c r="H355" s="104" t="s">
        <v>184</v>
      </c>
      <c r="I355" s="9">
        <v>1</v>
      </c>
      <c r="J355" s="9">
        <v>48</v>
      </c>
      <c r="K355" s="102">
        <f t="shared" si="58"/>
        <v>48</v>
      </c>
      <c r="L355" s="80">
        <v>46112</v>
      </c>
      <c r="M355" s="105"/>
      <c r="N355" s="95" t="s">
        <v>372</v>
      </c>
      <c r="O355" s="96"/>
      <c r="P355" s="106">
        <f t="shared" si="53"/>
        <v>48</v>
      </c>
      <c r="Q355" s="106">
        <f t="shared" si="54"/>
        <v>48</v>
      </c>
      <c r="R355" s="106"/>
      <c r="S355" s="95" t="s">
        <v>185</v>
      </c>
      <c r="T355" s="96"/>
      <c r="U355" s="106">
        <f t="shared" si="55"/>
        <v>48</v>
      </c>
      <c r="V355" s="106">
        <f t="shared" si="56"/>
        <v>1</v>
      </c>
      <c r="W355" s="105">
        <f t="shared" si="57"/>
        <v>48</v>
      </c>
      <c r="X355" s="95" t="s">
        <v>186</v>
      </c>
      <c r="Y355" s="107" t="s">
        <v>181</v>
      </c>
      <c r="Z355" s="107" t="s">
        <v>176</v>
      </c>
    </row>
    <row r="356" spans="1:26" s="107" customFormat="1" ht="15" customHeight="1" x14ac:dyDescent="0.2">
      <c r="A356" s="101">
        <f t="shared" si="52"/>
        <v>354</v>
      </c>
      <c r="B356" s="77" t="s">
        <v>344</v>
      </c>
      <c r="C356" s="102" t="str">
        <f>IF($B356&lt;&gt;"",_xlfn.IFNA(VLOOKUP($B356,'Node Details'!$B:$U,C$1,0),"Check"),"")</f>
        <v>000000AXY-0000AXY17</v>
      </c>
      <c r="D356" s="102" t="str">
        <f>IF($B356&lt;&gt;"",_xlfn.IFNA(VLOOKUP($B356,'Node Details'!$B:$U,D$1,0),"Check"),"")</f>
        <v>AXY</v>
      </c>
      <c r="E356" s="102" t="str">
        <f>IF($B356&lt;&gt;"",_xlfn.IFNA(VLOOKUP($B356,'Node Details'!$B:$U,E$1,0),"Check"),"")</f>
        <v>Airtel</v>
      </c>
      <c r="F356" s="103">
        <v>46113</v>
      </c>
      <c r="G356" s="105"/>
      <c r="H356" s="104" t="s">
        <v>184</v>
      </c>
      <c r="I356" s="9">
        <v>1</v>
      </c>
      <c r="J356" s="9">
        <v>48</v>
      </c>
      <c r="K356" s="102">
        <f t="shared" si="58"/>
        <v>48</v>
      </c>
      <c r="L356" s="80">
        <v>46112</v>
      </c>
      <c r="M356" s="105"/>
      <c r="N356" s="95" t="s">
        <v>372</v>
      </c>
      <c r="O356" s="96"/>
      <c r="P356" s="106">
        <f t="shared" si="53"/>
        <v>48</v>
      </c>
      <c r="Q356" s="106">
        <f t="shared" si="54"/>
        <v>48</v>
      </c>
      <c r="R356" s="106"/>
      <c r="S356" s="95" t="s">
        <v>185</v>
      </c>
      <c r="T356" s="96"/>
      <c r="U356" s="106">
        <f t="shared" si="55"/>
        <v>48</v>
      </c>
      <c r="V356" s="106">
        <f t="shared" si="56"/>
        <v>1</v>
      </c>
      <c r="W356" s="105">
        <f t="shared" si="57"/>
        <v>48</v>
      </c>
      <c r="X356" s="95" t="s">
        <v>186</v>
      </c>
      <c r="Y356" s="107" t="s">
        <v>181</v>
      </c>
      <c r="Z356" s="107" t="s">
        <v>176</v>
      </c>
    </row>
    <row r="357" spans="1:26" s="107" customFormat="1" ht="15" customHeight="1" x14ac:dyDescent="0.2">
      <c r="A357" s="101">
        <f t="shared" si="52"/>
        <v>355</v>
      </c>
      <c r="B357" s="77" t="s">
        <v>345</v>
      </c>
      <c r="C357" s="102" t="str">
        <f>IF($B357&lt;&gt;"",_xlfn.IFNA(VLOOKUP($B357,'Node Details'!$B:$U,C$1,0),"Check"),"")</f>
        <v>0000AXY15-AXY150103</v>
      </c>
      <c r="D357" s="102" t="str">
        <f>IF($B357&lt;&gt;"",_xlfn.IFNA(VLOOKUP($B357,'Node Details'!$B:$U,D$1,0),"Check"),"")</f>
        <v>AXY</v>
      </c>
      <c r="E357" s="102" t="str">
        <f>IF($B357&lt;&gt;"",_xlfn.IFNA(VLOOKUP($B357,'Node Details'!$B:$U,E$1,0),"Check"),"")</f>
        <v>Airtel</v>
      </c>
      <c r="F357" s="103">
        <v>46113</v>
      </c>
      <c r="G357" s="105"/>
      <c r="H357" s="104" t="s">
        <v>184</v>
      </c>
      <c r="I357" s="9">
        <v>1</v>
      </c>
      <c r="J357" s="9">
        <v>48</v>
      </c>
      <c r="K357" s="102">
        <f t="shared" si="58"/>
        <v>48</v>
      </c>
      <c r="L357" s="80">
        <v>46112</v>
      </c>
      <c r="M357" s="105"/>
      <c r="N357" s="95" t="s">
        <v>372</v>
      </c>
      <c r="O357" s="96"/>
      <c r="P357" s="106">
        <f t="shared" si="53"/>
        <v>48</v>
      </c>
      <c r="Q357" s="106">
        <f t="shared" si="54"/>
        <v>48</v>
      </c>
      <c r="R357" s="106"/>
      <c r="S357" s="95" t="s">
        <v>185</v>
      </c>
      <c r="T357" s="96"/>
      <c r="U357" s="106">
        <f t="shared" si="55"/>
        <v>48</v>
      </c>
      <c r="V357" s="106">
        <f t="shared" si="56"/>
        <v>1</v>
      </c>
      <c r="W357" s="105">
        <f t="shared" si="57"/>
        <v>48</v>
      </c>
      <c r="X357" s="95" t="s">
        <v>186</v>
      </c>
      <c r="Y357" s="107" t="s">
        <v>181</v>
      </c>
      <c r="Z357" s="107" t="s">
        <v>176</v>
      </c>
    </row>
    <row r="358" spans="1:26" s="107" customFormat="1" ht="15" customHeight="1" x14ac:dyDescent="0.2">
      <c r="A358" s="101">
        <f t="shared" si="52"/>
        <v>356</v>
      </c>
      <c r="B358" s="77" t="s">
        <v>346</v>
      </c>
      <c r="C358" s="102" t="str">
        <f>IF($B358&lt;&gt;"",_xlfn.IFNA(VLOOKUP($B358,'Node Details'!$B:$U,C$1,0),"Check"),"")</f>
        <v>0000AXY15-AXY150103</v>
      </c>
      <c r="D358" s="102" t="str">
        <f>IF($B358&lt;&gt;"",_xlfn.IFNA(VLOOKUP($B358,'Node Details'!$B:$U,D$1,0),"Check"),"")</f>
        <v>AXY</v>
      </c>
      <c r="E358" s="102" t="str">
        <f>IF($B358&lt;&gt;"",_xlfn.IFNA(VLOOKUP($B358,'Node Details'!$B:$U,E$1,0),"Check"),"")</f>
        <v>Airtel</v>
      </c>
      <c r="F358" s="103">
        <v>46113</v>
      </c>
      <c r="G358" s="105"/>
      <c r="H358" s="104" t="s">
        <v>184</v>
      </c>
      <c r="I358" s="9">
        <v>1</v>
      </c>
      <c r="J358" s="9">
        <v>48</v>
      </c>
      <c r="K358" s="102">
        <f t="shared" si="58"/>
        <v>48</v>
      </c>
      <c r="L358" s="80">
        <v>46112</v>
      </c>
      <c r="M358" s="105"/>
      <c r="N358" s="95" t="s">
        <v>372</v>
      </c>
      <c r="O358" s="96"/>
      <c r="P358" s="106">
        <f t="shared" si="53"/>
        <v>48</v>
      </c>
      <c r="Q358" s="106">
        <f t="shared" si="54"/>
        <v>48</v>
      </c>
      <c r="R358" s="106"/>
      <c r="S358" s="95" t="s">
        <v>185</v>
      </c>
      <c r="T358" s="96"/>
      <c r="U358" s="106">
        <f t="shared" si="55"/>
        <v>48</v>
      </c>
      <c r="V358" s="106">
        <f t="shared" si="56"/>
        <v>1</v>
      </c>
      <c r="W358" s="105">
        <f t="shared" si="57"/>
        <v>48</v>
      </c>
      <c r="X358" s="95" t="s">
        <v>186</v>
      </c>
      <c r="Y358" s="107" t="s">
        <v>181</v>
      </c>
      <c r="Z358" s="107" t="s">
        <v>176</v>
      </c>
    </row>
    <row r="359" spans="1:26" s="107" customFormat="1" ht="15" customHeight="1" x14ac:dyDescent="0.2">
      <c r="A359" s="101">
        <f t="shared" si="52"/>
        <v>357</v>
      </c>
      <c r="B359" s="77" t="s">
        <v>347</v>
      </c>
      <c r="C359" s="102" t="str">
        <f>IF($B359&lt;&gt;"",_xlfn.IFNA(VLOOKUP($B359,'Node Details'!$B:$U,C$1,0),"Check"),"")</f>
        <v>0000AXY15-AXY150103</v>
      </c>
      <c r="D359" s="102" t="str">
        <f>IF($B359&lt;&gt;"",_xlfn.IFNA(VLOOKUP($B359,'Node Details'!$B:$U,D$1,0),"Check"),"")</f>
        <v>AXY</v>
      </c>
      <c r="E359" s="102" t="str">
        <f>IF($B359&lt;&gt;"",_xlfn.IFNA(VLOOKUP($B359,'Node Details'!$B:$U,E$1,0),"Check"),"")</f>
        <v>Airtel</v>
      </c>
      <c r="F359" s="103">
        <v>46113</v>
      </c>
      <c r="G359" s="105"/>
      <c r="H359" s="104" t="s">
        <v>184</v>
      </c>
      <c r="I359" s="9">
        <v>1</v>
      </c>
      <c r="J359" s="9">
        <v>48</v>
      </c>
      <c r="K359" s="102">
        <f t="shared" si="58"/>
        <v>48</v>
      </c>
      <c r="L359" s="80">
        <v>46112</v>
      </c>
      <c r="M359" s="105"/>
      <c r="N359" s="95" t="s">
        <v>372</v>
      </c>
      <c r="O359" s="96"/>
      <c r="P359" s="106">
        <f t="shared" si="53"/>
        <v>48</v>
      </c>
      <c r="Q359" s="106">
        <f t="shared" si="54"/>
        <v>48</v>
      </c>
      <c r="R359" s="106"/>
      <c r="S359" s="95" t="s">
        <v>185</v>
      </c>
      <c r="T359" s="96"/>
      <c r="U359" s="106">
        <f t="shared" si="55"/>
        <v>48</v>
      </c>
      <c r="V359" s="106">
        <f t="shared" si="56"/>
        <v>1</v>
      </c>
      <c r="W359" s="105">
        <f t="shared" si="57"/>
        <v>48</v>
      </c>
      <c r="X359" s="95" t="s">
        <v>186</v>
      </c>
      <c r="Y359" s="107" t="s">
        <v>181</v>
      </c>
      <c r="Z359" s="107" t="s">
        <v>176</v>
      </c>
    </row>
    <row r="360" spans="1:26" s="107" customFormat="1" ht="15" customHeight="1" x14ac:dyDescent="0.2">
      <c r="A360" s="101">
        <f t="shared" si="52"/>
        <v>358</v>
      </c>
      <c r="B360" s="77" t="s">
        <v>348</v>
      </c>
      <c r="C360" s="102" t="str">
        <f>IF($B360&lt;&gt;"",_xlfn.IFNA(VLOOKUP($B360,'Node Details'!$B:$U,C$1,0),"Check"),"")</f>
        <v>0000AXY15-AXY150104</v>
      </c>
      <c r="D360" s="102" t="str">
        <f>IF($B360&lt;&gt;"",_xlfn.IFNA(VLOOKUP($B360,'Node Details'!$B:$U,D$1,0),"Check"),"")</f>
        <v>AXY</v>
      </c>
      <c r="E360" s="102" t="str">
        <f>IF($B360&lt;&gt;"",_xlfn.IFNA(VLOOKUP($B360,'Node Details'!$B:$U,E$1,0),"Check"),"")</f>
        <v>Airtel</v>
      </c>
      <c r="F360" s="103">
        <v>46113</v>
      </c>
      <c r="G360" s="105"/>
      <c r="H360" s="104" t="s">
        <v>184</v>
      </c>
      <c r="I360" s="9">
        <v>1</v>
      </c>
      <c r="J360" s="9">
        <v>48</v>
      </c>
      <c r="K360" s="102">
        <f t="shared" si="58"/>
        <v>48</v>
      </c>
      <c r="L360" s="80">
        <v>46112</v>
      </c>
      <c r="M360" s="105"/>
      <c r="N360" s="95" t="s">
        <v>372</v>
      </c>
      <c r="O360" s="96"/>
      <c r="P360" s="106">
        <f t="shared" si="53"/>
        <v>48</v>
      </c>
      <c r="Q360" s="106">
        <f t="shared" si="54"/>
        <v>48</v>
      </c>
      <c r="R360" s="106"/>
      <c r="S360" s="95" t="s">
        <v>185</v>
      </c>
      <c r="T360" s="96"/>
      <c r="U360" s="106">
        <f t="shared" si="55"/>
        <v>48</v>
      </c>
      <c r="V360" s="106">
        <f t="shared" si="56"/>
        <v>1</v>
      </c>
      <c r="W360" s="105">
        <f t="shared" si="57"/>
        <v>48</v>
      </c>
      <c r="X360" s="95" t="s">
        <v>186</v>
      </c>
      <c r="Y360" s="107" t="s">
        <v>181</v>
      </c>
      <c r="Z360" s="107" t="s">
        <v>176</v>
      </c>
    </row>
    <row r="361" spans="1:26" s="107" customFormat="1" ht="15" customHeight="1" x14ac:dyDescent="0.2">
      <c r="A361" s="101">
        <f t="shared" si="52"/>
        <v>359</v>
      </c>
      <c r="B361" s="77" t="s">
        <v>349</v>
      </c>
      <c r="C361" s="102" t="str">
        <f>IF($B361&lt;&gt;"",_xlfn.IFNA(VLOOKUP($B361,'Node Details'!$B:$U,C$1,0),"Check"),"")</f>
        <v>0000AXY15-AXY150108</v>
      </c>
      <c r="D361" s="102" t="str">
        <f>IF($B361&lt;&gt;"",_xlfn.IFNA(VLOOKUP($B361,'Node Details'!$B:$U,D$1,0),"Check"),"")</f>
        <v>AXY</v>
      </c>
      <c r="E361" s="102" t="str">
        <f>IF($B361&lt;&gt;"",_xlfn.IFNA(VLOOKUP($B361,'Node Details'!$B:$U,E$1,0),"Check"),"")</f>
        <v>Airtel</v>
      </c>
      <c r="F361" s="103">
        <v>46113</v>
      </c>
      <c r="G361" s="105"/>
      <c r="H361" s="104" t="s">
        <v>184</v>
      </c>
      <c r="I361" s="9">
        <v>1</v>
      </c>
      <c r="J361" s="9">
        <v>48</v>
      </c>
      <c r="K361" s="102">
        <f t="shared" si="58"/>
        <v>48</v>
      </c>
      <c r="L361" s="80">
        <v>46112</v>
      </c>
      <c r="M361" s="105"/>
      <c r="N361" s="95" t="s">
        <v>372</v>
      </c>
      <c r="O361" s="96"/>
      <c r="P361" s="106">
        <f t="shared" si="53"/>
        <v>48</v>
      </c>
      <c r="Q361" s="106">
        <f t="shared" si="54"/>
        <v>48</v>
      </c>
      <c r="R361" s="106"/>
      <c r="S361" s="95" t="s">
        <v>185</v>
      </c>
      <c r="T361" s="96"/>
      <c r="U361" s="106">
        <f t="shared" si="55"/>
        <v>48</v>
      </c>
      <c r="V361" s="106">
        <f t="shared" si="56"/>
        <v>1</v>
      </c>
      <c r="W361" s="105">
        <f t="shared" si="57"/>
        <v>48</v>
      </c>
      <c r="X361" s="95" t="s">
        <v>186</v>
      </c>
      <c r="Y361" s="107" t="s">
        <v>181</v>
      </c>
      <c r="Z361" s="107" t="s">
        <v>176</v>
      </c>
    </row>
    <row r="362" spans="1:26" s="107" customFormat="1" ht="15" customHeight="1" x14ac:dyDescent="0.2">
      <c r="A362" s="101">
        <f t="shared" si="52"/>
        <v>360</v>
      </c>
      <c r="B362" s="77" t="s">
        <v>350</v>
      </c>
      <c r="C362" s="102" t="str">
        <f>IF($B362&lt;&gt;"",_xlfn.IFNA(VLOOKUP($B362,'Node Details'!$B:$U,C$1,0),"Check"),"")</f>
        <v>0000AXY15-AXY150108</v>
      </c>
      <c r="D362" s="102" t="str">
        <f>IF($B362&lt;&gt;"",_xlfn.IFNA(VLOOKUP($B362,'Node Details'!$B:$U,D$1,0),"Check"),"")</f>
        <v>AXY</v>
      </c>
      <c r="E362" s="102" t="str">
        <f>IF($B362&lt;&gt;"",_xlfn.IFNA(VLOOKUP($B362,'Node Details'!$B:$U,E$1,0),"Check"),"")</f>
        <v>Airtel</v>
      </c>
      <c r="F362" s="103">
        <v>46113</v>
      </c>
      <c r="G362" s="105"/>
      <c r="H362" s="104" t="s">
        <v>184</v>
      </c>
      <c r="I362" s="9">
        <v>1</v>
      </c>
      <c r="J362" s="9">
        <v>48</v>
      </c>
      <c r="K362" s="102">
        <f t="shared" si="58"/>
        <v>48</v>
      </c>
      <c r="L362" s="80">
        <v>46112</v>
      </c>
      <c r="M362" s="105"/>
      <c r="N362" s="95" t="s">
        <v>372</v>
      </c>
      <c r="O362" s="96"/>
      <c r="P362" s="106">
        <f t="shared" si="53"/>
        <v>48</v>
      </c>
      <c r="Q362" s="106">
        <f t="shared" si="54"/>
        <v>48</v>
      </c>
      <c r="R362" s="106"/>
      <c r="S362" s="95" t="s">
        <v>185</v>
      </c>
      <c r="T362" s="96"/>
      <c r="U362" s="106">
        <f t="shared" si="55"/>
        <v>48</v>
      </c>
      <c r="V362" s="106">
        <f t="shared" si="56"/>
        <v>1</v>
      </c>
      <c r="W362" s="105">
        <f t="shared" si="57"/>
        <v>48</v>
      </c>
      <c r="X362" s="95" t="s">
        <v>186</v>
      </c>
      <c r="Y362" s="107" t="s">
        <v>181</v>
      </c>
      <c r="Z362" s="107" t="s">
        <v>176</v>
      </c>
    </row>
    <row r="363" spans="1:26" s="107" customFormat="1" ht="15" customHeight="1" x14ac:dyDescent="0.2">
      <c r="A363" s="101">
        <f t="shared" si="52"/>
        <v>361</v>
      </c>
      <c r="B363" s="77" t="s">
        <v>351</v>
      </c>
      <c r="C363" s="102" t="str">
        <f>IF($B363&lt;&gt;"",_xlfn.IFNA(VLOOKUP($B363,'Node Details'!$B:$U,C$1,0),"Check"),"")</f>
        <v>0000AXY15-AXY150108</v>
      </c>
      <c r="D363" s="102" t="str">
        <f>IF($B363&lt;&gt;"",_xlfn.IFNA(VLOOKUP($B363,'Node Details'!$B:$U,D$1,0),"Check"),"")</f>
        <v>AXY</v>
      </c>
      <c r="E363" s="102" t="str">
        <f>IF($B363&lt;&gt;"",_xlfn.IFNA(VLOOKUP($B363,'Node Details'!$B:$U,E$1,0),"Check"),"")</f>
        <v>Airtel</v>
      </c>
      <c r="F363" s="103">
        <v>46113</v>
      </c>
      <c r="G363" s="105"/>
      <c r="H363" s="104" t="s">
        <v>184</v>
      </c>
      <c r="I363" s="9">
        <v>1</v>
      </c>
      <c r="J363" s="9">
        <v>48</v>
      </c>
      <c r="K363" s="102">
        <f t="shared" si="58"/>
        <v>48</v>
      </c>
      <c r="L363" s="80">
        <v>46112</v>
      </c>
      <c r="M363" s="105"/>
      <c r="N363" s="95" t="s">
        <v>372</v>
      </c>
      <c r="O363" s="96"/>
      <c r="P363" s="106">
        <f t="shared" si="53"/>
        <v>48</v>
      </c>
      <c r="Q363" s="106">
        <f t="shared" si="54"/>
        <v>48</v>
      </c>
      <c r="R363" s="106"/>
      <c r="S363" s="95" t="s">
        <v>185</v>
      </c>
      <c r="T363" s="96"/>
      <c r="U363" s="106">
        <f t="shared" si="55"/>
        <v>48</v>
      </c>
      <c r="V363" s="106">
        <f t="shared" si="56"/>
        <v>1</v>
      </c>
      <c r="W363" s="105">
        <f t="shared" si="57"/>
        <v>48</v>
      </c>
      <c r="X363" s="95" t="s">
        <v>186</v>
      </c>
      <c r="Y363" s="107" t="s">
        <v>181</v>
      </c>
      <c r="Z363" s="107" t="s">
        <v>176</v>
      </c>
    </row>
    <row r="364" spans="1:26" s="107" customFormat="1" ht="15" customHeight="1" x14ac:dyDescent="0.2">
      <c r="A364" s="101">
        <f t="shared" si="52"/>
        <v>362</v>
      </c>
      <c r="B364" s="77" t="s">
        <v>352</v>
      </c>
      <c r="C364" s="102" t="str">
        <f>IF($B364&lt;&gt;"",_xlfn.IFNA(VLOOKUP($B364,'Node Details'!$B:$U,C$1,0),"Check"),"")</f>
        <v>000000AXY-0000AXY17</v>
      </c>
      <c r="D364" s="102" t="str">
        <f>IF($B364&lt;&gt;"",_xlfn.IFNA(VLOOKUP($B364,'Node Details'!$B:$U,D$1,0),"Check"),"")</f>
        <v>AXY</v>
      </c>
      <c r="E364" s="102" t="str">
        <f>IF($B364&lt;&gt;"",_xlfn.IFNA(VLOOKUP($B364,'Node Details'!$B:$U,E$1,0),"Check"),"")</f>
        <v>Airtel</v>
      </c>
      <c r="F364" s="103">
        <v>46113</v>
      </c>
      <c r="G364" s="105"/>
      <c r="H364" s="104" t="s">
        <v>184</v>
      </c>
      <c r="I364" s="9">
        <v>1</v>
      </c>
      <c r="J364" s="9">
        <v>48</v>
      </c>
      <c r="K364" s="102">
        <f t="shared" si="58"/>
        <v>48</v>
      </c>
      <c r="L364" s="80">
        <v>46112</v>
      </c>
      <c r="M364" s="105"/>
      <c r="N364" s="95" t="s">
        <v>372</v>
      </c>
      <c r="O364" s="96"/>
      <c r="P364" s="106">
        <f t="shared" si="53"/>
        <v>48</v>
      </c>
      <c r="Q364" s="106">
        <f t="shared" si="54"/>
        <v>48</v>
      </c>
      <c r="R364" s="106"/>
      <c r="S364" s="95" t="s">
        <v>185</v>
      </c>
      <c r="T364" s="96"/>
      <c r="U364" s="106">
        <f t="shared" si="55"/>
        <v>48</v>
      </c>
      <c r="V364" s="106">
        <f t="shared" si="56"/>
        <v>1</v>
      </c>
      <c r="W364" s="105">
        <f t="shared" si="57"/>
        <v>48</v>
      </c>
      <c r="X364" s="95" t="s">
        <v>186</v>
      </c>
      <c r="Y364" s="107" t="s">
        <v>181</v>
      </c>
      <c r="Z364" s="107" t="s">
        <v>176</v>
      </c>
    </row>
    <row r="365" spans="1:26" s="107" customFormat="1" ht="15" customHeight="1" x14ac:dyDescent="0.2">
      <c r="A365" s="101">
        <f t="shared" si="52"/>
        <v>363</v>
      </c>
      <c r="B365" s="77" t="s">
        <v>353</v>
      </c>
      <c r="C365" s="102" t="str">
        <f>IF($B365&lt;&gt;"",_xlfn.IFNA(VLOOKUP($B365,'Node Details'!$B:$U,C$1,0),"Check"),"")</f>
        <v>0000AXY16-AXY160104</v>
      </c>
      <c r="D365" s="102" t="str">
        <f>IF($B365&lt;&gt;"",_xlfn.IFNA(VLOOKUP($B365,'Node Details'!$B:$U,D$1,0),"Check"),"")</f>
        <v>AXY</v>
      </c>
      <c r="E365" s="102" t="str">
        <f>IF($B365&lt;&gt;"",_xlfn.IFNA(VLOOKUP($B365,'Node Details'!$B:$U,E$1,0),"Check"),"")</f>
        <v>Airtel</v>
      </c>
      <c r="F365" s="103">
        <v>46113</v>
      </c>
      <c r="G365" s="105"/>
      <c r="H365" s="104" t="s">
        <v>184</v>
      </c>
      <c r="I365" s="9">
        <v>1</v>
      </c>
      <c r="J365" s="9">
        <v>48</v>
      </c>
      <c r="K365" s="102">
        <f t="shared" si="58"/>
        <v>48</v>
      </c>
      <c r="L365" s="80">
        <v>46112</v>
      </c>
      <c r="M365" s="105"/>
      <c r="N365" s="95" t="s">
        <v>372</v>
      </c>
      <c r="O365" s="96"/>
      <c r="P365" s="106">
        <f t="shared" si="53"/>
        <v>48</v>
      </c>
      <c r="Q365" s="106">
        <f t="shared" si="54"/>
        <v>48</v>
      </c>
      <c r="R365" s="106"/>
      <c r="S365" s="95" t="s">
        <v>185</v>
      </c>
      <c r="T365" s="96"/>
      <c r="U365" s="106">
        <f t="shared" si="55"/>
        <v>48</v>
      </c>
      <c r="V365" s="106">
        <f t="shared" si="56"/>
        <v>1</v>
      </c>
      <c r="W365" s="105">
        <f t="shared" si="57"/>
        <v>48</v>
      </c>
      <c r="X365" s="95" t="s">
        <v>186</v>
      </c>
      <c r="Y365" s="107" t="s">
        <v>181</v>
      </c>
      <c r="Z365" s="107" t="s">
        <v>176</v>
      </c>
    </row>
    <row r="366" spans="1:26" s="107" customFormat="1" ht="15" customHeight="1" x14ac:dyDescent="0.2">
      <c r="A366" s="101">
        <f t="shared" si="52"/>
        <v>364</v>
      </c>
      <c r="B366" s="77" t="s">
        <v>354</v>
      </c>
      <c r="C366" s="102" t="str">
        <f>IF($B366&lt;&gt;"",_xlfn.IFNA(VLOOKUP($B366,'Node Details'!$B:$U,C$1,0),"Check"),"")</f>
        <v>0000AXY16-AXY160103</v>
      </c>
      <c r="D366" s="102" t="str">
        <f>IF($B366&lt;&gt;"",_xlfn.IFNA(VLOOKUP($B366,'Node Details'!$B:$U,D$1,0),"Check"),"")</f>
        <v>AXY</v>
      </c>
      <c r="E366" s="102" t="str">
        <f>IF($B366&lt;&gt;"",_xlfn.IFNA(VLOOKUP($B366,'Node Details'!$B:$U,E$1,0),"Check"),"")</f>
        <v>Airtel</v>
      </c>
      <c r="F366" s="103">
        <v>46113</v>
      </c>
      <c r="G366" s="105"/>
      <c r="H366" s="104" t="s">
        <v>184</v>
      </c>
      <c r="I366" s="9">
        <v>1</v>
      </c>
      <c r="J366" s="9">
        <v>48</v>
      </c>
      <c r="K366" s="102">
        <f t="shared" si="58"/>
        <v>48</v>
      </c>
      <c r="L366" s="80">
        <v>46112</v>
      </c>
      <c r="M366" s="105"/>
      <c r="N366" s="95" t="s">
        <v>372</v>
      </c>
      <c r="O366" s="96"/>
      <c r="P366" s="106">
        <f t="shared" si="53"/>
        <v>48</v>
      </c>
      <c r="Q366" s="106">
        <f t="shared" si="54"/>
        <v>48</v>
      </c>
      <c r="R366" s="106"/>
      <c r="S366" s="95" t="s">
        <v>185</v>
      </c>
      <c r="T366" s="96"/>
      <c r="U366" s="106">
        <f t="shared" si="55"/>
        <v>48</v>
      </c>
      <c r="V366" s="106">
        <f t="shared" si="56"/>
        <v>1</v>
      </c>
      <c r="W366" s="105">
        <f t="shared" si="57"/>
        <v>48</v>
      </c>
      <c r="X366" s="95" t="s">
        <v>186</v>
      </c>
      <c r="Y366" s="107" t="s">
        <v>181</v>
      </c>
      <c r="Z366" s="107" t="s">
        <v>176</v>
      </c>
    </row>
    <row r="367" spans="1:26" s="107" customFormat="1" ht="15" customHeight="1" x14ac:dyDescent="0.2">
      <c r="A367" s="101">
        <f t="shared" si="52"/>
        <v>365</v>
      </c>
      <c r="B367" s="77" t="s">
        <v>355</v>
      </c>
      <c r="C367" s="102" t="str">
        <f>IF($B367&lt;&gt;"",_xlfn.IFNA(VLOOKUP($B367,'Node Details'!$B:$U,C$1,0),"Check"),"")</f>
        <v>0000AXY16-AXY160103</v>
      </c>
      <c r="D367" s="102" t="str">
        <f>IF($B367&lt;&gt;"",_xlfn.IFNA(VLOOKUP($B367,'Node Details'!$B:$U,D$1,0),"Check"),"")</f>
        <v>AXY</v>
      </c>
      <c r="E367" s="102" t="str">
        <f>IF($B367&lt;&gt;"",_xlfn.IFNA(VLOOKUP($B367,'Node Details'!$B:$U,E$1,0),"Check"),"")</f>
        <v>Airtel</v>
      </c>
      <c r="F367" s="103">
        <v>46113</v>
      </c>
      <c r="G367" s="105"/>
      <c r="H367" s="104" t="s">
        <v>184</v>
      </c>
      <c r="I367" s="9">
        <v>1</v>
      </c>
      <c r="J367" s="9">
        <v>48</v>
      </c>
      <c r="K367" s="102">
        <f t="shared" si="58"/>
        <v>48</v>
      </c>
      <c r="L367" s="80">
        <v>46112</v>
      </c>
      <c r="M367" s="105"/>
      <c r="N367" s="95" t="s">
        <v>372</v>
      </c>
      <c r="O367" s="96"/>
      <c r="P367" s="106">
        <f t="shared" si="53"/>
        <v>48</v>
      </c>
      <c r="Q367" s="106">
        <f t="shared" si="54"/>
        <v>48</v>
      </c>
      <c r="R367" s="106"/>
      <c r="S367" s="95" t="s">
        <v>185</v>
      </c>
      <c r="T367" s="96"/>
      <c r="U367" s="106">
        <f t="shared" si="55"/>
        <v>48</v>
      </c>
      <c r="V367" s="106">
        <f t="shared" si="56"/>
        <v>1</v>
      </c>
      <c r="W367" s="105">
        <f t="shared" si="57"/>
        <v>48</v>
      </c>
      <c r="X367" s="95" t="s">
        <v>186</v>
      </c>
      <c r="Y367" s="107" t="s">
        <v>181</v>
      </c>
      <c r="Z367" s="107" t="s">
        <v>176</v>
      </c>
    </row>
    <row r="368" spans="1:26" s="107" customFormat="1" ht="15" customHeight="1" x14ac:dyDescent="0.2">
      <c r="A368" s="101">
        <f t="shared" si="52"/>
        <v>366</v>
      </c>
      <c r="B368" s="77" t="s">
        <v>356</v>
      </c>
      <c r="C368" s="102" t="str">
        <f>IF($B368&lt;&gt;"",_xlfn.IFNA(VLOOKUP($B368,'Node Details'!$B:$U,C$1,0),"Check"),"")</f>
        <v>0000AXY16-AXY160103</v>
      </c>
      <c r="D368" s="102" t="str">
        <f>IF($B368&lt;&gt;"",_xlfn.IFNA(VLOOKUP($B368,'Node Details'!$B:$U,D$1,0),"Check"),"")</f>
        <v>AXY</v>
      </c>
      <c r="E368" s="102" t="str">
        <f>IF($B368&lt;&gt;"",_xlfn.IFNA(VLOOKUP($B368,'Node Details'!$B:$U,E$1,0),"Check"),"")</f>
        <v>Airtel</v>
      </c>
      <c r="F368" s="103">
        <v>46113</v>
      </c>
      <c r="G368" s="105"/>
      <c r="H368" s="104" t="s">
        <v>184</v>
      </c>
      <c r="I368" s="9">
        <v>1</v>
      </c>
      <c r="J368" s="9">
        <v>48</v>
      </c>
      <c r="K368" s="102">
        <f t="shared" si="58"/>
        <v>48</v>
      </c>
      <c r="L368" s="80">
        <v>46112</v>
      </c>
      <c r="M368" s="105"/>
      <c r="N368" s="95" t="s">
        <v>372</v>
      </c>
      <c r="O368" s="96"/>
      <c r="P368" s="106">
        <f t="shared" si="53"/>
        <v>48</v>
      </c>
      <c r="Q368" s="106">
        <f t="shared" si="54"/>
        <v>48</v>
      </c>
      <c r="R368" s="106"/>
      <c r="S368" s="95" t="s">
        <v>185</v>
      </c>
      <c r="T368" s="96"/>
      <c r="U368" s="106">
        <f t="shared" si="55"/>
        <v>48</v>
      </c>
      <c r="V368" s="106">
        <f t="shared" si="56"/>
        <v>1</v>
      </c>
      <c r="W368" s="105">
        <f t="shared" si="57"/>
        <v>48</v>
      </c>
      <c r="X368" s="95" t="s">
        <v>186</v>
      </c>
      <c r="Y368" s="107" t="s">
        <v>181</v>
      </c>
      <c r="Z368" s="107" t="s">
        <v>176</v>
      </c>
    </row>
    <row r="369" spans="1:26" s="107" customFormat="1" ht="15" customHeight="1" x14ac:dyDescent="0.2">
      <c r="A369" s="101">
        <f t="shared" si="52"/>
        <v>367</v>
      </c>
      <c r="B369" s="77" t="s">
        <v>357</v>
      </c>
      <c r="C369" s="102" t="str">
        <f>IF($B369&lt;&gt;"",_xlfn.IFNA(VLOOKUP($B369,'Node Details'!$B:$U,C$1,0),"Check"),"")</f>
        <v>0000AXY16-AXY160107</v>
      </c>
      <c r="D369" s="102" t="str">
        <f>IF($B369&lt;&gt;"",_xlfn.IFNA(VLOOKUP($B369,'Node Details'!$B:$U,D$1,0),"Check"),"")</f>
        <v>AXY</v>
      </c>
      <c r="E369" s="102" t="str">
        <f>IF($B369&lt;&gt;"",_xlfn.IFNA(VLOOKUP($B369,'Node Details'!$B:$U,E$1,0),"Check"),"")</f>
        <v>Airtel</v>
      </c>
      <c r="F369" s="103">
        <v>46113</v>
      </c>
      <c r="G369" s="105"/>
      <c r="H369" s="104" t="s">
        <v>184</v>
      </c>
      <c r="I369" s="9">
        <v>1</v>
      </c>
      <c r="J369" s="9">
        <v>48</v>
      </c>
      <c r="K369" s="102">
        <f t="shared" si="58"/>
        <v>48</v>
      </c>
      <c r="L369" s="80">
        <v>46112</v>
      </c>
      <c r="M369" s="105"/>
      <c r="N369" s="95" t="s">
        <v>372</v>
      </c>
      <c r="O369" s="96"/>
      <c r="P369" s="106">
        <f t="shared" si="53"/>
        <v>48</v>
      </c>
      <c r="Q369" s="106">
        <f t="shared" si="54"/>
        <v>48</v>
      </c>
      <c r="R369" s="106"/>
      <c r="S369" s="95" t="s">
        <v>185</v>
      </c>
      <c r="T369" s="96"/>
      <c r="U369" s="106">
        <f t="shared" si="55"/>
        <v>48</v>
      </c>
      <c r="V369" s="106">
        <f t="shared" si="56"/>
        <v>1</v>
      </c>
      <c r="W369" s="105">
        <f t="shared" si="57"/>
        <v>48</v>
      </c>
      <c r="X369" s="95" t="s">
        <v>186</v>
      </c>
      <c r="Y369" s="107" t="s">
        <v>181</v>
      </c>
      <c r="Z369" s="107" t="s">
        <v>176</v>
      </c>
    </row>
    <row r="370" spans="1:26" s="107" customFormat="1" ht="15" customHeight="1" x14ac:dyDescent="0.2">
      <c r="A370" s="101">
        <f t="shared" si="52"/>
        <v>368</v>
      </c>
      <c r="B370" s="77" t="s">
        <v>358</v>
      </c>
      <c r="C370" s="102" t="str">
        <f>IF($B370&lt;&gt;"",_xlfn.IFNA(VLOOKUP($B370,'Node Details'!$B:$U,C$1,0),"Check"),"")</f>
        <v>0000AXY16-AXY160107</v>
      </c>
      <c r="D370" s="102" t="str">
        <f>IF($B370&lt;&gt;"",_xlfn.IFNA(VLOOKUP($B370,'Node Details'!$B:$U,D$1,0),"Check"),"")</f>
        <v>AXY</v>
      </c>
      <c r="E370" s="102" t="str">
        <f>IF($B370&lt;&gt;"",_xlfn.IFNA(VLOOKUP($B370,'Node Details'!$B:$U,E$1,0),"Check"),"")</f>
        <v>Airtel</v>
      </c>
      <c r="F370" s="103">
        <v>46113</v>
      </c>
      <c r="G370" s="105"/>
      <c r="H370" s="104" t="s">
        <v>184</v>
      </c>
      <c r="I370" s="9">
        <v>1</v>
      </c>
      <c r="J370" s="9">
        <v>48</v>
      </c>
      <c r="K370" s="102">
        <f t="shared" si="58"/>
        <v>48</v>
      </c>
      <c r="L370" s="80">
        <v>46112</v>
      </c>
      <c r="M370" s="105"/>
      <c r="N370" s="95" t="s">
        <v>372</v>
      </c>
      <c r="O370" s="96"/>
      <c r="P370" s="106">
        <f t="shared" si="53"/>
        <v>48</v>
      </c>
      <c r="Q370" s="106">
        <f t="shared" si="54"/>
        <v>48</v>
      </c>
      <c r="R370" s="106"/>
      <c r="S370" s="95" t="s">
        <v>185</v>
      </c>
      <c r="T370" s="96"/>
      <c r="U370" s="106">
        <f t="shared" si="55"/>
        <v>48</v>
      </c>
      <c r="V370" s="106">
        <f t="shared" si="56"/>
        <v>1</v>
      </c>
      <c r="W370" s="105">
        <f t="shared" si="57"/>
        <v>48</v>
      </c>
      <c r="X370" s="95" t="s">
        <v>186</v>
      </c>
      <c r="Y370" s="107" t="s">
        <v>181</v>
      </c>
      <c r="Z370" s="107" t="s">
        <v>176</v>
      </c>
    </row>
    <row r="371" spans="1:26" s="107" customFormat="1" ht="15" customHeight="1" x14ac:dyDescent="0.2">
      <c r="A371" s="101">
        <f t="shared" si="52"/>
        <v>369</v>
      </c>
      <c r="B371" s="77" t="s">
        <v>359</v>
      </c>
      <c r="C371" s="102" t="str">
        <f>IF($B371&lt;&gt;"",_xlfn.IFNA(VLOOKUP($B371,'Node Details'!$B:$U,C$1,0),"Check"),"")</f>
        <v>0000AXY16-AXY160107</v>
      </c>
      <c r="D371" s="102" t="str">
        <f>IF($B371&lt;&gt;"",_xlfn.IFNA(VLOOKUP($B371,'Node Details'!$B:$U,D$1,0),"Check"),"")</f>
        <v>AXY</v>
      </c>
      <c r="E371" s="102" t="str">
        <f>IF($B371&lt;&gt;"",_xlfn.IFNA(VLOOKUP($B371,'Node Details'!$B:$U,E$1,0),"Check"),"")</f>
        <v>Airtel</v>
      </c>
      <c r="F371" s="103">
        <v>46113</v>
      </c>
      <c r="G371" s="105"/>
      <c r="H371" s="104" t="s">
        <v>184</v>
      </c>
      <c r="I371" s="9">
        <v>1</v>
      </c>
      <c r="J371" s="9">
        <v>48</v>
      </c>
      <c r="K371" s="102">
        <f t="shared" si="58"/>
        <v>48</v>
      </c>
      <c r="L371" s="80">
        <v>46112</v>
      </c>
      <c r="M371" s="105"/>
      <c r="N371" s="95" t="s">
        <v>372</v>
      </c>
      <c r="O371" s="96"/>
      <c r="P371" s="106">
        <f t="shared" si="53"/>
        <v>48</v>
      </c>
      <c r="Q371" s="106">
        <f t="shared" si="54"/>
        <v>48</v>
      </c>
      <c r="R371" s="106"/>
      <c r="S371" s="95" t="s">
        <v>185</v>
      </c>
      <c r="T371" s="96"/>
      <c r="U371" s="106">
        <f t="shared" si="55"/>
        <v>48</v>
      </c>
      <c r="V371" s="106">
        <f t="shared" si="56"/>
        <v>1</v>
      </c>
      <c r="W371" s="105">
        <f t="shared" si="57"/>
        <v>48</v>
      </c>
      <c r="X371" s="95" t="s">
        <v>186</v>
      </c>
      <c r="Y371" s="107" t="s">
        <v>181</v>
      </c>
      <c r="Z371" s="107" t="s">
        <v>176</v>
      </c>
    </row>
    <row r="372" spans="1:26" s="107" customFormat="1" ht="15" customHeight="1" x14ac:dyDescent="0.2">
      <c r="A372" s="101">
        <f t="shared" si="52"/>
        <v>370</v>
      </c>
      <c r="B372" s="77" t="s">
        <v>360</v>
      </c>
      <c r="C372" s="102" t="str">
        <f>IF($B372&lt;&gt;"",_xlfn.IFNA(VLOOKUP($B372,'Node Details'!$B:$U,C$1,0),"Check"),"")</f>
        <v>0000AXY16-AXY160108</v>
      </c>
      <c r="D372" s="102" t="str">
        <f>IF($B372&lt;&gt;"",_xlfn.IFNA(VLOOKUP($B372,'Node Details'!$B:$U,D$1,0),"Check"),"")</f>
        <v>AXY</v>
      </c>
      <c r="E372" s="102" t="str">
        <f>IF($B372&lt;&gt;"",_xlfn.IFNA(VLOOKUP($B372,'Node Details'!$B:$U,E$1,0),"Check"),"")</f>
        <v>Airtel</v>
      </c>
      <c r="F372" s="103">
        <v>46113</v>
      </c>
      <c r="G372" s="105"/>
      <c r="H372" s="104" t="s">
        <v>184</v>
      </c>
      <c r="I372" s="9">
        <v>1</v>
      </c>
      <c r="J372" s="9">
        <v>48</v>
      </c>
      <c r="K372" s="102">
        <f t="shared" si="58"/>
        <v>48</v>
      </c>
      <c r="L372" s="80">
        <v>46112</v>
      </c>
      <c r="M372" s="105"/>
      <c r="N372" s="95" t="s">
        <v>372</v>
      </c>
      <c r="O372" s="96"/>
      <c r="P372" s="106">
        <f t="shared" si="53"/>
        <v>48</v>
      </c>
      <c r="Q372" s="106">
        <f t="shared" si="54"/>
        <v>48</v>
      </c>
      <c r="R372" s="106"/>
      <c r="S372" s="95" t="s">
        <v>185</v>
      </c>
      <c r="T372" s="96"/>
      <c r="U372" s="106">
        <f t="shared" si="55"/>
        <v>48</v>
      </c>
      <c r="V372" s="106">
        <f t="shared" si="56"/>
        <v>1</v>
      </c>
      <c r="W372" s="105">
        <f t="shared" si="57"/>
        <v>48</v>
      </c>
      <c r="X372" s="95" t="s">
        <v>186</v>
      </c>
      <c r="Y372" s="107" t="s">
        <v>181</v>
      </c>
      <c r="Z372" s="107" t="s">
        <v>176</v>
      </c>
    </row>
    <row r="373" spans="1:26" s="107" customFormat="1" ht="15" customHeight="1" x14ac:dyDescent="0.2">
      <c r="A373" s="101">
        <f t="shared" si="52"/>
        <v>371</v>
      </c>
      <c r="B373" s="77" t="s">
        <v>361</v>
      </c>
      <c r="C373" s="102" t="str">
        <f>IF($B373&lt;&gt;"",_xlfn.IFNA(VLOOKUP($B373,'Node Details'!$B:$U,C$1,0),"Check"),"")</f>
        <v>000000AXY-0000AXY17</v>
      </c>
      <c r="D373" s="102" t="str">
        <f>IF($B373&lt;&gt;"",_xlfn.IFNA(VLOOKUP($B373,'Node Details'!$B:$U,D$1,0),"Check"),"")</f>
        <v>AXY</v>
      </c>
      <c r="E373" s="102" t="str">
        <f>IF($B373&lt;&gt;"",_xlfn.IFNA(VLOOKUP($B373,'Node Details'!$B:$U,E$1,0),"Check"),"")</f>
        <v>Airtel</v>
      </c>
      <c r="F373" s="103">
        <v>46113</v>
      </c>
      <c r="G373" s="105"/>
      <c r="H373" s="104" t="s">
        <v>184</v>
      </c>
      <c r="I373" s="9">
        <v>1</v>
      </c>
      <c r="J373" s="9">
        <v>48</v>
      </c>
      <c r="K373" s="102">
        <f t="shared" si="58"/>
        <v>48</v>
      </c>
      <c r="L373" s="80">
        <v>46112</v>
      </c>
      <c r="M373" s="105"/>
      <c r="N373" s="95" t="s">
        <v>372</v>
      </c>
      <c r="O373" s="96"/>
      <c r="P373" s="106">
        <f t="shared" si="53"/>
        <v>48</v>
      </c>
      <c r="Q373" s="106">
        <f t="shared" si="54"/>
        <v>48</v>
      </c>
      <c r="R373" s="106"/>
      <c r="S373" s="95" t="s">
        <v>185</v>
      </c>
      <c r="T373" s="96"/>
      <c r="U373" s="106">
        <f t="shared" si="55"/>
        <v>48</v>
      </c>
      <c r="V373" s="106">
        <f t="shared" si="56"/>
        <v>1</v>
      </c>
      <c r="W373" s="105">
        <f t="shared" si="57"/>
        <v>48</v>
      </c>
      <c r="X373" s="95" t="s">
        <v>186</v>
      </c>
      <c r="Y373" s="107" t="s">
        <v>181</v>
      </c>
      <c r="Z373" s="107" t="s">
        <v>176</v>
      </c>
    </row>
    <row r="374" spans="1:26" s="107" customFormat="1" ht="15" customHeight="1" x14ac:dyDescent="0.2">
      <c r="A374" s="101">
        <f t="shared" si="52"/>
        <v>372</v>
      </c>
      <c r="B374" s="77" t="s">
        <v>362</v>
      </c>
      <c r="C374" s="102" t="str">
        <f>IF($B374&lt;&gt;"",_xlfn.IFNA(VLOOKUP($B374,'Node Details'!$B:$U,C$1,0),"Check"),"")</f>
        <v>0000AXY17-AXY170101</v>
      </c>
      <c r="D374" s="102" t="str">
        <f>IF($B374&lt;&gt;"",_xlfn.IFNA(VLOOKUP($B374,'Node Details'!$B:$U,D$1,0),"Check"),"")</f>
        <v>AXY</v>
      </c>
      <c r="E374" s="102" t="str">
        <f>IF($B374&lt;&gt;"",_xlfn.IFNA(VLOOKUP($B374,'Node Details'!$B:$U,E$1,0),"Check"),"")</f>
        <v>Airtel</v>
      </c>
      <c r="F374" s="103">
        <v>46113</v>
      </c>
      <c r="G374" s="105"/>
      <c r="H374" s="104" t="s">
        <v>184</v>
      </c>
      <c r="I374" s="9">
        <v>1</v>
      </c>
      <c r="J374" s="9">
        <v>48</v>
      </c>
      <c r="K374" s="102">
        <f t="shared" si="58"/>
        <v>48</v>
      </c>
      <c r="L374" s="80">
        <v>46112</v>
      </c>
      <c r="M374" s="105"/>
      <c r="N374" s="95" t="s">
        <v>372</v>
      </c>
      <c r="O374" s="96"/>
      <c r="P374" s="106">
        <f t="shared" si="53"/>
        <v>48</v>
      </c>
      <c r="Q374" s="106">
        <f t="shared" si="54"/>
        <v>48</v>
      </c>
      <c r="R374" s="106"/>
      <c r="S374" s="95" t="s">
        <v>185</v>
      </c>
      <c r="T374" s="96"/>
      <c r="U374" s="106">
        <f t="shared" si="55"/>
        <v>48</v>
      </c>
      <c r="V374" s="106">
        <f t="shared" si="56"/>
        <v>1</v>
      </c>
      <c r="W374" s="105">
        <f t="shared" si="57"/>
        <v>48</v>
      </c>
      <c r="X374" s="95" t="s">
        <v>186</v>
      </c>
      <c r="Y374" s="107" t="s">
        <v>181</v>
      </c>
      <c r="Z374" s="107" t="s">
        <v>176</v>
      </c>
    </row>
    <row r="375" spans="1:26" s="107" customFormat="1" ht="15" customHeight="1" x14ac:dyDescent="0.2">
      <c r="A375" s="101">
        <f t="shared" si="52"/>
        <v>373</v>
      </c>
      <c r="B375" s="77" t="s">
        <v>363</v>
      </c>
      <c r="C375" s="102" t="str">
        <f>IF($B375&lt;&gt;"",_xlfn.IFNA(VLOOKUP($B375,'Node Details'!$B:$U,C$1,0),"Check"),"")</f>
        <v>0000AXY17-AXY170107</v>
      </c>
      <c r="D375" s="102" t="str">
        <f>IF($B375&lt;&gt;"",_xlfn.IFNA(VLOOKUP($B375,'Node Details'!$B:$U,D$1,0),"Check"),"")</f>
        <v>AXY</v>
      </c>
      <c r="E375" s="102" t="str">
        <f>IF($B375&lt;&gt;"",_xlfn.IFNA(VLOOKUP($B375,'Node Details'!$B:$U,E$1,0),"Check"),"")</f>
        <v>Airtel</v>
      </c>
      <c r="F375" s="103">
        <v>46113</v>
      </c>
      <c r="G375" s="105"/>
      <c r="H375" s="104" t="s">
        <v>184</v>
      </c>
      <c r="I375" s="9">
        <v>1</v>
      </c>
      <c r="J375" s="9">
        <v>48</v>
      </c>
      <c r="K375" s="102">
        <f t="shared" si="58"/>
        <v>48</v>
      </c>
      <c r="L375" s="80">
        <v>46112</v>
      </c>
      <c r="M375" s="105"/>
      <c r="N375" s="95" t="s">
        <v>372</v>
      </c>
      <c r="O375" s="96"/>
      <c r="P375" s="106">
        <f t="shared" si="53"/>
        <v>48</v>
      </c>
      <c r="Q375" s="106">
        <f t="shared" si="54"/>
        <v>48</v>
      </c>
      <c r="R375" s="106"/>
      <c r="S375" s="95" t="s">
        <v>185</v>
      </c>
      <c r="T375" s="96"/>
      <c r="U375" s="106">
        <f t="shared" si="55"/>
        <v>48</v>
      </c>
      <c r="V375" s="106">
        <f t="shared" si="56"/>
        <v>1</v>
      </c>
      <c r="W375" s="105">
        <f t="shared" si="57"/>
        <v>48</v>
      </c>
      <c r="X375" s="95" t="s">
        <v>186</v>
      </c>
      <c r="Y375" s="107" t="s">
        <v>181</v>
      </c>
      <c r="Z375" s="107" t="s">
        <v>176</v>
      </c>
    </row>
    <row r="376" spans="1:26" s="107" customFormat="1" ht="15" customHeight="1" x14ac:dyDescent="0.2">
      <c r="A376" s="101">
        <f t="shared" si="52"/>
        <v>374</v>
      </c>
      <c r="B376" s="77" t="s">
        <v>364</v>
      </c>
      <c r="C376" s="102" t="str">
        <f>IF($B376&lt;&gt;"",_xlfn.IFNA(VLOOKUP($B376,'Node Details'!$B:$U,C$1,0),"Check"),"")</f>
        <v>0000AXY17-AXY170107</v>
      </c>
      <c r="D376" s="102" t="str">
        <f>IF($B376&lt;&gt;"",_xlfn.IFNA(VLOOKUP($B376,'Node Details'!$B:$U,D$1,0),"Check"),"")</f>
        <v>AXY</v>
      </c>
      <c r="E376" s="102" t="str">
        <f>IF($B376&lt;&gt;"",_xlfn.IFNA(VLOOKUP($B376,'Node Details'!$B:$U,E$1,0),"Check"),"")</f>
        <v>Airtel</v>
      </c>
      <c r="F376" s="103">
        <v>46113</v>
      </c>
      <c r="G376" s="105"/>
      <c r="H376" s="104" t="s">
        <v>184</v>
      </c>
      <c r="I376" s="9">
        <v>1</v>
      </c>
      <c r="J376" s="9">
        <v>48</v>
      </c>
      <c r="K376" s="102">
        <f t="shared" si="58"/>
        <v>48</v>
      </c>
      <c r="L376" s="80">
        <v>46112</v>
      </c>
      <c r="M376" s="105"/>
      <c r="N376" s="95" t="s">
        <v>372</v>
      </c>
      <c r="O376" s="96"/>
      <c r="P376" s="106">
        <f t="shared" si="53"/>
        <v>48</v>
      </c>
      <c r="Q376" s="106">
        <f t="shared" si="54"/>
        <v>48</v>
      </c>
      <c r="R376" s="106"/>
      <c r="S376" s="95" t="s">
        <v>185</v>
      </c>
      <c r="T376" s="96"/>
      <c r="U376" s="106">
        <f t="shared" si="55"/>
        <v>48</v>
      </c>
      <c r="V376" s="106">
        <f t="shared" si="56"/>
        <v>1</v>
      </c>
      <c r="W376" s="105">
        <f t="shared" si="57"/>
        <v>48</v>
      </c>
      <c r="X376" s="95" t="s">
        <v>186</v>
      </c>
      <c r="Y376" s="107" t="s">
        <v>181</v>
      </c>
      <c r="Z376" s="107" t="s">
        <v>176</v>
      </c>
    </row>
    <row r="377" spans="1:26" s="107" customFormat="1" ht="15" customHeight="1" x14ac:dyDescent="0.2">
      <c r="A377" s="101">
        <f t="shared" si="52"/>
        <v>375</v>
      </c>
      <c r="B377" s="77" t="s">
        <v>365</v>
      </c>
      <c r="C377" s="102" t="str">
        <f>IF($B377&lt;&gt;"",_xlfn.IFNA(VLOOKUP($B377,'Node Details'!$B:$U,C$1,0),"Check"),"")</f>
        <v>0000AXY17-AXY170201</v>
      </c>
      <c r="D377" s="102" t="str">
        <f>IF($B377&lt;&gt;"",_xlfn.IFNA(VLOOKUP($B377,'Node Details'!$B:$U,D$1,0),"Check"),"")</f>
        <v>AXY</v>
      </c>
      <c r="E377" s="102" t="str">
        <f>IF($B377&lt;&gt;"",_xlfn.IFNA(VLOOKUP($B377,'Node Details'!$B:$U,E$1,0),"Check"),"")</f>
        <v>Airtel</v>
      </c>
      <c r="F377" s="103">
        <v>46113</v>
      </c>
      <c r="G377" s="105"/>
      <c r="H377" s="104" t="s">
        <v>184</v>
      </c>
      <c r="I377" s="9">
        <v>1</v>
      </c>
      <c r="J377" s="9">
        <v>48</v>
      </c>
      <c r="K377" s="102">
        <f t="shared" si="58"/>
        <v>48</v>
      </c>
      <c r="L377" s="80">
        <v>46112</v>
      </c>
      <c r="M377" s="105"/>
      <c r="N377" s="95" t="s">
        <v>372</v>
      </c>
      <c r="O377" s="96"/>
      <c r="P377" s="106">
        <f t="shared" si="53"/>
        <v>48</v>
      </c>
      <c r="Q377" s="106">
        <f t="shared" si="54"/>
        <v>48</v>
      </c>
      <c r="R377" s="106"/>
      <c r="S377" s="95" t="s">
        <v>185</v>
      </c>
      <c r="T377" s="96"/>
      <c r="U377" s="106">
        <f t="shared" si="55"/>
        <v>48</v>
      </c>
      <c r="V377" s="106">
        <f t="shared" si="56"/>
        <v>1</v>
      </c>
      <c r="W377" s="105">
        <f t="shared" si="57"/>
        <v>48</v>
      </c>
      <c r="X377" s="95" t="s">
        <v>186</v>
      </c>
      <c r="Y377" s="107" t="s">
        <v>181</v>
      </c>
      <c r="Z377" s="107" t="s">
        <v>176</v>
      </c>
    </row>
    <row r="378" spans="1:26" s="107" customFormat="1" ht="15" customHeight="1" x14ac:dyDescent="0.2">
      <c r="A378" s="101">
        <f t="shared" si="52"/>
        <v>376</v>
      </c>
      <c r="B378" s="77" t="s">
        <v>366</v>
      </c>
      <c r="C378" s="102" t="str">
        <f>IF($B378&lt;&gt;"",_xlfn.IFNA(VLOOKUP($B378,'Node Details'!$B:$U,C$1,0),"Check"),"")</f>
        <v>0000AXY17-AXY170201</v>
      </c>
      <c r="D378" s="102" t="str">
        <f>IF($B378&lt;&gt;"",_xlfn.IFNA(VLOOKUP($B378,'Node Details'!$B:$U,D$1,0),"Check"),"")</f>
        <v>AXY</v>
      </c>
      <c r="E378" s="102" t="str">
        <f>IF($B378&lt;&gt;"",_xlfn.IFNA(VLOOKUP($B378,'Node Details'!$B:$U,E$1,0),"Check"),"")</f>
        <v>Airtel</v>
      </c>
      <c r="F378" s="103">
        <v>46113</v>
      </c>
      <c r="G378" s="105"/>
      <c r="H378" s="104" t="s">
        <v>184</v>
      </c>
      <c r="I378" s="9">
        <v>1</v>
      </c>
      <c r="J378" s="9">
        <v>48</v>
      </c>
      <c r="K378" s="102">
        <f t="shared" si="58"/>
        <v>48</v>
      </c>
      <c r="L378" s="80">
        <v>46112</v>
      </c>
      <c r="M378" s="105"/>
      <c r="N378" s="95" t="s">
        <v>372</v>
      </c>
      <c r="O378" s="96"/>
      <c r="P378" s="106">
        <f t="shared" si="53"/>
        <v>48</v>
      </c>
      <c r="Q378" s="106">
        <f t="shared" si="54"/>
        <v>48</v>
      </c>
      <c r="R378" s="106"/>
      <c r="S378" s="95" t="s">
        <v>185</v>
      </c>
      <c r="T378" s="96"/>
      <c r="U378" s="106">
        <f t="shared" si="55"/>
        <v>48</v>
      </c>
      <c r="V378" s="106">
        <f t="shared" si="56"/>
        <v>1</v>
      </c>
      <c r="W378" s="105">
        <f t="shared" si="57"/>
        <v>48</v>
      </c>
      <c r="X378" s="95" t="s">
        <v>186</v>
      </c>
      <c r="Y378" s="107" t="s">
        <v>181</v>
      </c>
      <c r="Z378" s="107" t="s">
        <v>176</v>
      </c>
    </row>
    <row r="379" spans="1:26" s="107" customFormat="1" ht="15" customHeight="1" x14ac:dyDescent="0.2">
      <c r="A379" s="101">
        <f t="shared" si="52"/>
        <v>377</v>
      </c>
      <c r="B379" s="77" t="s">
        <v>367</v>
      </c>
      <c r="C379" s="102" t="str">
        <f>IF($B379&lt;&gt;"",_xlfn.IFNA(VLOOKUP($B379,'Node Details'!$B:$U,C$1,0),"Check"),"")</f>
        <v>AXY170103-AXY170107</v>
      </c>
      <c r="D379" s="102" t="str">
        <f>IF($B379&lt;&gt;"",_xlfn.IFNA(VLOOKUP($B379,'Node Details'!$B:$U,D$1,0),"Check"),"")</f>
        <v>AXY</v>
      </c>
      <c r="E379" s="102" t="str">
        <f>IF($B379&lt;&gt;"",_xlfn.IFNA(VLOOKUP($B379,'Node Details'!$B:$U,E$1,0),"Check"),"")</f>
        <v>Airtel</v>
      </c>
      <c r="F379" s="103">
        <v>46113</v>
      </c>
      <c r="G379" s="105"/>
      <c r="H379" s="104" t="s">
        <v>184</v>
      </c>
      <c r="I379" s="9">
        <v>1</v>
      </c>
      <c r="J379" s="9">
        <v>48</v>
      </c>
      <c r="K379" s="102">
        <f t="shared" si="58"/>
        <v>48</v>
      </c>
      <c r="L379" s="80">
        <v>46112</v>
      </c>
      <c r="M379" s="105"/>
      <c r="N379" s="95" t="s">
        <v>372</v>
      </c>
      <c r="O379" s="96"/>
      <c r="P379" s="106">
        <f t="shared" si="53"/>
        <v>48</v>
      </c>
      <c r="Q379" s="106">
        <f t="shared" si="54"/>
        <v>48</v>
      </c>
      <c r="R379" s="106"/>
      <c r="S379" s="95" t="s">
        <v>185</v>
      </c>
      <c r="T379" s="96"/>
      <c r="U379" s="106">
        <f t="shared" si="55"/>
        <v>48</v>
      </c>
      <c r="V379" s="106">
        <f t="shared" si="56"/>
        <v>1</v>
      </c>
      <c r="W379" s="105">
        <f t="shared" si="57"/>
        <v>48</v>
      </c>
      <c r="X379" s="95" t="s">
        <v>186</v>
      </c>
      <c r="Y379" s="107" t="s">
        <v>181</v>
      </c>
      <c r="Z379" s="107" t="s">
        <v>176</v>
      </c>
    </row>
    <row r="380" spans="1:26" s="107" customFormat="1" ht="15" customHeight="1" x14ac:dyDescent="0.2">
      <c r="A380" s="101">
        <f t="shared" si="52"/>
        <v>378</v>
      </c>
      <c r="B380" s="77" t="s">
        <v>368</v>
      </c>
      <c r="C380" s="102" t="str">
        <f>IF($B380&lt;&gt;"",_xlfn.IFNA(VLOOKUP($B380,'Node Details'!$B:$U,C$1,0),"Check"),"")</f>
        <v>AXY170103-AXY170107</v>
      </c>
      <c r="D380" s="102" t="str">
        <f>IF($B380&lt;&gt;"",_xlfn.IFNA(VLOOKUP($B380,'Node Details'!$B:$U,D$1,0),"Check"),"")</f>
        <v>AXY</v>
      </c>
      <c r="E380" s="102" t="str">
        <f>IF($B380&lt;&gt;"",_xlfn.IFNA(VLOOKUP($B380,'Node Details'!$B:$U,E$1,0),"Check"),"")</f>
        <v>Airtel</v>
      </c>
      <c r="F380" s="103">
        <v>46113</v>
      </c>
      <c r="G380" s="105"/>
      <c r="H380" s="104" t="s">
        <v>184</v>
      </c>
      <c r="I380" s="9">
        <v>1</v>
      </c>
      <c r="J380" s="9">
        <v>48</v>
      </c>
      <c r="K380" s="102">
        <f t="shared" si="58"/>
        <v>48</v>
      </c>
      <c r="L380" s="80">
        <v>46112</v>
      </c>
      <c r="M380" s="105"/>
      <c r="N380" s="95" t="s">
        <v>372</v>
      </c>
      <c r="O380" s="96"/>
      <c r="P380" s="106">
        <f t="shared" si="53"/>
        <v>48</v>
      </c>
      <c r="Q380" s="106">
        <f t="shared" si="54"/>
        <v>48</v>
      </c>
      <c r="R380" s="106"/>
      <c r="S380" s="95" t="s">
        <v>185</v>
      </c>
      <c r="T380" s="96"/>
      <c r="U380" s="106">
        <f t="shared" si="55"/>
        <v>48</v>
      </c>
      <c r="V380" s="106">
        <f t="shared" si="56"/>
        <v>1</v>
      </c>
      <c r="W380" s="105">
        <f t="shared" si="57"/>
        <v>48</v>
      </c>
      <c r="X380" s="95" t="s">
        <v>186</v>
      </c>
      <c r="Y380" s="107" t="s">
        <v>181</v>
      </c>
      <c r="Z380" s="107" t="s">
        <v>176</v>
      </c>
    </row>
    <row r="381" spans="1:26" s="107" customFormat="1" ht="15" customHeight="1" x14ac:dyDescent="0.2">
      <c r="A381" s="101">
        <f t="shared" si="52"/>
        <v>379</v>
      </c>
      <c r="B381" s="77" t="s">
        <v>224</v>
      </c>
      <c r="C381" s="102" t="str">
        <f>IF($B381&lt;&gt;"",_xlfn.IFNA(VLOOKUP($B381,'Node Details'!$B:$U,C$1,0),"Check"),"")</f>
        <v>000000AXY-0000AXY12</v>
      </c>
      <c r="D381" s="102" t="str">
        <f>IF($B381&lt;&gt;"",_xlfn.IFNA(VLOOKUP($B381,'Node Details'!$B:$U,D$1,0),"Check"),"")</f>
        <v>AXY</v>
      </c>
      <c r="E381" s="102" t="str">
        <f>IF($B381&lt;&gt;"",_xlfn.IFNA(VLOOKUP($B381,'Node Details'!$B:$U,E$1,0),"Check"),"")</f>
        <v>Airtel</v>
      </c>
      <c r="F381" s="103">
        <v>46113</v>
      </c>
      <c r="G381" s="105"/>
      <c r="H381" s="104" t="s">
        <v>370</v>
      </c>
      <c r="I381" s="9">
        <v>1</v>
      </c>
      <c r="J381" s="9">
        <v>2700</v>
      </c>
      <c r="K381" s="102">
        <f t="shared" si="58"/>
        <v>2700</v>
      </c>
      <c r="L381" s="80">
        <v>46112</v>
      </c>
      <c r="M381" s="105"/>
      <c r="N381" s="95" t="s">
        <v>372</v>
      </c>
      <c r="O381" s="96"/>
      <c r="P381" s="106">
        <f t="shared" si="53"/>
        <v>2700</v>
      </c>
      <c r="Q381" s="106">
        <f t="shared" si="54"/>
        <v>2700</v>
      </c>
      <c r="R381" s="106"/>
      <c r="S381" s="95" t="s">
        <v>185</v>
      </c>
      <c r="T381" s="96"/>
      <c r="U381" s="106">
        <f t="shared" si="55"/>
        <v>2700</v>
      </c>
      <c r="V381" s="106">
        <f t="shared" si="56"/>
        <v>1</v>
      </c>
      <c r="W381" s="105">
        <f t="shared" si="57"/>
        <v>2700</v>
      </c>
      <c r="X381" s="95" t="s">
        <v>186</v>
      </c>
      <c r="Y381" s="107" t="s">
        <v>181</v>
      </c>
      <c r="Z381" s="107" t="s">
        <v>176</v>
      </c>
    </row>
    <row r="382" spans="1:26" s="107" customFormat="1" ht="15" customHeight="1" x14ac:dyDescent="0.2">
      <c r="A382" s="101">
        <f t="shared" si="52"/>
        <v>380</v>
      </c>
      <c r="B382" s="77" t="s">
        <v>225</v>
      </c>
      <c r="C382" s="102" t="str">
        <f>IF($B382&lt;&gt;"",_xlfn.IFNA(VLOOKUP($B382,'Node Details'!$B:$U,C$1,0),"Check"),"")</f>
        <v>000000AXY-0000AXY01</v>
      </c>
      <c r="D382" s="102" t="str">
        <f>IF($B382&lt;&gt;"",_xlfn.IFNA(VLOOKUP($B382,'Node Details'!$B:$U,D$1,0),"Check"),"")</f>
        <v>AXY</v>
      </c>
      <c r="E382" s="102" t="str">
        <f>IF($B382&lt;&gt;"",_xlfn.IFNA(VLOOKUP($B382,'Node Details'!$B:$U,E$1,0),"Check"),"")</f>
        <v>Airtel</v>
      </c>
      <c r="F382" s="103">
        <v>46113</v>
      </c>
      <c r="G382" s="105"/>
      <c r="H382" s="104" t="s">
        <v>189</v>
      </c>
      <c r="I382" s="9">
        <v>18</v>
      </c>
      <c r="J382" s="9"/>
      <c r="K382" s="102">
        <f t="shared" si="58"/>
        <v>0</v>
      </c>
      <c r="L382" s="80">
        <v>46112</v>
      </c>
      <c r="M382" s="105"/>
      <c r="N382" s="95" t="s">
        <v>372</v>
      </c>
      <c r="O382" s="96"/>
      <c r="P382" s="106">
        <f t="shared" si="53"/>
        <v>0</v>
      </c>
      <c r="Q382" s="106">
        <f t="shared" si="54"/>
        <v>0</v>
      </c>
      <c r="R382" s="106"/>
      <c r="S382" s="95" t="s">
        <v>185</v>
      </c>
      <c r="T382" s="96"/>
      <c r="U382" s="106">
        <f t="shared" si="55"/>
        <v>0</v>
      </c>
      <c r="V382" s="106">
        <f t="shared" si="56"/>
        <v>18</v>
      </c>
      <c r="W382" s="105">
        <f t="shared" si="57"/>
        <v>0</v>
      </c>
      <c r="X382" s="95" t="s">
        <v>186</v>
      </c>
      <c r="Y382" s="107" t="s">
        <v>181</v>
      </c>
      <c r="Z382" s="107" t="s">
        <v>176</v>
      </c>
    </row>
    <row r="383" spans="1:26" s="107" customFormat="1" ht="15" customHeight="1" x14ac:dyDescent="0.2">
      <c r="A383" s="101">
        <f t="shared" si="52"/>
        <v>381</v>
      </c>
      <c r="B383" s="77" t="s">
        <v>226</v>
      </c>
      <c r="C383" s="102" t="str">
        <f>IF($B383&lt;&gt;"",_xlfn.IFNA(VLOOKUP($B383,'Node Details'!$B:$U,C$1,0),"Check"),"")</f>
        <v>0000AXY01-AXY010101</v>
      </c>
      <c r="D383" s="102" t="str">
        <f>IF($B383&lt;&gt;"",_xlfn.IFNA(VLOOKUP($B383,'Node Details'!$B:$U,D$1,0),"Check"),"")</f>
        <v>AXY</v>
      </c>
      <c r="E383" s="102" t="str">
        <f>IF($B383&lt;&gt;"",_xlfn.IFNA(VLOOKUP($B383,'Node Details'!$B:$U,E$1,0),"Check"),"")</f>
        <v>Airtel</v>
      </c>
      <c r="F383" s="103">
        <v>46113</v>
      </c>
      <c r="G383" s="105"/>
      <c r="H383" s="104" t="s">
        <v>189</v>
      </c>
      <c r="I383" s="9">
        <v>2</v>
      </c>
      <c r="J383" s="9"/>
      <c r="K383" s="102">
        <f t="shared" si="58"/>
        <v>0</v>
      </c>
      <c r="L383" s="80">
        <v>46112</v>
      </c>
      <c r="M383" s="105"/>
      <c r="N383" s="95" t="s">
        <v>372</v>
      </c>
      <c r="O383" s="96"/>
      <c r="P383" s="106">
        <f t="shared" si="53"/>
        <v>0</v>
      </c>
      <c r="Q383" s="106">
        <f t="shared" si="54"/>
        <v>0</v>
      </c>
      <c r="R383" s="106"/>
      <c r="S383" s="95" t="s">
        <v>185</v>
      </c>
      <c r="T383" s="96"/>
      <c r="U383" s="106">
        <f t="shared" si="55"/>
        <v>0</v>
      </c>
      <c r="V383" s="106">
        <f t="shared" si="56"/>
        <v>2</v>
      </c>
      <c r="W383" s="105">
        <f t="shared" si="57"/>
        <v>0</v>
      </c>
      <c r="X383" s="95" t="s">
        <v>186</v>
      </c>
      <c r="Y383" s="107" t="s">
        <v>181</v>
      </c>
      <c r="Z383" s="107" t="s">
        <v>176</v>
      </c>
    </row>
    <row r="384" spans="1:26" s="107" customFormat="1" ht="15" customHeight="1" x14ac:dyDescent="0.2">
      <c r="A384" s="101">
        <f t="shared" si="52"/>
        <v>382</v>
      </c>
      <c r="B384" s="77" t="s">
        <v>230</v>
      </c>
      <c r="C384" s="102" t="str">
        <f>IF($B384&lt;&gt;"",_xlfn.IFNA(VLOOKUP($B384,'Node Details'!$B:$U,C$1,0),"Check"),"")</f>
        <v>0000AXY02-0000AXY03</v>
      </c>
      <c r="D384" s="102" t="str">
        <f>IF($B384&lt;&gt;"",_xlfn.IFNA(VLOOKUP($B384,'Node Details'!$B:$U,D$1,0),"Check"),"")</f>
        <v>AXY</v>
      </c>
      <c r="E384" s="102" t="str">
        <f>IF($B384&lt;&gt;"",_xlfn.IFNA(VLOOKUP($B384,'Node Details'!$B:$U,E$1,0),"Check"),"")</f>
        <v>Airtel</v>
      </c>
      <c r="F384" s="103">
        <v>46113</v>
      </c>
      <c r="G384" s="105"/>
      <c r="H384" s="104" t="s">
        <v>189</v>
      </c>
      <c r="I384" s="9">
        <v>18</v>
      </c>
      <c r="J384" s="9"/>
      <c r="K384" s="102">
        <f t="shared" si="58"/>
        <v>0</v>
      </c>
      <c r="L384" s="80">
        <v>46112</v>
      </c>
      <c r="M384" s="105"/>
      <c r="N384" s="95" t="s">
        <v>372</v>
      </c>
      <c r="O384" s="96"/>
      <c r="P384" s="106">
        <f t="shared" si="53"/>
        <v>0</v>
      </c>
      <c r="Q384" s="106">
        <f t="shared" si="54"/>
        <v>0</v>
      </c>
      <c r="R384" s="106"/>
      <c r="S384" s="95" t="s">
        <v>185</v>
      </c>
      <c r="T384" s="96"/>
      <c r="U384" s="106">
        <f t="shared" si="55"/>
        <v>0</v>
      </c>
      <c r="V384" s="106">
        <f t="shared" si="56"/>
        <v>18</v>
      </c>
      <c r="W384" s="105">
        <f t="shared" si="57"/>
        <v>0</v>
      </c>
      <c r="X384" s="95" t="s">
        <v>186</v>
      </c>
      <c r="Y384" s="107" t="s">
        <v>181</v>
      </c>
      <c r="Z384" s="107" t="s">
        <v>176</v>
      </c>
    </row>
    <row r="385" spans="1:26" s="107" customFormat="1" ht="15" customHeight="1" x14ac:dyDescent="0.2">
      <c r="A385" s="101">
        <f t="shared" si="52"/>
        <v>383</v>
      </c>
      <c r="B385" s="77" t="s">
        <v>234</v>
      </c>
      <c r="C385" s="102" t="str">
        <f>IF($B385&lt;&gt;"",_xlfn.IFNA(VLOOKUP($B385,'Node Details'!$B:$U,C$1,0),"Check"),"")</f>
        <v>AXY030103-AXY030105</v>
      </c>
      <c r="D385" s="102" t="str">
        <f>IF($B385&lt;&gt;"",_xlfn.IFNA(VLOOKUP($B385,'Node Details'!$B:$U,D$1,0),"Check"),"")</f>
        <v>AXY</v>
      </c>
      <c r="E385" s="102" t="str">
        <f>IF($B385&lt;&gt;"",_xlfn.IFNA(VLOOKUP($B385,'Node Details'!$B:$U,E$1,0),"Check"),"")</f>
        <v>Airtel</v>
      </c>
      <c r="F385" s="103">
        <v>46113</v>
      </c>
      <c r="G385" s="105"/>
      <c r="H385" s="104" t="s">
        <v>189</v>
      </c>
      <c r="I385" s="9">
        <v>2</v>
      </c>
      <c r="J385" s="9"/>
      <c r="K385" s="102">
        <f t="shared" si="58"/>
        <v>0</v>
      </c>
      <c r="L385" s="80">
        <v>46112</v>
      </c>
      <c r="M385" s="105"/>
      <c r="N385" s="95" t="s">
        <v>372</v>
      </c>
      <c r="O385" s="96"/>
      <c r="P385" s="106">
        <f t="shared" si="53"/>
        <v>0</v>
      </c>
      <c r="Q385" s="106">
        <f t="shared" si="54"/>
        <v>0</v>
      </c>
      <c r="R385" s="106"/>
      <c r="S385" s="95" t="s">
        <v>185</v>
      </c>
      <c r="T385" s="96"/>
      <c r="U385" s="106">
        <f t="shared" si="55"/>
        <v>0</v>
      </c>
      <c r="V385" s="106">
        <f t="shared" si="56"/>
        <v>2</v>
      </c>
      <c r="W385" s="105">
        <f t="shared" si="57"/>
        <v>0</v>
      </c>
      <c r="X385" s="95" t="s">
        <v>186</v>
      </c>
      <c r="Y385" s="107" t="s">
        <v>181</v>
      </c>
      <c r="Z385" s="107" t="s">
        <v>176</v>
      </c>
    </row>
    <row r="386" spans="1:26" s="107" customFormat="1" ht="15" customHeight="1" x14ac:dyDescent="0.2">
      <c r="A386" s="101">
        <f t="shared" si="52"/>
        <v>384</v>
      </c>
      <c r="B386" s="77" t="s">
        <v>230</v>
      </c>
      <c r="C386" s="102" t="str">
        <f>IF($B386&lt;&gt;"",_xlfn.IFNA(VLOOKUP($B386,'Node Details'!$B:$U,C$1,0),"Check"),"")</f>
        <v>0000AXY02-0000AXY03</v>
      </c>
      <c r="D386" s="102" t="str">
        <f>IF($B386&lt;&gt;"",_xlfn.IFNA(VLOOKUP($B386,'Node Details'!$B:$U,D$1,0),"Check"),"")</f>
        <v>AXY</v>
      </c>
      <c r="E386" s="102" t="str">
        <f>IF($B386&lt;&gt;"",_xlfn.IFNA(VLOOKUP($B386,'Node Details'!$B:$U,E$1,0),"Check"),"")</f>
        <v>Airtel</v>
      </c>
      <c r="F386" s="103">
        <v>46113</v>
      </c>
      <c r="G386" s="105"/>
      <c r="H386" s="104" t="s">
        <v>189</v>
      </c>
      <c r="I386" s="9">
        <v>18</v>
      </c>
      <c r="J386" s="9"/>
      <c r="K386" s="102">
        <f t="shared" si="58"/>
        <v>0</v>
      </c>
      <c r="L386" s="80">
        <v>46112</v>
      </c>
      <c r="M386" s="105"/>
      <c r="N386" s="95" t="s">
        <v>372</v>
      </c>
      <c r="O386" s="96"/>
      <c r="P386" s="106">
        <f t="shared" si="53"/>
        <v>0</v>
      </c>
      <c r="Q386" s="106">
        <f t="shared" si="54"/>
        <v>0</v>
      </c>
      <c r="R386" s="106"/>
      <c r="S386" s="95" t="s">
        <v>185</v>
      </c>
      <c r="T386" s="96"/>
      <c r="U386" s="106">
        <f t="shared" si="55"/>
        <v>0</v>
      </c>
      <c r="V386" s="106">
        <f t="shared" si="56"/>
        <v>18</v>
      </c>
      <c r="W386" s="105">
        <f t="shared" si="57"/>
        <v>0</v>
      </c>
      <c r="X386" s="95" t="s">
        <v>186</v>
      </c>
      <c r="Y386" s="107" t="s">
        <v>181</v>
      </c>
      <c r="Z386" s="107" t="s">
        <v>176</v>
      </c>
    </row>
    <row r="387" spans="1:26" s="107" customFormat="1" ht="15" customHeight="1" x14ac:dyDescent="0.2">
      <c r="A387" s="101">
        <f t="shared" si="52"/>
        <v>385</v>
      </c>
      <c r="B387" s="77" t="s">
        <v>232</v>
      </c>
      <c r="C387" s="102" t="str">
        <f>IF($B387&lt;&gt;"",_xlfn.IFNA(VLOOKUP($B387,'Node Details'!$B:$U,C$1,0),"Check"),"")</f>
        <v>0000AXY03-AXY030104</v>
      </c>
      <c r="D387" s="102" t="str">
        <f>IF($B387&lt;&gt;"",_xlfn.IFNA(VLOOKUP($B387,'Node Details'!$B:$U,D$1,0),"Check"),"")</f>
        <v>AXY</v>
      </c>
      <c r="E387" s="102" t="str">
        <f>IF($B387&lt;&gt;"",_xlfn.IFNA(VLOOKUP($B387,'Node Details'!$B:$U,E$1,0),"Check"),"")</f>
        <v>Airtel</v>
      </c>
      <c r="F387" s="103">
        <v>46113</v>
      </c>
      <c r="G387" s="105"/>
      <c r="H387" s="104" t="s">
        <v>189</v>
      </c>
      <c r="I387" s="9">
        <v>4</v>
      </c>
      <c r="J387" s="9"/>
      <c r="K387" s="102">
        <f t="shared" si="58"/>
        <v>0</v>
      </c>
      <c r="L387" s="80">
        <v>46112</v>
      </c>
      <c r="M387" s="105"/>
      <c r="N387" s="95" t="s">
        <v>372</v>
      </c>
      <c r="O387" s="96"/>
      <c r="P387" s="106">
        <f t="shared" si="53"/>
        <v>0</v>
      </c>
      <c r="Q387" s="106">
        <f t="shared" si="54"/>
        <v>0</v>
      </c>
      <c r="R387" s="106"/>
      <c r="S387" s="95" t="s">
        <v>185</v>
      </c>
      <c r="T387" s="96"/>
      <c r="U387" s="106">
        <f t="shared" si="55"/>
        <v>0</v>
      </c>
      <c r="V387" s="106">
        <f t="shared" si="56"/>
        <v>4</v>
      </c>
      <c r="W387" s="105">
        <f t="shared" si="57"/>
        <v>0</v>
      </c>
      <c r="X387" s="95" t="s">
        <v>186</v>
      </c>
      <c r="Y387" s="107" t="s">
        <v>181</v>
      </c>
      <c r="Z387" s="107" t="s">
        <v>176</v>
      </c>
    </row>
    <row r="388" spans="1:26" s="107" customFormat="1" ht="15" customHeight="1" x14ac:dyDescent="0.2">
      <c r="A388" s="101">
        <f t="shared" ref="A388:A451" si="59">A387+1</f>
        <v>386</v>
      </c>
      <c r="B388" s="77" t="s">
        <v>233</v>
      </c>
      <c r="C388" s="102" t="str">
        <f>IF($B388&lt;&gt;"",_xlfn.IFNA(VLOOKUP($B388,'Node Details'!$B:$U,C$1,0),"Check"),"")</f>
        <v>0000AXY03-AXY030104</v>
      </c>
      <c r="D388" s="102" t="str">
        <f>IF($B388&lt;&gt;"",_xlfn.IFNA(VLOOKUP($B388,'Node Details'!$B:$U,D$1,0),"Check"),"")</f>
        <v>AXY</v>
      </c>
      <c r="E388" s="102" t="str">
        <f>IF($B388&lt;&gt;"",_xlfn.IFNA(VLOOKUP($B388,'Node Details'!$B:$U,E$1,0),"Check"),"")</f>
        <v>Airtel</v>
      </c>
      <c r="F388" s="103">
        <v>46113</v>
      </c>
      <c r="G388" s="105"/>
      <c r="H388" s="104" t="s">
        <v>189</v>
      </c>
      <c r="I388" s="9">
        <v>2</v>
      </c>
      <c r="J388" s="9"/>
      <c r="K388" s="102">
        <f t="shared" si="58"/>
        <v>0</v>
      </c>
      <c r="L388" s="80">
        <v>46112</v>
      </c>
      <c r="M388" s="105"/>
      <c r="N388" s="95" t="s">
        <v>372</v>
      </c>
      <c r="O388" s="96"/>
      <c r="P388" s="106">
        <f t="shared" si="53"/>
        <v>0</v>
      </c>
      <c r="Q388" s="106">
        <f t="shared" si="54"/>
        <v>0</v>
      </c>
      <c r="R388" s="106"/>
      <c r="S388" s="95" t="s">
        <v>185</v>
      </c>
      <c r="T388" s="96"/>
      <c r="U388" s="106">
        <f t="shared" si="55"/>
        <v>0</v>
      </c>
      <c r="V388" s="106">
        <f t="shared" si="56"/>
        <v>2</v>
      </c>
      <c r="W388" s="105">
        <f t="shared" si="57"/>
        <v>0</v>
      </c>
      <c r="X388" s="95" t="s">
        <v>186</v>
      </c>
      <c r="Y388" s="107" t="s">
        <v>181</v>
      </c>
      <c r="Z388" s="107" t="s">
        <v>176</v>
      </c>
    </row>
    <row r="389" spans="1:26" s="107" customFormat="1" ht="15" customHeight="1" x14ac:dyDescent="0.2">
      <c r="A389" s="101">
        <f t="shared" si="59"/>
        <v>387</v>
      </c>
      <c r="B389" s="77" t="s">
        <v>235</v>
      </c>
      <c r="C389" s="102" t="str">
        <f>IF($B389&lt;&gt;"",_xlfn.IFNA(VLOOKUP($B389,'Node Details'!$B:$U,C$1,0),"Check"),"")</f>
        <v>0000AXY03-AXY030108</v>
      </c>
      <c r="D389" s="102" t="str">
        <f>IF($B389&lt;&gt;"",_xlfn.IFNA(VLOOKUP($B389,'Node Details'!$B:$U,D$1,0),"Check"),"")</f>
        <v>AXY</v>
      </c>
      <c r="E389" s="102" t="str">
        <f>IF($B389&lt;&gt;"",_xlfn.IFNA(VLOOKUP($B389,'Node Details'!$B:$U,E$1,0),"Check"),"")</f>
        <v>Airtel</v>
      </c>
      <c r="F389" s="103">
        <v>46113</v>
      </c>
      <c r="G389" s="105"/>
      <c r="H389" s="104" t="s">
        <v>189</v>
      </c>
      <c r="I389" s="9">
        <v>4</v>
      </c>
      <c r="J389" s="9"/>
      <c r="K389" s="102">
        <f t="shared" si="58"/>
        <v>0</v>
      </c>
      <c r="L389" s="80">
        <v>46112</v>
      </c>
      <c r="M389" s="105"/>
      <c r="N389" s="95" t="s">
        <v>372</v>
      </c>
      <c r="O389" s="96"/>
      <c r="P389" s="106">
        <f t="shared" si="53"/>
        <v>0</v>
      </c>
      <c r="Q389" s="106">
        <f t="shared" si="54"/>
        <v>0</v>
      </c>
      <c r="R389" s="106"/>
      <c r="S389" s="95" t="s">
        <v>185</v>
      </c>
      <c r="T389" s="96"/>
      <c r="U389" s="106">
        <f t="shared" si="55"/>
        <v>0</v>
      </c>
      <c r="V389" s="106">
        <f t="shared" si="56"/>
        <v>4</v>
      </c>
      <c r="W389" s="105">
        <f t="shared" si="57"/>
        <v>0</v>
      </c>
      <c r="X389" s="95" t="s">
        <v>186</v>
      </c>
      <c r="Y389" s="107" t="s">
        <v>181</v>
      </c>
      <c r="Z389" s="107" t="s">
        <v>176</v>
      </c>
    </row>
    <row r="390" spans="1:26" s="107" customFormat="1" ht="15" customHeight="1" x14ac:dyDescent="0.2">
      <c r="A390" s="101">
        <f t="shared" si="59"/>
        <v>388</v>
      </c>
      <c r="B390" s="77" t="s">
        <v>236</v>
      </c>
      <c r="C390" s="102" t="str">
        <f>IF($B390&lt;&gt;"",_xlfn.IFNA(VLOOKUP($B390,'Node Details'!$B:$U,C$1,0),"Check"),"")</f>
        <v>0000AXY03-AXY030108</v>
      </c>
      <c r="D390" s="102" t="str">
        <f>IF($B390&lt;&gt;"",_xlfn.IFNA(VLOOKUP($B390,'Node Details'!$B:$U,D$1,0),"Check"),"")</f>
        <v>AXY</v>
      </c>
      <c r="E390" s="102" t="str">
        <f>IF($B390&lt;&gt;"",_xlfn.IFNA(VLOOKUP($B390,'Node Details'!$B:$U,E$1,0),"Check"),"")</f>
        <v>Airtel</v>
      </c>
      <c r="F390" s="103">
        <v>46113</v>
      </c>
      <c r="G390" s="105"/>
      <c r="H390" s="104" t="s">
        <v>189</v>
      </c>
      <c r="I390" s="9">
        <v>2</v>
      </c>
      <c r="J390" s="9"/>
      <c r="K390" s="102">
        <f t="shared" si="58"/>
        <v>0</v>
      </c>
      <c r="L390" s="80">
        <v>46112</v>
      </c>
      <c r="M390" s="105"/>
      <c r="N390" s="95" t="s">
        <v>372</v>
      </c>
      <c r="O390" s="96"/>
      <c r="P390" s="106">
        <f t="shared" si="53"/>
        <v>0</v>
      </c>
      <c r="Q390" s="106">
        <f t="shared" si="54"/>
        <v>0</v>
      </c>
      <c r="R390" s="106"/>
      <c r="S390" s="95" t="s">
        <v>185</v>
      </c>
      <c r="T390" s="96"/>
      <c r="U390" s="106">
        <f t="shared" si="55"/>
        <v>0</v>
      </c>
      <c r="V390" s="106">
        <f t="shared" si="56"/>
        <v>2</v>
      </c>
      <c r="W390" s="105">
        <f t="shared" si="57"/>
        <v>0</v>
      </c>
      <c r="X390" s="95" t="s">
        <v>186</v>
      </c>
      <c r="Y390" s="107" t="s">
        <v>181</v>
      </c>
      <c r="Z390" s="107" t="s">
        <v>176</v>
      </c>
    </row>
    <row r="391" spans="1:26" s="107" customFormat="1" ht="15" customHeight="1" x14ac:dyDescent="0.2">
      <c r="A391" s="101">
        <f t="shared" si="59"/>
        <v>389</v>
      </c>
      <c r="B391" s="77" t="s">
        <v>240</v>
      </c>
      <c r="C391" s="102" t="str">
        <f>IF($B391&lt;&gt;"",_xlfn.IFNA(VLOOKUP($B391,'Node Details'!$B:$U,C$1,0),"Check"),"")</f>
        <v>000000AXY-0000AXY12</v>
      </c>
      <c r="D391" s="102" t="str">
        <f>IF($B391&lt;&gt;"",_xlfn.IFNA(VLOOKUP($B391,'Node Details'!$B:$U,D$1,0),"Check"),"")</f>
        <v>AXY</v>
      </c>
      <c r="E391" s="102" t="str">
        <f>IF($B391&lt;&gt;"",_xlfn.IFNA(VLOOKUP($B391,'Node Details'!$B:$U,E$1,0),"Check"),"")</f>
        <v>Airtel</v>
      </c>
      <c r="F391" s="103">
        <v>46113</v>
      </c>
      <c r="G391" s="105"/>
      <c r="H391" s="104" t="s">
        <v>189</v>
      </c>
      <c r="I391" s="9">
        <v>42</v>
      </c>
      <c r="J391" s="9"/>
      <c r="K391" s="102">
        <f t="shared" si="58"/>
        <v>0</v>
      </c>
      <c r="L391" s="80">
        <v>46112</v>
      </c>
      <c r="M391" s="105"/>
      <c r="N391" s="95" t="s">
        <v>372</v>
      </c>
      <c r="O391" s="96"/>
      <c r="P391" s="106">
        <f t="shared" si="53"/>
        <v>0</v>
      </c>
      <c r="Q391" s="106">
        <f t="shared" si="54"/>
        <v>0</v>
      </c>
      <c r="R391" s="106"/>
      <c r="S391" s="95" t="s">
        <v>185</v>
      </c>
      <c r="T391" s="96"/>
      <c r="U391" s="106">
        <f t="shared" si="55"/>
        <v>0</v>
      </c>
      <c r="V391" s="106">
        <f t="shared" si="56"/>
        <v>42</v>
      </c>
      <c r="W391" s="105">
        <f t="shared" si="57"/>
        <v>0</v>
      </c>
      <c r="X391" s="95" t="s">
        <v>186</v>
      </c>
      <c r="Y391" s="107" t="s">
        <v>181</v>
      </c>
      <c r="Z391" s="107" t="s">
        <v>176</v>
      </c>
    </row>
    <row r="392" spans="1:26" s="107" customFormat="1" ht="15" customHeight="1" x14ac:dyDescent="0.2">
      <c r="A392" s="101">
        <f t="shared" si="59"/>
        <v>390</v>
      </c>
      <c r="B392" s="77" t="s">
        <v>242</v>
      </c>
      <c r="C392" s="102" t="str">
        <f>IF($B392&lt;&gt;"",_xlfn.IFNA(VLOOKUP($B392,'Node Details'!$B:$U,C$1,0),"Check"),"")</f>
        <v>0000AXY04-00AXY-FMS</v>
      </c>
      <c r="D392" s="102" t="str">
        <f>IF($B392&lt;&gt;"",_xlfn.IFNA(VLOOKUP($B392,'Node Details'!$B:$U,D$1,0),"Check"),"")</f>
        <v>AXY</v>
      </c>
      <c r="E392" s="102" t="str">
        <f>IF($B392&lt;&gt;"",_xlfn.IFNA(VLOOKUP($B392,'Node Details'!$B:$U,E$1,0),"Check"),"")</f>
        <v>Airtel</v>
      </c>
      <c r="F392" s="103">
        <v>46113</v>
      </c>
      <c r="G392" s="105"/>
      <c r="H392" s="104" t="s">
        <v>189</v>
      </c>
      <c r="I392" s="9">
        <v>8</v>
      </c>
      <c r="J392" s="9"/>
      <c r="K392" s="102">
        <f t="shared" si="58"/>
        <v>0</v>
      </c>
      <c r="L392" s="80">
        <v>46112</v>
      </c>
      <c r="M392" s="105"/>
      <c r="N392" s="95" t="s">
        <v>372</v>
      </c>
      <c r="O392" s="96"/>
      <c r="P392" s="106">
        <f t="shared" si="53"/>
        <v>0</v>
      </c>
      <c r="Q392" s="106">
        <f t="shared" si="54"/>
        <v>0</v>
      </c>
      <c r="R392" s="106"/>
      <c r="S392" s="95" t="s">
        <v>185</v>
      </c>
      <c r="T392" s="96"/>
      <c r="U392" s="106">
        <f t="shared" si="55"/>
        <v>0</v>
      </c>
      <c r="V392" s="106">
        <f t="shared" si="56"/>
        <v>8</v>
      </c>
      <c r="W392" s="105">
        <f t="shared" si="57"/>
        <v>0</v>
      </c>
      <c r="X392" s="95" t="s">
        <v>186</v>
      </c>
      <c r="Y392" s="107" t="s">
        <v>181</v>
      </c>
      <c r="Z392" s="107" t="s">
        <v>176</v>
      </c>
    </row>
    <row r="393" spans="1:26" s="107" customFormat="1" ht="15" customHeight="1" x14ac:dyDescent="0.2">
      <c r="A393" s="101">
        <f t="shared" si="59"/>
        <v>391</v>
      </c>
      <c r="B393" s="77" t="s">
        <v>242</v>
      </c>
      <c r="C393" s="102" t="str">
        <f>IF($B393&lt;&gt;"",_xlfn.IFNA(VLOOKUP($B393,'Node Details'!$B:$U,C$1,0),"Check"),"")</f>
        <v>0000AXY04-00AXY-FMS</v>
      </c>
      <c r="D393" s="102" t="str">
        <f>IF($B393&lt;&gt;"",_xlfn.IFNA(VLOOKUP($B393,'Node Details'!$B:$U,D$1,0),"Check"),"")</f>
        <v>AXY</v>
      </c>
      <c r="E393" s="102" t="str">
        <f>IF($B393&lt;&gt;"",_xlfn.IFNA(VLOOKUP($B393,'Node Details'!$B:$U,E$1,0),"Check"),"")</f>
        <v>Airtel</v>
      </c>
      <c r="F393" s="103">
        <v>46113</v>
      </c>
      <c r="G393" s="105"/>
      <c r="H393" s="104" t="s">
        <v>189</v>
      </c>
      <c r="I393" s="9">
        <v>6</v>
      </c>
      <c r="J393" s="9"/>
      <c r="K393" s="102">
        <f t="shared" si="58"/>
        <v>0</v>
      </c>
      <c r="L393" s="80">
        <v>46112</v>
      </c>
      <c r="M393" s="105"/>
      <c r="N393" s="95" t="s">
        <v>372</v>
      </c>
      <c r="O393" s="96"/>
      <c r="P393" s="106">
        <f t="shared" si="53"/>
        <v>0</v>
      </c>
      <c r="Q393" s="106">
        <f t="shared" si="54"/>
        <v>0</v>
      </c>
      <c r="R393" s="106"/>
      <c r="S393" s="95" t="s">
        <v>185</v>
      </c>
      <c r="T393" s="96"/>
      <c r="U393" s="106">
        <f t="shared" si="55"/>
        <v>0</v>
      </c>
      <c r="V393" s="106">
        <f t="shared" si="56"/>
        <v>6</v>
      </c>
      <c r="W393" s="105">
        <f t="shared" si="57"/>
        <v>0</v>
      </c>
      <c r="X393" s="95" t="s">
        <v>186</v>
      </c>
      <c r="Y393" s="107" t="s">
        <v>181</v>
      </c>
      <c r="Z393" s="107" t="s">
        <v>176</v>
      </c>
    </row>
    <row r="394" spans="1:26" s="107" customFormat="1" ht="15" customHeight="1" x14ac:dyDescent="0.2">
      <c r="A394" s="101">
        <f t="shared" si="59"/>
        <v>392</v>
      </c>
      <c r="B394" s="77" t="s">
        <v>243</v>
      </c>
      <c r="C394" s="102" t="str">
        <f>IF($B394&lt;&gt;"",_xlfn.IFNA(VLOOKUP($B394,'Node Details'!$B:$U,C$1,0),"Check"),"")</f>
        <v>00AXY-FMS-AXY040108</v>
      </c>
      <c r="D394" s="102" t="str">
        <f>IF($B394&lt;&gt;"",_xlfn.IFNA(VLOOKUP($B394,'Node Details'!$B:$U,D$1,0),"Check"),"")</f>
        <v>AXY</v>
      </c>
      <c r="E394" s="102" t="str">
        <f>IF($B394&lt;&gt;"",_xlfn.IFNA(VLOOKUP($B394,'Node Details'!$B:$U,E$1,0),"Check"),"")</f>
        <v>Airtel</v>
      </c>
      <c r="F394" s="103">
        <v>46113</v>
      </c>
      <c r="G394" s="105"/>
      <c r="H394" s="104" t="s">
        <v>189</v>
      </c>
      <c r="I394" s="9">
        <v>4</v>
      </c>
      <c r="J394" s="9"/>
      <c r="K394" s="102">
        <f t="shared" si="58"/>
        <v>0</v>
      </c>
      <c r="L394" s="80">
        <v>46112</v>
      </c>
      <c r="M394" s="105"/>
      <c r="N394" s="95" t="s">
        <v>372</v>
      </c>
      <c r="O394" s="96"/>
      <c r="P394" s="106">
        <f t="shared" si="53"/>
        <v>0</v>
      </c>
      <c r="Q394" s="106">
        <f t="shared" si="54"/>
        <v>0</v>
      </c>
      <c r="R394" s="106"/>
      <c r="S394" s="95" t="s">
        <v>185</v>
      </c>
      <c r="T394" s="96"/>
      <c r="U394" s="106">
        <f t="shared" si="55"/>
        <v>0</v>
      </c>
      <c r="V394" s="106">
        <f t="shared" si="56"/>
        <v>4</v>
      </c>
      <c r="W394" s="105">
        <f t="shared" si="57"/>
        <v>0</v>
      </c>
      <c r="X394" s="95" t="s">
        <v>186</v>
      </c>
      <c r="Y394" s="107" t="s">
        <v>181</v>
      </c>
      <c r="Z394" s="107" t="s">
        <v>176</v>
      </c>
    </row>
    <row r="395" spans="1:26" s="107" customFormat="1" ht="15" customHeight="1" x14ac:dyDescent="0.2">
      <c r="A395" s="101">
        <f t="shared" si="59"/>
        <v>393</v>
      </c>
      <c r="B395" s="77" t="s">
        <v>244</v>
      </c>
      <c r="C395" s="102" t="str">
        <f>IF($B395&lt;&gt;"",_xlfn.IFNA(VLOOKUP($B395,'Node Details'!$B:$U,C$1,0),"Check"),"")</f>
        <v>00AXY-FMS-AXY040108</v>
      </c>
      <c r="D395" s="102" t="str">
        <f>IF($B395&lt;&gt;"",_xlfn.IFNA(VLOOKUP($B395,'Node Details'!$B:$U,D$1,0),"Check"),"")</f>
        <v>AXY</v>
      </c>
      <c r="E395" s="102" t="str">
        <f>IF($B395&lt;&gt;"",_xlfn.IFNA(VLOOKUP($B395,'Node Details'!$B:$U,E$1,0),"Check"),"")</f>
        <v>Airtel</v>
      </c>
      <c r="F395" s="103">
        <v>46113</v>
      </c>
      <c r="G395" s="105"/>
      <c r="H395" s="104" t="s">
        <v>189</v>
      </c>
      <c r="I395" s="9">
        <v>2</v>
      </c>
      <c r="J395" s="9"/>
      <c r="K395" s="102">
        <f t="shared" si="58"/>
        <v>0</v>
      </c>
      <c r="L395" s="80">
        <v>46112</v>
      </c>
      <c r="M395" s="105"/>
      <c r="N395" s="95" t="s">
        <v>372</v>
      </c>
      <c r="O395" s="96"/>
      <c r="P395" s="106">
        <f t="shared" si="53"/>
        <v>0</v>
      </c>
      <c r="Q395" s="106">
        <f t="shared" si="54"/>
        <v>0</v>
      </c>
      <c r="R395" s="106"/>
      <c r="S395" s="95" t="s">
        <v>185</v>
      </c>
      <c r="T395" s="96"/>
      <c r="U395" s="106">
        <f t="shared" si="55"/>
        <v>0</v>
      </c>
      <c r="V395" s="106">
        <f t="shared" si="56"/>
        <v>2</v>
      </c>
      <c r="W395" s="105">
        <f t="shared" si="57"/>
        <v>0</v>
      </c>
      <c r="X395" s="95" t="s">
        <v>186</v>
      </c>
      <c r="Y395" s="107" t="s">
        <v>181</v>
      </c>
      <c r="Z395" s="107" t="s">
        <v>176</v>
      </c>
    </row>
    <row r="396" spans="1:26" s="107" customFormat="1" ht="15" customHeight="1" x14ac:dyDescent="0.2">
      <c r="A396" s="101">
        <f t="shared" si="59"/>
        <v>394</v>
      </c>
      <c r="B396" s="77" t="s">
        <v>247</v>
      </c>
      <c r="C396" s="102" t="str">
        <f>IF($B396&lt;&gt;"",_xlfn.IFNA(VLOOKUP($B396,'Node Details'!$B:$U,C$1,0),"Check"),"")</f>
        <v>0000AXY04-AXY040201</v>
      </c>
      <c r="D396" s="102" t="str">
        <f>IF($B396&lt;&gt;"",_xlfn.IFNA(VLOOKUP($B396,'Node Details'!$B:$U,D$1,0),"Check"),"")</f>
        <v>AXY</v>
      </c>
      <c r="E396" s="102" t="str">
        <f>IF($B396&lt;&gt;"",_xlfn.IFNA(VLOOKUP($B396,'Node Details'!$B:$U,E$1,0),"Check"),"")</f>
        <v>Airtel</v>
      </c>
      <c r="F396" s="103">
        <v>46113</v>
      </c>
      <c r="G396" s="105"/>
      <c r="H396" s="104" t="s">
        <v>189</v>
      </c>
      <c r="I396" s="9">
        <v>6</v>
      </c>
      <c r="J396" s="9"/>
      <c r="K396" s="102">
        <f t="shared" si="58"/>
        <v>0</v>
      </c>
      <c r="L396" s="80">
        <v>46112</v>
      </c>
      <c r="M396" s="105"/>
      <c r="N396" s="95" t="s">
        <v>372</v>
      </c>
      <c r="O396" s="96"/>
      <c r="P396" s="106">
        <f t="shared" si="53"/>
        <v>0</v>
      </c>
      <c r="Q396" s="106">
        <f t="shared" si="54"/>
        <v>0</v>
      </c>
      <c r="R396" s="106"/>
      <c r="S396" s="95" t="s">
        <v>185</v>
      </c>
      <c r="T396" s="96"/>
      <c r="U396" s="106">
        <f t="shared" si="55"/>
        <v>0</v>
      </c>
      <c r="V396" s="106">
        <f t="shared" si="56"/>
        <v>6</v>
      </c>
      <c r="W396" s="105">
        <f t="shared" si="57"/>
        <v>0</v>
      </c>
      <c r="X396" s="95" t="s">
        <v>186</v>
      </c>
      <c r="Y396" s="107" t="s">
        <v>181</v>
      </c>
      <c r="Z396" s="107" t="s">
        <v>176</v>
      </c>
    </row>
    <row r="397" spans="1:26" s="107" customFormat="1" ht="15" customHeight="1" x14ac:dyDescent="0.2">
      <c r="A397" s="101">
        <f t="shared" si="59"/>
        <v>395</v>
      </c>
      <c r="B397" s="77" t="s">
        <v>248</v>
      </c>
      <c r="C397" s="102" t="str">
        <f>IF($B397&lt;&gt;"",_xlfn.IFNA(VLOOKUP($B397,'Node Details'!$B:$U,C$1,0),"Check"),"")</f>
        <v>AXY040201-AXY040204</v>
      </c>
      <c r="D397" s="102" t="str">
        <f>IF($B397&lt;&gt;"",_xlfn.IFNA(VLOOKUP($B397,'Node Details'!$B:$U,D$1,0),"Check"),"")</f>
        <v>AXY</v>
      </c>
      <c r="E397" s="102" t="str">
        <f>IF($B397&lt;&gt;"",_xlfn.IFNA(VLOOKUP($B397,'Node Details'!$B:$U,E$1,0),"Check"),"")</f>
        <v>Airtel</v>
      </c>
      <c r="F397" s="103">
        <v>46113</v>
      </c>
      <c r="G397" s="105"/>
      <c r="H397" s="104" t="s">
        <v>189</v>
      </c>
      <c r="I397" s="9">
        <v>4</v>
      </c>
      <c r="J397" s="9"/>
      <c r="K397" s="102">
        <f t="shared" si="58"/>
        <v>0</v>
      </c>
      <c r="L397" s="80">
        <v>46112</v>
      </c>
      <c r="M397" s="105"/>
      <c r="N397" s="95" t="s">
        <v>372</v>
      </c>
      <c r="O397" s="96"/>
      <c r="P397" s="106">
        <f t="shared" si="53"/>
        <v>0</v>
      </c>
      <c r="Q397" s="106">
        <f t="shared" si="54"/>
        <v>0</v>
      </c>
      <c r="R397" s="106"/>
      <c r="S397" s="95" t="s">
        <v>185</v>
      </c>
      <c r="T397" s="96"/>
      <c r="U397" s="106">
        <f t="shared" si="55"/>
        <v>0</v>
      </c>
      <c r="V397" s="106">
        <f t="shared" si="56"/>
        <v>4</v>
      </c>
      <c r="W397" s="105">
        <f t="shared" si="57"/>
        <v>0</v>
      </c>
      <c r="X397" s="95" t="s">
        <v>186</v>
      </c>
      <c r="Y397" s="107" t="s">
        <v>181</v>
      </c>
      <c r="Z397" s="107" t="s">
        <v>176</v>
      </c>
    </row>
    <row r="398" spans="1:26" s="107" customFormat="1" ht="15" customHeight="1" x14ac:dyDescent="0.2">
      <c r="A398" s="101">
        <f t="shared" si="59"/>
        <v>396</v>
      </c>
      <c r="B398" s="77" t="s">
        <v>249</v>
      </c>
      <c r="C398" s="102" t="str">
        <f>IF($B398&lt;&gt;"",_xlfn.IFNA(VLOOKUP($B398,'Node Details'!$B:$U,C$1,0),"Check"),"")</f>
        <v>AXY040201-AXY040204</v>
      </c>
      <c r="D398" s="102" t="str">
        <f>IF($B398&lt;&gt;"",_xlfn.IFNA(VLOOKUP($B398,'Node Details'!$B:$U,D$1,0),"Check"),"")</f>
        <v>AXY</v>
      </c>
      <c r="E398" s="102" t="str">
        <f>IF($B398&lt;&gt;"",_xlfn.IFNA(VLOOKUP($B398,'Node Details'!$B:$U,E$1,0),"Check"),"")</f>
        <v>Airtel</v>
      </c>
      <c r="F398" s="103">
        <v>46113</v>
      </c>
      <c r="G398" s="105"/>
      <c r="H398" s="104" t="s">
        <v>189</v>
      </c>
      <c r="I398" s="9">
        <v>2</v>
      </c>
      <c r="J398" s="9"/>
      <c r="K398" s="102">
        <f t="shared" si="58"/>
        <v>0</v>
      </c>
      <c r="L398" s="80">
        <v>46112</v>
      </c>
      <c r="M398" s="105"/>
      <c r="N398" s="95" t="s">
        <v>372</v>
      </c>
      <c r="O398" s="96"/>
      <c r="P398" s="106">
        <f t="shared" si="53"/>
        <v>0</v>
      </c>
      <c r="Q398" s="106">
        <f t="shared" si="54"/>
        <v>0</v>
      </c>
      <c r="R398" s="106"/>
      <c r="S398" s="95" t="s">
        <v>185</v>
      </c>
      <c r="T398" s="96"/>
      <c r="U398" s="106">
        <f t="shared" si="55"/>
        <v>0</v>
      </c>
      <c r="V398" s="106">
        <f t="shared" si="56"/>
        <v>2</v>
      </c>
      <c r="W398" s="105">
        <f t="shared" si="57"/>
        <v>0</v>
      </c>
      <c r="X398" s="95" t="s">
        <v>186</v>
      </c>
      <c r="Y398" s="107" t="s">
        <v>181</v>
      </c>
      <c r="Z398" s="107" t="s">
        <v>176</v>
      </c>
    </row>
    <row r="399" spans="1:26" s="107" customFormat="1" ht="15" customHeight="1" x14ac:dyDescent="0.2">
      <c r="A399" s="101">
        <f t="shared" si="59"/>
        <v>397</v>
      </c>
      <c r="B399" s="77" t="s">
        <v>251</v>
      </c>
      <c r="C399" s="102" t="str">
        <f>IF($B399&lt;&gt;"",_xlfn.IFNA(VLOOKUP($B399,'Node Details'!$B:$U,C$1,0),"Check"),"")</f>
        <v>0000AXY04-0000AXY05</v>
      </c>
      <c r="D399" s="102" t="str">
        <f>IF($B399&lt;&gt;"",_xlfn.IFNA(VLOOKUP($B399,'Node Details'!$B:$U,D$1,0),"Check"),"")</f>
        <v>AXY</v>
      </c>
      <c r="E399" s="102" t="str">
        <f>IF($B399&lt;&gt;"",_xlfn.IFNA(VLOOKUP($B399,'Node Details'!$B:$U,E$1,0),"Check"),"")</f>
        <v>Airtel</v>
      </c>
      <c r="F399" s="103">
        <v>46113</v>
      </c>
      <c r="G399" s="105"/>
      <c r="H399" s="104" t="s">
        <v>189</v>
      </c>
      <c r="I399" s="9">
        <v>18</v>
      </c>
      <c r="J399" s="9"/>
      <c r="K399" s="102">
        <f t="shared" si="58"/>
        <v>0</v>
      </c>
      <c r="L399" s="80">
        <v>46112</v>
      </c>
      <c r="M399" s="105"/>
      <c r="N399" s="95" t="s">
        <v>372</v>
      </c>
      <c r="O399" s="96"/>
      <c r="P399" s="106">
        <f t="shared" si="53"/>
        <v>0</v>
      </c>
      <c r="Q399" s="106">
        <f t="shared" si="54"/>
        <v>0</v>
      </c>
      <c r="R399" s="106"/>
      <c r="S399" s="95" t="s">
        <v>185</v>
      </c>
      <c r="T399" s="96"/>
      <c r="U399" s="106">
        <f t="shared" si="55"/>
        <v>0</v>
      </c>
      <c r="V399" s="106">
        <f t="shared" si="56"/>
        <v>18</v>
      </c>
      <c r="W399" s="105">
        <f t="shared" si="57"/>
        <v>0</v>
      </c>
      <c r="X399" s="95" t="s">
        <v>186</v>
      </c>
      <c r="Y399" s="107" t="s">
        <v>181</v>
      </c>
      <c r="Z399" s="107" t="s">
        <v>176</v>
      </c>
    </row>
    <row r="400" spans="1:26" s="107" customFormat="1" ht="15" customHeight="1" x14ac:dyDescent="0.2">
      <c r="A400" s="101">
        <f t="shared" si="59"/>
        <v>398</v>
      </c>
      <c r="B400" s="77" t="s">
        <v>253</v>
      </c>
      <c r="C400" s="102" t="str">
        <f>IF($B400&lt;&gt;"",_xlfn.IFNA(VLOOKUP($B400,'Node Details'!$B:$U,C$1,0),"Check"),"")</f>
        <v>0000AXY5 -AXY050104</v>
      </c>
      <c r="D400" s="102" t="str">
        <f>IF($B400&lt;&gt;"",_xlfn.IFNA(VLOOKUP($B400,'Node Details'!$B:$U,D$1,0),"Check"),"")</f>
        <v>AXY</v>
      </c>
      <c r="E400" s="102" t="str">
        <f>IF($B400&lt;&gt;"",_xlfn.IFNA(VLOOKUP($B400,'Node Details'!$B:$U,E$1,0),"Check"),"")</f>
        <v>Airtel</v>
      </c>
      <c r="F400" s="103">
        <v>46113</v>
      </c>
      <c r="G400" s="105"/>
      <c r="H400" s="104" t="s">
        <v>189</v>
      </c>
      <c r="I400" s="9">
        <v>2</v>
      </c>
      <c r="J400" s="9"/>
      <c r="K400" s="102">
        <f t="shared" si="58"/>
        <v>0</v>
      </c>
      <c r="L400" s="80">
        <v>46112</v>
      </c>
      <c r="M400" s="105"/>
      <c r="N400" s="95" t="s">
        <v>372</v>
      </c>
      <c r="O400" s="96"/>
      <c r="P400" s="106">
        <f t="shared" si="53"/>
        <v>0</v>
      </c>
      <c r="Q400" s="106">
        <f t="shared" si="54"/>
        <v>0</v>
      </c>
      <c r="R400" s="106"/>
      <c r="S400" s="95" t="s">
        <v>185</v>
      </c>
      <c r="T400" s="96"/>
      <c r="U400" s="106">
        <f t="shared" si="55"/>
        <v>0</v>
      </c>
      <c r="V400" s="106">
        <f t="shared" si="56"/>
        <v>2</v>
      </c>
      <c r="W400" s="105">
        <f t="shared" si="57"/>
        <v>0</v>
      </c>
      <c r="X400" s="95" t="s">
        <v>186</v>
      </c>
      <c r="Y400" s="107" t="s">
        <v>181</v>
      </c>
      <c r="Z400" s="107" t="s">
        <v>176</v>
      </c>
    </row>
    <row r="401" spans="1:26" s="107" customFormat="1" ht="15" customHeight="1" x14ac:dyDescent="0.2">
      <c r="A401" s="101">
        <f t="shared" si="59"/>
        <v>399</v>
      </c>
      <c r="B401" s="77" t="s">
        <v>256</v>
      </c>
      <c r="C401" s="102" t="str">
        <f>IF($B401&lt;&gt;"",_xlfn.IFNA(VLOOKUP($B401,'Node Details'!$B:$U,C$1,0),"Check"),"")</f>
        <v>0000AXY05-AXY050107</v>
      </c>
      <c r="D401" s="102" t="str">
        <f>IF($B401&lt;&gt;"",_xlfn.IFNA(VLOOKUP($B401,'Node Details'!$B:$U,D$1,0),"Check"),"")</f>
        <v>AXY</v>
      </c>
      <c r="E401" s="102" t="str">
        <f>IF($B401&lt;&gt;"",_xlfn.IFNA(VLOOKUP($B401,'Node Details'!$B:$U,E$1,0),"Check"),"")</f>
        <v>Airtel</v>
      </c>
      <c r="F401" s="103">
        <v>46113</v>
      </c>
      <c r="G401" s="105"/>
      <c r="H401" s="104" t="s">
        <v>189</v>
      </c>
      <c r="I401" s="9">
        <v>4</v>
      </c>
      <c r="J401" s="9"/>
      <c r="K401" s="102">
        <f t="shared" si="58"/>
        <v>0</v>
      </c>
      <c r="L401" s="80">
        <v>46112</v>
      </c>
      <c r="M401" s="105"/>
      <c r="N401" s="95" t="s">
        <v>372</v>
      </c>
      <c r="O401" s="96"/>
      <c r="P401" s="106">
        <f t="shared" si="53"/>
        <v>0</v>
      </c>
      <c r="Q401" s="106">
        <f t="shared" si="54"/>
        <v>0</v>
      </c>
      <c r="R401" s="106"/>
      <c r="S401" s="95" t="s">
        <v>185</v>
      </c>
      <c r="T401" s="96"/>
      <c r="U401" s="106">
        <f t="shared" si="55"/>
        <v>0</v>
      </c>
      <c r="V401" s="106">
        <f t="shared" si="56"/>
        <v>4</v>
      </c>
      <c r="W401" s="105">
        <f t="shared" si="57"/>
        <v>0</v>
      </c>
      <c r="X401" s="95" t="s">
        <v>186</v>
      </c>
      <c r="Y401" s="107" t="s">
        <v>181</v>
      </c>
      <c r="Z401" s="107" t="s">
        <v>176</v>
      </c>
    </row>
    <row r="402" spans="1:26" s="107" customFormat="1" ht="15" customHeight="1" x14ac:dyDescent="0.2">
      <c r="A402" s="101">
        <f t="shared" si="59"/>
        <v>400</v>
      </c>
      <c r="B402" s="77" t="s">
        <v>257</v>
      </c>
      <c r="C402" s="102" t="str">
        <f>IF($B402&lt;&gt;"",_xlfn.IFNA(VLOOKUP($B402,'Node Details'!$B:$U,C$1,0),"Check"),"")</f>
        <v>0000AXY05-AXY050107</v>
      </c>
      <c r="D402" s="102" t="str">
        <f>IF($B402&lt;&gt;"",_xlfn.IFNA(VLOOKUP($B402,'Node Details'!$B:$U,D$1,0),"Check"),"")</f>
        <v>AXY</v>
      </c>
      <c r="E402" s="102" t="str">
        <f>IF($B402&lt;&gt;"",_xlfn.IFNA(VLOOKUP($B402,'Node Details'!$B:$U,E$1,0),"Check"),"")</f>
        <v>Airtel</v>
      </c>
      <c r="F402" s="103">
        <v>46113</v>
      </c>
      <c r="G402" s="105"/>
      <c r="H402" s="104" t="s">
        <v>189</v>
      </c>
      <c r="I402" s="9">
        <v>2</v>
      </c>
      <c r="J402" s="9"/>
      <c r="K402" s="102">
        <f t="shared" si="58"/>
        <v>0</v>
      </c>
      <c r="L402" s="80">
        <v>46112</v>
      </c>
      <c r="M402" s="105"/>
      <c r="N402" s="95" t="s">
        <v>372</v>
      </c>
      <c r="O402" s="96"/>
      <c r="P402" s="106">
        <f t="shared" si="53"/>
        <v>0</v>
      </c>
      <c r="Q402" s="106">
        <f t="shared" si="54"/>
        <v>0</v>
      </c>
      <c r="R402" s="106"/>
      <c r="S402" s="95" t="s">
        <v>185</v>
      </c>
      <c r="T402" s="96"/>
      <c r="U402" s="106">
        <f t="shared" si="55"/>
        <v>0</v>
      </c>
      <c r="V402" s="106">
        <f t="shared" si="56"/>
        <v>2</v>
      </c>
      <c r="W402" s="105">
        <f t="shared" si="57"/>
        <v>0</v>
      </c>
      <c r="X402" s="95" t="s">
        <v>186</v>
      </c>
      <c r="Y402" s="107" t="s">
        <v>181</v>
      </c>
      <c r="Z402" s="107" t="s">
        <v>176</v>
      </c>
    </row>
    <row r="403" spans="1:26" s="107" customFormat="1" ht="15" customHeight="1" x14ac:dyDescent="0.2">
      <c r="A403" s="101">
        <f t="shared" si="59"/>
        <v>401</v>
      </c>
      <c r="B403" s="77" t="s">
        <v>259</v>
      </c>
      <c r="C403" s="102" t="str">
        <f>IF($B403&lt;&gt;"",_xlfn.IFNA(VLOOKUP($B403,'Node Details'!$B:$U,C$1,0),"Check"),"")</f>
        <v>AXY050105-AXY050202</v>
      </c>
      <c r="D403" s="102" t="str">
        <f>IF($B403&lt;&gt;"",_xlfn.IFNA(VLOOKUP($B403,'Node Details'!$B:$U,D$1,0),"Check"),"")</f>
        <v>AXY</v>
      </c>
      <c r="E403" s="102" t="str">
        <f>IF($B403&lt;&gt;"",_xlfn.IFNA(VLOOKUP($B403,'Node Details'!$B:$U,E$1,0),"Check"),"")</f>
        <v>Airtel</v>
      </c>
      <c r="F403" s="103">
        <v>46113</v>
      </c>
      <c r="G403" s="105"/>
      <c r="H403" s="104" t="s">
        <v>189</v>
      </c>
      <c r="I403" s="9">
        <v>2</v>
      </c>
      <c r="J403" s="9"/>
      <c r="K403" s="102">
        <f t="shared" si="58"/>
        <v>0</v>
      </c>
      <c r="L403" s="80">
        <v>46112</v>
      </c>
      <c r="M403" s="105"/>
      <c r="N403" s="95" t="s">
        <v>372</v>
      </c>
      <c r="O403" s="96"/>
      <c r="P403" s="106">
        <f t="shared" si="53"/>
        <v>0</v>
      </c>
      <c r="Q403" s="106">
        <f t="shared" si="54"/>
        <v>0</v>
      </c>
      <c r="R403" s="106"/>
      <c r="S403" s="95" t="s">
        <v>185</v>
      </c>
      <c r="T403" s="96"/>
      <c r="U403" s="106">
        <f t="shared" si="55"/>
        <v>0</v>
      </c>
      <c r="V403" s="106">
        <f t="shared" si="56"/>
        <v>2</v>
      </c>
      <c r="W403" s="105">
        <f t="shared" si="57"/>
        <v>0</v>
      </c>
      <c r="X403" s="95" t="s">
        <v>186</v>
      </c>
      <c r="Y403" s="107" t="s">
        <v>181</v>
      </c>
      <c r="Z403" s="107" t="s">
        <v>176</v>
      </c>
    </row>
    <row r="404" spans="1:26" s="107" customFormat="1" ht="15" customHeight="1" x14ac:dyDescent="0.2">
      <c r="A404" s="101">
        <f t="shared" si="59"/>
        <v>402</v>
      </c>
      <c r="B404" s="77" t="s">
        <v>262</v>
      </c>
      <c r="C404" s="102" t="str">
        <f>IF($B404&lt;&gt;"",_xlfn.IFNA(VLOOKUP($B404,'Node Details'!$B:$U,C$1,0),"Check"),"")</f>
        <v>000000AXY-0000AXY12</v>
      </c>
      <c r="D404" s="102" t="str">
        <f>IF($B404&lt;&gt;"",_xlfn.IFNA(VLOOKUP($B404,'Node Details'!$B:$U,D$1,0),"Check"),"")</f>
        <v>AXY</v>
      </c>
      <c r="E404" s="102" t="str">
        <f>IF($B404&lt;&gt;"",_xlfn.IFNA(VLOOKUP($B404,'Node Details'!$B:$U,E$1,0),"Check"),"")</f>
        <v>Airtel</v>
      </c>
      <c r="F404" s="103">
        <v>46113</v>
      </c>
      <c r="G404" s="105"/>
      <c r="H404" s="104" t="s">
        <v>189</v>
      </c>
      <c r="I404" s="9">
        <v>18</v>
      </c>
      <c r="J404" s="9"/>
      <c r="K404" s="102">
        <f t="shared" si="58"/>
        <v>0</v>
      </c>
      <c r="L404" s="80">
        <v>46112</v>
      </c>
      <c r="M404" s="105"/>
      <c r="N404" s="95" t="s">
        <v>372</v>
      </c>
      <c r="O404" s="96"/>
      <c r="P404" s="106">
        <f t="shared" si="53"/>
        <v>0</v>
      </c>
      <c r="Q404" s="106">
        <f t="shared" si="54"/>
        <v>0</v>
      </c>
      <c r="R404" s="106"/>
      <c r="S404" s="95" t="s">
        <v>185</v>
      </c>
      <c r="T404" s="96"/>
      <c r="U404" s="106">
        <f t="shared" si="55"/>
        <v>0</v>
      </c>
      <c r="V404" s="106">
        <f t="shared" si="56"/>
        <v>18</v>
      </c>
      <c r="W404" s="105">
        <f t="shared" si="57"/>
        <v>0</v>
      </c>
      <c r="X404" s="95" t="s">
        <v>186</v>
      </c>
      <c r="Y404" s="107" t="s">
        <v>181</v>
      </c>
      <c r="Z404" s="107" t="s">
        <v>176</v>
      </c>
    </row>
    <row r="405" spans="1:26" s="107" customFormat="1" ht="15" customHeight="1" x14ac:dyDescent="0.2">
      <c r="A405" s="101">
        <f t="shared" si="59"/>
        <v>403</v>
      </c>
      <c r="B405" s="77" t="s">
        <v>265</v>
      </c>
      <c r="C405" s="102" t="str">
        <f>IF($B405&lt;&gt;"",_xlfn.IFNA(VLOOKUP($B405,'Node Details'!$B:$U,C$1,0),"Check"),"")</f>
        <v>0000AXY06-AXY060105</v>
      </c>
      <c r="D405" s="102" t="str">
        <f>IF($B405&lt;&gt;"",_xlfn.IFNA(VLOOKUP($B405,'Node Details'!$B:$U,D$1,0),"Check"),"")</f>
        <v>AXY</v>
      </c>
      <c r="E405" s="102" t="str">
        <f>IF($B405&lt;&gt;"",_xlfn.IFNA(VLOOKUP($B405,'Node Details'!$B:$U,E$1,0),"Check"),"")</f>
        <v>Airtel</v>
      </c>
      <c r="F405" s="103">
        <v>46113</v>
      </c>
      <c r="G405" s="105"/>
      <c r="H405" s="104" t="s">
        <v>189</v>
      </c>
      <c r="I405" s="9">
        <v>2</v>
      </c>
      <c r="J405" s="9"/>
      <c r="K405" s="102">
        <f t="shared" si="58"/>
        <v>0</v>
      </c>
      <c r="L405" s="80">
        <v>46112</v>
      </c>
      <c r="M405" s="105"/>
      <c r="N405" s="95" t="s">
        <v>372</v>
      </c>
      <c r="O405" s="96"/>
      <c r="P405" s="106">
        <f t="shared" si="53"/>
        <v>0</v>
      </c>
      <c r="Q405" s="106">
        <f t="shared" si="54"/>
        <v>0</v>
      </c>
      <c r="R405" s="106"/>
      <c r="S405" s="95" t="s">
        <v>185</v>
      </c>
      <c r="T405" s="96"/>
      <c r="U405" s="106">
        <f t="shared" si="55"/>
        <v>0</v>
      </c>
      <c r="V405" s="106">
        <f t="shared" si="56"/>
        <v>2</v>
      </c>
      <c r="W405" s="105">
        <f t="shared" si="57"/>
        <v>0</v>
      </c>
      <c r="X405" s="95" t="s">
        <v>186</v>
      </c>
      <c r="Y405" s="107" t="s">
        <v>181</v>
      </c>
      <c r="Z405" s="107" t="s">
        <v>176</v>
      </c>
    </row>
    <row r="406" spans="1:26" s="107" customFormat="1" ht="15" customHeight="1" x14ac:dyDescent="0.2">
      <c r="A406" s="101">
        <f t="shared" si="59"/>
        <v>404</v>
      </c>
      <c r="B406" s="77" t="s">
        <v>268</v>
      </c>
      <c r="C406" s="102" t="str">
        <f>IF($B406&lt;&gt;"",_xlfn.IFNA(VLOOKUP($B406,'Node Details'!$B:$U,C$1,0),"Check"),"")</f>
        <v>0000AXY06-AXY060201</v>
      </c>
      <c r="D406" s="102" t="str">
        <f>IF($B406&lt;&gt;"",_xlfn.IFNA(VLOOKUP($B406,'Node Details'!$B:$U,D$1,0),"Check"),"")</f>
        <v>AXY</v>
      </c>
      <c r="E406" s="102" t="str">
        <f>IF($B406&lt;&gt;"",_xlfn.IFNA(VLOOKUP($B406,'Node Details'!$B:$U,E$1,0),"Check"),"")</f>
        <v>Airtel</v>
      </c>
      <c r="F406" s="103">
        <v>46113</v>
      </c>
      <c r="G406" s="105"/>
      <c r="H406" s="104" t="s">
        <v>189</v>
      </c>
      <c r="I406" s="9">
        <v>2</v>
      </c>
      <c r="J406" s="9"/>
      <c r="K406" s="102">
        <f t="shared" si="58"/>
        <v>0</v>
      </c>
      <c r="L406" s="80">
        <v>46112</v>
      </c>
      <c r="M406" s="105"/>
      <c r="N406" s="95" t="s">
        <v>372</v>
      </c>
      <c r="O406" s="96"/>
      <c r="P406" s="106">
        <f t="shared" si="53"/>
        <v>0</v>
      </c>
      <c r="Q406" s="106">
        <f t="shared" si="54"/>
        <v>0</v>
      </c>
      <c r="R406" s="106"/>
      <c r="S406" s="95" t="s">
        <v>185</v>
      </c>
      <c r="T406" s="96"/>
      <c r="U406" s="106">
        <f t="shared" si="55"/>
        <v>0</v>
      </c>
      <c r="V406" s="106">
        <f t="shared" si="56"/>
        <v>2</v>
      </c>
      <c r="W406" s="105">
        <f t="shared" si="57"/>
        <v>0</v>
      </c>
      <c r="X406" s="95" t="s">
        <v>186</v>
      </c>
      <c r="Y406" s="107" t="s">
        <v>181</v>
      </c>
      <c r="Z406" s="107" t="s">
        <v>176</v>
      </c>
    </row>
    <row r="407" spans="1:26" s="107" customFormat="1" ht="15" customHeight="1" x14ac:dyDescent="0.2">
      <c r="A407" s="101">
        <f t="shared" si="59"/>
        <v>405</v>
      </c>
      <c r="B407" s="77" t="s">
        <v>272</v>
      </c>
      <c r="C407" s="102" t="str">
        <f>IF($B407&lt;&gt;"",_xlfn.IFNA(VLOOKUP($B407,'Node Details'!$B:$U,C$1,0),"Check"),"")</f>
        <v>000000AXY-0000AXY12</v>
      </c>
      <c r="D407" s="102" t="str">
        <f>IF($B407&lt;&gt;"",_xlfn.IFNA(VLOOKUP($B407,'Node Details'!$B:$U,D$1,0),"Check"),"")</f>
        <v>AXY</v>
      </c>
      <c r="E407" s="102" t="str">
        <f>IF($B407&lt;&gt;"",_xlfn.IFNA(VLOOKUP($B407,'Node Details'!$B:$U,E$1,0),"Check"),"")</f>
        <v>Airtel</v>
      </c>
      <c r="F407" s="103">
        <v>46113</v>
      </c>
      <c r="G407" s="105"/>
      <c r="H407" s="104" t="s">
        <v>189</v>
      </c>
      <c r="I407" s="9">
        <v>42</v>
      </c>
      <c r="J407" s="9"/>
      <c r="K407" s="102">
        <f t="shared" si="58"/>
        <v>0</v>
      </c>
      <c r="L407" s="80">
        <v>46112</v>
      </c>
      <c r="M407" s="105"/>
      <c r="N407" s="95" t="s">
        <v>372</v>
      </c>
      <c r="O407" s="96"/>
      <c r="P407" s="106">
        <f t="shared" si="53"/>
        <v>0</v>
      </c>
      <c r="Q407" s="106">
        <f t="shared" si="54"/>
        <v>0</v>
      </c>
      <c r="R407" s="106"/>
      <c r="S407" s="95" t="s">
        <v>185</v>
      </c>
      <c r="T407" s="96"/>
      <c r="U407" s="106">
        <f t="shared" si="55"/>
        <v>0</v>
      </c>
      <c r="V407" s="106">
        <f t="shared" si="56"/>
        <v>42</v>
      </c>
      <c r="W407" s="105">
        <f t="shared" si="57"/>
        <v>0</v>
      </c>
      <c r="X407" s="95" t="s">
        <v>186</v>
      </c>
      <c r="Y407" s="107" t="s">
        <v>181</v>
      </c>
      <c r="Z407" s="107" t="s">
        <v>176</v>
      </c>
    </row>
    <row r="408" spans="1:26" s="107" customFormat="1" ht="15" customHeight="1" x14ac:dyDescent="0.2">
      <c r="A408" s="101">
        <f t="shared" si="59"/>
        <v>406</v>
      </c>
      <c r="B408" s="77" t="s">
        <v>275</v>
      </c>
      <c r="C408" s="102" t="str">
        <f>IF($B408&lt;&gt;"",_xlfn.IFNA(VLOOKUP($B408,'Node Details'!$B:$U,C$1,0),"Check"),"")</f>
        <v>0000AXY07-AXY070105</v>
      </c>
      <c r="D408" s="102" t="str">
        <f>IF($B408&lt;&gt;"",_xlfn.IFNA(VLOOKUP($B408,'Node Details'!$B:$U,D$1,0),"Check"),"")</f>
        <v>AXY</v>
      </c>
      <c r="E408" s="102" t="str">
        <f>IF($B408&lt;&gt;"",_xlfn.IFNA(VLOOKUP($B408,'Node Details'!$B:$U,E$1,0),"Check"),"")</f>
        <v>Airtel</v>
      </c>
      <c r="F408" s="103">
        <v>46113</v>
      </c>
      <c r="G408" s="105"/>
      <c r="H408" s="104" t="s">
        <v>189</v>
      </c>
      <c r="I408" s="9">
        <v>2</v>
      </c>
      <c r="J408" s="9"/>
      <c r="K408" s="102">
        <f t="shared" si="58"/>
        <v>0</v>
      </c>
      <c r="L408" s="80">
        <v>46112</v>
      </c>
      <c r="M408" s="105"/>
      <c r="N408" s="95" t="s">
        <v>372</v>
      </c>
      <c r="O408" s="96"/>
      <c r="P408" s="106">
        <f t="shared" si="53"/>
        <v>0</v>
      </c>
      <c r="Q408" s="106">
        <f t="shared" si="54"/>
        <v>0</v>
      </c>
      <c r="R408" s="106"/>
      <c r="S408" s="95" t="s">
        <v>185</v>
      </c>
      <c r="T408" s="96"/>
      <c r="U408" s="106">
        <f t="shared" si="55"/>
        <v>0</v>
      </c>
      <c r="V408" s="106">
        <f t="shared" si="56"/>
        <v>2</v>
      </c>
      <c r="W408" s="105">
        <f t="shared" si="57"/>
        <v>0</v>
      </c>
      <c r="X408" s="95" t="s">
        <v>186</v>
      </c>
      <c r="Y408" s="107" t="s">
        <v>181</v>
      </c>
      <c r="Z408" s="107" t="s">
        <v>176</v>
      </c>
    </row>
    <row r="409" spans="1:26" s="107" customFormat="1" ht="15" customHeight="1" x14ac:dyDescent="0.2">
      <c r="A409" s="101">
        <f t="shared" si="59"/>
        <v>407</v>
      </c>
      <c r="B409" s="77" t="s">
        <v>278</v>
      </c>
      <c r="C409" s="102" t="str">
        <f>IF($B409&lt;&gt;"",_xlfn.IFNA(VLOOKUP($B409,'Node Details'!$B:$U,C$1,0),"Check"),"")</f>
        <v>000000AXY-0000AXY12</v>
      </c>
      <c r="D409" s="102" t="str">
        <f>IF($B409&lt;&gt;"",_xlfn.IFNA(VLOOKUP($B409,'Node Details'!$B:$U,D$1,0),"Check"),"")</f>
        <v>AXY</v>
      </c>
      <c r="E409" s="102" t="str">
        <f>IF($B409&lt;&gt;"",_xlfn.IFNA(VLOOKUP($B409,'Node Details'!$B:$U,E$1,0),"Check"),"")</f>
        <v>Airtel</v>
      </c>
      <c r="F409" s="103">
        <v>46113</v>
      </c>
      <c r="G409" s="105"/>
      <c r="H409" s="104" t="s">
        <v>189</v>
      </c>
      <c r="I409" s="9">
        <v>42</v>
      </c>
      <c r="J409" s="9"/>
      <c r="K409" s="102">
        <f t="shared" si="58"/>
        <v>0</v>
      </c>
      <c r="L409" s="80">
        <v>46112</v>
      </c>
      <c r="M409" s="105"/>
      <c r="N409" s="95" t="s">
        <v>372</v>
      </c>
      <c r="O409" s="96"/>
      <c r="P409" s="106">
        <f t="shared" si="53"/>
        <v>0</v>
      </c>
      <c r="Q409" s="106">
        <f t="shared" si="54"/>
        <v>0</v>
      </c>
      <c r="R409" s="106"/>
      <c r="S409" s="95" t="s">
        <v>185</v>
      </c>
      <c r="T409" s="96"/>
      <c r="U409" s="106">
        <f t="shared" si="55"/>
        <v>0</v>
      </c>
      <c r="V409" s="106">
        <f t="shared" si="56"/>
        <v>42</v>
      </c>
      <c r="W409" s="105">
        <f t="shared" si="57"/>
        <v>0</v>
      </c>
      <c r="X409" s="95" t="s">
        <v>186</v>
      </c>
      <c r="Y409" s="107" t="s">
        <v>181</v>
      </c>
      <c r="Z409" s="107" t="s">
        <v>176</v>
      </c>
    </row>
    <row r="410" spans="1:26" s="107" customFormat="1" ht="15" customHeight="1" x14ac:dyDescent="0.2">
      <c r="A410" s="101">
        <f t="shared" si="59"/>
        <v>408</v>
      </c>
      <c r="B410" s="77" t="s">
        <v>280</v>
      </c>
      <c r="C410" s="102" t="str">
        <f>IF($B410&lt;&gt;"",_xlfn.IFNA(VLOOKUP($B410,'Node Details'!$B:$U,C$1,0),"Check"),"")</f>
        <v>0000AXY08-AXY080103</v>
      </c>
      <c r="D410" s="102" t="str">
        <f>IF($B410&lt;&gt;"",_xlfn.IFNA(VLOOKUP($B410,'Node Details'!$B:$U,D$1,0),"Check"),"")</f>
        <v>AXY</v>
      </c>
      <c r="E410" s="102" t="str">
        <f>IF($B410&lt;&gt;"",_xlfn.IFNA(VLOOKUP($B410,'Node Details'!$B:$U,E$1,0),"Check"),"")</f>
        <v>Airtel</v>
      </c>
      <c r="F410" s="103">
        <v>46113</v>
      </c>
      <c r="G410" s="105"/>
      <c r="H410" s="104" t="s">
        <v>189</v>
      </c>
      <c r="I410" s="9">
        <v>2</v>
      </c>
      <c r="J410" s="9"/>
      <c r="K410" s="102">
        <f t="shared" si="58"/>
        <v>0</v>
      </c>
      <c r="L410" s="80">
        <v>46112</v>
      </c>
      <c r="M410" s="105"/>
      <c r="N410" s="95" t="s">
        <v>372</v>
      </c>
      <c r="O410" s="96"/>
      <c r="P410" s="106">
        <f t="shared" si="53"/>
        <v>0</v>
      </c>
      <c r="Q410" s="106">
        <f t="shared" si="54"/>
        <v>0</v>
      </c>
      <c r="R410" s="106"/>
      <c r="S410" s="95" t="s">
        <v>185</v>
      </c>
      <c r="T410" s="96"/>
      <c r="U410" s="106">
        <f t="shared" si="55"/>
        <v>0</v>
      </c>
      <c r="V410" s="106">
        <f t="shared" si="56"/>
        <v>2</v>
      </c>
      <c r="W410" s="105">
        <f t="shared" si="57"/>
        <v>0</v>
      </c>
      <c r="X410" s="95" t="s">
        <v>186</v>
      </c>
      <c r="Y410" s="107" t="s">
        <v>181</v>
      </c>
      <c r="Z410" s="107" t="s">
        <v>176</v>
      </c>
    </row>
    <row r="411" spans="1:26" s="107" customFormat="1" ht="15" customHeight="1" x14ac:dyDescent="0.2">
      <c r="A411" s="101">
        <f t="shared" si="59"/>
        <v>409</v>
      </c>
      <c r="B411" s="77" t="s">
        <v>283</v>
      </c>
      <c r="C411" s="102" t="str">
        <f>IF($B411&lt;&gt;"",_xlfn.IFNA(VLOOKUP($B411,'Node Details'!$B:$U,C$1,0),"Check"),"")</f>
        <v>0000AXY08-AXY080105</v>
      </c>
      <c r="D411" s="102" t="str">
        <f>IF($B411&lt;&gt;"",_xlfn.IFNA(VLOOKUP($B411,'Node Details'!$B:$U,D$1,0),"Check"),"")</f>
        <v>AXY</v>
      </c>
      <c r="E411" s="102" t="str">
        <f>IF($B411&lt;&gt;"",_xlfn.IFNA(VLOOKUP($B411,'Node Details'!$B:$U,E$1,0),"Check"),"")</f>
        <v>Airtel</v>
      </c>
      <c r="F411" s="103">
        <v>46113</v>
      </c>
      <c r="G411" s="105"/>
      <c r="H411" s="104" t="s">
        <v>189</v>
      </c>
      <c r="I411" s="9">
        <v>6</v>
      </c>
      <c r="J411" s="9"/>
      <c r="K411" s="102">
        <f t="shared" si="58"/>
        <v>0</v>
      </c>
      <c r="L411" s="80">
        <v>46112</v>
      </c>
      <c r="M411" s="105"/>
      <c r="N411" s="95" t="s">
        <v>372</v>
      </c>
      <c r="O411" s="96"/>
      <c r="P411" s="106">
        <f t="shared" si="53"/>
        <v>0</v>
      </c>
      <c r="Q411" s="106">
        <f t="shared" si="54"/>
        <v>0</v>
      </c>
      <c r="R411" s="106"/>
      <c r="S411" s="95" t="s">
        <v>185</v>
      </c>
      <c r="T411" s="96"/>
      <c r="U411" s="106">
        <f t="shared" si="55"/>
        <v>0</v>
      </c>
      <c r="V411" s="106">
        <f t="shared" si="56"/>
        <v>6</v>
      </c>
      <c r="W411" s="105">
        <f t="shared" si="57"/>
        <v>0</v>
      </c>
      <c r="X411" s="95" t="s">
        <v>186</v>
      </c>
      <c r="Y411" s="107" t="s">
        <v>181</v>
      </c>
      <c r="Z411" s="107" t="s">
        <v>176</v>
      </c>
    </row>
    <row r="412" spans="1:26" s="107" customFormat="1" ht="15" customHeight="1" x14ac:dyDescent="0.2">
      <c r="A412" s="101">
        <f t="shared" si="59"/>
        <v>410</v>
      </c>
      <c r="B412" s="77" t="s">
        <v>284</v>
      </c>
      <c r="C412" s="102" t="str">
        <f>IF($B412&lt;&gt;"",_xlfn.IFNA(VLOOKUP($B412,'Node Details'!$B:$U,C$1,0),"Check"),"")</f>
        <v>0000AXY08-AXY080106</v>
      </c>
      <c r="D412" s="102" t="str">
        <f>IF($B412&lt;&gt;"",_xlfn.IFNA(VLOOKUP($B412,'Node Details'!$B:$U,D$1,0),"Check"),"")</f>
        <v>AXY</v>
      </c>
      <c r="E412" s="102" t="str">
        <f>IF($B412&lt;&gt;"",_xlfn.IFNA(VLOOKUP($B412,'Node Details'!$B:$U,E$1,0),"Check"),"")</f>
        <v>Airtel</v>
      </c>
      <c r="F412" s="103">
        <v>46113</v>
      </c>
      <c r="G412" s="105"/>
      <c r="H412" s="104" t="s">
        <v>189</v>
      </c>
      <c r="I412" s="9">
        <v>4</v>
      </c>
      <c r="J412" s="9"/>
      <c r="K412" s="102">
        <f t="shared" si="58"/>
        <v>0</v>
      </c>
      <c r="L412" s="80">
        <v>46112</v>
      </c>
      <c r="M412" s="105"/>
      <c r="N412" s="95" t="s">
        <v>372</v>
      </c>
      <c r="O412" s="96"/>
      <c r="P412" s="106">
        <f t="shared" si="53"/>
        <v>0</v>
      </c>
      <c r="Q412" s="106">
        <f t="shared" si="54"/>
        <v>0</v>
      </c>
      <c r="R412" s="106"/>
      <c r="S412" s="95" t="s">
        <v>185</v>
      </c>
      <c r="T412" s="96"/>
      <c r="U412" s="106">
        <f t="shared" si="55"/>
        <v>0</v>
      </c>
      <c r="V412" s="106">
        <f t="shared" si="56"/>
        <v>4</v>
      </c>
      <c r="W412" s="105">
        <f t="shared" si="57"/>
        <v>0</v>
      </c>
      <c r="X412" s="95" t="s">
        <v>186</v>
      </c>
      <c r="Y412" s="107" t="s">
        <v>181</v>
      </c>
      <c r="Z412" s="107" t="s">
        <v>176</v>
      </c>
    </row>
    <row r="413" spans="1:26" s="107" customFormat="1" ht="15" customHeight="1" x14ac:dyDescent="0.2">
      <c r="A413" s="101">
        <f t="shared" si="59"/>
        <v>411</v>
      </c>
      <c r="B413" s="77" t="s">
        <v>287</v>
      </c>
      <c r="C413" s="102" t="str">
        <f>IF($B413&lt;&gt;"",_xlfn.IFNA(VLOOKUP($B413,'Node Details'!$B:$U,C$1,0),"Check"),"")</f>
        <v>AXY080106-AXY080201</v>
      </c>
      <c r="D413" s="102" t="str">
        <f>IF($B413&lt;&gt;"",_xlfn.IFNA(VLOOKUP($B413,'Node Details'!$B:$U,D$1,0),"Check"),"")</f>
        <v>AXY</v>
      </c>
      <c r="E413" s="102" t="str">
        <f>IF($B413&lt;&gt;"",_xlfn.IFNA(VLOOKUP($B413,'Node Details'!$B:$U,E$1,0),"Check"),"")</f>
        <v>Airtel</v>
      </c>
      <c r="F413" s="103">
        <v>46113</v>
      </c>
      <c r="G413" s="105"/>
      <c r="H413" s="104" t="s">
        <v>189</v>
      </c>
      <c r="I413" s="9">
        <v>2</v>
      </c>
      <c r="J413" s="9"/>
      <c r="K413" s="102">
        <f t="shared" si="58"/>
        <v>0</v>
      </c>
      <c r="L413" s="80">
        <v>46112</v>
      </c>
      <c r="M413" s="105"/>
      <c r="N413" s="95" t="s">
        <v>372</v>
      </c>
      <c r="O413" s="96"/>
      <c r="P413" s="106">
        <f t="shared" ref="P413:P451" si="60">J413</f>
        <v>0</v>
      </c>
      <c r="Q413" s="106">
        <f t="shared" ref="Q413:Q451" si="61">P413*I413</f>
        <v>0</v>
      </c>
      <c r="R413" s="106"/>
      <c r="S413" s="95" t="s">
        <v>185</v>
      </c>
      <c r="T413" s="96"/>
      <c r="U413" s="106">
        <f t="shared" ref="U413:U451" si="62">J413</f>
        <v>0</v>
      </c>
      <c r="V413" s="106">
        <f t="shared" ref="V413:V451" si="63">I413</f>
        <v>2</v>
      </c>
      <c r="W413" s="105">
        <f t="shared" ref="W413:W451" si="64">IF(V413&lt;&gt;"",V413*U413,0)</f>
        <v>0</v>
      </c>
      <c r="X413" s="95" t="s">
        <v>186</v>
      </c>
      <c r="Y413" s="107" t="s">
        <v>181</v>
      </c>
      <c r="Z413" s="107" t="s">
        <v>176</v>
      </c>
    </row>
    <row r="414" spans="1:26" s="107" customFormat="1" ht="15" customHeight="1" x14ac:dyDescent="0.2">
      <c r="A414" s="101">
        <f t="shared" si="59"/>
        <v>412</v>
      </c>
      <c r="B414" s="77" t="s">
        <v>289</v>
      </c>
      <c r="C414" s="102" t="str">
        <f>IF($B414&lt;&gt;"",_xlfn.IFNA(VLOOKUP($B414,'Node Details'!$B:$U,C$1,0),"Check"),"")</f>
        <v>000000AXY-0000AXY12</v>
      </c>
      <c r="D414" s="102" t="str">
        <f>IF($B414&lt;&gt;"",_xlfn.IFNA(VLOOKUP($B414,'Node Details'!$B:$U,D$1,0),"Check"),"")</f>
        <v>AXY</v>
      </c>
      <c r="E414" s="102" t="str">
        <f>IF($B414&lt;&gt;"",_xlfn.IFNA(VLOOKUP($B414,'Node Details'!$B:$U,E$1,0),"Check"),"")</f>
        <v>Airtel</v>
      </c>
      <c r="F414" s="103">
        <v>46113</v>
      </c>
      <c r="G414" s="105"/>
      <c r="H414" s="104" t="s">
        <v>189</v>
      </c>
      <c r="I414" s="9">
        <v>42</v>
      </c>
      <c r="J414" s="9"/>
      <c r="K414" s="102">
        <f t="shared" ref="K414:K451" si="65">IF(I414&lt;&gt;"",J414*I414,0)</f>
        <v>0</v>
      </c>
      <c r="L414" s="80">
        <v>46112</v>
      </c>
      <c r="M414" s="105"/>
      <c r="N414" s="95" t="s">
        <v>372</v>
      </c>
      <c r="O414" s="96"/>
      <c r="P414" s="106">
        <f t="shared" si="60"/>
        <v>0</v>
      </c>
      <c r="Q414" s="106">
        <f t="shared" si="61"/>
        <v>0</v>
      </c>
      <c r="R414" s="106"/>
      <c r="S414" s="95" t="s">
        <v>185</v>
      </c>
      <c r="T414" s="96"/>
      <c r="U414" s="106">
        <f t="shared" si="62"/>
        <v>0</v>
      </c>
      <c r="V414" s="106">
        <f t="shared" si="63"/>
        <v>42</v>
      </c>
      <c r="W414" s="105">
        <f t="shared" si="64"/>
        <v>0</v>
      </c>
      <c r="X414" s="95" t="s">
        <v>186</v>
      </c>
      <c r="Y414" s="107" t="s">
        <v>181</v>
      </c>
      <c r="Z414" s="107" t="s">
        <v>176</v>
      </c>
    </row>
    <row r="415" spans="1:26" s="107" customFormat="1" ht="15" customHeight="1" x14ac:dyDescent="0.2">
      <c r="A415" s="101">
        <f t="shared" si="59"/>
        <v>413</v>
      </c>
      <c r="B415" s="77" t="s">
        <v>290</v>
      </c>
      <c r="C415" s="102" t="str">
        <f>IF($B415&lt;&gt;"",_xlfn.IFNA(VLOOKUP($B415,'Node Details'!$B:$U,C$1,0),"Check"),"")</f>
        <v>0000AXY09-AXY090101</v>
      </c>
      <c r="D415" s="102" t="str">
        <f>IF($B415&lt;&gt;"",_xlfn.IFNA(VLOOKUP($B415,'Node Details'!$B:$U,D$1,0),"Check"),"")</f>
        <v>AXY</v>
      </c>
      <c r="E415" s="102" t="str">
        <f>IF($B415&lt;&gt;"",_xlfn.IFNA(VLOOKUP($B415,'Node Details'!$B:$U,E$1,0),"Check"),"")</f>
        <v>Airtel</v>
      </c>
      <c r="F415" s="103">
        <v>46113</v>
      </c>
      <c r="G415" s="105"/>
      <c r="H415" s="104" t="s">
        <v>189</v>
      </c>
      <c r="I415" s="9">
        <v>6</v>
      </c>
      <c r="J415" s="9"/>
      <c r="K415" s="102">
        <f t="shared" si="65"/>
        <v>0</v>
      </c>
      <c r="L415" s="80">
        <v>46112</v>
      </c>
      <c r="M415" s="105"/>
      <c r="N415" s="95" t="s">
        <v>372</v>
      </c>
      <c r="O415" s="96"/>
      <c r="P415" s="106">
        <f t="shared" si="60"/>
        <v>0</v>
      </c>
      <c r="Q415" s="106">
        <f t="shared" si="61"/>
        <v>0</v>
      </c>
      <c r="R415" s="106"/>
      <c r="S415" s="95" t="s">
        <v>185</v>
      </c>
      <c r="T415" s="96"/>
      <c r="U415" s="106">
        <f t="shared" si="62"/>
        <v>0</v>
      </c>
      <c r="V415" s="106">
        <f t="shared" si="63"/>
        <v>6</v>
      </c>
      <c r="W415" s="105">
        <f t="shared" si="64"/>
        <v>0</v>
      </c>
      <c r="X415" s="95" t="s">
        <v>186</v>
      </c>
      <c r="Y415" s="107" t="s">
        <v>181</v>
      </c>
      <c r="Z415" s="107" t="s">
        <v>176</v>
      </c>
    </row>
    <row r="416" spans="1:26" s="107" customFormat="1" ht="15" customHeight="1" x14ac:dyDescent="0.2">
      <c r="A416" s="101">
        <f t="shared" si="59"/>
        <v>414</v>
      </c>
      <c r="B416" s="77" t="s">
        <v>291</v>
      </c>
      <c r="C416" s="102" t="str">
        <f>IF($B416&lt;&gt;"",_xlfn.IFNA(VLOOKUP($B416,'Node Details'!$B:$U,C$1,0),"Check"),"")</f>
        <v>0000AXY09-AXY090105</v>
      </c>
      <c r="D416" s="102" t="str">
        <f>IF($B416&lt;&gt;"",_xlfn.IFNA(VLOOKUP($B416,'Node Details'!$B:$U,D$1,0),"Check"),"")</f>
        <v>AXY</v>
      </c>
      <c r="E416" s="102" t="str">
        <f>IF($B416&lt;&gt;"",_xlfn.IFNA(VLOOKUP($B416,'Node Details'!$B:$U,E$1,0),"Check"),"")</f>
        <v>Airtel</v>
      </c>
      <c r="F416" s="103">
        <v>46113</v>
      </c>
      <c r="G416" s="105"/>
      <c r="H416" s="104" t="s">
        <v>189</v>
      </c>
      <c r="I416" s="9">
        <v>2</v>
      </c>
      <c r="J416" s="9"/>
      <c r="K416" s="102">
        <f t="shared" si="65"/>
        <v>0</v>
      </c>
      <c r="L416" s="80">
        <v>46112</v>
      </c>
      <c r="M416" s="105"/>
      <c r="N416" s="95" t="s">
        <v>372</v>
      </c>
      <c r="O416" s="96"/>
      <c r="P416" s="106">
        <f t="shared" si="60"/>
        <v>0</v>
      </c>
      <c r="Q416" s="106">
        <f t="shared" si="61"/>
        <v>0</v>
      </c>
      <c r="R416" s="106"/>
      <c r="S416" s="95" t="s">
        <v>185</v>
      </c>
      <c r="T416" s="96"/>
      <c r="U416" s="106">
        <f t="shared" si="62"/>
        <v>0</v>
      </c>
      <c r="V416" s="106">
        <f t="shared" si="63"/>
        <v>2</v>
      </c>
      <c r="W416" s="105">
        <f t="shared" si="64"/>
        <v>0</v>
      </c>
      <c r="X416" s="95" t="s">
        <v>186</v>
      </c>
      <c r="Y416" s="107" t="s">
        <v>181</v>
      </c>
      <c r="Z416" s="107" t="s">
        <v>176</v>
      </c>
    </row>
    <row r="417" spans="1:26" s="107" customFormat="1" ht="15" customHeight="1" x14ac:dyDescent="0.2">
      <c r="A417" s="101">
        <f t="shared" si="59"/>
        <v>415</v>
      </c>
      <c r="B417" s="77" t="s">
        <v>292</v>
      </c>
      <c r="C417" s="102" t="str">
        <f>IF($B417&lt;&gt;"",_xlfn.IFNA(VLOOKUP($B417,'Node Details'!$B:$U,C$1,0),"Check"),"")</f>
        <v>0000AXY09-AXY090105</v>
      </c>
      <c r="D417" s="102" t="str">
        <f>IF($B417&lt;&gt;"",_xlfn.IFNA(VLOOKUP($B417,'Node Details'!$B:$U,D$1,0),"Check"),"")</f>
        <v>AXY</v>
      </c>
      <c r="E417" s="102" t="str">
        <f>IF($B417&lt;&gt;"",_xlfn.IFNA(VLOOKUP($B417,'Node Details'!$B:$U,E$1,0),"Check"),"")</f>
        <v>Airtel</v>
      </c>
      <c r="F417" s="103">
        <v>46113</v>
      </c>
      <c r="G417" s="105"/>
      <c r="H417" s="104" t="s">
        <v>189</v>
      </c>
      <c r="I417" s="9">
        <v>0</v>
      </c>
      <c r="J417" s="9"/>
      <c r="K417" s="102">
        <f t="shared" si="65"/>
        <v>0</v>
      </c>
      <c r="L417" s="80">
        <v>46112</v>
      </c>
      <c r="M417" s="105"/>
      <c r="N417" s="95" t="s">
        <v>372</v>
      </c>
      <c r="O417" s="96"/>
      <c r="P417" s="106">
        <f t="shared" si="60"/>
        <v>0</v>
      </c>
      <c r="Q417" s="106">
        <f t="shared" si="61"/>
        <v>0</v>
      </c>
      <c r="R417" s="106"/>
      <c r="S417" s="95" t="s">
        <v>185</v>
      </c>
      <c r="T417" s="96"/>
      <c r="U417" s="106">
        <f t="shared" si="62"/>
        <v>0</v>
      </c>
      <c r="V417" s="106">
        <f t="shared" si="63"/>
        <v>0</v>
      </c>
      <c r="W417" s="105">
        <f t="shared" si="64"/>
        <v>0</v>
      </c>
      <c r="X417" s="95" t="s">
        <v>186</v>
      </c>
      <c r="Y417" s="107" t="s">
        <v>181</v>
      </c>
      <c r="Z417" s="107" t="s">
        <v>176</v>
      </c>
    </row>
    <row r="418" spans="1:26" s="107" customFormat="1" ht="15" customHeight="1" x14ac:dyDescent="0.2">
      <c r="A418" s="101">
        <f t="shared" si="59"/>
        <v>416</v>
      </c>
      <c r="B418" s="77" t="s">
        <v>294</v>
      </c>
      <c r="C418" s="102" t="str">
        <f>IF($B418&lt;&gt;"",_xlfn.IFNA(VLOOKUP($B418,'Node Details'!$B:$U,C$1,0),"Check"),"")</f>
        <v>0000AXY09-AXY090201</v>
      </c>
      <c r="D418" s="102" t="str">
        <f>IF($B418&lt;&gt;"",_xlfn.IFNA(VLOOKUP($B418,'Node Details'!$B:$U,D$1,0),"Check"),"")</f>
        <v>AXY</v>
      </c>
      <c r="E418" s="102" t="str">
        <f>IF($B418&lt;&gt;"",_xlfn.IFNA(VLOOKUP($B418,'Node Details'!$B:$U,E$1,0),"Check"),"")</f>
        <v>Airtel</v>
      </c>
      <c r="F418" s="103">
        <v>46113</v>
      </c>
      <c r="G418" s="105"/>
      <c r="H418" s="104" t="s">
        <v>189</v>
      </c>
      <c r="I418" s="9">
        <v>6</v>
      </c>
      <c r="J418" s="9"/>
      <c r="K418" s="102">
        <f t="shared" si="65"/>
        <v>0</v>
      </c>
      <c r="L418" s="80">
        <v>46112</v>
      </c>
      <c r="M418" s="105"/>
      <c r="N418" s="95" t="s">
        <v>372</v>
      </c>
      <c r="O418" s="96"/>
      <c r="P418" s="106">
        <f t="shared" si="60"/>
        <v>0</v>
      </c>
      <c r="Q418" s="106">
        <f t="shared" si="61"/>
        <v>0</v>
      </c>
      <c r="R418" s="106"/>
      <c r="S418" s="95" t="s">
        <v>185</v>
      </c>
      <c r="T418" s="96"/>
      <c r="U418" s="106">
        <f t="shared" si="62"/>
        <v>0</v>
      </c>
      <c r="V418" s="106">
        <f t="shared" si="63"/>
        <v>6</v>
      </c>
      <c r="W418" s="105">
        <f t="shared" si="64"/>
        <v>0</v>
      </c>
      <c r="X418" s="95" t="s">
        <v>186</v>
      </c>
      <c r="Y418" s="107" t="s">
        <v>181</v>
      </c>
      <c r="Z418" s="107" t="s">
        <v>176</v>
      </c>
    </row>
    <row r="419" spans="1:26" s="107" customFormat="1" ht="15" customHeight="1" x14ac:dyDescent="0.2">
      <c r="A419" s="101">
        <f t="shared" si="59"/>
        <v>417</v>
      </c>
      <c r="B419" s="77" t="s">
        <v>295</v>
      </c>
      <c r="C419" s="102" t="str">
        <f>IF($B419&lt;&gt;"",_xlfn.IFNA(VLOOKUP($B419,'Node Details'!$B:$U,C$1,0),"Check"),"")</f>
        <v>0000AXY09-AXY090201</v>
      </c>
      <c r="D419" s="102" t="str">
        <f>IF($B419&lt;&gt;"",_xlfn.IFNA(VLOOKUP($B419,'Node Details'!$B:$U,D$1,0),"Check"),"")</f>
        <v>AXY</v>
      </c>
      <c r="E419" s="102" t="str">
        <f>IF($B419&lt;&gt;"",_xlfn.IFNA(VLOOKUP($B419,'Node Details'!$B:$U,E$1,0),"Check"),"")</f>
        <v>Airtel</v>
      </c>
      <c r="F419" s="103">
        <v>46113</v>
      </c>
      <c r="G419" s="105"/>
      <c r="H419" s="104" t="s">
        <v>189</v>
      </c>
      <c r="I419" s="9">
        <v>4</v>
      </c>
      <c r="J419" s="9"/>
      <c r="K419" s="102">
        <f t="shared" si="65"/>
        <v>0</v>
      </c>
      <c r="L419" s="80">
        <v>46112</v>
      </c>
      <c r="M419" s="105"/>
      <c r="N419" s="95" t="s">
        <v>372</v>
      </c>
      <c r="O419" s="96"/>
      <c r="P419" s="106">
        <f t="shared" si="60"/>
        <v>0</v>
      </c>
      <c r="Q419" s="106">
        <f t="shared" si="61"/>
        <v>0</v>
      </c>
      <c r="R419" s="106"/>
      <c r="S419" s="95" t="s">
        <v>185</v>
      </c>
      <c r="T419" s="96"/>
      <c r="U419" s="106">
        <f t="shared" si="62"/>
        <v>0</v>
      </c>
      <c r="V419" s="106">
        <f t="shared" si="63"/>
        <v>4</v>
      </c>
      <c r="W419" s="105">
        <f t="shared" si="64"/>
        <v>0</v>
      </c>
      <c r="X419" s="95" t="s">
        <v>186</v>
      </c>
      <c r="Y419" s="107" t="s">
        <v>181</v>
      </c>
      <c r="Z419" s="107" t="s">
        <v>176</v>
      </c>
    </row>
    <row r="420" spans="1:26" s="107" customFormat="1" ht="15" customHeight="1" x14ac:dyDescent="0.2">
      <c r="A420" s="101">
        <f t="shared" si="59"/>
        <v>418</v>
      </c>
      <c r="B420" s="77" t="s">
        <v>296</v>
      </c>
      <c r="C420" s="102" t="str">
        <f>IF($B420&lt;&gt;"",_xlfn.IFNA(VLOOKUP($B420,'Node Details'!$B:$U,C$1,0),"Check"),"")</f>
        <v>0000AXY09-AXY090201</v>
      </c>
      <c r="D420" s="102" t="str">
        <f>IF($B420&lt;&gt;"",_xlfn.IFNA(VLOOKUP($B420,'Node Details'!$B:$U,D$1,0),"Check"),"")</f>
        <v>AXY</v>
      </c>
      <c r="E420" s="102" t="str">
        <f>IF($B420&lt;&gt;"",_xlfn.IFNA(VLOOKUP($B420,'Node Details'!$B:$U,E$1,0),"Check"),"")</f>
        <v>Airtel</v>
      </c>
      <c r="F420" s="103">
        <v>46113</v>
      </c>
      <c r="G420" s="105"/>
      <c r="H420" s="104" t="s">
        <v>189</v>
      </c>
      <c r="I420" s="9">
        <v>0</v>
      </c>
      <c r="J420" s="9"/>
      <c r="K420" s="102">
        <f t="shared" si="65"/>
        <v>0</v>
      </c>
      <c r="L420" s="80">
        <v>46112</v>
      </c>
      <c r="M420" s="105"/>
      <c r="N420" s="95" t="s">
        <v>372</v>
      </c>
      <c r="O420" s="96"/>
      <c r="P420" s="106">
        <f t="shared" si="60"/>
        <v>0</v>
      </c>
      <c r="Q420" s="106">
        <f t="shared" si="61"/>
        <v>0</v>
      </c>
      <c r="R420" s="106"/>
      <c r="S420" s="95" t="s">
        <v>185</v>
      </c>
      <c r="T420" s="96"/>
      <c r="U420" s="106">
        <f t="shared" si="62"/>
        <v>0</v>
      </c>
      <c r="V420" s="106">
        <f t="shared" si="63"/>
        <v>0</v>
      </c>
      <c r="W420" s="105">
        <f t="shared" si="64"/>
        <v>0</v>
      </c>
      <c r="X420" s="95" t="s">
        <v>186</v>
      </c>
      <c r="Y420" s="107" t="s">
        <v>181</v>
      </c>
      <c r="Z420" s="107" t="s">
        <v>176</v>
      </c>
    </row>
    <row r="421" spans="1:26" s="107" customFormat="1" ht="15" customHeight="1" x14ac:dyDescent="0.2">
      <c r="A421" s="101">
        <f t="shared" si="59"/>
        <v>419</v>
      </c>
      <c r="B421" s="77" t="s">
        <v>298</v>
      </c>
      <c r="C421" s="102" t="str">
        <f>IF($B421&lt;&gt;"",_xlfn.IFNA(VLOOKUP($B421,'Node Details'!$B:$U,C$1,0),"Check"),"")</f>
        <v>AXY090201-AXY090204</v>
      </c>
      <c r="D421" s="102" t="str">
        <f>IF($B421&lt;&gt;"",_xlfn.IFNA(VLOOKUP($B421,'Node Details'!$B:$U,D$1,0),"Check"),"")</f>
        <v>AXY</v>
      </c>
      <c r="E421" s="102" t="str">
        <f>IF($B421&lt;&gt;"",_xlfn.IFNA(VLOOKUP($B421,'Node Details'!$B:$U,E$1,0),"Check"),"")</f>
        <v>Airtel</v>
      </c>
      <c r="F421" s="103">
        <v>46113</v>
      </c>
      <c r="G421" s="105"/>
      <c r="H421" s="104" t="s">
        <v>189</v>
      </c>
      <c r="I421" s="9">
        <v>3</v>
      </c>
      <c r="J421" s="9"/>
      <c r="K421" s="102">
        <f t="shared" si="65"/>
        <v>0</v>
      </c>
      <c r="L421" s="80">
        <v>46112</v>
      </c>
      <c r="M421" s="105"/>
      <c r="N421" s="95" t="s">
        <v>372</v>
      </c>
      <c r="O421" s="96"/>
      <c r="P421" s="106">
        <f t="shared" si="60"/>
        <v>0</v>
      </c>
      <c r="Q421" s="106">
        <f t="shared" si="61"/>
        <v>0</v>
      </c>
      <c r="R421" s="106"/>
      <c r="S421" s="95" t="s">
        <v>185</v>
      </c>
      <c r="T421" s="96"/>
      <c r="U421" s="106">
        <f t="shared" si="62"/>
        <v>0</v>
      </c>
      <c r="V421" s="106">
        <f t="shared" si="63"/>
        <v>3</v>
      </c>
      <c r="W421" s="105">
        <f t="shared" si="64"/>
        <v>0</v>
      </c>
      <c r="X421" s="95" t="s">
        <v>186</v>
      </c>
      <c r="Y421" s="107" t="s">
        <v>181</v>
      </c>
      <c r="Z421" s="107" t="s">
        <v>176</v>
      </c>
    </row>
    <row r="422" spans="1:26" s="107" customFormat="1" ht="15" customHeight="1" x14ac:dyDescent="0.2">
      <c r="A422" s="101">
        <f t="shared" si="59"/>
        <v>420</v>
      </c>
      <c r="B422" s="77" t="s">
        <v>299</v>
      </c>
      <c r="C422" s="102" t="str">
        <f>IF($B422&lt;&gt;"",_xlfn.IFNA(VLOOKUP($B422,'Node Details'!$B:$U,C$1,0),"Check"),"")</f>
        <v>AXY090201-AXY090204</v>
      </c>
      <c r="D422" s="102" t="str">
        <f>IF($B422&lt;&gt;"",_xlfn.IFNA(VLOOKUP($B422,'Node Details'!$B:$U,D$1,0),"Check"),"")</f>
        <v>AXY</v>
      </c>
      <c r="E422" s="102" t="str">
        <f>IF($B422&lt;&gt;"",_xlfn.IFNA(VLOOKUP($B422,'Node Details'!$B:$U,E$1,0),"Check"),"")</f>
        <v>Airtel</v>
      </c>
      <c r="F422" s="103">
        <v>46113</v>
      </c>
      <c r="G422" s="105"/>
      <c r="H422" s="104" t="s">
        <v>189</v>
      </c>
      <c r="I422" s="9">
        <v>0</v>
      </c>
      <c r="J422" s="9"/>
      <c r="K422" s="102">
        <f t="shared" si="65"/>
        <v>0</v>
      </c>
      <c r="L422" s="80">
        <v>46112</v>
      </c>
      <c r="M422" s="105"/>
      <c r="N422" s="95" t="s">
        <v>372</v>
      </c>
      <c r="O422" s="96"/>
      <c r="P422" s="106">
        <f t="shared" si="60"/>
        <v>0</v>
      </c>
      <c r="Q422" s="106">
        <f t="shared" si="61"/>
        <v>0</v>
      </c>
      <c r="R422" s="106"/>
      <c r="S422" s="95" t="s">
        <v>185</v>
      </c>
      <c r="T422" s="96"/>
      <c r="U422" s="106">
        <f t="shared" si="62"/>
        <v>0</v>
      </c>
      <c r="V422" s="106">
        <f t="shared" si="63"/>
        <v>0</v>
      </c>
      <c r="W422" s="105">
        <f t="shared" si="64"/>
        <v>0</v>
      </c>
      <c r="X422" s="95" t="s">
        <v>186</v>
      </c>
      <c r="Y422" s="107" t="s">
        <v>181</v>
      </c>
      <c r="Z422" s="107" t="s">
        <v>176</v>
      </c>
    </row>
    <row r="423" spans="1:26" s="107" customFormat="1" ht="15" customHeight="1" x14ac:dyDescent="0.2">
      <c r="A423" s="101">
        <f t="shared" si="59"/>
        <v>421</v>
      </c>
      <c r="B423" s="77" t="s">
        <v>301</v>
      </c>
      <c r="C423" s="102" t="str">
        <f>IF($B423&lt;&gt;"",_xlfn.IFNA(VLOOKUP($B423,'Node Details'!$B:$U,C$1,0),"Check"),"")</f>
        <v>000000AXY-0000AXY12</v>
      </c>
      <c r="D423" s="102" t="str">
        <f>IF($B423&lt;&gt;"",_xlfn.IFNA(VLOOKUP($B423,'Node Details'!$B:$U,D$1,0),"Check"),"")</f>
        <v>AXY</v>
      </c>
      <c r="E423" s="102" t="str">
        <f>IF($B423&lt;&gt;"",_xlfn.IFNA(VLOOKUP($B423,'Node Details'!$B:$U,E$1,0),"Check"),"")</f>
        <v>Airtel</v>
      </c>
      <c r="F423" s="103">
        <v>46113</v>
      </c>
      <c r="G423" s="105"/>
      <c r="H423" s="104" t="s">
        <v>189</v>
      </c>
      <c r="I423" s="9">
        <v>42</v>
      </c>
      <c r="J423" s="9"/>
      <c r="K423" s="102">
        <f t="shared" si="65"/>
        <v>0</v>
      </c>
      <c r="L423" s="80">
        <v>46112</v>
      </c>
      <c r="M423" s="105"/>
      <c r="N423" s="95" t="s">
        <v>372</v>
      </c>
      <c r="O423" s="96"/>
      <c r="P423" s="106">
        <f t="shared" si="60"/>
        <v>0</v>
      </c>
      <c r="Q423" s="106">
        <f t="shared" si="61"/>
        <v>0</v>
      </c>
      <c r="R423" s="106"/>
      <c r="S423" s="95" t="s">
        <v>185</v>
      </c>
      <c r="T423" s="96"/>
      <c r="U423" s="106">
        <f t="shared" si="62"/>
        <v>0</v>
      </c>
      <c r="V423" s="106">
        <f t="shared" si="63"/>
        <v>42</v>
      </c>
      <c r="W423" s="105">
        <f t="shared" si="64"/>
        <v>0</v>
      </c>
      <c r="X423" s="95" t="s">
        <v>186</v>
      </c>
      <c r="Y423" s="107" t="s">
        <v>181</v>
      </c>
      <c r="Z423" s="107" t="s">
        <v>176</v>
      </c>
    </row>
    <row r="424" spans="1:26" s="107" customFormat="1" ht="15" customHeight="1" x14ac:dyDescent="0.2">
      <c r="A424" s="101">
        <f t="shared" si="59"/>
        <v>422</v>
      </c>
      <c r="B424" s="77" t="s">
        <v>302</v>
      </c>
      <c r="C424" s="102" t="str">
        <f>IF($B424&lt;&gt;"",_xlfn.IFNA(VLOOKUP($B424,'Node Details'!$B:$U,C$1,0),"Check"),"")</f>
        <v>0000AXY10-AXY100104</v>
      </c>
      <c r="D424" s="102" t="str">
        <f>IF($B424&lt;&gt;"",_xlfn.IFNA(VLOOKUP($B424,'Node Details'!$B:$U,D$1,0),"Check"),"")</f>
        <v>AXY</v>
      </c>
      <c r="E424" s="102" t="str">
        <f>IF($B424&lt;&gt;"",_xlfn.IFNA(VLOOKUP($B424,'Node Details'!$B:$U,E$1,0),"Check"),"")</f>
        <v>Airtel</v>
      </c>
      <c r="F424" s="103">
        <v>46113</v>
      </c>
      <c r="G424" s="105"/>
      <c r="H424" s="104" t="s">
        <v>189</v>
      </c>
      <c r="I424" s="9">
        <v>3</v>
      </c>
      <c r="J424" s="9"/>
      <c r="K424" s="102">
        <f t="shared" si="65"/>
        <v>0</v>
      </c>
      <c r="L424" s="80">
        <v>46112</v>
      </c>
      <c r="M424" s="105"/>
      <c r="N424" s="95" t="s">
        <v>372</v>
      </c>
      <c r="O424" s="96"/>
      <c r="P424" s="106">
        <f t="shared" si="60"/>
        <v>0</v>
      </c>
      <c r="Q424" s="106">
        <f t="shared" si="61"/>
        <v>0</v>
      </c>
      <c r="R424" s="106"/>
      <c r="S424" s="95" t="s">
        <v>185</v>
      </c>
      <c r="T424" s="96"/>
      <c r="U424" s="106">
        <f t="shared" si="62"/>
        <v>0</v>
      </c>
      <c r="V424" s="106">
        <f t="shared" si="63"/>
        <v>3</v>
      </c>
      <c r="W424" s="105">
        <f t="shared" si="64"/>
        <v>0</v>
      </c>
      <c r="X424" s="95" t="s">
        <v>186</v>
      </c>
      <c r="Y424" s="107" t="s">
        <v>181</v>
      </c>
      <c r="Z424" s="107" t="s">
        <v>176</v>
      </c>
    </row>
    <row r="425" spans="1:26" s="107" customFormat="1" ht="15" customHeight="1" x14ac:dyDescent="0.2">
      <c r="A425" s="101">
        <f t="shared" si="59"/>
        <v>423</v>
      </c>
      <c r="B425" s="77" t="s">
        <v>303</v>
      </c>
      <c r="C425" s="102" t="str">
        <f>IF($B425&lt;&gt;"",_xlfn.IFNA(VLOOKUP($B425,'Node Details'!$B:$U,C$1,0),"Check"),"")</f>
        <v>0000AXY10-AXY100104</v>
      </c>
      <c r="D425" s="102" t="str">
        <f>IF($B425&lt;&gt;"",_xlfn.IFNA(VLOOKUP($B425,'Node Details'!$B:$U,D$1,0),"Check"),"")</f>
        <v>AXY</v>
      </c>
      <c r="E425" s="102" t="str">
        <f>IF($B425&lt;&gt;"",_xlfn.IFNA(VLOOKUP($B425,'Node Details'!$B:$U,E$1,0),"Check"),"")</f>
        <v>Airtel</v>
      </c>
      <c r="F425" s="103">
        <v>46113</v>
      </c>
      <c r="G425" s="105"/>
      <c r="H425" s="104" t="s">
        <v>189</v>
      </c>
      <c r="I425" s="9">
        <v>0</v>
      </c>
      <c r="J425" s="9"/>
      <c r="K425" s="102">
        <f t="shared" si="65"/>
        <v>0</v>
      </c>
      <c r="L425" s="80">
        <v>46112</v>
      </c>
      <c r="M425" s="105"/>
      <c r="N425" s="95" t="s">
        <v>372</v>
      </c>
      <c r="O425" s="96"/>
      <c r="P425" s="106">
        <f t="shared" si="60"/>
        <v>0</v>
      </c>
      <c r="Q425" s="106">
        <f t="shared" si="61"/>
        <v>0</v>
      </c>
      <c r="R425" s="106"/>
      <c r="S425" s="95" t="s">
        <v>185</v>
      </c>
      <c r="T425" s="96"/>
      <c r="U425" s="106">
        <f t="shared" si="62"/>
        <v>0</v>
      </c>
      <c r="V425" s="106">
        <f t="shared" si="63"/>
        <v>0</v>
      </c>
      <c r="W425" s="105">
        <f t="shared" si="64"/>
        <v>0</v>
      </c>
      <c r="X425" s="95" t="s">
        <v>186</v>
      </c>
      <c r="Y425" s="107" t="s">
        <v>181</v>
      </c>
      <c r="Z425" s="107" t="s">
        <v>176</v>
      </c>
    </row>
    <row r="426" spans="1:26" s="107" customFormat="1" ht="15" customHeight="1" x14ac:dyDescent="0.2">
      <c r="A426" s="101">
        <f t="shared" si="59"/>
        <v>424</v>
      </c>
      <c r="B426" s="77" t="s">
        <v>305</v>
      </c>
      <c r="C426" s="102" t="str">
        <f>IF($B426&lt;&gt;"",_xlfn.IFNA(VLOOKUP($B426,'Node Details'!$B:$U,C$1,0),"Check"),"")</f>
        <v>0000AXY10-AXY100105</v>
      </c>
      <c r="D426" s="102" t="str">
        <f>IF($B426&lt;&gt;"",_xlfn.IFNA(VLOOKUP($B426,'Node Details'!$B:$U,D$1,0),"Check"),"")</f>
        <v>AXY</v>
      </c>
      <c r="E426" s="102" t="str">
        <f>IF($B426&lt;&gt;"",_xlfn.IFNA(VLOOKUP($B426,'Node Details'!$B:$U,E$1,0),"Check"),"")</f>
        <v>Airtel</v>
      </c>
      <c r="F426" s="103">
        <v>46113</v>
      </c>
      <c r="G426" s="105"/>
      <c r="H426" s="104" t="s">
        <v>189</v>
      </c>
      <c r="I426" s="9">
        <v>6</v>
      </c>
      <c r="J426" s="9"/>
      <c r="K426" s="102">
        <f t="shared" si="65"/>
        <v>0</v>
      </c>
      <c r="L426" s="80">
        <v>46112</v>
      </c>
      <c r="M426" s="105"/>
      <c r="N426" s="95" t="s">
        <v>372</v>
      </c>
      <c r="O426" s="96"/>
      <c r="P426" s="106">
        <f t="shared" si="60"/>
        <v>0</v>
      </c>
      <c r="Q426" s="106">
        <f t="shared" si="61"/>
        <v>0</v>
      </c>
      <c r="R426" s="106"/>
      <c r="S426" s="95" t="s">
        <v>185</v>
      </c>
      <c r="T426" s="96"/>
      <c r="U426" s="106">
        <f t="shared" si="62"/>
        <v>0</v>
      </c>
      <c r="V426" s="106">
        <f t="shared" si="63"/>
        <v>6</v>
      </c>
      <c r="W426" s="105">
        <f t="shared" si="64"/>
        <v>0</v>
      </c>
      <c r="X426" s="95" t="s">
        <v>186</v>
      </c>
      <c r="Y426" s="107" t="s">
        <v>181</v>
      </c>
      <c r="Z426" s="107" t="s">
        <v>176</v>
      </c>
    </row>
    <row r="427" spans="1:26" s="107" customFormat="1" ht="15" customHeight="1" x14ac:dyDescent="0.2">
      <c r="A427" s="101">
        <f t="shared" si="59"/>
        <v>425</v>
      </c>
      <c r="B427" s="77" t="s">
        <v>306</v>
      </c>
      <c r="C427" s="102" t="str">
        <f>IF($B427&lt;&gt;"",_xlfn.IFNA(VLOOKUP($B427,'Node Details'!$B:$U,C$1,0),"Check"),"")</f>
        <v>0000AXY10-AXY100105</v>
      </c>
      <c r="D427" s="102" t="str">
        <f>IF($B427&lt;&gt;"",_xlfn.IFNA(VLOOKUP($B427,'Node Details'!$B:$U,D$1,0),"Check"),"")</f>
        <v>AXY</v>
      </c>
      <c r="E427" s="102" t="str">
        <f>IF($B427&lt;&gt;"",_xlfn.IFNA(VLOOKUP($B427,'Node Details'!$B:$U,E$1,0),"Check"),"")</f>
        <v>Airtel</v>
      </c>
      <c r="F427" s="103">
        <v>46113</v>
      </c>
      <c r="G427" s="105"/>
      <c r="H427" s="104" t="s">
        <v>189</v>
      </c>
      <c r="I427" s="9">
        <v>4</v>
      </c>
      <c r="J427" s="9"/>
      <c r="K427" s="102">
        <f t="shared" si="65"/>
        <v>0</v>
      </c>
      <c r="L427" s="80">
        <v>46112</v>
      </c>
      <c r="M427" s="105"/>
      <c r="N427" s="95" t="s">
        <v>372</v>
      </c>
      <c r="O427" s="96"/>
      <c r="P427" s="106">
        <f t="shared" si="60"/>
        <v>0</v>
      </c>
      <c r="Q427" s="106">
        <f t="shared" si="61"/>
        <v>0</v>
      </c>
      <c r="R427" s="106"/>
      <c r="S427" s="95" t="s">
        <v>185</v>
      </c>
      <c r="T427" s="96"/>
      <c r="U427" s="106">
        <f t="shared" si="62"/>
        <v>0</v>
      </c>
      <c r="V427" s="106">
        <f t="shared" si="63"/>
        <v>4</v>
      </c>
      <c r="W427" s="105">
        <f t="shared" si="64"/>
        <v>0</v>
      </c>
      <c r="X427" s="95" t="s">
        <v>186</v>
      </c>
      <c r="Y427" s="107" t="s">
        <v>181</v>
      </c>
      <c r="Z427" s="107" t="s">
        <v>176</v>
      </c>
    </row>
    <row r="428" spans="1:26" s="107" customFormat="1" ht="15" customHeight="1" x14ac:dyDescent="0.2">
      <c r="A428" s="101">
        <f t="shared" si="59"/>
        <v>426</v>
      </c>
      <c r="B428" s="77" t="s">
        <v>307</v>
      </c>
      <c r="C428" s="102" t="str">
        <f>IF($B428&lt;&gt;"",_xlfn.IFNA(VLOOKUP($B428,'Node Details'!$B:$U,C$1,0),"Check"),"")</f>
        <v>AXY100106-AXY100201</v>
      </c>
      <c r="D428" s="102" t="str">
        <f>IF($B428&lt;&gt;"",_xlfn.IFNA(VLOOKUP($B428,'Node Details'!$B:$U,D$1,0),"Check"),"")</f>
        <v>AXY</v>
      </c>
      <c r="E428" s="102" t="str">
        <f>IF($B428&lt;&gt;"",_xlfn.IFNA(VLOOKUP($B428,'Node Details'!$B:$U,E$1,0),"Check"),"")</f>
        <v>Airtel</v>
      </c>
      <c r="F428" s="103">
        <v>46113</v>
      </c>
      <c r="G428" s="105"/>
      <c r="H428" s="104" t="s">
        <v>189</v>
      </c>
      <c r="I428" s="9">
        <v>2</v>
      </c>
      <c r="J428" s="9"/>
      <c r="K428" s="102">
        <f t="shared" si="65"/>
        <v>0</v>
      </c>
      <c r="L428" s="80">
        <v>46112</v>
      </c>
      <c r="M428" s="105"/>
      <c r="N428" s="95" t="s">
        <v>372</v>
      </c>
      <c r="O428" s="96"/>
      <c r="P428" s="106">
        <f t="shared" si="60"/>
        <v>0</v>
      </c>
      <c r="Q428" s="106">
        <f t="shared" si="61"/>
        <v>0</v>
      </c>
      <c r="R428" s="106"/>
      <c r="S428" s="95" t="s">
        <v>185</v>
      </c>
      <c r="T428" s="96"/>
      <c r="U428" s="106">
        <f t="shared" si="62"/>
        <v>0</v>
      </c>
      <c r="V428" s="106">
        <f t="shared" si="63"/>
        <v>2</v>
      </c>
      <c r="W428" s="105">
        <f t="shared" si="64"/>
        <v>0</v>
      </c>
      <c r="X428" s="95" t="s">
        <v>186</v>
      </c>
      <c r="Y428" s="107" t="s">
        <v>181</v>
      </c>
      <c r="Z428" s="107" t="s">
        <v>176</v>
      </c>
    </row>
    <row r="429" spans="1:26" s="107" customFormat="1" ht="15" customHeight="1" x14ac:dyDescent="0.2">
      <c r="A429" s="101">
        <f t="shared" si="59"/>
        <v>427</v>
      </c>
      <c r="B429" s="77" t="s">
        <v>309</v>
      </c>
      <c r="C429" s="102" t="str">
        <f>IF($B429&lt;&gt;"",_xlfn.IFNA(VLOOKUP($B429,'Node Details'!$B:$U,C$1,0),"Check"),"")</f>
        <v>000000AXY-0000AXY12</v>
      </c>
      <c r="D429" s="102" t="str">
        <f>IF($B429&lt;&gt;"",_xlfn.IFNA(VLOOKUP($B429,'Node Details'!$B:$U,D$1,0),"Check"),"")</f>
        <v>AXY</v>
      </c>
      <c r="E429" s="102" t="str">
        <f>IF($B429&lt;&gt;"",_xlfn.IFNA(VLOOKUP($B429,'Node Details'!$B:$U,E$1,0),"Check"),"")</f>
        <v>Airtel</v>
      </c>
      <c r="F429" s="103">
        <v>46113</v>
      </c>
      <c r="G429" s="105"/>
      <c r="H429" s="104" t="s">
        <v>189</v>
      </c>
      <c r="I429" s="9">
        <v>42</v>
      </c>
      <c r="J429" s="9"/>
      <c r="K429" s="102">
        <f t="shared" si="65"/>
        <v>0</v>
      </c>
      <c r="L429" s="80">
        <v>46112</v>
      </c>
      <c r="M429" s="105"/>
      <c r="N429" s="95" t="s">
        <v>372</v>
      </c>
      <c r="O429" s="96"/>
      <c r="P429" s="106">
        <f t="shared" si="60"/>
        <v>0</v>
      </c>
      <c r="Q429" s="106">
        <f t="shared" si="61"/>
        <v>0</v>
      </c>
      <c r="R429" s="106"/>
      <c r="S429" s="95" t="s">
        <v>185</v>
      </c>
      <c r="T429" s="96"/>
      <c r="U429" s="106">
        <f t="shared" si="62"/>
        <v>0</v>
      </c>
      <c r="V429" s="106">
        <f t="shared" si="63"/>
        <v>42</v>
      </c>
      <c r="W429" s="105">
        <f t="shared" si="64"/>
        <v>0</v>
      </c>
      <c r="X429" s="95" t="s">
        <v>186</v>
      </c>
      <c r="Y429" s="107" t="s">
        <v>181</v>
      </c>
      <c r="Z429" s="107" t="s">
        <v>176</v>
      </c>
    </row>
    <row r="430" spans="1:26" s="107" customFormat="1" ht="15" customHeight="1" x14ac:dyDescent="0.2">
      <c r="A430" s="101">
        <f t="shared" si="59"/>
        <v>428</v>
      </c>
      <c r="B430" s="77" t="s">
        <v>312</v>
      </c>
      <c r="C430" s="102" t="str">
        <f>IF($B430&lt;&gt;"",_xlfn.IFNA(VLOOKUP($B430,'Node Details'!$B:$U,C$1,0),"Check"),"")</f>
        <v>0000AXY11-AXY110107</v>
      </c>
      <c r="D430" s="102" t="str">
        <f>IF($B430&lt;&gt;"",_xlfn.IFNA(VLOOKUP($B430,'Node Details'!$B:$U,D$1,0),"Check"),"")</f>
        <v>AXY</v>
      </c>
      <c r="E430" s="102" t="str">
        <f>IF($B430&lt;&gt;"",_xlfn.IFNA(VLOOKUP($B430,'Node Details'!$B:$U,E$1,0),"Check"),"")</f>
        <v>Airtel</v>
      </c>
      <c r="F430" s="103">
        <v>46113</v>
      </c>
      <c r="G430" s="105"/>
      <c r="H430" s="104" t="s">
        <v>189</v>
      </c>
      <c r="I430" s="9">
        <v>8</v>
      </c>
      <c r="J430" s="9"/>
      <c r="K430" s="102">
        <f t="shared" si="65"/>
        <v>0</v>
      </c>
      <c r="L430" s="80">
        <v>46112</v>
      </c>
      <c r="M430" s="105"/>
      <c r="N430" s="95" t="s">
        <v>372</v>
      </c>
      <c r="O430" s="96"/>
      <c r="P430" s="106">
        <f t="shared" si="60"/>
        <v>0</v>
      </c>
      <c r="Q430" s="106">
        <f t="shared" si="61"/>
        <v>0</v>
      </c>
      <c r="R430" s="106"/>
      <c r="S430" s="95" t="s">
        <v>185</v>
      </c>
      <c r="T430" s="96"/>
      <c r="U430" s="106">
        <f t="shared" si="62"/>
        <v>0</v>
      </c>
      <c r="V430" s="106">
        <f t="shared" si="63"/>
        <v>8</v>
      </c>
      <c r="W430" s="105">
        <f t="shared" si="64"/>
        <v>0</v>
      </c>
      <c r="X430" s="95" t="s">
        <v>186</v>
      </c>
      <c r="Y430" s="107" t="s">
        <v>181</v>
      </c>
      <c r="Z430" s="107" t="s">
        <v>176</v>
      </c>
    </row>
    <row r="431" spans="1:26" s="107" customFormat="1" ht="15" customHeight="1" x14ac:dyDescent="0.2">
      <c r="A431" s="101">
        <f t="shared" si="59"/>
        <v>429</v>
      </c>
      <c r="B431" s="77" t="s">
        <v>314</v>
      </c>
      <c r="C431" s="102" t="str">
        <f>IF($B431&lt;&gt;"",_xlfn.IFNA(VLOOKUP($B431,'Node Details'!$B:$U,C$1,0),"Check"),"")</f>
        <v>AXY110103-AXY110106</v>
      </c>
      <c r="D431" s="102" t="str">
        <f>IF($B431&lt;&gt;"",_xlfn.IFNA(VLOOKUP($B431,'Node Details'!$B:$U,D$1,0),"Check"),"")</f>
        <v>AXY</v>
      </c>
      <c r="E431" s="102" t="str">
        <f>IF($B431&lt;&gt;"",_xlfn.IFNA(VLOOKUP($B431,'Node Details'!$B:$U,E$1,0),"Check"),"")</f>
        <v>Airtel</v>
      </c>
      <c r="F431" s="103">
        <v>46113</v>
      </c>
      <c r="G431" s="105"/>
      <c r="H431" s="104" t="s">
        <v>189</v>
      </c>
      <c r="I431" s="9">
        <v>6</v>
      </c>
      <c r="J431" s="9"/>
      <c r="K431" s="102">
        <f t="shared" si="65"/>
        <v>0</v>
      </c>
      <c r="L431" s="80">
        <v>46112</v>
      </c>
      <c r="M431" s="105"/>
      <c r="N431" s="95" t="s">
        <v>372</v>
      </c>
      <c r="O431" s="96"/>
      <c r="P431" s="106">
        <f t="shared" si="60"/>
        <v>0</v>
      </c>
      <c r="Q431" s="106">
        <f t="shared" si="61"/>
        <v>0</v>
      </c>
      <c r="R431" s="106"/>
      <c r="S431" s="95" t="s">
        <v>185</v>
      </c>
      <c r="T431" s="96"/>
      <c r="U431" s="106">
        <f t="shared" si="62"/>
        <v>0</v>
      </c>
      <c r="V431" s="106">
        <f t="shared" si="63"/>
        <v>6</v>
      </c>
      <c r="W431" s="105">
        <f t="shared" si="64"/>
        <v>0</v>
      </c>
      <c r="X431" s="95" t="s">
        <v>186</v>
      </c>
      <c r="Y431" s="107" t="s">
        <v>181</v>
      </c>
      <c r="Z431" s="107" t="s">
        <v>176</v>
      </c>
    </row>
    <row r="432" spans="1:26" s="107" customFormat="1" ht="15" customHeight="1" x14ac:dyDescent="0.2">
      <c r="A432" s="101">
        <f t="shared" si="59"/>
        <v>430</v>
      </c>
      <c r="B432" s="77" t="s">
        <v>315</v>
      </c>
      <c r="C432" s="102" t="str">
        <f>IF($B432&lt;&gt;"",_xlfn.IFNA(VLOOKUP($B432,'Node Details'!$B:$U,C$1,0),"Check"),"")</f>
        <v>AXY110103-AXY110106</v>
      </c>
      <c r="D432" s="102" t="str">
        <f>IF($B432&lt;&gt;"",_xlfn.IFNA(VLOOKUP($B432,'Node Details'!$B:$U,D$1,0),"Check"),"")</f>
        <v>AXY</v>
      </c>
      <c r="E432" s="102" t="str">
        <f>IF($B432&lt;&gt;"",_xlfn.IFNA(VLOOKUP($B432,'Node Details'!$B:$U,E$1,0),"Check"),"")</f>
        <v>Airtel</v>
      </c>
      <c r="F432" s="103">
        <v>46113</v>
      </c>
      <c r="G432" s="105"/>
      <c r="H432" s="104" t="s">
        <v>189</v>
      </c>
      <c r="I432" s="9">
        <v>4</v>
      </c>
      <c r="J432" s="9"/>
      <c r="K432" s="102">
        <f t="shared" si="65"/>
        <v>0</v>
      </c>
      <c r="L432" s="80">
        <v>46112</v>
      </c>
      <c r="M432" s="105"/>
      <c r="N432" s="95" t="s">
        <v>372</v>
      </c>
      <c r="O432" s="96"/>
      <c r="P432" s="106">
        <f t="shared" si="60"/>
        <v>0</v>
      </c>
      <c r="Q432" s="106">
        <f t="shared" si="61"/>
        <v>0</v>
      </c>
      <c r="R432" s="106"/>
      <c r="S432" s="95" t="s">
        <v>185</v>
      </c>
      <c r="T432" s="96"/>
      <c r="U432" s="106">
        <f t="shared" si="62"/>
        <v>0</v>
      </c>
      <c r="V432" s="106">
        <f t="shared" si="63"/>
        <v>4</v>
      </c>
      <c r="W432" s="105">
        <f t="shared" si="64"/>
        <v>0</v>
      </c>
      <c r="X432" s="95" t="s">
        <v>186</v>
      </c>
      <c r="Y432" s="107" t="s">
        <v>181</v>
      </c>
      <c r="Z432" s="107" t="s">
        <v>176</v>
      </c>
    </row>
    <row r="433" spans="1:26" s="107" customFormat="1" ht="15" customHeight="1" x14ac:dyDescent="0.2">
      <c r="A433" s="101">
        <f t="shared" si="59"/>
        <v>431</v>
      </c>
      <c r="B433" s="77" t="s">
        <v>313</v>
      </c>
      <c r="C433" s="102" t="str">
        <f>IF($B433&lt;&gt;"",_xlfn.IFNA(VLOOKUP($B433,'Node Details'!$B:$U,C$1,0),"Check"),"")</f>
        <v>0000AXY11-AXY110107</v>
      </c>
      <c r="D433" s="102" t="str">
        <f>IF($B433&lt;&gt;"",_xlfn.IFNA(VLOOKUP($B433,'Node Details'!$B:$U,D$1,0),"Check"),"")</f>
        <v>AXY</v>
      </c>
      <c r="E433" s="102" t="str">
        <f>IF($B433&lt;&gt;"",_xlfn.IFNA(VLOOKUP($B433,'Node Details'!$B:$U,E$1,0),"Check"),"")</f>
        <v>Airtel</v>
      </c>
      <c r="F433" s="103">
        <v>46113</v>
      </c>
      <c r="G433" s="105"/>
      <c r="H433" s="104" t="s">
        <v>189</v>
      </c>
      <c r="I433" s="9">
        <v>2</v>
      </c>
      <c r="J433" s="9"/>
      <c r="K433" s="102">
        <f t="shared" si="65"/>
        <v>0</v>
      </c>
      <c r="L433" s="80">
        <v>46112</v>
      </c>
      <c r="M433" s="105"/>
      <c r="N433" s="95" t="s">
        <v>372</v>
      </c>
      <c r="O433" s="96"/>
      <c r="P433" s="106">
        <f t="shared" si="60"/>
        <v>0</v>
      </c>
      <c r="Q433" s="106">
        <f t="shared" si="61"/>
        <v>0</v>
      </c>
      <c r="R433" s="106"/>
      <c r="S433" s="95" t="s">
        <v>185</v>
      </c>
      <c r="T433" s="96"/>
      <c r="U433" s="106">
        <f t="shared" si="62"/>
        <v>0</v>
      </c>
      <c r="V433" s="106">
        <f t="shared" si="63"/>
        <v>2</v>
      </c>
      <c r="W433" s="105">
        <f t="shared" si="64"/>
        <v>0</v>
      </c>
      <c r="X433" s="95" t="s">
        <v>186</v>
      </c>
      <c r="Y433" s="107" t="s">
        <v>181</v>
      </c>
      <c r="Z433" s="107" t="s">
        <v>176</v>
      </c>
    </row>
    <row r="434" spans="1:26" s="107" customFormat="1" ht="15" customHeight="1" x14ac:dyDescent="0.2">
      <c r="A434" s="101">
        <f t="shared" si="59"/>
        <v>432</v>
      </c>
      <c r="B434" s="77" t="s">
        <v>319</v>
      </c>
      <c r="C434" s="102" t="str">
        <f>IF($B434&lt;&gt;"",_xlfn.IFNA(VLOOKUP($B434,'Node Details'!$B:$U,C$1,0),"Check"),"")</f>
        <v>000000AXY-0000AXY12</v>
      </c>
      <c r="D434" s="102" t="str">
        <f>IF($B434&lt;&gt;"",_xlfn.IFNA(VLOOKUP($B434,'Node Details'!$B:$U,D$1,0),"Check"),"")</f>
        <v>AXY</v>
      </c>
      <c r="E434" s="102" t="str">
        <f>IF($B434&lt;&gt;"",_xlfn.IFNA(VLOOKUP($B434,'Node Details'!$B:$U,E$1,0),"Check"),"")</f>
        <v>Airtel</v>
      </c>
      <c r="F434" s="103">
        <v>46113</v>
      </c>
      <c r="G434" s="105"/>
      <c r="H434" s="104" t="s">
        <v>189</v>
      </c>
      <c r="I434" s="9">
        <v>42</v>
      </c>
      <c r="J434" s="9"/>
      <c r="K434" s="102">
        <f t="shared" si="65"/>
        <v>0</v>
      </c>
      <c r="L434" s="80">
        <v>46112</v>
      </c>
      <c r="M434" s="105"/>
      <c r="N434" s="95" t="s">
        <v>372</v>
      </c>
      <c r="O434" s="96"/>
      <c r="P434" s="106">
        <f t="shared" si="60"/>
        <v>0</v>
      </c>
      <c r="Q434" s="106">
        <f t="shared" si="61"/>
        <v>0</v>
      </c>
      <c r="R434" s="106"/>
      <c r="S434" s="95" t="s">
        <v>185</v>
      </c>
      <c r="T434" s="96"/>
      <c r="U434" s="106">
        <f t="shared" si="62"/>
        <v>0</v>
      </c>
      <c r="V434" s="106">
        <f t="shared" si="63"/>
        <v>42</v>
      </c>
      <c r="W434" s="105">
        <f t="shared" si="64"/>
        <v>0</v>
      </c>
      <c r="X434" s="95" t="s">
        <v>186</v>
      </c>
      <c r="Y434" s="107" t="s">
        <v>181</v>
      </c>
      <c r="Z434" s="107" t="s">
        <v>176</v>
      </c>
    </row>
    <row r="435" spans="1:26" s="107" customFormat="1" ht="15" customHeight="1" x14ac:dyDescent="0.2">
      <c r="A435" s="101">
        <f t="shared" si="59"/>
        <v>433</v>
      </c>
      <c r="B435" s="77" t="s">
        <v>320</v>
      </c>
      <c r="C435" s="102" t="str">
        <f>IF($B435&lt;&gt;"",_xlfn.IFNA(VLOOKUP($B435,'Node Details'!$B:$U,C$1,0),"Check"),"")</f>
        <v>0000AXY12-AXY120101</v>
      </c>
      <c r="D435" s="102" t="str">
        <f>IF($B435&lt;&gt;"",_xlfn.IFNA(VLOOKUP($B435,'Node Details'!$B:$U,D$1,0),"Check"),"")</f>
        <v>AXY</v>
      </c>
      <c r="E435" s="102" t="str">
        <f>IF($B435&lt;&gt;"",_xlfn.IFNA(VLOOKUP($B435,'Node Details'!$B:$U,E$1,0),"Check"),"")</f>
        <v>Airtel</v>
      </c>
      <c r="F435" s="103">
        <v>46113</v>
      </c>
      <c r="G435" s="105"/>
      <c r="H435" s="104" t="s">
        <v>189</v>
      </c>
      <c r="I435" s="9">
        <v>2</v>
      </c>
      <c r="J435" s="9"/>
      <c r="K435" s="102">
        <f t="shared" si="65"/>
        <v>0</v>
      </c>
      <c r="L435" s="80">
        <v>46112</v>
      </c>
      <c r="M435" s="105"/>
      <c r="N435" s="95" t="s">
        <v>372</v>
      </c>
      <c r="O435" s="96"/>
      <c r="P435" s="106">
        <f t="shared" si="60"/>
        <v>0</v>
      </c>
      <c r="Q435" s="106">
        <f t="shared" si="61"/>
        <v>0</v>
      </c>
      <c r="R435" s="106"/>
      <c r="S435" s="95" t="s">
        <v>185</v>
      </c>
      <c r="T435" s="96"/>
      <c r="U435" s="106">
        <f t="shared" si="62"/>
        <v>0</v>
      </c>
      <c r="V435" s="106">
        <f t="shared" si="63"/>
        <v>2</v>
      </c>
      <c r="W435" s="105">
        <f t="shared" si="64"/>
        <v>0</v>
      </c>
      <c r="X435" s="95" t="s">
        <v>186</v>
      </c>
      <c r="Y435" s="107" t="s">
        <v>181</v>
      </c>
      <c r="Z435" s="107" t="s">
        <v>176</v>
      </c>
    </row>
    <row r="436" spans="1:26" s="107" customFormat="1" ht="15" customHeight="1" x14ac:dyDescent="0.2">
      <c r="A436" s="101">
        <f t="shared" si="59"/>
        <v>434</v>
      </c>
      <c r="B436" s="77" t="s">
        <v>324</v>
      </c>
      <c r="C436" s="102" t="str">
        <f>IF($B436&lt;&gt;"",_xlfn.IFNA(VLOOKUP($B436,'Node Details'!$B:$U,C$1,0),"Check"),"")</f>
        <v>000000AXY-0000AXY17</v>
      </c>
      <c r="D436" s="102" t="str">
        <f>IF($B436&lt;&gt;"",_xlfn.IFNA(VLOOKUP($B436,'Node Details'!$B:$U,D$1,0),"Check"),"")</f>
        <v>AXY</v>
      </c>
      <c r="E436" s="102" t="str">
        <f>IF($B436&lt;&gt;"",_xlfn.IFNA(VLOOKUP($B436,'Node Details'!$B:$U,E$1,0),"Check"),"")</f>
        <v>Airtel</v>
      </c>
      <c r="F436" s="103">
        <v>46113</v>
      </c>
      <c r="G436" s="105"/>
      <c r="H436" s="104" t="s">
        <v>189</v>
      </c>
      <c r="I436" s="9">
        <v>42</v>
      </c>
      <c r="J436" s="9"/>
      <c r="K436" s="102">
        <f t="shared" si="65"/>
        <v>0</v>
      </c>
      <c r="L436" s="80">
        <v>46112</v>
      </c>
      <c r="M436" s="105"/>
      <c r="N436" s="95" t="s">
        <v>372</v>
      </c>
      <c r="O436" s="96"/>
      <c r="P436" s="106">
        <f t="shared" si="60"/>
        <v>0</v>
      </c>
      <c r="Q436" s="106">
        <f t="shared" si="61"/>
        <v>0</v>
      </c>
      <c r="R436" s="106"/>
      <c r="S436" s="95" t="s">
        <v>185</v>
      </c>
      <c r="T436" s="96"/>
      <c r="U436" s="106">
        <f t="shared" si="62"/>
        <v>0</v>
      </c>
      <c r="V436" s="106">
        <f t="shared" si="63"/>
        <v>42</v>
      </c>
      <c r="W436" s="105">
        <f t="shared" si="64"/>
        <v>0</v>
      </c>
      <c r="X436" s="95" t="s">
        <v>186</v>
      </c>
      <c r="Y436" s="107" t="s">
        <v>181</v>
      </c>
      <c r="Z436" s="107" t="s">
        <v>176</v>
      </c>
    </row>
    <row r="437" spans="1:26" s="107" customFormat="1" ht="15" customHeight="1" x14ac:dyDescent="0.2">
      <c r="A437" s="101">
        <f t="shared" si="59"/>
        <v>435</v>
      </c>
      <c r="B437" s="77" t="s">
        <v>329</v>
      </c>
      <c r="C437" s="102" t="str">
        <f>IF($B437&lt;&gt;"",_xlfn.IFNA(VLOOKUP($B437,'Node Details'!$B:$U,C$1,0),"Check"),"")</f>
        <v>0000AXY13-AXY130108</v>
      </c>
      <c r="D437" s="102" t="str">
        <f>IF($B437&lt;&gt;"",_xlfn.IFNA(VLOOKUP($B437,'Node Details'!$B:$U,D$1,0),"Check"),"")</f>
        <v>AXY</v>
      </c>
      <c r="E437" s="102" t="str">
        <f>IF($B437&lt;&gt;"",_xlfn.IFNA(VLOOKUP($B437,'Node Details'!$B:$U,E$1,0),"Check"),"")</f>
        <v>Airtel</v>
      </c>
      <c r="F437" s="103">
        <v>46113</v>
      </c>
      <c r="G437" s="105"/>
      <c r="H437" s="104" t="s">
        <v>189</v>
      </c>
      <c r="I437" s="9">
        <v>2</v>
      </c>
      <c r="J437" s="9"/>
      <c r="K437" s="102">
        <f t="shared" si="65"/>
        <v>0</v>
      </c>
      <c r="L437" s="80">
        <v>46112</v>
      </c>
      <c r="M437" s="105"/>
      <c r="N437" s="95" t="s">
        <v>372</v>
      </c>
      <c r="O437" s="96"/>
      <c r="P437" s="106">
        <f t="shared" si="60"/>
        <v>0</v>
      </c>
      <c r="Q437" s="106">
        <f t="shared" si="61"/>
        <v>0</v>
      </c>
      <c r="R437" s="106"/>
      <c r="S437" s="95" t="s">
        <v>185</v>
      </c>
      <c r="T437" s="96"/>
      <c r="U437" s="106">
        <f t="shared" si="62"/>
        <v>0</v>
      </c>
      <c r="V437" s="106">
        <f t="shared" si="63"/>
        <v>2</v>
      </c>
      <c r="W437" s="105">
        <f t="shared" si="64"/>
        <v>0</v>
      </c>
      <c r="X437" s="95" t="s">
        <v>186</v>
      </c>
      <c r="Y437" s="107" t="s">
        <v>181</v>
      </c>
      <c r="Z437" s="107" t="s">
        <v>176</v>
      </c>
    </row>
    <row r="438" spans="1:26" s="107" customFormat="1" ht="15" customHeight="1" x14ac:dyDescent="0.2">
      <c r="A438" s="101">
        <f t="shared" si="59"/>
        <v>436</v>
      </c>
      <c r="B438" s="77" t="s">
        <v>333</v>
      </c>
      <c r="C438" s="102" t="str">
        <f>IF($B438&lt;&gt;"",_xlfn.IFNA(VLOOKUP($B438,'Node Details'!$B:$U,C$1,0),"Check"),"")</f>
        <v>000000AXY-0000AXY17</v>
      </c>
      <c r="D438" s="102" t="str">
        <f>IF($B438&lt;&gt;"",_xlfn.IFNA(VLOOKUP($B438,'Node Details'!$B:$U,D$1,0),"Check"),"")</f>
        <v>AXY</v>
      </c>
      <c r="E438" s="102" t="str">
        <f>IF($B438&lt;&gt;"",_xlfn.IFNA(VLOOKUP($B438,'Node Details'!$B:$U,E$1,0),"Check"),"")</f>
        <v>Airtel</v>
      </c>
      <c r="F438" s="103">
        <v>46113</v>
      </c>
      <c r="G438" s="105"/>
      <c r="H438" s="104" t="s">
        <v>189</v>
      </c>
      <c r="I438" s="9">
        <v>42</v>
      </c>
      <c r="J438" s="9"/>
      <c r="K438" s="102">
        <f t="shared" si="65"/>
        <v>0</v>
      </c>
      <c r="L438" s="80">
        <v>46112</v>
      </c>
      <c r="M438" s="105"/>
      <c r="N438" s="95" t="s">
        <v>372</v>
      </c>
      <c r="O438" s="96"/>
      <c r="P438" s="106">
        <f t="shared" si="60"/>
        <v>0</v>
      </c>
      <c r="Q438" s="106">
        <f t="shared" si="61"/>
        <v>0</v>
      </c>
      <c r="R438" s="106"/>
      <c r="S438" s="95" t="s">
        <v>185</v>
      </c>
      <c r="T438" s="96"/>
      <c r="U438" s="106">
        <f t="shared" si="62"/>
        <v>0</v>
      </c>
      <c r="V438" s="106">
        <f t="shared" si="63"/>
        <v>42</v>
      </c>
      <c r="W438" s="105">
        <f t="shared" si="64"/>
        <v>0</v>
      </c>
      <c r="X438" s="95" t="s">
        <v>186</v>
      </c>
      <c r="Y438" s="107" t="s">
        <v>181</v>
      </c>
      <c r="Z438" s="107" t="s">
        <v>176</v>
      </c>
    </row>
    <row r="439" spans="1:26" s="107" customFormat="1" ht="15" customHeight="1" x14ac:dyDescent="0.2">
      <c r="A439" s="101">
        <f t="shared" si="59"/>
        <v>437</v>
      </c>
      <c r="B439" s="77" t="s">
        <v>336</v>
      </c>
      <c r="C439" s="102" t="str">
        <f>IF($B439&lt;&gt;"",_xlfn.IFNA(VLOOKUP($B439,'Node Details'!$B:$U,C$1,0),"Check"),"")</f>
        <v>0000AXY14-AXY140202</v>
      </c>
      <c r="D439" s="102" t="str">
        <f>IF($B439&lt;&gt;"",_xlfn.IFNA(VLOOKUP($B439,'Node Details'!$B:$U,D$1,0),"Check"),"")</f>
        <v>AXY</v>
      </c>
      <c r="E439" s="102" t="str">
        <f>IF($B439&lt;&gt;"",_xlfn.IFNA(VLOOKUP($B439,'Node Details'!$B:$U,E$1,0),"Check"),"")</f>
        <v>Airtel</v>
      </c>
      <c r="F439" s="103">
        <v>46113</v>
      </c>
      <c r="G439" s="105"/>
      <c r="H439" s="104" t="s">
        <v>189</v>
      </c>
      <c r="I439" s="9">
        <v>10</v>
      </c>
      <c r="J439" s="9"/>
      <c r="K439" s="102">
        <f t="shared" si="65"/>
        <v>0</v>
      </c>
      <c r="L439" s="80">
        <v>46112</v>
      </c>
      <c r="M439" s="105"/>
      <c r="N439" s="95" t="s">
        <v>372</v>
      </c>
      <c r="O439" s="96"/>
      <c r="P439" s="106">
        <f t="shared" si="60"/>
        <v>0</v>
      </c>
      <c r="Q439" s="106">
        <f t="shared" si="61"/>
        <v>0</v>
      </c>
      <c r="R439" s="106"/>
      <c r="S439" s="95" t="s">
        <v>185</v>
      </c>
      <c r="T439" s="96"/>
      <c r="U439" s="106">
        <f t="shared" si="62"/>
        <v>0</v>
      </c>
      <c r="V439" s="106">
        <f t="shared" si="63"/>
        <v>10</v>
      </c>
      <c r="W439" s="105">
        <f t="shared" si="64"/>
        <v>0</v>
      </c>
      <c r="X439" s="95" t="s">
        <v>186</v>
      </c>
      <c r="Y439" s="107" t="s">
        <v>181</v>
      </c>
      <c r="Z439" s="107" t="s">
        <v>176</v>
      </c>
    </row>
    <row r="440" spans="1:26" s="107" customFormat="1" ht="15" customHeight="1" x14ac:dyDescent="0.2">
      <c r="A440" s="101">
        <f t="shared" si="59"/>
        <v>438</v>
      </c>
      <c r="B440" s="77" t="s">
        <v>337</v>
      </c>
      <c r="C440" s="102" t="str">
        <f>IF($B440&lt;&gt;"",_xlfn.IFNA(VLOOKUP($B440,'Node Details'!$B:$U,C$1,0),"Check"),"")</f>
        <v>0000AXY14-AXY140202</v>
      </c>
      <c r="D440" s="102" t="str">
        <f>IF($B440&lt;&gt;"",_xlfn.IFNA(VLOOKUP($B440,'Node Details'!$B:$U,D$1,0),"Check"),"")</f>
        <v>AXY</v>
      </c>
      <c r="E440" s="102" t="str">
        <f>IF($B440&lt;&gt;"",_xlfn.IFNA(VLOOKUP($B440,'Node Details'!$B:$U,E$1,0),"Check"),"")</f>
        <v>Airtel</v>
      </c>
      <c r="F440" s="103">
        <v>46113</v>
      </c>
      <c r="G440" s="105"/>
      <c r="H440" s="104" t="s">
        <v>189</v>
      </c>
      <c r="I440" s="9">
        <v>8</v>
      </c>
      <c r="J440" s="9"/>
      <c r="K440" s="102">
        <f t="shared" si="65"/>
        <v>0</v>
      </c>
      <c r="L440" s="80">
        <v>46112</v>
      </c>
      <c r="M440" s="105"/>
      <c r="N440" s="95" t="s">
        <v>372</v>
      </c>
      <c r="O440" s="96"/>
      <c r="P440" s="106">
        <f t="shared" si="60"/>
        <v>0</v>
      </c>
      <c r="Q440" s="106">
        <f t="shared" si="61"/>
        <v>0</v>
      </c>
      <c r="R440" s="106"/>
      <c r="S440" s="95" t="s">
        <v>185</v>
      </c>
      <c r="T440" s="96"/>
      <c r="U440" s="106">
        <f t="shared" si="62"/>
        <v>0</v>
      </c>
      <c r="V440" s="106">
        <f t="shared" si="63"/>
        <v>8</v>
      </c>
      <c r="W440" s="105">
        <f t="shared" si="64"/>
        <v>0</v>
      </c>
      <c r="X440" s="95" t="s">
        <v>186</v>
      </c>
      <c r="Y440" s="107" t="s">
        <v>181</v>
      </c>
      <c r="Z440" s="107" t="s">
        <v>176</v>
      </c>
    </row>
    <row r="441" spans="1:26" s="107" customFormat="1" ht="15" customHeight="1" x14ac:dyDescent="0.2">
      <c r="A441" s="101">
        <f t="shared" si="59"/>
        <v>439</v>
      </c>
      <c r="B441" s="77" t="s">
        <v>340</v>
      </c>
      <c r="C441" s="102" t="str">
        <f>IF($B441&lt;&gt;"",_xlfn.IFNA(VLOOKUP($B441,'Node Details'!$B:$U,C$1,0),"Check"),"")</f>
        <v>AXY140108-AXY140104</v>
      </c>
      <c r="D441" s="102" t="str">
        <f>IF($B441&lt;&gt;"",_xlfn.IFNA(VLOOKUP($B441,'Node Details'!$B:$U,D$1,0),"Check"),"")</f>
        <v>AXY</v>
      </c>
      <c r="E441" s="102" t="str">
        <f>IF($B441&lt;&gt;"",_xlfn.IFNA(VLOOKUP($B441,'Node Details'!$B:$U,E$1,0),"Check"),"")</f>
        <v>Airtel</v>
      </c>
      <c r="F441" s="103">
        <v>46113</v>
      </c>
      <c r="G441" s="105"/>
      <c r="H441" s="104" t="s">
        <v>189</v>
      </c>
      <c r="I441" s="9">
        <v>6</v>
      </c>
      <c r="J441" s="9"/>
      <c r="K441" s="102">
        <f t="shared" si="65"/>
        <v>0</v>
      </c>
      <c r="L441" s="80">
        <v>46112</v>
      </c>
      <c r="M441" s="105"/>
      <c r="N441" s="95" t="s">
        <v>372</v>
      </c>
      <c r="O441" s="96"/>
      <c r="P441" s="106">
        <f t="shared" si="60"/>
        <v>0</v>
      </c>
      <c r="Q441" s="106">
        <f t="shared" si="61"/>
        <v>0</v>
      </c>
      <c r="R441" s="106"/>
      <c r="S441" s="95" t="s">
        <v>185</v>
      </c>
      <c r="T441" s="96"/>
      <c r="U441" s="106">
        <f t="shared" si="62"/>
        <v>0</v>
      </c>
      <c r="V441" s="106">
        <f t="shared" si="63"/>
        <v>6</v>
      </c>
      <c r="W441" s="105">
        <f t="shared" si="64"/>
        <v>0</v>
      </c>
      <c r="X441" s="95" t="s">
        <v>186</v>
      </c>
      <c r="Y441" s="107" t="s">
        <v>181</v>
      </c>
      <c r="Z441" s="107" t="s">
        <v>176</v>
      </c>
    </row>
    <row r="442" spans="1:26" s="107" customFormat="1" ht="15" customHeight="1" x14ac:dyDescent="0.2">
      <c r="A442" s="101">
        <f t="shared" si="59"/>
        <v>440</v>
      </c>
      <c r="B442" s="77" t="s">
        <v>341</v>
      </c>
      <c r="C442" s="102" t="str">
        <f>IF($B442&lt;&gt;"",_xlfn.IFNA(VLOOKUP($B442,'Node Details'!$B:$U,C$1,0),"Check"),"")</f>
        <v>AXY140108-AXY140104</v>
      </c>
      <c r="D442" s="102" t="str">
        <f>IF($B442&lt;&gt;"",_xlfn.IFNA(VLOOKUP($B442,'Node Details'!$B:$U,D$1,0),"Check"),"")</f>
        <v>AXY</v>
      </c>
      <c r="E442" s="102" t="str">
        <f>IF($B442&lt;&gt;"",_xlfn.IFNA(VLOOKUP($B442,'Node Details'!$B:$U,E$1,0),"Check"),"")</f>
        <v>Airtel</v>
      </c>
      <c r="F442" s="103">
        <v>46113</v>
      </c>
      <c r="G442" s="105"/>
      <c r="H442" s="104" t="s">
        <v>189</v>
      </c>
      <c r="I442" s="9">
        <v>4</v>
      </c>
      <c r="J442" s="9"/>
      <c r="K442" s="102">
        <f t="shared" si="65"/>
        <v>0</v>
      </c>
      <c r="L442" s="80">
        <v>46112</v>
      </c>
      <c r="M442" s="105"/>
      <c r="N442" s="95" t="s">
        <v>372</v>
      </c>
      <c r="O442" s="96"/>
      <c r="P442" s="106">
        <f t="shared" si="60"/>
        <v>0</v>
      </c>
      <c r="Q442" s="106">
        <f t="shared" si="61"/>
        <v>0</v>
      </c>
      <c r="R442" s="106"/>
      <c r="S442" s="95" t="s">
        <v>185</v>
      </c>
      <c r="T442" s="96"/>
      <c r="U442" s="106">
        <f t="shared" si="62"/>
        <v>0</v>
      </c>
      <c r="V442" s="106">
        <f t="shared" si="63"/>
        <v>4</v>
      </c>
      <c r="W442" s="105">
        <f t="shared" si="64"/>
        <v>0</v>
      </c>
      <c r="X442" s="95" t="s">
        <v>186</v>
      </c>
      <c r="Y442" s="107" t="s">
        <v>181</v>
      </c>
      <c r="Z442" s="107" t="s">
        <v>176</v>
      </c>
    </row>
    <row r="443" spans="1:26" s="107" customFormat="1" ht="15" customHeight="1" x14ac:dyDescent="0.2">
      <c r="A443" s="101">
        <f t="shared" si="59"/>
        <v>441</v>
      </c>
      <c r="B443" s="77" t="s">
        <v>342</v>
      </c>
      <c r="C443" s="102" t="str">
        <f>IF($B443&lt;&gt;"",_xlfn.IFNA(VLOOKUP($B443,'Node Details'!$B:$U,C$1,0),"Check"),"")</f>
        <v>AXY140108-AXY140104</v>
      </c>
      <c r="D443" s="102" t="str">
        <f>IF($B443&lt;&gt;"",_xlfn.IFNA(VLOOKUP($B443,'Node Details'!$B:$U,D$1,0),"Check"),"")</f>
        <v>AXY</v>
      </c>
      <c r="E443" s="102" t="str">
        <f>IF($B443&lt;&gt;"",_xlfn.IFNA(VLOOKUP($B443,'Node Details'!$B:$U,E$1,0),"Check"),"")</f>
        <v>Airtel</v>
      </c>
      <c r="F443" s="103">
        <v>46113</v>
      </c>
      <c r="G443" s="105"/>
      <c r="H443" s="104" t="s">
        <v>189</v>
      </c>
      <c r="I443" s="9">
        <v>2</v>
      </c>
      <c r="J443" s="9"/>
      <c r="K443" s="102">
        <f t="shared" si="65"/>
        <v>0</v>
      </c>
      <c r="L443" s="80">
        <v>46112</v>
      </c>
      <c r="M443" s="105"/>
      <c r="N443" s="95" t="s">
        <v>372</v>
      </c>
      <c r="O443" s="96"/>
      <c r="P443" s="106">
        <f t="shared" si="60"/>
        <v>0</v>
      </c>
      <c r="Q443" s="106">
        <f t="shared" si="61"/>
        <v>0</v>
      </c>
      <c r="R443" s="106"/>
      <c r="S443" s="95" t="s">
        <v>185</v>
      </c>
      <c r="T443" s="96"/>
      <c r="U443" s="106">
        <f t="shared" si="62"/>
        <v>0</v>
      </c>
      <c r="V443" s="106">
        <f t="shared" si="63"/>
        <v>2</v>
      </c>
      <c r="W443" s="105">
        <f t="shared" si="64"/>
        <v>0</v>
      </c>
      <c r="X443" s="95" t="s">
        <v>186</v>
      </c>
      <c r="Y443" s="107" t="s">
        <v>181</v>
      </c>
      <c r="Z443" s="107" t="s">
        <v>176</v>
      </c>
    </row>
    <row r="444" spans="1:26" s="107" customFormat="1" ht="15" customHeight="1" x14ac:dyDescent="0.2">
      <c r="A444" s="101">
        <f t="shared" si="59"/>
        <v>442</v>
      </c>
      <c r="B444" s="77" t="s">
        <v>344</v>
      </c>
      <c r="C444" s="102" t="str">
        <f>IF($B444&lt;&gt;"",_xlfn.IFNA(VLOOKUP($B444,'Node Details'!$B:$U,C$1,0),"Check"),"")</f>
        <v>000000AXY-0000AXY17</v>
      </c>
      <c r="D444" s="102" t="str">
        <f>IF($B444&lt;&gt;"",_xlfn.IFNA(VLOOKUP($B444,'Node Details'!$B:$U,D$1,0),"Check"),"")</f>
        <v>AXY</v>
      </c>
      <c r="E444" s="102" t="str">
        <f>IF($B444&lt;&gt;"",_xlfn.IFNA(VLOOKUP($B444,'Node Details'!$B:$U,E$1,0),"Check"),"")</f>
        <v>Airtel</v>
      </c>
      <c r="F444" s="103">
        <v>46113</v>
      </c>
      <c r="G444" s="105"/>
      <c r="H444" s="104" t="s">
        <v>189</v>
      </c>
      <c r="I444" s="9">
        <v>42</v>
      </c>
      <c r="J444" s="9"/>
      <c r="K444" s="102">
        <f t="shared" si="65"/>
        <v>0</v>
      </c>
      <c r="L444" s="80">
        <v>46112</v>
      </c>
      <c r="M444" s="105"/>
      <c r="N444" s="95" t="s">
        <v>372</v>
      </c>
      <c r="O444" s="96"/>
      <c r="P444" s="106">
        <f t="shared" si="60"/>
        <v>0</v>
      </c>
      <c r="Q444" s="106">
        <f t="shared" si="61"/>
        <v>0</v>
      </c>
      <c r="R444" s="106"/>
      <c r="S444" s="95" t="s">
        <v>185</v>
      </c>
      <c r="T444" s="96"/>
      <c r="U444" s="106">
        <f t="shared" si="62"/>
        <v>0</v>
      </c>
      <c r="V444" s="106">
        <f t="shared" si="63"/>
        <v>42</v>
      </c>
      <c r="W444" s="105">
        <f t="shared" si="64"/>
        <v>0</v>
      </c>
      <c r="X444" s="95" t="s">
        <v>186</v>
      </c>
      <c r="Y444" s="107" t="s">
        <v>181</v>
      </c>
      <c r="Z444" s="107" t="s">
        <v>176</v>
      </c>
    </row>
    <row r="445" spans="1:26" s="107" customFormat="1" ht="15" customHeight="1" x14ac:dyDescent="0.2">
      <c r="A445" s="101">
        <f t="shared" si="59"/>
        <v>443</v>
      </c>
      <c r="B445" s="77" t="s">
        <v>348</v>
      </c>
      <c r="C445" s="102" t="str">
        <f>IF($B445&lt;&gt;"",_xlfn.IFNA(VLOOKUP($B445,'Node Details'!$B:$U,C$1,0),"Check"),"")</f>
        <v>0000AXY15-AXY150104</v>
      </c>
      <c r="D445" s="102" t="str">
        <f>IF($B445&lt;&gt;"",_xlfn.IFNA(VLOOKUP($B445,'Node Details'!$B:$U,D$1,0),"Check"),"")</f>
        <v>AXY</v>
      </c>
      <c r="E445" s="102" t="str">
        <f>IF($B445&lt;&gt;"",_xlfn.IFNA(VLOOKUP($B445,'Node Details'!$B:$U,E$1,0),"Check"),"")</f>
        <v>Airtel</v>
      </c>
      <c r="F445" s="103">
        <v>46113</v>
      </c>
      <c r="G445" s="105"/>
      <c r="H445" s="104" t="s">
        <v>189</v>
      </c>
      <c r="I445" s="9">
        <v>2</v>
      </c>
      <c r="J445" s="9"/>
      <c r="K445" s="102">
        <f t="shared" si="65"/>
        <v>0</v>
      </c>
      <c r="L445" s="80">
        <v>46112</v>
      </c>
      <c r="M445" s="105"/>
      <c r="N445" s="95" t="s">
        <v>372</v>
      </c>
      <c r="O445" s="96"/>
      <c r="P445" s="106">
        <f t="shared" si="60"/>
        <v>0</v>
      </c>
      <c r="Q445" s="106">
        <f t="shared" si="61"/>
        <v>0</v>
      </c>
      <c r="R445" s="106"/>
      <c r="S445" s="95" t="s">
        <v>185</v>
      </c>
      <c r="T445" s="96"/>
      <c r="U445" s="106">
        <f t="shared" si="62"/>
        <v>0</v>
      </c>
      <c r="V445" s="106">
        <f t="shared" si="63"/>
        <v>2</v>
      </c>
      <c r="W445" s="105">
        <f t="shared" si="64"/>
        <v>0</v>
      </c>
      <c r="X445" s="95" t="s">
        <v>186</v>
      </c>
      <c r="Y445" s="107" t="s">
        <v>181</v>
      </c>
      <c r="Z445" s="107" t="s">
        <v>176</v>
      </c>
    </row>
    <row r="446" spans="1:26" s="107" customFormat="1" ht="15" customHeight="1" x14ac:dyDescent="0.2">
      <c r="A446" s="101">
        <f t="shared" si="59"/>
        <v>444</v>
      </c>
      <c r="B446" s="77" t="s">
        <v>352</v>
      </c>
      <c r="C446" s="102" t="str">
        <f>IF($B446&lt;&gt;"",_xlfn.IFNA(VLOOKUP($B446,'Node Details'!$B:$U,C$1,0),"Check"),"")</f>
        <v>000000AXY-0000AXY17</v>
      </c>
      <c r="D446" s="102" t="str">
        <f>IF($B446&lt;&gt;"",_xlfn.IFNA(VLOOKUP($B446,'Node Details'!$B:$U,D$1,0),"Check"),"")</f>
        <v>AXY</v>
      </c>
      <c r="E446" s="102" t="str">
        <f>IF($B446&lt;&gt;"",_xlfn.IFNA(VLOOKUP($B446,'Node Details'!$B:$U,E$1,0),"Check"),"")</f>
        <v>Airtel</v>
      </c>
      <c r="F446" s="103">
        <v>46113</v>
      </c>
      <c r="G446" s="105"/>
      <c r="H446" s="104" t="s">
        <v>189</v>
      </c>
      <c r="I446" s="9">
        <v>42</v>
      </c>
      <c r="J446" s="9"/>
      <c r="K446" s="102">
        <f t="shared" si="65"/>
        <v>0</v>
      </c>
      <c r="L446" s="80">
        <v>46112</v>
      </c>
      <c r="M446" s="105"/>
      <c r="N446" s="95" t="s">
        <v>372</v>
      </c>
      <c r="O446" s="96"/>
      <c r="P446" s="106">
        <f t="shared" si="60"/>
        <v>0</v>
      </c>
      <c r="Q446" s="106">
        <f t="shared" si="61"/>
        <v>0</v>
      </c>
      <c r="R446" s="106"/>
      <c r="S446" s="95" t="s">
        <v>185</v>
      </c>
      <c r="T446" s="96"/>
      <c r="U446" s="106">
        <f t="shared" si="62"/>
        <v>0</v>
      </c>
      <c r="V446" s="106">
        <f t="shared" si="63"/>
        <v>42</v>
      </c>
      <c r="W446" s="105">
        <f t="shared" si="64"/>
        <v>0</v>
      </c>
      <c r="X446" s="95" t="s">
        <v>186</v>
      </c>
      <c r="Y446" s="107" t="s">
        <v>181</v>
      </c>
      <c r="Z446" s="107" t="s">
        <v>176</v>
      </c>
    </row>
    <row r="447" spans="1:26" s="107" customFormat="1" ht="15" customHeight="1" x14ac:dyDescent="0.2">
      <c r="A447" s="101">
        <f t="shared" si="59"/>
        <v>445</v>
      </c>
      <c r="B447" s="77" t="s">
        <v>353</v>
      </c>
      <c r="C447" s="102" t="str">
        <f>IF($B447&lt;&gt;"",_xlfn.IFNA(VLOOKUP($B447,'Node Details'!$B:$U,C$1,0),"Check"),"")</f>
        <v>0000AXY16-AXY160104</v>
      </c>
      <c r="D447" s="102" t="str">
        <f>IF($B447&lt;&gt;"",_xlfn.IFNA(VLOOKUP($B447,'Node Details'!$B:$U,D$1,0),"Check"),"")</f>
        <v>AXY</v>
      </c>
      <c r="E447" s="102" t="str">
        <f>IF($B447&lt;&gt;"",_xlfn.IFNA(VLOOKUP($B447,'Node Details'!$B:$U,E$1,0),"Check"),"")</f>
        <v>Airtel</v>
      </c>
      <c r="F447" s="103">
        <v>46113</v>
      </c>
      <c r="G447" s="105"/>
      <c r="H447" s="104" t="s">
        <v>189</v>
      </c>
      <c r="I447" s="9">
        <v>4</v>
      </c>
      <c r="J447" s="9"/>
      <c r="K447" s="102">
        <f t="shared" si="65"/>
        <v>0</v>
      </c>
      <c r="L447" s="80">
        <v>46112</v>
      </c>
      <c r="M447" s="105"/>
      <c r="N447" s="95" t="s">
        <v>372</v>
      </c>
      <c r="O447" s="96"/>
      <c r="P447" s="106">
        <f t="shared" si="60"/>
        <v>0</v>
      </c>
      <c r="Q447" s="106">
        <f t="shared" si="61"/>
        <v>0</v>
      </c>
      <c r="R447" s="106"/>
      <c r="S447" s="95" t="s">
        <v>185</v>
      </c>
      <c r="T447" s="96"/>
      <c r="U447" s="106">
        <f t="shared" si="62"/>
        <v>0</v>
      </c>
      <c r="V447" s="106">
        <f t="shared" si="63"/>
        <v>4</v>
      </c>
      <c r="W447" s="105">
        <f t="shared" si="64"/>
        <v>0</v>
      </c>
      <c r="X447" s="95" t="s">
        <v>186</v>
      </c>
      <c r="Y447" s="107" t="s">
        <v>181</v>
      </c>
      <c r="Z447" s="107" t="s">
        <v>176</v>
      </c>
    </row>
    <row r="448" spans="1:26" s="107" customFormat="1" ht="15" customHeight="1" x14ac:dyDescent="0.2">
      <c r="A448" s="101">
        <f t="shared" si="59"/>
        <v>446</v>
      </c>
      <c r="B448" s="77" t="s">
        <v>357</v>
      </c>
      <c r="C448" s="102" t="str">
        <f>IF($B448&lt;&gt;"",_xlfn.IFNA(VLOOKUP($B448,'Node Details'!$B:$U,C$1,0),"Check"),"")</f>
        <v>0000AXY16-AXY160107</v>
      </c>
      <c r="D448" s="102" t="str">
        <f>IF($B448&lt;&gt;"",_xlfn.IFNA(VLOOKUP($B448,'Node Details'!$B:$U,D$1,0),"Check"),"")</f>
        <v>AXY</v>
      </c>
      <c r="E448" s="102" t="str">
        <f>IF($B448&lt;&gt;"",_xlfn.IFNA(VLOOKUP($B448,'Node Details'!$B:$U,E$1,0),"Check"),"")</f>
        <v>Airtel</v>
      </c>
      <c r="F448" s="103">
        <v>46113</v>
      </c>
      <c r="G448" s="105"/>
      <c r="H448" s="104" t="s">
        <v>189</v>
      </c>
      <c r="I448" s="9">
        <v>2</v>
      </c>
      <c r="J448" s="9"/>
      <c r="K448" s="102">
        <f t="shared" si="65"/>
        <v>0</v>
      </c>
      <c r="L448" s="80">
        <v>46112</v>
      </c>
      <c r="M448" s="105"/>
      <c r="N448" s="95" t="s">
        <v>372</v>
      </c>
      <c r="O448" s="96"/>
      <c r="P448" s="106">
        <f t="shared" si="60"/>
        <v>0</v>
      </c>
      <c r="Q448" s="106">
        <f t="shared" si="61"/>
        <v>0</v>
      </c>
      <c r="R448" s="106"/>
      <c r="S448" s="95" t="s">
        <v>185</v>
      </c>
      <c r="T448" s="96"/>
      <c r="U448" s="106">
        <f t="shared" si="62"/>
        <v>0</v>
      </c>
      <c r="V448" s="106">
        <f t="shared" si="63"/>
        <v>2</v>
      </c>
      <c r="W448" s="105">
        <f t="shared" si="64"/>
        <v>0</v>
      </c>
      <c r="X448" s="95" t="s">
        <v>186</v>
      </c>
      <c r="Y448" s="107" t="s">
        <v>181</v>
      </c>
      <c r="Z448" s="107" t="s">
        <v>176</v>
      </c>
    </row>
    <row r="449" spans="1:26" s="107" customFormat="1" ht="15" customHeight="1" x14ac:dyDescent="0.2">
      <c r="A449" s="101">
        <f t="shared" si="59"/>
        <v>447</v>
      </c>
      <c r="B449" s="77" t="s">
        <v>361</v>
      </c>
      <c r="C449" s="102" t="str">
        <f>IF($B449&lt;&gt;"",_xlfn.IFNA(VLOOKUP($B449,'Node Details'!$B:$U,C$1,0),"Check"),"")</f>
        <v>000000AXY-0000AXY17</v>
      </c>
      <c r="D449" s="102" t="str">
        <f>IF($B449&lt;&gt;"",_xlfn.IFNA(VLOOKUP($B449,'Node Details'!$B:$U,D$1,0),"Check"),"")</f>
        <v>AXY</v>
      </c>
      <c r="E449" s="102" t="str">
        <f>IF($B449&lt;&gt;"",_xlfn.IFNA(VLOOKUP($B449,'Node Details'!$B:$U,E$1,0),"Check"),"")</f>
        <v>Airtel</v>
      </c>
      <c r="F449" s="103">
        <v>46113</v>
      </c>
      <c r="G449" s="105"/>
      <c r="H449" s="104" t="s">
        <v>189</v>
      </c>
      <c r="I449" s="9">
        <v>42</v>
      </c>
      <c r="J449" s="9"/>
      <c r="K449" s="102">
        <f t="shared" si="65"/>
        <v>0</v>
      </c>
      <c r="L449" s="80">
        <v>46112</v>
      </c>
      <c r="M449" s="105"/>
      <c r="N449" s="95" t="s">
        <v>372</v>
      </c>
      <c r="O449" s="96"/>
      <c r="P449" s="106">
        <f t="shared" si="60"/>
        <v>0</v>
      </c>
      <c r="Q449" s="106">
        <f t="shared" si="61"/>
        <v>0</v>
      </c>
      <c r="R449" s="106"/>
      <c r="S449" s="95" t="s">
        <v>185</v>
      </c>
      <c r="T449" s="96"/>
      <c r="U449" s="106">
        <f t="shared" si="62"/>
        <v>0</v>
      </c>
      <c r="V449" s="106">
        <f t="shared" si="63"/>
        <v>42</v>
      </c>
      <c r="W449" s="105">
        <f t="shared" si="64"/>
        <v>0</v>
      </c>
      <c r="X449" s="95" t="s">
        <v>186</v>
      </c>
      <c r="Y449" s="107" t="s">
        <v>181</v>
      </c>
      <c r="Z449" s="107" t="s">
        <v>176</v>
      </c>
    </row>
    <row r="450" spans="1:26" s="107" customFormat="1" ht="15" customHeight="1" x14ac:dyDescent="0.2">
      <c r="A450" s="101">
        <f t="shared" si="59"/>
        <v>448</v>
      </c>
      <c r="B450" s="77" t="s">
        <v>366</v>
      </c>
      <c r="C450" s="102" t="str">
        <f>IF($B450&lt;&gt;"",_xlfn.IFNA(VLOOKUP($B450,'Node Details'!$B:$U,C$1,0),"Check"),"")</f>
        <v>0000AXY17-AXY170201</v>
      </c>
      <c r="D450" s="102" t="str">
        <f>IF($B450&lt;&gt;"",_xlfn.IFNA(VLOOKUP($B450,'Node Details'!$B:$U,D$1,0),"Check"),"")</f>
        <v>AXY</v>
      </c>
      <c r="E450" s="102" t="str">
        <f>IF($B450&lt;&gt;"",_xlfn.IFNA(VLOOKUP($B450,'Node Details'!$B:$U,E$1,0),"Check"),"")</f>
        <v>Airtel</v>
      </c>
      <c r="F450" s="103">
        <v>46113</v>
      </c>
      <c r="G450" s="105"/>
      <c r="H450" s="104" t="s">
        <v>189</v>
      </c>
      <c r="I450" s="9">
        <v>2</v>
      </c>
      <c r="J450" s="9"/>
      <c r="K450" s="102">
        <f t="shared" si="65"/>
        <v>0</v>
      </c>
      <c r="L450" s="80">
        <v>46112</v>
      </c>
      <c r="M450" s="105"/>
      <c r="N450" s="95" t="s">
        <v>372</v>
      </c>
      <c r="O450" s="96"/>
      <c r="P450" s="106">
        <f t="shared" si="60"/>
        <v>0</v>
      </c>
      <c r="Q450" s="106">
        <f t="shared" si="61"/>
        <v>0</v>
      </c>
      <c r="R450" s="106"/>
      <c r="S450" s="95" t="s">
        <v>185</v>
      </c>
      <c r="T450" s="96"/>
      <c r="U450" s="106">
        <f t="shared" si="62"/>
        <v>0</v>
      </c>
      <c r="V450" s="106">
        <f t="shared" si="63"/>
        <v>2</v>
      </c>
      <c r="W450" s="105">
        <f t="shared" si="64"/>
        <v>0</v>
      </c>
      <c r="X450" s="95" t="s">
        <v>186</v>
      </c>
      <c r="Y450" s="107" t="s">
        <v>181</v>
      </c>
      <c r="Z450" s="107" t="s">
        <v>176</v>
      </c>
    </row>
    <row r="451" spans="1:26" s="107" customFormat="1" ht="15" customHeight="1" x14ac:dyDescent="0.2">
      <c r="A451" s="101">
        <f t="shared" si="59"/>
        <v>449</v>
      </c>
      <c r="B451" s="77" t="s">
        <v>224</v>
      </c>
      <c r="C451" s="102" t="str">
        <f>IF($B451&lt;&gt;"",_xlfn.IFNA(VLOOKUP($B451,'Node Details'!$B:$U,C$1,0),"Check"),"")</f>
        <v>000000AXY-0000AXY12</v>
      </c>
      <c r="D451" s="102" t="str">
        <f>IF($B451&lt;&gt;"",_xlfn.IFNA(VLOOKUP($B451,'Node Details'!$B:$U,D$1,0),"Check"),"")</f>
        <v>AXY</v>
      </c>
      <c r="E451" s="102" t="str">
        <f>IF($B451&lt;&gt;"",_xlfn.IFNA(VLOOKUP($B451,'Node Details'!$B:$U,E$1,0),"Check"),"")</f>
        <v>Airtel</v>
      </c>
      <c r="F451" s="103">
        <v>46113</v>
      </c>
      <c r="G451" s="105"/>
      <c r="H451" s="104" t="s">
        <v>371</v>
      </c>
      <c r="I451" s="9">
        <v>1</v>
      </c>
      <c r="J451" s="9">
        <v>4600</v>
      </c>
      <c r="K451" s="102">
        <f t="shared" si="65"/>
        <v>4600</v>
      </c>
      <c r="L451" s="80">
        <v>46112</v>
      </c>
      <c r="M451" s="105"/>
      <c r="N451" s="95" t="s">
        <v>372</v>
      </c>
      <c r="O451" s="96"/>
      <c r="P451" s="106">
        <f t="shared" si="60"/>
        <v>4600</v>
      </c>
      <c r="Q451" s="106">
        <f t="shared" si="61"/>
        <v>4600</v>
      </c>
      <c r="R451" s="106"/>
      <c r="S451" s="95" t="s">
        <v>185</v>
      </c>
      <c r="T451" s="96"/>
      <c r="U451" s="106">
        <f t="shared" si="62"/>
        <v>4600</v>
      </c>
      <c r="V451" s="106">
        <f t="shared" si="63"/>
        <v>1</v>
      </c>
      <c r="W451" s="105">
        <f t="shared" si="64"/>
        <v>4600</v>
      </c>
      <c r="X451" s="95" t="s">
        <v>186</v>
      </c>
      <c r="Y451" s="107" t="s">
        <v>181</v>
      </c>
      <c r="Z451" s="107" t="s">
        <v>176</v>
      </c>
    </row>
  </sheetData>
  <autoFilter ref="A2:Z451" xr:uid="{00000000-0001-0000-0600-000000000000}"/>
  <conditionalFormatting sqref="B3:B61">
    <cfRule type="duplicateValues" dxfId="1" priority="7"/>
  </conditionalFormatting>
  <conditionalFormatting sqref="B73:B451">
    <cfRule type="duplicateValues" dxfId="0" priority="634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3134C-5592-4D19-989A-3C9B6F971A3F}">
  <dimension ref="A1:V9"/>
  <sheetViews>
    <sheetView workbookViewId="0">
      <pane xSplit="4" ySplit="1" topLeftCell="E2" activePane="bottomRight" state="frozen"/>
      <selection pane="topRight" activeCell="J1" sqref="J1:K1048576"/>
      <selection pane="bottomLeft" activeCell="J1" sqref="J1:K1048576"/>
      <selection pane="bottomRight" activeCell="B2" sqref="B2:C9"/>
    </sheetView>
  </sheetViews>
  <sheetFormatPr defaultRowHeight="15" x14ac:dyDescent="0.25"/>
  <cols>
    <col min="8" max="8" width="10.28515625" bestFit="1" customWidth="1"/>
    <col min="9" max="13" width="10.28515625" customWidth="1"/>
    <col min="15" max="15" width="11.7109375" bestFit="1" customWidth="1"/>
  </cols>
  <sheetData>
    <row r="1" spans="1:22" ht="36" x14ac:dyDescent="0.25">
      <c r="A1" s="43" t="s">
        <v>89</v>
      </c>
      <c r="B1" s="43" t="s">
        <v>90</v>
      </c>
      <c r="C1" s="43" t="s">
        <v>52</v>
      </c>
      <c r="D1" s="43" t="s">
        <v>91</v>
      </c>
      <c r="E1" s="43" t="s">
        <v>92</v>
      </c>
      <c r="F1" s="43" t="s">
        <v>93</v>
      </c>
      <c r="G1" s="43" t="s">
        <v>94</v>
      </c>
      <c r="H1" s="43" t="s">
        <v>55</v>
      </c>
      <c r="I1" s="43" t="s">
        <v>95</v>
      </c>
      <c r="J1" s="43" t="s">
        <v>96</v>
      </c>
      <c r="K1" s="43" t="s">
        <v>97</v>
      </c>
      <c r="L1" s="43" t="s">
        <v>98</v>
      </c>
      <c r="M1" s="43" t="s">
        <v>99</v>
      </c>
      <c r="N1" s="43" t="s">
        <v>100</v>
      </c>
      <c r="O1" s="43" t="s">
        <v>101</v>
      </c>
      <c r="P1" s="43" t="s">
        <v>102</v>
      </c>
      <c r="Q1" s="43" t="s">
        <v>103</v>
      </c>
      <c r="R1" s="43" t="s">
        <v>104</v>
      </c>
      <c r="S1" s="43" t="s">
        <v>105</v>
      </c>
      <c r="T1" s="43" t="s">
        <v>106</v>
      </c>
      <c r="U1" s="43" t="s">
        <v>107</v>
      </c>
      <c r="V1" s="43" t="s">
        <v>108</v>
      </c>
    </row>
    <row r="2" spans="1:22" x14ac:dyDescent="0.25">
      <c r="A2" s="44">
        <v>1</v>
      </c>
      <c r="B2" s="45">
        <v>1</v>
      </c>
      <c r="C2" s="46">
        <v>45658</v>
      </c>
      <c r="D2" s="46"/>
      <c r="E2" s="47"/>
      <c r="F2" s="47"/>
      <c r="G2" s="47"/>
      <c r="H2" s="48" t="s">
        <v>109</v>
      </c>
      <c r="I2" s="47"/>
      <c r="J2" s="47"/>
      <c r="K2" s="47"/>
      <c r="L2" s="47"/>
      <c r="M2" s="47"/>
      <c r="N2" s="47"/>
      <c r="O2" s="47">
        <f>SUMIFS('Route-Details'!X:X,'Route-Details'!Z:Z,'PO Details'!B2,'Route-Details'!AA:AA,'PO Details'!C2,'Route-Details'!V:V,'PO Details'!H2)</f>
        <v>0</v>
      </c>
      <c r="P2" s="47"/>
      <c r="Q2" s="47"/>
      <c r="R2" s="47"/>
      <c r="S2" s="47"/>
      <c r="T2" s="47"/>
      <c r="U2" s="48"/>
      <c r="V2" s="48"/>
    </row>
    <row r="3" spans="1:22" x14ac:dyDescent="0.25">
      <c r="A3" s="44">
        <f>A2+1</f>
        <v>2</v>
      </c>
      <c r="B3" s="45">
        <v>1</v>
      </c>
      <c r="C3" s="46">
        <v>45658</v>
      </c>
      <c r="D3" s="46"/>
      <c r="E3" s="47"/>
      <c r="F3" s="47"/>
      <c r="G3" s="47"/>
      <c r="H3" s="48" t="s">
        <v>76</v>
      </c>
      <c r="I3" s="47"/>
      <c r="J3" s="47"/>
      <c r="K3" s="47"/>
      <c r="L3" s="47"/>
      <c r="M3" s="47"/>
      <c r="N3" s="47"/>
      <c r="O3" s="47">
        <f>SUMIFS('Route-Details'!X:X,'Route-Details'!Z:Z,'PO Details'!B3,'Route-Details'!AA:AA,'PO Details'!C3,'Route-Details'!V:V,'PO Details'!H3)</f>
        <v>0</v>
      </c>
      <c r="P3" s="47"/>
      <c r="Q3" s="47"/>
      <c r="R3" s="47"/>
      <c r="S3" s="47"/>
      <c r="T3" s="47"/>
      <c r="U3" s="48"/>
      <c r="V3" s="48"/>
    </row>
    <row r="4" spans="1:22" x14ac:dyDescent="0.25">
      <c r="A4" s="44">
        <f t="shared" ref="A4:A9" si="0">A3+1</f>
        <v>3</v>
      </c>
      <c r="B4" s="45">
        <v>1</v>
      </c>
      <c r="C4" s="46">
        <v>45658</v>
      </c>
      <c r="D4" s="46"/>
      <c r="E4" s="47"/>
      <c r="F4" s="47"/>
      <c r="G4" s="47"/>
      <c r="H4" s="48" t="s">
        <v>75</v>
      </c>
      <c r="I4" s="47"/>
      <c r="J4" s="47"/>
      <c r="K4" s="47"/>
      <c r="L4" s="47"/>
      <c r="M4" s="47"/>
      <c r="N4" s="47"/>
      <c r="O4" s="47">
        <f>SUMIFS('Route-Details'!X:X,'Route-Details'!Z:Z,'PO Details'!B4,'Route-Details'!AA:AA,'PO Details'!C4,'Route-Details'!V:V,'PO Details'!H4)</f>
        <v>0</v>
      </c>
      <c r="P4" s="47"/>
      <c r="Q4" s="47"/>
      <c r="R4" s="47"/>
      <c r="S4" s="47"/>
      <c r="T4" s="47"/>
      <c r="U4" s="48"/>
      <c r="V4" s="48"/>
    </row>
    <row r="5" spans="1:22" x14ac:dyDescent="0.25">
      <c r="A5" s="44">
        <f t="shared" si="0"/>
        <v>4</v>
      </c>
      <c r="B5" s="45">
        <v>1</v>
      </c>
      <c r="C5" s="46">
        <v>45658</v>
      </c>
      <c r="D5" s="46"/>
      <c r="E5" s="47"/>
      <c r="F5" s="47"/>
      <c r="G5" s="47"/>
      <c r="H5" s="48" t="s">
        <v>110</v>
      </c>
      <c r="I5" s="47"/>
      <c r="J5" s="47"/>
      <c r="K5" s="47"/>
      <c r="L5" s="47"/>
      <c r="M5" s="47"/>
      <c r="N5" s="47"/>
      <c r="O5" s="47">
        <f>SUMIFS('Route-Details'!X:X,'Route-Details'!Z:Z,'PO Details'!B5,'Route-Details'!AA:AA,'PO Details'!C5,'Route-Details'!V:V,'PO Details'!H5)</f>
        <v>0</v>
      </c>
      <c r="P5" s="47"/>
      <c r="Q5" s="47"/>
      <c r="R5" s="47"/>
      <c r="S5" s="47"/>
      <c r="T5" s="47"/>
      <c r="U5" s="48"/>
      <c r="V5" s="48"/>
    </row>
    <row r="6" spans="1:22" x14ac:dyDescent="0.25">
      <c r="A6" s="44">
        <f t="shared" si="0"/>
        <v>5</v>
      </c>
      <c r="B6" s="45">
        <v>2</v>
      </c>
      <c r="C6" s="46">
        <v>45690</v>
      </c>
      <c r="D6" s="46"/>
      <c r="E6" s="47"/>
      <c r="F6" s="47"/>
      <c r="G6" s="47"/>
      <c r="H6" s="48" t="s">
        <v>109</v>
      </c>
      <c r="I6" s="47"/>
      <c r="J6" s="47"/>
      <c r="K6" s="47"/>
      <c r="L6" s="47"/>
      <c r="M6" s="47"/>
      <c r="N6" s="47"/>
      <c r="O6" s="47">
        <f>SUMIFS('Route-Details'!X:X,'Route-Details'!Z:Z,'PO Details'!B6,'Route-Details'!AA:AA,'PO Details'!C6,'Route-Details'!V:V,'PO Details'!H6)</f>
        <v>0</v>
      </c>
      <c r="P6" s="47"/>
      <c r="Q6" s="47"/>
      <c r="R6" s="47"/>
      <c r="S6" s="47"/>
      <c r="T6" s="47"/>
      <c r="U6" s="48"/>
      <c r="V6" s="48"/>
    </row>
    <row r="7" spans="1:22" x14ac:dyDescent="0.25">
      <c r="A7" s="44">
        <f t="shared" si="0"/>
        <v>6</v>
      </c>
      <c r="B7" s="45">
        <v>2</v>
      </c>
      <c r="C7" s="46">
        <v>45690</v>
      </c>
      <c r="D7" s="46"/>
      <c r="E7" s="47"/>
      <c r="F7" s="47"/>
      <c r="G7" s="47"/>
      <c r="H7" s="48" t="s">
        <v>76</v>
      </c>
      <c r="I7" s="47"/>
      <c r="J7" s="47"/>
      <c r="K7" s="47"/>
      <c r="L7" s="47"/>
      <c r="M7" s="47"/>
      <c r="N7" s="47"/>
      <c r="O7" s="47">
        <f>SUMIFS('Route-Details'!X:X,'Route-Details'!Z:Z,'PO Details'!B7,'Route-Details'!AA:AA,'PO Details'!C7,'Route-Details'!V:V,'PO Details'!H7)</f>
        <v>0</v>
      </c>
      <c r="P7" s="47"/>
      <c r="Q7" s="47"/>
      <c r="R7" s="47"/>
      <c r="S7" s="47"/>
      <c r="T7" s="47"/>
      <c r="U7" s="48"/>
      <c r="V7" s="48"/>
    </row>
    <row r="8" spans="1:22" x14ac:dyDescent="0.25">
      <c r="A8" s="44">
        <f t="shared" si="0"/>
        <v>7</v>
      </c>
      <c r="B8" s="45">
        <v>2</v>
      </c>
      <c r="C8" s="46">
        <v>45690</v>
      </c>
      <c r="D8" s="46"/>
      <c r="E8" s="47"/>
      <c r="F8" s="47"/>
      <c r="G8" s="47"/>
      <c r="H8" s="48" t="s">
        <v>75</v>
      </c>
      <c r="I8" s="47"/>
      <c r="J8" s="47"/>
      <c r="K8" s="47"/>
      <c r="L8" s="47"/>
      <c r="M8" s="47"/>
      <c r="N8" s="47"/>
      <c r="O8" s="47">
        <f>SUMIFS('Route-Details'!X:X,'Route-Details'!Z:Z,'PO Details'!B8,'Route-Details'!AA:AA,'PO Details'!C8,'Route-Details'!V:V,'PO Details'!H8)</f>
        <v>0</v>
      </c>
      <c r="P8" s="47"/>
      <c r="Q8" s="47"/>
      <c r="R8" s="47"/>
      <c r="S8" s="47"/>
      <c r="T8" s="47"/>
      <c r="U8" s="48"/>
      <c r="V8" s="48"/>
    </row>
    <row r="9" spans="1:22" x14ac:dyDescent="0.25">
      <c r="A9" s="44">
        <f t="shared" si="0"/>
        <v>8</v>
      </c>
      <c r="B9" s="45">
        <v>2</v>
      </c>
      <c r="C9" s="46">
        <v>45690</v>
      </c>
      <c r="D9" s="46"/>
      <c r="E9" s="47"/>
      <c r="F9" s="47"/>
      <c r="G9" s="47"/>
      <c r="H9" s="48" t="s">
        <v>110</v>
      </c>
      <c r="I9" s="47"/>
      <c r="J9" s="47"/>
      <c r="K9" s="47"/>
      <c r="L9" s="47"/>
      <c r="M9" s="47"/>
      <c r="N9" s="47"/>
      <c r="O9" s="47">
        <f>SUMIFS('Route-Details'!X:X,'Route-Details'!Z:Z,'PO Details'!B9,'Route-Details'!AA:AA,'PO Details'!C9,'Route-Details'!V:V,'PO Details'!H9)</f>
        <v>0</v>
      </c>
      <c r="P9" s="47"/>
      <c r="Q9" s="47"/>
      <c r="R9" s="47"/>
      <c r="S9" s="47"/>
      <c r="T9" s="47"/>
      <c r="U9" s="48"/>
      <c r="V9" s="48"/>
    </row>
  </sheetData>
  <dataValidations count="3">
    <dataValidation type="list" allowBlank="1" showInputMessage="1" showErrorMessage="1" sqref="D2:D9" xr:uid="{9B9DE9DE-B3C6-43AF-91D8-572280FC6F0B}">
      <formula1>"Fresh, Renewal"</formula1>
    </dataValidation>
    <dataValidation type="list" allowBlank="1" showInputMessage="1" showErrorMessage="1" sqref="G2:G9" xr:uid="{ECDF4BBF-8D15-42BB-BC3F-26B6D6C71455}">
      <formula1>"1,2,3,5"</formula1>
    </dataValidation>
    <dataValidation type="list" allowBlank="1" showInputMessage="1" showErrorMessage="1" sqref="H2:H9" xr:uid="{18458188-6F1B-4F15-9B5C-8353A3617F39}">
      <formula1>"6F,12F,24F,48F"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CF832-C178-4AF7-ADFB-42F21AE2FE6A}">
  <dimension ref="A1:K9"/>
  <sheetViews>
    <sheetView workbookViewId="0">
      <selection activeCell="B1" sqref="B1"/>
    </sheetView>
  </sheetViews>
  <sheetFormatPr defaultRowHeight="15" x14ac:dyDescent="0.25"/>
  <sheetData>
    <row r="1" spans="1:11" ht="24" x14ac:dyDescent="0.25">
      <c r="A1" s="43" t="s">
        <v>89</v>
      </c>
      <c r="B1" s="43" t="s">
        <v>85</v>
      </c>
      <c r="C1" s="43" t="s">
        <v>92</v>
      </c>
      <c r="D1" s="43" t="s">
        <v>41</v>
      </c>
      <c r="E1" s="43" t="s">
        <v>111</v>
      </c>
      <c r="F1" s="43" t="s">
        <v>9</v>
      </c>
      <c r="G1" s="43" t="s">
        <v>112</v>
      </c>
      <c r="H1" s="43" t="s">
        <v>113</v>
      </c>
      <c r="I1" s="43" t="s">
        <v>106</v>
      </c>
      <c r="J1" s="43" t="s">
        <v>107</v>
      </c>
      <c r="K1" s="43" t="s">
        <v>108</v>
      </c>
    </row>
    <row r="2" spans="1:11" x14ac:dyDescent="0.25">
      <c r="A2" s="44">
        <v>1</v>
      </c>
      <c r="B2" s="44"/>
      <c r="C2" s="45"/>
      <c r="D2" s="46"/>
      <c r="E2" s="46"/>
      <c r="F2" s="48"/>
      <c r="G2" s="48"/>
      <c r="H2" s="48"/>
      <c r="I2" s="48"/>
      <c r="J2" s="48"/>
      <c r="K2" s="48"/>
    </row>
    <row r="3" spans="1:11" x14ac:dyDescent="0.25">
      <c r="A3" s="44">
        <f>A2+1</f>
        <v>2</v>
      </c>
      <c r="B3" s="44"/>
      <c r="C3" s="45"/>
      <c r="D3" s="46"/>
      <c r="E3" s="46"/>
      <c r="F3" s="48"/>
      <c r="G3" s="48"/>
      <c r="H3" s="48"/>
      <c r="I3" s="48"/>
      <c r="J3" s="48"/>
      <c r="K3" s="48"/>
    </row>
    <row r="4" spans="1:11" x14ac:dyDescent="0.25">
      <c r="A4" s="44">
        <f t="shared" ref="A4:A9" si="0">A3+1</f>
        <v>3</v>
      </c>
      <c r="B4" s="44"/>
      <c r="C4" s="45"/>
      <c r="D4" s="46"/>
      <c r="E4" s="46"/>
      <c r="F4" s="48"/>
      <c r="G4" s="48"/>
      <c r="H4" s="48"/>
      <c r="I4" s="48"/>
      <c r="J4" s="48"/>
      <c r="K4" s="48"/>
    </row>
    <row r="5" spans="1:11" x14ac:dyDescent="0.25">
      <c r="A5" s="44">
        <f t="shared" si="0"/>
        <v>4</v>
      </c>
      <c r="B5" s="44"/>
      <c r="C5" s="45"/>
      <c r="D5" s="46"/>
      <c r="E5" s="46"/>
      <c r="F5" s="48"/>
      <c r="G5" s="48"/>
      <c r="H5" s="48"/>
      <c r="I5" s="48"/>
      <c r="J5" s="48"/>
      <c r="K5" s="48"/>
    </row>
    <row r="6" spans="1:11" x14ac:dyDescent="0.25">
      <c r="A6" s="44">
        <f t="shared" si="0"/>
        <v>5</v>
      </c>
      <c r="B6" s="44"/>
      <c r="C6" s="45"/>
      <c r="D6" s="46"/>
      <c r="E6" s="46"/>
      <c r="F6" s="48"/>
      <c r="G6" s="48"/>
      <c r="H6" s="48"/>
      <c r="I6" s="48"/>
      <c r="J6" s="48"/>
      <c r="K6" s="48"/>
    </row>
    <row r="7" spans="1:11" x14ac:dyDescent="0.25">
      <c r="A7" s="44">
        <f t="shared" si="0"/>
        <v>6</v>
      </c>
      <c r="B7" s="44"/>
      <c r="C7" s="45"/>
      <c r="D7" s="46"/>
      <c r="E7" s="46"/>
      <c r="F7" s="48"/>
      <c r="G7" s="48"/>
      <c r="H7" s="48"/>
      <c r="I7" s="48"/>
      <c r="J7" s="48"/>
      <c r="K7" s="48"/>
    </row>
    <row r="8" spans="1:11" x14ac:dyDescent="0.25">
      <c r="A8" s="44">
        <f t="shared" si="0"/>
        <v>7</v>
      </c>
      <c r="B8" s="44"/>
      <c r="C8" s="45"/>
      <c r="D8" s="46"/>
      <c r="E8" s="46"/>
      <c r="F8" s="48"/>
      <c r="G8" s="48"/>
      <c r="H8" s="48"/>
      <c r="I8" s="48"/>
      <c r="J8" s="48"/>
      <c r="K8" s="48"/>
    </row>
    <row r="9" spans="1:11" x14ac:dyDescent="0.25">
      <c r="A9" s="44">
        <f t="shared" si="0"/>
        <v>8</v>
      </c>
      <c r="B9" s="44"/>
      <c r="C9" s="45"/>
      <c r="D9" s="46"/>
      <c r="E9" s="46"/>
      <c r="F9" s="48"/>
      <c r="G9" s="48"/>
      <c r="H9" s="48"/>
      <c r="I9" s="48"/>
      <c r="J9" s="48"/>
      <c r="K9" s="4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CE299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F3" sqref="F3:F10"/>
    </sheetView>
  </sheetViews>
  <sheetFormatPr defaultRowHeight="15" x14ac:dyDescent="0.25"/>
  <cols>
    <col min="2" max="2" width="10.42578125" bestFit="1" customWidth="1"/>
    <col min="3" max="3" width="9.5703125" bestFit="1" customWidth="1"/>
    <col min="4" max="4" width="10.28515625" bestFit="1" customWidth="1"/>
    <col min="5" max="5" width="9.5703125" bestFit="1" customWidth="1"/>
    <col min="6" max="6" width="12" bestFit="1" customWidth="1"/>
    <col min="7" max="8" width="12" customWidth="1"/>
    <col min="9" max="9" width="10.5703125" customWidth="1"/>
    <col min="10" max="10" width="12" customWidth="1"/>
    <col min="11" max="11" width="8.85546875" customWidth="1"/>
    <col min="12" max="12" width="10.5703125" customWidth="1"/>
    <col min="13" max="14" width="14.140625" customWidth="1"/>
    <col min="15" max="15" width="7.85546875" bestFit="1" customWidth="1"/>
    <col min="16" max="16" width="7.85546875" customWidth="1"/>
    <col min="17" max="17" width="9" bestFit="1" customWidth="1"/>
    <col min="18" max="18" width="1.7109375" customWidth="1"/>
    <col min="19" max="19" width="15" customWidth="1"/>
    <col min="31" max="31" width="1.7109375" customWidth="1"/>
    <col min="32" max="32" width="12" customWidth="1"/>
    <col min="44" max="44" width="1.7109375" customWidth="1"/>
    <col min="45" max="45" width="12" customWidth="1"/>
    <col min="57" max="57" width="1.7109375" customWidth="1"/>
    <col min="58" max="58" width="12" customWidth="1"/>
    <col min="70" max="70" width="1.7109375" customWidth="1"/>
    <col min="71" max="71" width="12" customWidth="1"/>
    <col min="83" max="83" width="1.7109375" customWidth="1"/>
  </cols>
  <sheetData>
    <row r="1" spans="1:83" x14ac:dyDescent="0.25">
      <c r="C1" s="49" t="s">
        <v>114</v>
      </c>
      <c r="D1" s="50"/>
      <c r="E1" s="53"/>
      <c r="F1" s="50"/>
      <c r="G1" s="50"/>
      <c r="H1" s="50"/>
      <c r="I1" s="54"/>
      <c r="J1" s="50"/>
      <c r="K1" s="50"/>
      <c r="L1" s="54"/>
      <c r="M1" s="50"/>
      <c r="N1" s="50"/>
      <c r="O1" s="50"/>
      <c r="P1" s="50"/>
      <c r="Q1" s="50"/>
      <c r="S1" s="49" t="s">
        <v>115</v>
      </c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F1" s="49" t="s">
        <v>116</v>
      </c>
      <c r="AG1" s="50"/>
      <c r="AH1" s="50"/>
      <c r="AI1" s="50"/>
      <c r="AJ1" s="50"/>
      <c r="AK1" s="50"/>
      <c r="AL1" s="50"/>
      <c r="AM1" s="50"/>
      <c r="AN1" s="50"/>
      <c r="AO1" s="50"/>
      <c r="AP1" s="50"/>
      <c r="AQ1" s="50"/>
      <c r="AS1" s="49" t="s">
        <v>117</v>
      </c>
      <c r="AT1" s="50"/>
      <c r="AU1" s="50"/>
      <c r="AV1" s="50"/>
      <c r="AW1" s="50"/>
      <c r="AX1" s="50"/>
      <c r="AY1" s="50"/>
      <c r="AZ1" s="50"/>
      <c r="BA1" s="50"/>
      <c r="BB1" s="50"/>
      <c r="BC1" s="50"/>
      <c r="BD1" s="50"/>
      <c r="BF1" s="49" t="s">
        <v>118</v>
      </c>
      <c r="BG1" s="50"/>
      <c r="BH1" s="50"/>
      <c r="BI1" s="50"/>
      <c r="BJ1" s="50"/>
      <c r="BK1" s="50"/>
      <c r="BL1" s="50"/>
      <c r="BM1" s="50"/>
      <c r="BN1" s="50"/>
      <c r="BO1" s="50"/>
      <c r="BP1" s="50"/>
      <c r="BQ1" s="50"/>
      <c r="BS1" s="49" t="s">
        <v>119</v>
      </c>
      <c r="BT1" s="50"/>
      <c r="BU1" s="50"/>
      <c r="BV1" s="50"/>
      <c r="BW1" s="50"/>
      <c r="BX1" s="50"/>
      <c r="BY1" s="50"/>
      <c r="BZ1" s="50"/>
      <c r="CA1" s="50"/>
      <c r="CB1" s="50"/>
      <c r="CC1" s="50"/>
      <c r="CD1" s="50"/>
    </row>
    <row r="2" spans="1:83" s="35" customFormat="1" ht="24" customHeight="1" x14ac:dyDescent="0.25">
      <c r="A2" s="31" t="s">
        <v>89</v>
      </c>
      <c r="B2" s="31" t="s">
        <v>85</v>
      </c>
      <c r="C2" s="32" t="s">
        <v>38</v>
      </c>
      <c r="D2" s="32" t="s">
        <v>55</v>
      </c>
      <c r="E2" s="32" t="s">
        <v>41</v>
      </c>
      <c r="F2" s="33" t="s">
        <v>120</v>
      </c>
      <c r="G2" s="32" t="s">
        <v>121</v>
      </c>
      <c r="H2" s="33" t="s">
        <v>122</v>
      </c>
      <c r="I2" s="34" t="s">
        <v>123</v>
      </c>
      <c r="J2" s="32" t="s">
        <v>124</v>
      </c>
      <c r="K2" s="33" t="s">
        <v>125</v>
      </c>
      <c r="L2" s="34" t="s">
        <v>126</v>
      </c>
      <c r="M2" s="34" t="s">
        <v>127</v>
      </c>
      <c r="N2" s="34" t="s">
        <v>128</v>
      </c>
      <c r="O2" s="32" t="s">
        <v>38</v>
      </c>
      <c r="P2" s="57" t="s">
        <v>135</v>
      </c>
      <c r="Q2" s="56" t="s">
        <v>129</v>
      </c>
      <c r="R2" s="51"/>
      <c r="S2" s="33" t="s">
        <v>130</v>
      </c>
      <c r="T2" s="33" t="s">
        <v>55</v>
      </c>
      <c r="U2" s="52" t="s">
        <v>131</v>
      </c>
      <c r="V2" s="33" t="s">
        <v>120</v>
      </c>
      <c r="W2" s="33" t="s">
        <v>121</v>
      </c>
      <c r="X2" s="33" t="s">
        <v>122</v>
      </c>
      <c r="Y2" s="34" t="s">
        <v>123</v>
      </c>
      <c r="Z2" s="33" t="s">
        <v>124</v>
      </c>
      <c r="AA2" s="33" t="s">
        <v>125</v>
      </c>
      <c r="AB2" s="34" t="s">
        <v>126</v>
      </c>
      <c r="AC2" s="34" t="s">
        <v>127</v>
      </c>
      <c r="AD2" s="34" t="s">
        <v>128</v>
      </c>
      <c r="AE2" s="51"/>
      <c r="AF2" s="33" t="s">
        <v>132</v>
      </c>
      <c r="AG2" s="33" t="s">
        <v>55</v>
      </c>
      <c r="AH2" s="52" t="s">
        <v>131</v>
      </c>
      <c r="AI2" s="33" t="s">
        <v>120</v>
      </c>
      <c r="AJ2" s="33" t="s">
        <v>121</v>
      </c>
      <c r="AK2" s="33" t="s">
        <v>122</v>
      </c>
      <c r="AL2" s="34" t="s">
        <v>123</v>
      </c>
      <c r="AM2" s="33" t="s">
        <v>124</v>
      </c>
      <c r="AN2" s="33" t="s">
        <v>125</v>
      </c>
      <c r="AO2" s="34" t="s">
        <v>126</v>
      </c>
      <c r="AP2" s="34" t="s">
        <v>127</v>
      </c>
      <c r="AQ2" s="34" t="s">
        <v>128</v>
      </c>
      <c r="AR2" s="51"/>
      <c r="AS2" s="33" t="s">
        <v>132</v>
      </c>
      <c r="AT2" s="33" t="s">
        <v>55</v>
      </c>
      <c r="AU2" s="52" t="s">
        <v>131</v>
      </c>
      <c r="AV2" s="33" t="s">
        <v>120</v>
      </c>
      <c r="AW2" s="33" t="s">
        <v>121</v>
      </c>
      <c r="AX2" s="33" t="s">
        <v>122</v>
      </c>
      <c r="AY2" s="34" t="s">
        <v>123</v>
      </c>
      <c r="AZ2" s="33" t="s">
        <v>124</v>
      </c>
      <c r="BA2" s="33" t="s">
        <v>125</v>
      </c>
      <c r="BB2" s="34" t="s">
        <v>126</v>
      </c>
      <c r="BC2" s="34" t="s">
        <v>127</v>
      </c>
      <c r="BD2" s="34" t="s">
        <v>128</v>
      </c>
      <c r="BE2" s="51"/>
      <c r="BF2" s="33" t="s">
        <v>132</v>
      </c>
      <c r="BG2" s="33" t="s">
        <v>55</v>
      </c>
      <c r="BH2" s="52" t="s">
        <v>131</v>
      </c>
      <c r="BI2" s="33" t="s">
        <v>120</v>
      </c>
      <c r="BJ2" s="33" t="s">
        <v>121</v>
      </c>
      <c r="BK2" s="33" t="s">
        <v>122</v>
      </c>
      <c r="BL2" s="34" t="s">
        <v>123</v>
      </c>
      <c r="BM2" s="33" t="s">
        <v>124</v>
      </c>
      <c r="BN2" s="33" t="s">
        <v>125</v>
      </c>
      <c r="BO2" s="34" t="s">
        <v>126</v>
      </c>
      <c r="BP2" s="34" t="s">
        <v>127</v>
      </c>
      <c r="BQ2" s="34" t="s">
        <v>128</v>
      </c>
      <c r="BR2" s="51"/>
      <c r="BS2" s="33" t="s">
        <v>132</v>
      </c>
      <c r="BT2" s="33" t="s">
        <v>55</v>
      </c>
      <c r="BU2" s="52" t="s">
        <v>131</v>
      </c>
      <c r="BV2" s="33" t="s">
        <v>120</v>
      </c>
      <c r="BW2" s="33" t="s">
        <v>121</v>
      </c>
      <c r="BX2" s="33" t="s">
        <v>122</v>
      </c>
      <c r="BY2" s="34" t="s">
        <v>123</v>
      </c>
      <c r="BZ2" s="33" t="s">
        <v>124</v>
      </c>
      <c r="CA2" s="33" t="s">
        <v>125</v>
      </c>
      <c r="CB2" s="34" t="s">
        <v>126</v>
      </c>
      <c r="CC2" s="34" t="s">
        <v>127</v>
      </c>
      <c r="CD2" s="34" t="s">
        <v>128</v>
      </c>
      <c r="CE2" s="51"/>
    </row>
    <row r="3" spans="1:83" s="24" customFormat="1" ht="11.25" x14ac:dyDescent="0.2">
      <c r="A3" s="58">
        <v>1</v>
      </c>
      <c r="B3" s="58" t="s">
        <v>133</v>
      </c>
      <c r="C3" s="25" t="s">
        <v>134</v>
      </c>
      <c r="D3" s="25" t="s">
        <v>109</v>
      </c>
      <c r="E3" s="59">
        <v>46110</v>
      </c>
      <c r="F3" s="25">
        <v>0</v>
      </c>
      <c r="G3" s="25">
        <v>34</v>
      </c>
      <c r="H3" s="25">
        <v>34</v>
      </c>
      <c r="I3" s="60">
        <f t="shared" ref="I3:I66" si="0">IF(H3&lt;&gt;"",H3/G3,"")</f>
        <v>1</v>
      </c>
      <c r="J3" s="25">
        <v>328</v>
      </c>
      <c r="K3" s="25">
        <v>328</v>
      </c>
      <c r="L3" s="60">
        <f t="shared" ref="L3:L66" si="1">IF(K3&lt;&gt;"",K3/J3,"")</f>
        <v>1</v>
      </c>
      <c r="M3" s="61">
        <f t="shared" ref="M3:M66" si="2">IF(L3&lt;&gt;"",MAX(I3,L3),"")</f>
        <v>1</v>
      </c>
      <c r="N3" s="61">
        <f t="shared" ref="N3:N66" si="3">IF($M3&lt;&gt;"",IF($M3&lt;50%,0%,IF($M3&lt;80%,$M3,100%)),"")</f>
        <v>1</v>
      </c>
      <c r="O3" s="62" t="s">
        <v>134</v>
      </c>
      <c r="P3" s="62" t="s">
        <v>134</v>
      </c>
      <c r="Q3" s="62" t="b">
        <f>IF(P3="","Check",_xlfn.XLOOKUP(P3,'Route-Details'!M:M,'Route-Details'!M:M)=P3)</f>
        <v>1</v>
      </c>
    </row>
    <row r="4" spans="1:83" s="24" customFormat="1" ht="11.25" x14ac:dyDescent="0.2">
      <c r="A4" s="58">
        <f t="shared" ref="A4:A67" si="4">IF(C4&lt;&gt;"",A3+1,"")</f>
        <v>2</v>
      </c>
      <c r="B4" s="58" t="s">
        <v>133</v>
      </c>
      <c r="C4" s="25" t="s">
        <v>134</v>
      </c>
      <c r="D4" s="25" t="s">
        <v>76</v>
      </c>
      <c r="E4" s="59">
        <v>46110</v>
      </c>
      <c r="F4" s="25">
        <v>1673</v>
      </c>
      <c r="G4" s="25">
        <v>34</v>
      </c>
      <c r="H4" s="25">
        <v>34</v>
      </c>
      <c r="I4" s="60">
        <f t="shared" si="0"/>
        <v>1</v>
      </c>
      <c r="J4" s="25">
        <v>328</v>
      </c>
      <c r="K4" s="25">
        <v>328</v>
      </c>
      <c r="L4" s="60">
        <f t="shared" si="1"/>
        <v>1</v>
      </c>
      <c r="M4" s="61">
        <f t="shared" si="2"/>
        <v>1</v>
      </c>
      <c r="N4" s="61">
        <f t="shared" si="3"/>
        <v>1</v>
      </c>
      <c r="O4" s="62" t="s">
        <v>134</v>
      </c>
      <c r="P4" s="62" t="s">
        <v>134</v>
      </c>
      <c r="Q4" s="62" t="b">
        <f>IF(P4="","Check",_xlfn.XLOOKUP(P4,'Route-Details'!M:M,'Route-Details'!M:M)=P4)</f>
        <v>1</v>
      </c>
    </row>
    <row r="5" spans="1:83" s="24" customFormat="1" ht="11.25" x14ac:dyDescent="0.2">
      <c r="A5" s="58">
        <f t="shared" si="4"/>
        <v>3</v>
      </c>
      <c r="B5" s="58" t="s">
        <v>133</v>
      </c>
      <c r="C5" s="25" t="s">
        <v>134</v>
      </c>
      <c r="D5" s="25" t="s">
        <v>75</v>
      </c>
      <c r="E5" s="59">
        <v>46110</v>
      </c>
      <c r="F5" s="25">
        <v>817</v>
      </c>
      <c r="G5" s="25">
        <v>34</v>
      </c>
      <c r="H5" s="25">
        <v>34</v>
      </c>
      <c r="I5" s="60">
        <f t="shared" si="0"/>
        <v>1</v>
      </c>
      <c r="J5" s="25">
        <v>328</v>
      </c>
      <c r="K5" s="25">
        <v>328</v>
      </c>
      <c r="L5" s="60">
        <f t="shared" si="1"/>
        <v>1</v>
      </c>
      <c r="M5" s="61">
        <f t="shared" si="2"/>
        <v>1</v>
      </c>
      <c r="N5" s="61">
        <f t="shared" si="3"/>
        <v>1</v>
      </c>
      <c r="O5" s="62" t="s">
        <v>134</v>
      </c>
      <c r="P5" s="62" t="s">
        <v>134</v>
      </c>
      <c r="Q5" s="62" t="b">
        <f>IF(P5="","Check",_xlfn.XLOOKUP(P5,'Route-Details'!M:M,'Route-Details'!M:M)=P5)</f>
        <v>1</v>
      </c>
    </row>
    <row r="6" spans="1:83" s="24" customFormat="1" ht="11.25" x14ac:dyDescent="0.2">
      <c r="A6" s="58">
        <f t="shared" si="4"/>
        <v>4</v>
      </c>
      <c r="B6" s="58" t="s">
        <v>133</v>
      </c>
      <c r="C6" s="25" t="s">
        <v>134</v>
      </c>
      <c r="D6" s="25" t="s">
        <v>110</v>
      </c>
      <c r="E6" s="59">
        <v>46110</v>
      </c>
      <c r="F6" s="25">
        <v>0</v>
      </c>
      <c r="G6" s="25">
        <v>34</v>
      </c>
      <c r="H6" s="25">
        <v>34</v>
      </c>
      <c r="I6" s="60">
        <f t="shared" si="0"/>
        <v>1</v>
      </c>
      <c r="J6" s="25">
        <v>328</v>
      </c>
      <c r="K6" s="25">
        <v>328</v>
      </c>
      <c r="L6" s="60">
        <f t="shared" si="1"/>
        <v>1</v>
      </c>
      <c r="M6" s="61">
        <f t="shared" si="2"/>
        <v>1</v>
      </c>
      <c r="N6" s="61">
        <f t="shared" si="3"/>
        <v>1</v>
      </c>
      <c r="O6" s="62" t="s">
        <v>134</v>
      </c>
      <c r="P6" s="62" t="s">
        <v>134</v>
      </c>
      <c r="Q6" s="62" t="b">
        <f>IF(P6="","Check",_xlfn.XLOOKUP(P6,'Route-Details'!M:M,'Route-Details'!M:M)=P6)</f>
        <v>1</v>
      </c>
    </row>
    <row r="7" spans="1:83" x14ac:dyDescent="0.25">
      <c r="A7" s="38">
        <f t="shared" si="4"/>
        <v>5</v>
      </c>
      <c r="B7" s="58" t="s">
        <v>133</v>
      </c>
      <c r="C7" s="30" t="s">
        <v>224</v>
      </c>
      <c r="D7" s="25" t="s">
        <v>109</v>
      </c>
      <c r="E7" s="123">
        <v>46113</v>
      </c>
      <c r="F7" s="30">
        <v>0</v>
      </c>
      <c r="G7" s="30">
        <v>156</v>
      </c>
      <c r="H7" s="30">
        <v>128</v>
      </c>
      <c r="I7" s="36">
        <f t="shared" si="0"/>
        <v>0.82051282051282048</v>
      </c>
      <c r="J7" s="30">
        <v>1880</v>
      </c>
      <c r="K7" s="30">
        <v>1576</v>
      </c>
      <c r="L7" s="36">
        <f t="shared" si="1"/>
        <v>0.83829787234042552</v>
      </c>
      <c r="M7" s="37">
        <f t="shared" si="2"/>
        <v>0.83829787234042552</v>
      </c>
      <c r="N7" s="37">
        <f t="shared" si="3"/>
        <v>1</v>
      </c>
      <c r="O7" s="55" t="s">
        <v>224</v>
      </c>
      <c r="P7" s="62" t="s">
        <v>134</v>
      </c>
      <c r="Q7" s="62" t="b">
        <f>IF(P7="","Check",_xlfn.XLOOKUP(P7,'Route-Details'!M:M,'Route-Details'!M:M)=P7)</f>
        <v>1</v>
      </c>
    </row>
    <row r="8" spans="1:83" x14ac:dyDescent="0.25">
      <c r="A8" s="38">
        <f t="shared" si="4"/>
        <v>6</v>
      </c>
      <c r="B8" s="58" t="s">
        <v>133</v>
      </c>
      <c r="C8" s="30" t="s">
        <v>224</v>
      </c>
      <c r="D8" s="25" t="s">
        <v>76</v>
      </c>
      <c r="E8" s="123">
        <v>46113</v>
      </c>
      <c r="F8" s="30">
        <v>4450</v>
      </c>
      <c r="G8" s="30">
        <v>156</v>
      </c>
      <c r="H8" s="30">
        <v>128</v>
      </c>
      <c r="I8" s="36">
        <f t="shared" si="0"/>
        <v>0.82051282051282048</v>
      </c>
      <c r="J8" s="30">
        <v>1880</v>
      </c>
      <c r="K8" s="30">
        <v>1576</v>
      </c>
      <c r="L8" s="36">
        <f t="shared" ref="L8:L10" si="5">IF(K8&lt;&gt;"",K8/J8,"")</f>
        <v>0.83829787234042552</v>
      </c>
      <c r="M8" s="37">
        <f t="shared" ref="M8:M10" si="6">IF(L8&lt;&gt;"",MAX(I8,L8),"")</f>
        <v>0.83829787234042552</v>
      </c>
      <c r="N8" s="37">
        <f t="shared" si="3"/>
        <v>1</v>
      </c>
      <c r="O8" s="55" t="s">
        <v>224</v>
      </c>
      <c r="P8" s="62" t="s">
        <v>134</v>
      </c>
      <c r="Q8" s="62" t="b">
        <f>IF(P8="","Check",_xlfn.XLOOKUP(P8,'Route-Details'!M:M,'Route-Details'!M:M)=P8)</f>
        <v>1</v>
      </c>
    </row>
    <row r="9" spans="1:83" x14ac:dyDescent="0.25">
      <c r="A9" s="38">
        <f t="shared" si="4"/>
        <v>7</v>
      </c>
      <c r="B9" s="58" t="s">
        <v>133</v>
      </c>
      <c r="C9" s="30" t="s">
        <v>224</v>
      </c>
      <c r="D9" s="25" t="s">
        <v>75</v>
      </c>
      <c r="E9" s="123">
        <v>46113</v>
      </c>
      <c r="F9" s="30">
        <v>1454</v>
      </c>
      <c r="G9" s="30">
        <v>156</v>
      </c>
      <c r="H9" s="30">
        <v>128</v>
      </c>
      <c r="I9" s="36">
        <f t="shared" si="0"/>
        <v>0.82051282051282048</v>
      </c>
      <c r="J9" s="30">
        <v>1880</v>
      </c>
      <c r="K9" s="30">
        <v>1576</v>
      </c>
      <c r="L9" s="36">
        <f t="shared" si="5"/>
        <v>0.83829787234042552</v>
      </c>
      <c r="M9" s="37">
        <f t="shared" si="6"/>
        <v>0.83829787234042552</v>
      </c>
      <c r="N9" s="37">
        <f t="shared" si="3"/>
        <v>1</v>
      </c>
      <c r="O9" s="55" t="s">
        <v>224</v>
      </c>
      <c r="P9" s="62" t="s">
        <v>134</v>
      </c>
      <c r="Q9" s="62" t="b">
        <f>IF(P9="","Check",_xlfn.XLOOKUP(P9,'Route-Details'!M:M,'Route-Details'!M:M)=P9)</f>
        <v>1</v>
      </c>
    </row>
    <row r="10" spans="1:83" x14ac:dyDescent="0.25">
      <c r="A10" s="38">
        <f t="shared" si="4"/>
        <v>8</v>
      </c>
      <c r="B10" s="58" t="s">
        <v>133</v>
      </c>
      <c r="C10" s="30" t="s">
        <v>224</v>
      </c>
      <c r="D10" s="25" t="s">
        <v>110</v>
      </c>
      <c r="E10" s="123">
        <v>46113</v>
      </c>
      <c r="F10" s="30">
        <v>1400</v>
      </c>
      <c r="G10" s="30">
        <v>156</v>
      </c>
      <c r="H10" s="30">
        <v>128</v>
      </c>
      <c r="I10" s="36">
        <f t="shared" si="0"/>
        <v>0.82051282051282048</v>
      </c>
      <c r="J10" s="30">
        <v>1880</v>
      </c>
      <c r="K10" s="30">
        <v>1576</v>
      </c>
      <c r="L10" s="36">
        <f t="shared" si="5"/>
        <v>0.83829787234042552</v>
      </c>
      <c r="M10" s="37">
        <f t="shared" si="6"/>
        <v>0.83829787234042552</v>
      </c>
      <c r="N10" s="37">
        <f t="shared" si="3"/>
        <v>1</v>
      </c>
      <c r="O10" s="55" t="s">
        <v>224</v>
      </c>
      <c r="P10" s="62" t="s">
        <v>134</v>
      </c>
      <c r="Q10" s="62" t="b">
        <f>IF(P10="","Check",_xlfn.XLOOKUP(P10,'Route-Details'!M:M,'Route-Details'!M:M)=P10)</f>
        <v>1</v>
      </c>
    </row>
    <row r="11" spans="1:83" x14ac:dyDescent="0.25">
      <c r="A11" s="38" t="str">
        <f t="shared" si="4"/>
        <v/>
      </c>
      <c r="B11" s="38"/>
      <c r="C11" s="30"/>
      <c r="D11" s="30"/>
      <c r="E11" s="30"/>
      <c r="F11" s="30"/>
      <c r="G11" s="30"/>
      <c r="H11" s="30"/>
      <c r="I11" s="36" t="str">
        <f t="shared" si="0"/>
        <v/>
      </c>
      <c r="J11" s="30"/>
      <c r="K11" s="30"/>
      <c r="L11" s="36" t="str">
        <f t="shared" si="1"/>
        <v/>
      </c>
      <c r="M11" s="37" t="str">
        <f t="shared" si="2"/>
        <v/>
      </c>
      <c r="N11" s="37" t="str">
        <f t="shared" si="3"/>
        <v/>
      </c>
      <c r="O11" s="55"/>
      <c r="P11" s="55"/>
      <c r="Q11" s="55"/>
    </row>
    <row r="12" spans="1:83" x14ac:dyDescent="0.25">
      <c r="A12" s="38" t="str">
        <f t="shared" si="4"/>
        <v/>
      </c>
      <c r="B12" s="38"/>
      <c r="C12" s="30"/>
      <c r="D12" s="30"/>
      <c r="E12" s="30"/>
      <c r="F12" s="30"/>
      <c r="G12" s="30"/>
      <c r="H12" s="30"/>
      <c r="I12" s="36" t="str">
        <f t="shared" si="0"/>
        <v/>
      </c>
      <c r="J12" s="30"/>
      <c r="K12" s="30"/>
      <c r="L12" s="36" t="str">
        <f t="shared" si="1"/>
        <v/>
      </c>
      <c r="M12" s="37" t="str">
        <f t="shared" si="2"/>
        <v/>
      </c>
      <c r="N12" s="37" t="str">
        <f t="shared" si="3"/>
        <v/>
      </c>
      <c r="O12" s="55"/>
      <c r="P12" s="55"/>
      <c r="Q12" s="55"/>
    </row>
    <row r="13" spans="1:83" x14ac:dyDescent="0.25">
      <c r="A13" s="38" t="str">
        <f t="shared" si="4"/>
        <v/>
      </c>
      <c r="B13" s="38"/>
      <c r="C13" s="30"/>
      <c r="D13" s="30"/>
      <c r="E13" s="30"/>
      <c r="F13" s="30"/>
      <c r="G13" s="30"/>
      <c r="H13" s="30"/>
      <c r="I13" s="36" t="str">
        <f t="shared" si="0"/>
        <v/>
      </c>
      <c r="J13" s="30"/>
      <c r="K13" s="30"/>
      <c r="L13" s="36" t="str">
        <f t="shared" si="1"/>
        <v/>
      </c>
      <c r="M13" s="37" t="str">
        <f t="shared" si="2"/>
        <v/>
      </c>
      <c r="N13" s="37" t="str">
        <f t="shared" si="3"/>
        <v/>
      </c>
      <c r="O13" s="55"/>
      <c r="P13" s="55"/>
      <c r="Q13" s="55"/>
    </row>
    <row r="14" spans="1:83" x14ac:dyDescent="0.25">
      <c r="A14" s="38" t="str">
        <f t="shared" si="4"/>
        <v/>
      </c>
      <c r="B14" s="38"/>
      <c r="C14" s="30"/>
      <c r="D14" s="30"/>
      <c r="E14" s="30"/>
      <c r="F14" s="30"/>
      <c r="G14" s="30"/>
      <c r="H14" s="30"/>
      <c r="I14" s="36" t="str">
        <f t="shared" si="0"/>
        <v/>
      </c>
      <c r="J14" s="30"/>
      <c r="K14" s="30"/>
      <c r="L14" s="36" t="str">
        <f t="shared" si="1"/>
        <v/>
      </c>
      <c r="M14" s="37" t="str">
        <f t="shared" si="2"/>
        <v/>
      </c>
      <c r="N14" s="37" t="str">
        <f t="shared" si="3"/>
        <v/>
      </c>
      <c r="O14" s="55"/>
      <c r="P14" s="55"/>
      <c r="Q14" s="55"/>
    </row>
    <row r="15" spans="1:83" x14ac:dyDescent="0.25">
      <c r="A15" s="38" t="str">
        <f t="shared" si="4"/>
        <v/>
      </c>
      <c r="B15" s="38"/>
      <c r="C15" s="30"/>
      <c r="D15" s="30"/>
      <c r="E15" s="30"/>
      <c r="F15" s="30"/>
      <c r="G15" s="30"/>
      <c r="H15" s="30"/>
      <c r="I15" s="36" t="str">
        <f t="shared" si="0"/>
        <v/>
      </c>
      <c r="J15" s="30"/>
      <c r="K15" s="30"/>
      <c r="L15" s="36" t="str">
        <f t="shared" si="1"/>
        <v/>
      </c>
      <c r="M15" s="37" t="str">
        <f t="shared" si="2"/>
        <v/>
      </c>
      <c r="N15" s="37" t="str">
        <f t="shared" si="3"/>
        <v/>
      </c>
      <c r="O15" s="55"/>
      <c r="P15" s="55"/>
      <c r="Q15" s="55"/>
    </row>
    <row r="16" spans="1:83" x14ac:dyDescent="0.25">
      <c r="A16" s="38" t="str">
        <f t="shared" si="4"/>
        <v/>
      </c>
      <c r="B16" s="38"/>
      <c r="C16" s="30"/>
      <c r="D16" s="30"/>
      <c r="E16" s="30"/>
      <c r="F16" s="30"/>
      <c r="G16" s="30"/>
      <c r="H16" s="30"/>
      <c r="I16" s="36" t="str">
        <f t="shared" si="0"/>
        <v/>
      </c>
      <c r="J16" s="30"/>
      <c r="K16" s="30"/>
      <c r="L16" s="36" t="str">
        <f t="shared" si="1"/>
        <v/>
      </c>
      <c r="M16" s="37" t="str">
        <f t="shared" si="2"/>
        <v/>
      </c>
      <c r="N16" s="37" t="str">
        <f t="shared" si="3"/>
        <v/>
      </c>
      <c r="O16" s="55"/>
      <c r="P16" s="55"/>
      <c r="Q16" s="55"/>
    </row>
    <row r="17" spans="1:17" x14ac:dyDescent="0.25">
      <c r="A17" s="38" t="str">
        <f t="shared" si="4"/>
        <v/>
      </c>
      <c r="B17" s="38"/>
      <c r="C17" s="30"/>
      <c r="D17" s="30"/>
      <c r="E17" s="30"/>
      <c r="F17" s="30"/>
      <c r="G17" s="30"/>
      <c r="H17" s="30"/>
      <c r="I17" s="36" t="str">
        <f t="shared" si="0"/>
        <v/>
      </c>
      <c r="J17" s="30"/>
      <c r="K17" s="30"/>
      <c r="L17" s="36" t="str">
        <f t="shared" si="1"/>
        <v/>
      </c>
      <c r="M17" s="37" t="str">
        <f t="shared" si="2"/>
        <v/>
      </c>
      <c r="N17" s="37" t="str">
        <f t="shared" si="3"/>
        <v/>
      </c>
      <c r="O17" s="55"/>
      <c r="P17" s="55"/>
      <c r="Q17" s="55"/>
    </row>
    <row r="18" spans="1:17" x14ac:dyDescent="0.25">
      <c r="A18" s="38" t="str">
        <f t="shared" si="4"/>
        <v/>
      </c>
      <c r="B18" s="38"/>
      <c r="C18" s="30"/>
      <c r="D18" s="30"/>
      <c r="E18" s="30"/>
      <c r="F18" s="30"/>
      <c r="G18" s="30"/>
      <c r="H18" s="30"/>
      <c r="I18" s="36" t="str">
        <f t="shared" si="0"/>
        <v/>
      </c>
      <c r="J18" s="30"/>
      <c r="K18" s="30"/>
      <c r="L18" s="36" t="str">
        <f t="shared" si="1"/>
        <v/>
      </c>
      <c r="M18" s="37" t="str">
        <f t="shared" si="2"/>
        <v/>
      </c>
      <c r="N18" s="37" t="str">
        <f t="shared" si="3"/>
        <v/>
      </c>
      <c r="O18" s="55"/>
      <c r="P18" s="55"/>
      <c r="Q18" s="55"/>
    </row>
    <row r="19" spans="1:17" x14ac:dyDescent="0.25">
      <c r="A19" s="38" t="str">
        <f t="shared" si="4"/>
        <v/>
      </c>
      <c r="B19" s="38"/>
      <c r="C19" s="30"/>
      <c r="D19" s="30"/>
      <c r="E19" s="30"/>
      <c r="F19" s="30"/>
      <c r="G19" s="30"/>
      <c r="H19" s="30"/>
      <c r="I19" s="36" t="str">
        <f t="shared" si="0"/>
        <v/>
      </c>
      <c r="J19" s="30"/>
      <c r="K19" s="30"/>
      <c r="L19" s="36" t="str">
        <f t="shared" si="1"/>
        <v/>
      </c>
      <c r="M19" s="37" t="str">
        <f t="shared" si="2"/>
        <v/>
      </c>
      <c r="N19" s="37" t="str">
        <f t="shared" si="3"/>
        <v/>
      </c>
      <c r="O19" s="55"/>
      <c r="P19" s="55"/>
      <c r="Q19" s="55"/>
    </row>
    <row r="20" spans="1:17" x14ac:dyDescent="0.25">
      <c r="A20" s="38" t="str">
        <f t="shared" si="4"/>
        <v/>
      </c>
      <c r="B20" s="38"/>
      <c r="C20" s="30"/>
      <c r="D20" s="30"/>
      <c r="E20" s="30"/>
      <c r="F20" s="30"/>
      <c r="G20" s="30"/>
      <c r="H20" s="30"/>
      <c r="I20" s="36" t="str">
        <f t="shared" si="0"/>
        <v/>
      </c>
      <c r="J20" s="30"/>
      <c r="K20" s="30"/>
      <c r="L20" s="36" t="str">
        <f t="shared" si="1"/>
        <v/>
      </c>
      <c r="M20" s="37" t="str">
        <f t="shared" si="2"/>
        <v/>
      </c>
      <c r="N20" s="37" t="str">
        <f t="shared" si="3"/>
        <v/>
      </c>
      <c r="O20" s="55"/>
      <c r="P20" s="55"/>
      <c r="Q20" s="55"/>
    </row>
    <row r="21" spans="1:17" x14ac:dyDescent="0.25">
      <c r="A21" s="38" t="str">
        <f t="shared" si="4"/>
        <v/>
      </c>
      <c r="B21" s="38"/>
      <c r="C21" s="30"/>
      <c r="D21" s="30"/>
      <c r="E21" s="30"/>
      <c r="F21" s="30"/>
      <c r="G21" s="30"/>
      <c r="H21" s="30"/>
      <c r="I21" s="36" t="str">
        <f t="shared" si="0"/>
        <v/>
      </c>
      <c r="J21" s="30"/>
      <c r="K21" s="30"/>
      <c r="L21" s="36" t="str">
        <f t="shared" si="1"/>
        <v/>
      </c>
      <c r="M21" s="37" t="str">
        <f t="shared" si="2"/>
        <v/>
      </c>
      <c r="N21" s="37" t="str">
        <f t="shared" si="3"/>
        <v/>
      </c>
      <c r="O21" s="55"/>
      <c r="P21" s="55"/>
      <c r="Q21" s="55"/>
    </row>
    <row r="22" spans="1:17" x14ac:dyDescent="0.25">
      <c r="A22" s="38" t="str">
        <f t="shared" si="4"/>
        <v/>
      </c>
      <c r="B22" s="38"/>
      <c r="C22" s="30"/>
      <c r="D22" s="30"/>
      <c r="E22" s="30"/>
      <c r="F22" s="30"/>
      <c r="G22" s="30"/>
      <c r="H22" s="30"/>
      <c r="I22" s="36" t="str">
        <f t="shared" si="0"/>
        <v/>
      </c>
      <c r="J22" s="30"/>
      <c r="K22" s="30"/>
      <c r="L22" s="36" t="str">
        <f t="shared" si="1"/>
        <v/>
      </c>
      <c r="M22" s="37" t="str">
        <f t="shared" si="2"/>
        <v/>
      </c>
      <c r="N22" s="37" t="str">
        <f t="shared" si="3"/>
        <v/>
      </c>
      <c r="O22" s="55"/>
      <c r="P22" s="55"/>
      <c r="Q22" s="55"/>
    </row>
    <row r="23" spans="1:17" x14ac:dyDescent="0.25">
      <c r="A23" s="38" t="str">
        <f t="shared" si="4"/>
        <v/>
      </c>
      <c r="B23" s="38"/>
      <c r="C23" s="30"/>
      <c r="D23" s="30"/>
      <c r="E23" s="30"/>
      <c r="F23" s="30"/>
      <c r="G23" s="30"/>
      <c r="H23" s="30"/>
      <c r="I23" s="36" t="str">
        <f t="shared" si="0"/>
        <v/>
      </c>
      <c r="J23" s="30"/>
      <c r="K23" s="30"/>
      <c r="L23" s="36" t="str">
        <f t="shared" si="1"/>
        <v/>
      </c>
      <c r="M23" s="37" t="str">
        <f t="shared" si="2"/>
        <v/>
      </c>
      <c r="N23" s="37" t="str">
        <f t="shared" si="3"/>
        <v/>
      </c>
      <c r="O23" s="55"/>
      <c r="P23" s="55"/>
      <c r="Q23" s="55"/>
    </row>
    <row r="24" spans="1:17" x14ac:dyDescent="0.25">
      <c r="A24" s="38" t="str">
        <f t="shared" si="4"/>
        <v/>
      </c>
      <c r="B24" s="38"/>
      <c r="C24" s="30"/>
      <c r="D24" s="30"/>
      <c r="E24" s="30"/>
      <c r="F24" s="30"/>
      <c r="G24" s="30"/>
      <c r="H24" s="30"/>
      <c r="I24" s="36" t="str">
        <f t="shared" si="0"/>
        <v/>
      </c>
      <c r="J24" s="30"/>
      <c r="K24" s="30"/>
      <c r="L24" s="36" t="str">
        <f t="shared" si="1"/>
        <v/>
      </c>
      <c r="M24" s="37" t="str">
        <f t="shared" si="2"/>
        <v/>
      </c>
      <c r="N24" s="37" t="str">
        <f t="shared" si="3"/>
        <v/>
      </c>
      <c r="O24" s="55"/>
      <c r="P24" s="55"/>
      <c r="Q24" s="55"/>
    </row>
    <row r="25" spans="1:17" x14ac:dyDescent="0.25">
      <c r="A25" s="38" t="str">
        <f t="shared" si="4"/>
        <v/>
      </c>
      <c r="B25" s="38"/>
      <c r="C25" s="30"/>
      <c r="D25" s="30"/>
      <c r="E25" s="30"/>
      <c r="F25" s="30"/>
      <c r="G25" s="30"/>
      <c r="H25" s="30"/>
      <c r="I25" s="36" t="str">
        <f t="shared" si="0"/>
        <v/>
      </c>
      <c r="J25" s="30"/>
      <c r="K25" s="30"/>
      <c r="L25" s="36" t="str">
        <f t="shared" si="1"/>
        <v/>
      </c>
      <c r="M25" s="37" t="str">
        <f t="shared" si="2"/>
        <v/>
      </c>
      <c r="N25" s="37" t="str">
        <f t="shared" si="3"/>
        <v/>
      </c>
      <c r="O25" s="55"/>
      <c r="P25" s="55"/>
      <c r="Q25" s="55"/>
    </row>
    <row r="26" spans="1:17" x14ac:dyDescent="0.25">
      <c r="A26" s="38" t="str">
        <f t="shared" si="4"/>
        <v/>
      </c>
      <c r="B26" s="38"/>
      <c r="C26" s="30"/>
      <c r="D26" s="30"/>
      <c r="E26" s="30"/>
      <c r="F26" s="30"/>
      <c r="G26" s="30"/>
      <c r="H26" s="30"/>
      <c r="I26" s="36" t="str">
        <f t="shared" si="0"/>
        <v/>
      </c>
      <c r="J26" s="30"/>
      <c r="K26" s="30"/>
      <c r="L26" s="36" t="str">
        <f t="shared" si="1"/>
        <v/>
      </c>
      <c r="M26" s="37" t="str">
        <f t="shared" si="2"/>
        <v/>
      </c>
      <c r="N26" s="37" t="str">
        <f t="shared" si="3"/>
        <v/>
      </c>
      <c r="O26" s="55"/>
      <c r="P26" s="55"/>
      <c r="Q26" s="55"/>
    </row>
    <row r="27" spans="1:17" x14ac:dyDescent="0.25">
      <c r="A27" s="38" t="str">
        <f t="shared" si="4"/>
        <v/>
      </c>
      <c r="B27" s="38"/>
      <c r="C27" s="30"/>
      <c r="D27" s="30"/>
      <c r="E27" s="30"/>
      <c r="F27" s="30"/>
      <c r="G27" s="30"/>
      <c r="H27" s="30"/>
      <c r="I27" s="36" t="str">
        <f t="shared" si="0"/>
        <v/>
      </c>
      <c r="J27" s="30"/>
      <c r="K27" s="30"/>
      <c r="L27" s="36" t="str">
        <f t="shared" si="1"/>
        <v/>
      </c>
      <c r="M27" s="37" t="str">
        <f t="shared" si="2"/>
        <v/>
      </c>
      <c r="N27" s="37" t="str">
        <f t="shared" si="3"/>
        <v/>
      </c>
      <c r="O27" s="55"/>
      <c r="P27" s="55"/>
      <c r="Q27" s="55"/>
    </row>
    <row r="28" spans="1:17" x14ac:dyDescent="0.25">
      <c r="A28" s="38" t="str">
        <f t="shared" si="4"/>
        <v/>
      </c>
      <c r="B28" s="38"/>
      <c r="C28" s="30"/>
      <c r="D28" s="30"/>
      <c r="E28" s="30"/>
      <c r="F28" s="30"/>
      <c r="G28" s="30"/>
      <c r="H28" s="30"/>
      <c r="I28" s="36" t="str">
        <f t="shared" si="0"/>
        <v/>
      </c>
      <c r="J28" s="30"/>
      <c r="K28" s="30"/>
      <c r="L28" s="36" t="str">
        <f t="shared" si="1"/>
        <v/>
      </c>
      <c r="M28" s="37" t="str">
        <f t="shared" si="2"/>
        <v/>
      </c>
      <c r="N28" s="37" t="str">
        <f t="shared" si="3"/>
        <v/>
      </c>
      <c r="O28" s="55"/>
      <c r="P28" s="55"/>
      <c r="Q28" s="55"/>
    </row>
    <row r="29" spans="1:17" x14ac:dyDescent="0.25">
      <c r="A29" s="38" t="str">
        <f t="shared" si="4"/>
        <v/>
      </c>
      <c r="B29" s="38"/>
      <c r="C29" s="30"/>
      <c r="D29" s="30"/>
      <c r="E29" s="30"/>
      <c r="F29" s="30"/>
      <c r="G29" s="30"/>
      <c r="H29" s="30"/>
      <c r="I29" s="36" t="str">
        <f t="shared" si="0"/>
        <v/>
      </c>
      <c r="J29" s="30"/>
      <c r="K29" s="30"/>
      <c r="L29" s="36" t="str">
        <f t="shared" si="1"/>
        <v/>
      </c>
      <c r="M29" s="37" t="str">
        <f t="shared" si="2"/>
        <v/>
      </c>
      <c r="N29" s="37" t="str">
        <f t="shared" si="3"/>
        <v/>
      </c>
      <c r="O29" s="55"/>
      <c r="P29" s="55"/>
      <c r="Q29" s="55"/>
    </row>
    <row r="30" spans="1:17" x14ac:dyDescent="0.25">
      <c r="A30" s="38" t="str">
        <f t="shared" si="4"/>
        <v/>
      </c>
      <c r="B30" s="38"/>
      <c r="C30" s="30"/>
      <c r="D30" s="30"/>
      <c r="E30" s="30"/>
      <c r="F30" s="30"/>
      <c r="G30" s="30"/>
      <c r="H30" s="30"/>
      <c r="I30" s="36" t="str">
        <f t="shared" si="0"/>
        <v/>
      </c>
      <c r="J30" s="30"/>
      <c r="K30" s="30"/>
      <c r="L30" s="36" t="str">
        <f t="shared" si="1"/>
        <v/>
      </c>
      <c r="M30" s="37" t="str">
        <f t="shared" si="2"/>
        <v/>
      </c>
      <c r="N30" s="37" t="str">
        <f t="shared" si="3"/>
        <v/>
      </c>
      <c r="O30" s="55"/>
      <c r="P30" s="55"/>
      <c r="Q30" s="55"/>
    </row>
    <row r="31" spans="1:17" x14ac:dyDescent="0.25">
      <c r="A31" s="38" t="str">
        <f t="shared" si="4"/>
        <v/>
      </c>
      <c r="B31" s="38"/>
      <c r="C31" s="30"/>
      <c r="D31" s="30"/>
      <c r="E31" s="30"/>
      <c r="F31" s="30"/>
      <c r="G31" s="30"/>
      <c r="H31" s="30"/>
      <c r="I31" s="36" t="str">
        <f t="shared" si="0"/>
        <v/>
      </c>
      <c r="J31" s="30"/>
      <c r="K31" s="30"/>
      <c r="L31" s="36" t="str">
        <f t="shared" si="1"/>
        <v/>
      </c>
      <c r="M31" s="37" t="str">
        <f t="shared" si="2"/>
        <v/>
      </c>
      <c r="N31" s="37" t="str">
        <f t="shared" si="3"/>
        <v/>
      </c>
      <c r="O31" s="55"/>
      <c r="P31" s="55"/>
      <c r="Q31" s="55"/>
    </row>
    <row r="32" spans="1:17" x14ac:dyDescent="0.25">
      <c r="A32" s="38" t="str">
        <f t="shared" si="4"/>
        <v/>
      </c>
      <c r="B32" s="38"/>
      <c r="C32" s="30"/>
      <c r="D32" s="30"/>
      <c r="E32" s="30"/>
      <c r="F32" s="30"/>
      <c r="G32" s="30"/>
      <c r="H32" s="30"/>
      <c r="I32" s="36" t="str">
        <f t="shared" si="0"/>
        <v/>
      </c>
      <c r="J32" s="30"/>
      <c r="K32" s="30"/>
      <c r="L32" s="36" t="str">
        <f t="shared" si="1"/>
        <v/>
      </c>
      <c r="M32" s="37" t="str">
        <f t="shared" si="2"/>
        <v/>
      </c>
      <c r="N32" s="37" t="str">
        <f t="shared" si="3"/>
        <v/>
      </c>
      <c r="O32" s="55"/>
      <c r="P32" s="55"/>
      <c r="Q32" s="55"/>
    </row>
    <row r="33" spans="1:17" x14ac:dyDescent="0.25">
      <c r="A33" s="38" t="str">
        <f t="shared" si="4"/>
        <v/>
      </c>
      <c r="B33" s="38"/>
      <c r="C33" s="30"/>
      <c r="D33" s="30"/>
      <c r="E33" s="30"/>
      <c r="F33" s="30"/>
      <c r="G33" s="30"/>
      <c r="H33" s="30"/>
      <c r="I33" s="36" t="str">
        <f t="shared" si="0"/>
        <v/>
      </c>
      <c r="J33" s="30"/>
      <c r="K33" s="30"/>
      <c r="L33" s="36" t="str">
        <f t="shared" si="1"/>
        <v/>
      </c>
      <c r="M33" s="37" t="str">
        <f t="shared" si="2"/>
        <v/>
      </c>
      <c r="N33" s="37" t="str">
        <f t="shared" si="3"/>
        <v/>
      </c>
      <c r="O33" s="55"/>
      <c r="P33" s="55"/>
      <c r="Q33" s="55"/>
    </row>
    <row r="34" spans="1:17" x14ac:dyDescent="0.25">
      <c r="A34" s="38" t="str">
        <f t="shared" si="4"/>
        <v/>
      </c>
      <c r="B34" s="38"/>
      <c r="C34" s="30"/>
      <c r="D34" s="30"/>
      <c r="E34" s="30"/>
      <c r="F34" s="30"/>
      <c r="G34" s="30"/>
      <c r="H34" s="30"/>
      <c r="I34" s="36" t="str">
        <f t="shared" si="0"/>
        <v/>
      </c>
      <c r="J34" s="30"/>
      <c r="K34" s="30"/>
      <c r="L34" s="36" t="str">
        <f t="shared" si="1"/>
        <v/>
      </c>
      <c r="M34" s="37" t="str">
        <f t="shared" si="2"/>
        <v/>
      </c>
      <c r="N34" s="37" t="str">
        <f t="shared" si="3"/>
        <v/>
      </c>
      <c r="O34" s="55"/>
      <c r="P34" s="55"/>
      <c r="Q34" s="55"/>
    </row>
    <row r="35" spans="1:17" x14ac:dyDescent="0.25">
      <c r="A35" s="38" t="str">
        <f t="shared" si="4"/>
        <v/>
      </c>
      <c r="B35" s="38"/>
      <c r="C35" s="30"/>
      <c r="D35" s="30"/>
      <c r="E35" s="30"/>
      <c r="F35" s="30"/>
      <c r="G35" s="30"/>
      <c r="H35" s="30"/>
      <c r="I35" s="36" t="str">
        <f t="shared" si="0"/>
        <v/>
      </c>
      <c r="J35" s="30"/>
      <c r="K35" s="30"/>
      <c r="L35" s="36" t="str">
        <f t="shared" si="1"/>
        <v/>
      </c>
      <c r="M35" s="37" t="str">
        <f t="shared" si="2"/>
        <v/>
      </c>
      <c r="N35" s="37" t="str">
        <f t="shared" si="3"/>
        <v/>
      </c>
      <c r="O35" s="55"/>
      <c r="P35" s="55"/>
      <c r="Q35" s="55"/>
    </row>
    <row r="36" spans="1:17" x14ac:dyDescent="0.25">
      <c r="A36" s="38" t="str">
        <f t="shared" si="4"/>
        <v/>
      </c>
      <c r="B36" s="38"/>
      <c r="C36" s="30"/>
      <c r="D36" s="30"/>
      <c r="E36" s="30"/>
      <c r="F36" s="30"/>
      <c r="G36" s="30"/>
      <c r="H36" s="30"/>
      <c r="I36" s="36" t="str">
        <f t="shared" si="0"/>
        <v/>
      </c>
      <c r="J36" s="30"/>
      <c r="K36" s="30"/>
      <c r="L36" s="36" t="str">
        <f t="shared" si="1"/>
        <v/>
      </c>
      <c r="M36" s="37" t="str">
        <f t="shared" si="2"/>
        <v/>
      </c>
      <c r="N36" s="37" t="str">
        <f t="shared" si="3"/>
        <v/>
      </c>
      <c r="O36" s="55"/>
      <c r="P36" s="55"/>
      <c r="Q36" s="55"/>
    </row>
    <row r="37" spans="1:17" x14ac:dyDescent="0.25">
      <c r="A37" s="38" t="str">
        <f t="shared" si="4"/>
        <v/>
      </c>
      <c r="B37" s="38"/>
      <c r="C37" s="30"/>
      <c r="D37" s="30"/>
      <c r="E37" s="30"/>
      <c r="F37" s="30"/>
      <c r="G37" s="30"/>
      <c r="H37" s="30"/>
      <c r="I37" s="36" t="str">
        <f t="shared" si="0"/>
        <v/>
      </c>
      <c r="J37" s="30"/>
      <c r="K37" s="30"/>
      <c r="L37" s="36" t="str">
        <f t="shared" si="1"/>
        <v/>
      </c>
      <c r="M37" s="37" t="str">
        <f t="shared" si="2"/>
        <v/>
      </c>
      <c r="N37" s="37" t="str">
        <f t="shared" si="3"/>
        <v/>
      </c>
      <c r="O37" s="55"/>
      <c r="P37" s="55"/>
      <c r="Q37" s="55"/>
    </row>
    <row r="38" spans="1:17" x14ac:dyDescent="0.25">
      <c r="A38" s="38" t="str">
        <f t="shared" si="4"/>
        <v/>
      </c>
      <c r="B38" s="38"/>
      <c r="C38" s="30"/>
      <c r="D38" s="30"/>
      <c r="E38" s="30"/>
      <c r="F38" s="30"/>
      <c r="G38" s="30"/>
      <c r="H38" s="30"/>
      <c r="I38" s="36" t="str">
        <f t="shared" si="0"/>
        <v/>
      </c>
      <c r="J38" s="30"/>
      <c r="K38" s="30"/>
      <c r="L38" s="36" t="str">
        <f t="shared" si="1"/>
        <v/>
      </c>
      <c r="M38" s="37" t="str">
        <f t="shared" si="2"/>
        <v/>
      </c>
      <c r="N38" s="37" t="str">
        <f t="shared" si="3"/>
        <v/>
      </c>
      <c r="O38" s="55"/>
      <c r="P38" s="55"/>
      <c r="Q38" s="55"/>
    </row>
    <row r="39" spans="1:17" x14ac:dyDescent="0.25">
      <c r="A39" s="38" t="str">
        <f t="shared" si="4"/>
        <v/>
      </c>
      <c r="B39" s="38"/>
      <c r="C39" s="30"/>
      <c r="D39" s="30"/>
      <c r="E39" s="30"/>
      <c r="F39" s="30"/>
      <c r="G39" s="30"/>
      <c r="H39" s="30"/>
      <c r="I39" s="36" t="str">
        <f t="shared" si="0"/>
        <v/>
      </c>
      <c r="J39" s="30"/>
      <c r="K39" s="30"/>
      <c r="L39" s="36" t="str">
        <f t="shared" si="1"/>
        <v/>
      </c>
      <c r="M39" s="37" t="str">
        <f t="shared" si="2"/>
        <v/>
      </c>
      <c r="N39" s="37" t="str">
        <f t="shared" si="3"/>
        <v/>
      </c>
      <c r="O39" s="55"/>
      <c r="P39" s="55"/>
      <c r="Q39" s="55"/>
    </row>
    <row r="40" spans="1:17" x14ac:dyDescent="0.25">
      <c r="A40" s="38" t="str">
        <f t="shared" si="4"/>
        <v/>
      </c>
      <c r="B40" s="38"/>
      <c r="C40" s="30"/>
      <c r="D40" s="30"/>
      <c r="E40" s="30"/>
      <c r="F40" s="30"/>
      <c r="G40" s="30"/>
      <c r="H40" s="30"/>
      <c r="I40" s="36" t="str">
        <f t="shared" si="0"/>
        <v/>
      </c>
      <c r="J40" s="30"/>
      <c r="K40" s="30"/>
      <c r="L40" s="36" t="str">
        <f t="shared" si="1"/>
        <v/>
      </c>
      <c r="M40" s="37" t="str">
        <f t="shared" si="2"/>
        <v/>
      </c>
      <c r="N40" s="37" t="str">
        <f t="shared" si="3"/>
        <v/>
      </c>
      <c r="O40" s="55"/>
      <c r="P40" s="55"/>
      <c r="Q40" s="55"/>
    </row>
    <row r="41" spans="1:17" x14ac:dyDescent="0.25">
      <c r="A41" s="38" t="str">
        <f t="shared" si="4"/>
        <v/>
      </c>
      <c r="B41" s="38"/>
      <c r="C41" s="30"/>
      <c r="D41" s="30"/>
      <c r="E41" s="30"/>
      <c r="F41" s="30"/>
      <c r="G41" s="30"/>
      <c r="H41" s="30"/>
      <c r="I41" s="36" t="str">
        <f t="shared" si="0"/>
        <v/>
      </c>
      <c r="J41" s="30"/>
      <c r="K41" s="30"/>
      <c r="L41" s="36" t="str">
        <f t="shared" si="1"/>
        <v/>
      </c>
      <c r="M41" s="37" t="str">
        <f t="shared" si="2"/>
        <v/>
      </c>
      <c r="N41" s="37" t="str">
        <f t="shared" si="3"/>
        <v/>
      </c>
      <c r="O41" s="55"/>
      <c r="P41" s="55"/>
      <c r="Q41" s="55"/>
    </row>
    <row r="42" spans="1:17" x14ac:dyDescent="0.25">
      <c r="A42" s="38" t="str">
        <f t="shared" si="4"/>
        <v/>
      </c>
      <c r="B42" s="38"/>
      <c r="C42" s="30"/>
      <c r="D42" s="30"/>
      <c r="E42" s="30"/>
      <c r="F42" s="30"/>
      <c r="G42" s="30"/>
      <c r="H42" s="30"/>
      <c r="I42" s="36" t="str">
        <f t="shared" si="0"/>
        <v/>
      </c>
      <c r="J42" s="30"/>
      <c r="K42" s="30"/>
      <c r="L42" s="36" t="str">
        <f t="shared" si="1"/>
        <v/>
      </c>
      <c r="M42" s="37" t="str">
        <f t="shared" si="2"/>
        <v/>
      </c>
      <c r="N42" s="37" t="str">
        <f t="shared" si="3"/>
        <v/>
      </c>
      <c r="O42" s="55"/>
      <c r="P42" s="55"/>
      <c r="Q42" s="55"/>
    </row>
    <row r="43" spans="1:17" x14ac:dyDescent="0.25">
      <c r="A43" s="38" t="str">
        <f t="shared" si="4"/>
        <v/>
      </c>
      <c r="B43" s="38"/>
      <c r="C43" s="30"/>
      <c r="D43" s="30"/>
      <c r="E43" s="30"/>
      <c r="F43" s="30"/>
      <c r="G43" s="30"/>
      <c r="H43" s="30"/>
      <c r="I43" s="36" t="str">
        <f t="shared" si="0"/>
        <v/>
      </c>
      <c r="J43" s="30"/>
      <c r="K43" s="30"/>
      <c r="L43" s="36" t="str">
        <f t="shared" si="1"/>
        <v/>
      </c>
      <c r="M43" s="37" t="str">
        <f t="shared" si="2"/>
        <v/>
      </c>
      <c r="N43" s="37" t="str">
        <f t="shared" si="3"/>
        <v/>
      </c>
      <c r="O43" s="55"/>
      <c r="P43" s="55"/>
      <c r="Q43" s="55"/>
    </row>
    <row r="44" spans="1:17" x14ac:dyDescent="0.25">
      <c r="A44" s="38" t="str">
        <f t="shared" si="4"/>
        <v/>
      </c>
      <c r="B44" s="38"/>
      <c r="C44" s="30"/>
      <c r="D44" s="30"/>
      <c r="E44" s="30"/>
      <c r="F44" s="30"/>
      <c r="G44" s="30"/>
      <c r="H44" s="30"/>
      <c r="I44" s="36" t="str">
        <f t="shared" si="0"/>
        <v/>
      </c>
      <c r="J44" s="30"/>
      <c r="K44" s="30"/>
      <c r="L44" s="36" t="str">
        <f t="shared" si="1"/>
        <v/>
      </c>
      <c r="M44" s="37" t="str">
        <f t="shared" si="2"/>
        <v/>
      </c>
      <c r="N44" s="37" t="str">
        <f t="shared" si="3"/>
        <v/>
      </c>
      <c r="O44" s="55"/>
      <c r="P44" s="55"/>
      <c r="Q44" s="55"/>
    </row>
    <row r="45" spans="1:17" x14ac:dyDescent="0.25">
      <c r="A45" s="38" t="str">
        <f t="shared" si="4"/>
        <v/>
      </c>
      <c r="B45" s="38"/>
      <c r="C45" s="30"/>
      <c r="D45" s="30"/>
      <c r="E45" s="30"/>
      <c r="F45" s="30"/>
      <c r="G45" s="30"/>
      <c r="H45" s="30"/>
      <c r="I45" s="36" t="str">
        <f t="shared" si="0"/>
        <v/>
      </c>
      <c r="J45" s="30"/>
      <c r="K45" s="30"/>
      <c r="L45" s="36" t="str">
        <f t="shared" si="1"/>
        <v/>
      </c>
      <c r="M45" s="37" t="str">
        <f t="shared" si="2"/>
        <v/>
      </c>
      <c r="N45" s="37" t="str">
        <f t="shared" si="3"/>
        <v/>
      </c>
      <c r="O45" s="55"/>
      <c r="P45" s="55"/>
      <c r="Q45" s="55"/>
    </row>
    <row r="46" spans="1:17" x14ac:dyDescent="0.25">
      <c r="A46" s="38" t="str">
        <f t="shared" si="4"/>
        <v/>
      </c>
      <c r="B46" s="38"/>
      <c r="C46" s="30"/>
      <c r="D46" s="30"/>
      <c r="E46" s="30"/>
      <c r="F46" s="30"/>
      <c r="G46" s="30"/>
      <c r="H46" s="30"/>
      <c r="I46" s="36" t="str">
        <f t="shared" si="0"/>
        <v/>
      </c>
      <c r="J46" s="30"/>
      <c r="K46" s="30"/>
      <c r="L46" s="36" t="str">
        <f t="shared" si="1"/>
        <v/>
      </c>
      <c r="M46" s="37" t="str">
        <f t="shared" si="2"/>
        <v/>
      </c>
      <c r="N46" s="37" t="str">
        <f t="shared" si="3"/>
        <v/>
      </c>
      <c r="O46" s="55"/>
      <c r="P46" s="55"/>
      <c r="Q46" s="55"/>
    </row>
    <row r="47" spans="1:17" x14ac:dyDescent="0.25">
      <c r="A47" s="38" t="str">
        <f t="shared" si="4"/>
        <v/>
      </c>
      <c r="B47" s="38"/>
      <c r="C47" s="30"/>
      <c r="D47" s="30"/>
      <c r="E47" s="30"/>
      <c r="F47" s="30"/>
      <c r="G47" s="30"/>
      <c r="H47" s="30"/>
      <c r="I47" s="36" t="str">
        <f t="shared" si="0"/>
        <v/>
      </c>
      <c r="J47" s="30"/>
      <c r="K47" s="30"/>
      <c r="L47" s="36" t="str">
        <f t="shared" si="1"/>
        <v/>
      </c>
      <c r="M47" s="37" t="str">
        <f t="shared" si="2"/>
        <v/>
      </c>
      <c r="N47" s="37" t="str">
        <f t="shared" si="3"/>
        <v/>
      </c>
      <c r="O47" s="55"/>
      <c r="P47" s="55"/>
      <c r="Q47" s="55"/>
    </row>
    <row r="48" spans="1:17" x14ac:dyDescent="0.25">
      <c r="A48" s="38" t="str">
        <f t="shared" si="4"/>
        <v/>
      </c>
      <c r="B48" s="38"/>
      <c r="C48" s="30"/>
      <c r="D48" s="30"/>
      <c r="E48" s="30"/>
      <c r="F48" s="30"/>
      <c r="G48" s="30"/>
      <c r="H48" s="30"/>
      <c r="I48" s="36" t="str">
        <f t="shared" si="0"/>
        <v/>
      </c>
      <c r="J48" s="30"/>
      <c r="K48" s="30"/>
      <c r="L48" s="36" t="str">
        <f t="shared" si="1"/>
        <v/>
      </c>
      <c r="M48" s="37" t="str">
        <f t="shared" si="2"/>
        <v/>
      </c>
      <c r="N48" s="37" t="str">
        <f t="shared" si="3"/>
        <v/>
      </c>
      <c r="O48" s="55"/>
      <c r="P48" s="55"/>
      <c r="Q48" s="55"/>
    </row>
    <row r="49" spans="1:17" x14ac:dyDescent="0.25">
      <c r="A49" s="38" t="str">
        <f t="shared" si="4"/>
        <v/>
      </c>
      <c r="B49" s="38"/>
      <c r="C49" s="30"/>
      <c r="D49" s="30"/>
      <c r="E49" s="30"/>
      <c r="F49" s="30"/>
      <c r="G49" s="30"/>
      <c r="H49" s="30"/>
      <c r="I49" s="36" t="str">
        <f t="shared" si="0"/>
        <v/>
      </c>
      <c r="J49" s="30"/>
      <c r="K49" s="30"/>
      <c r="L49" s="36" t="str">
        <f t="shared" si="1"/>
        <v/>
      </c>
      <c r="M49" s="37" t="str">
        <f t="shared" si="2"/>
        <v/>
      </c>
      <c r="N49" s="37" t="str">
        <f t="shared" si="3"/>
        <v/>
      </c>
      <c r="O49" s="55"/>
      <c r="P49" s="55"/>
      <c r="Q49" s="55"/>
    </row>
    <row r="50" spans="1:17" x14ac:dyDescent="0.25">
      <c r="A50" s="38" t="str">
        <f t="shared" si="4"/>
        <v/>
      </c>
      <c r="B50" s="38"/>
      <c r="C50" s="30"/>
      <c r="D50" s="30"/>
      <c r="E50" s="30"/>
      <c r="F50" s="30"/>
      <c r="G50" s="30"/>
      <c r="H50" s="30"/>
      <c r="I50" s="36" t="str">
        <f t="shared" si="0"/>
        <v/>
      </c>
      <c r="J50" s="30"/>
      <c r="K50" s="30"/>
      <c r="L50" s="36" t="str">
        <f t="shared" si="1"/>
        <v/>
      </c>
      <c r="M50" s="37" t="str">
        <f t="shared" si="2"/>
        <v/>
      </c>
      <c r="N50" s="37" t="str">
        <f t="shared" si="3"/>
        <v/>
      </c>
      <c r="O50" s="55"/>
      <c r="P50" s="55"/>
      <c r="Q50" s="55"/>
    </row>
    <row r="51" spans="1:17" x14ac:dyDescent="0.25">
      <c r="A51" s="38" t="str">
        <f t="shared" si="4"/>
        <v/>
      </c>
      <c r="B51" s="38"/>
      <c r="C51" s="30"/>
      <c r="D51" s="30"/>
      <c r="E51" s="30"/>
      <c r="F51" s="30"/>
      <c r="G51" s="30"/>
      <c r="H51" s="30"/>
      <c r="I51" s="36" t="str">
        <f t="shared" si="0"/>
        <v/>
      </c>
      <c r="J51" s="30"/>
      <c r="K51" s="30"/>
      <c r="L51" s="36" t="str">
        <f t="shared" si="1"/>
        <v/>
      </c>
      <c r="M51" s="37" t="str">
        <f t="shared" si="2"/>
        <v/>
      </c>
      <c r="N51" s="37" t="str">
        <f t="shared" si="3"/>
        <v/>
      </c>
      <c r="O51" s="55"/>
      <c r="P51" s="55"/>
      <c r="Q51" s="55"/>
    </row>
    <row r="52" spans="1:17" x14ac:dyDescent="0.25">
      <c r="A52" s="38" t="str">
        <f t="shared" si="4"/>
        <v/>
      </c>
      <c r="B52" s="38"/>
      <c r="C52" s="30"/>
      <c r="D52" s="30"/>
      <c r="E52" s="30"/>
      <c r="F52" s="30"/>
      <c r="G52" s="30"/>
      <c r="H52" s="30"/>
      <c r="I52" s="36" t="str">
        <f t="shared" si="0"/>
        <v/>
      </c>
      <c r="J52" s="30"/>
      <c r="K52" s="30"/>
      <c r="L52" s="36" t="str">
        <f t="shared" si="1"/>
        <v/>
      </c>
      <c r="M52" s="37" t="str">
        <f t="shared" si="2"/>
        <v/>
      </c>
      <c r="N52" s="37" t="str">
        <f t="shared" si="3"/>
        <v/>
      </c>
      <c r="O52" s="55"/>
      <c r="P52" s="55"/>
      <c r="Q52" s="55"/>
    </row>
    <row r="53" spans="1:17" x14ac:dyDescent="0.25">
      <c r="A53" s="38" t="str">
        <f t="shared" si="4"/>
        <v/>
      </c>
      <c r="B53" s="38"/>
      <c r="C53" s="30"/>
      <c r="D53" s="30"/>
      <c r="E53" s="30"/>
      <c r="F53" s="30"/>
      <c r="G53" s="30"/>
      <c r="H53" s="30"/>
      <c r="I53" s="36" t="str">
        <f t="shared" si="0"/>
        <v/>
      </c>
      <c r="J53" s="30"/>
      <c r="K53" s="30"/>
      <c r="L53" s="36" t="str">
        <f t="shared" si="1"/>
        <v/>
      </c>
      <c r="M53" s="37" t="str">
        <f t="shared" si="2"/>
        <v/>
      </c>
      <c r="N53" s="37" t="str">
        <f t="shared" si="3"/>
        <v/>
      </c>
      <c r="O53" s="55"/>
      <c r="P53" s="55"/>
      <c r="Q53" s="55"/>
    </row>
    <row r="54" spans="1:17" x14ac:dyDescent="0.25">
      <c r="A54" s="38" t="str">
        <f t="shared" si="4"/>
        <v/>
      </c>
      <c r="B54" s="38"/>
      <c r="C54" s="30"/>
      <c r="D54" s="30"/>
      <c r="E54" s="30"/>
      <c r="F54" s="30"/>
      <c r="G54" s="30"/>
      <c r="H54" s="30"/>
      <c r="I54" s="36" t="str">
        <f t="shared" si="0"/>
        <v/>
      </c>
      <c r="J54" s="30"/>
      <c r="K54" s="30"/>
      <c r="L54" s="36" t="str">
        <f t="shared" si="1"/>
        <v/>
      </c>
      <c r="M54" s="37" t="str">
        <f t="shared" si="2"/>
        <v/>
      </c>
      <c r="N54" s="37" t="str">
        <f t="shared" si="3"/>
        <v/>
      </c>
      <c r="O54" s="55"/>
      <c r="P54" s="55"/>
      <c r="Q54" s="55"/>
    </row>
    <row r="55" spans="1:17" x14ac:dyDescent="0.25">
      <c r="A55" s="38" t="str">
        <f t="shared" si="4"/>
        <v/>
      </c>
      <c r="B55" s="38"/>
      <c r="C55" s="30"/>
      <c r="D55" s="30"/>
      <c r="E55" s="30"/>
      <c r="F55" s="30"/>
      <c r="G55" s="30"/>
      <c r="H55" s="30"/>
      <c r="I55" s="36" t="str">
        <f t="shared" si="0"/>
        <v/>
      </c>
      <c r="J55" s="30"/>
      <c r="K55" s="30"/>
      <c r="L55" s="36" t="str">
        <f t="shared" si="1"/>
        <v/>
      </c>
      <c r="M55" s="37" t="str">
        <f t="shared" si="2"/>
        <v/>
      </c>
      <c r="N55" s="37" t="str">
        <f t="shared" si="3"/>
        <v/>
      </c>
      <c r="O55" s="55"/>
      <c r="P55" s="55"/>
      <c r="Q55" s="55"/>
    </row>
    <row r="56" spans="1:17" x14ac:dyDescent="0.25">
      <c r="A56" s="38" t="str">
        <f t="shared" si="4"/>
        <v/>
      </c>
      <c r="B56" s="38"/>
      <c r="C56" s="30"/>
      <c r="D56" s="30"/>
      <c r="E56" s="30"/>
      <c r="F56" s="30"/>
      <c r="G56" s="30"/>
      <c r="H56" s="30"/>
      <c r="I56" s="36" t="str">
        <f t="shared" si="0"/>
        <v/>
      </c>
      <c r="J56" s="30"/>
      <c r="K56" s="30"/>
      <c r="L56" s="36" t="str">
        <f t="shared" si="1"/>
        <v/>
      </c>
      <c r="M56" s="37" t="str">
        <f t="shared" si="2"/>
        <v/>
      </c>
      <c r="N56" s="37" t="str">
        <f t="shared" si="3"/>
        <v/>
      </c>
      <c r="O56" s="55"/>
      <c r="P56" s="55"/>
      <c r="Q56" s="55"/>
    </row>
    <row r="57" spans="1:17" x14ac:dyDescent="0.25">
      <c r="A57" s="38" t="str">
        <f t="shared" si="4"/>
        <v/>
      </c>
      <c r="B57" s="38"/>
      <c r="C57" s="30"/>
      <c r="D57" s="30"/>
      <c r="E57" s="30"/>
      <c r="F57" s="30"/>
      <c r="G57" s="30"/>
      <c r="H57" s="30"/>
      <c r="I57" s="36" t="str">
        <f t="shared" si="0"/>
        <v/>
      </c>
      <c r="J57" s="30"/>
      <c r="K57" s="30"/>
      <c r="L57" s="36" t="str">
        <f t="shared" si="1"/>
        <v/>
      </c>
      <c r="M57" s="37" t="str">
        <f t="shared" si="2"/>
        <v/>
      </c>
      <c r="N57" s="37" t="str">
        <f t="shared" si="3"/>
        <v/>
      </c>
      <c r="O57" s="55"/>
      <c r="P57" s="55"/>
      <c r="Q57" s="55"/>
    </row>
    <row r="58" spans="1:17" x14ac:dyDescent="0.25">
      <c r="A58" s="38" t="str">
        <f t="shared" si="4"/>
        <v/>
      </c>
      <c r="B58" s="38"/>
      <c r="C58" s="30"/>
      <c r="D58" s="30"/>
      <c r="E58" s="30"/>
      <c r="F58" s="30"/>
      <c r="G58" s="30"/>
      <c r="H58" s="30"/>
      <c r="I58" s="36" t="str">
        <f t="shared" si="0"/>
        <v/>
      </c>
      <c r="J58" s="30"/>
      <c r="K58" s="30"/>
      <c r="L58" s="36" t="str">
        <f t="shared" si="1"/>
        <v/>
      </c>
      <c r="M58" s="37" t="str">
        <f t="shared" si="2"/>
        <v/>
      </c>
      <c r="N58" s="37" t="str">
        <f t="shared" si="3"/>
        <v/>
      </c>
      <c r="O58" s="55"/>
      <c r="P58" s="55"/>
      <c r="Q58" s="55"/>
    </row>
    <row r="59" spans="1:17" x14ac:dyDescent="0.25">
      <c r="A59" s="38" t="str">
        <f t="shared" si="4"/>
        <v/>
      </c>
      <c r="B59" s="38"/>
      <c r="C59" s="30"/>
      <c r="D59" s="30"/>
      <c r="E59" s="30"/>
      <c r="F59" s="30"/>
      <c r="G59" s="30"/>
      <c r="H59" s="30"/>
      <c r="I59" s="36" t="str">
        <f t="shared" si="0"/>
        <v/>
      </c>
      <c r="J59" s="30"/>
      <c r="K59" s="30"/>
      <c r="L59" s="36" t="str">
        <f t="shared" si="1"/>
        <v/>
      </c>
      <c r="M59" s="37" t="str">
        <f t="shared" si="2"/>
        <v/>
      </c>
      <c r="N59" s="37" t="str">
        <f t="shared" si="3"/>
        <v/>
      </c>
      <c r="O59" s="55"/>
      <c r="P59" s="55"/>
      <c r="Q59" s="55"/>
    </row>
    <row r="60" spans="1:17" x14ac:dyDescent="0.25">
      <c r="A60" s="38" t="str">
        <f t="shared" si="4"/>
        <v/>
      </c>
      <c r="B60" s="38"/>
      <c r="C60" s="30"/>
      <c r="D60" s="30"/>
      <c r="E60" s="30"/>
      <c r="F60" s="30"/>
      <c r="G60" s="30"/>
      <c r="H60" s="30"/>
      <c r="I60" s="36" t="str">
        <f t="shared" si="0"/>
        <v/>
      </c>
      <c r="J60" s="30"/>
      <c r="K60" s="30"/>
      <c r="L60" s="36" t="str">
        <f t="shared" si="1"/>
        <v/>
      </c>
      <c r="M60" s="37" t="str">
        <f t="shared" si="2"/>
        <v/>
      </c>
      <c r="N60" s="37" t="str">
        <f t="shared" si="3"/>
        <v/>
      </c>
      <c r="O60" s="55"/>
      <c r="P60" s="55"/>
      <c r="Q60" s="55"/>
    </row>
    <row r="61" spans="1:17" x14ac:dyDescent="0.25">
      <c r="A61" s="38" t="str">
        <f t="shared" si="4"/>
        <v/>
      </c>
      <c r="B61" s="38"/>
      <c r="C61" s="30"/>
      <c r="D61" s="30"/>
      <c r="E61" s="30"/>
      <c r="F61" s="30"/>
      <c r="G61" s="30"/>
      <c r="H61" s="30"/>
      <c r="I61" s="36" t="str">
        <f t="shared" si="0"/>
        <v/>
      </c>
      <c r="J61" s="30"/>
      <c r="K61" s="30"/>
      <c r="L61" s="36" t="str">
        <f t="shared" si="1"/>
        <v/>
      </c>
      <c r="M61" s="37" t="str">
        <f t="shared" si="2"/>
        <v/>
      </c>
      <c r="N61" s="37" t="str">
        <f t="shared" si="3"/>
        <v/>
      </c>
      <c r="O61" s="55"/>
      <c r="P61" s="55"/>
      <c r="Q61" s="55"/>
    </row>
    <row r="62" spans="1:17" x14ac:dyDescent="0.25">
      <c r="A62" s="38" t="str">
        <f t="shared" si="4"/>
        <v/>
      </c>
      <c r="B62" s="38"/>
      <c r="C62" s="30"/>
      <c r="D62" s="30"/>
      <c r="E62" s="30"/>
      <c r="F62" s="30"/>
      <c r="G62" s="30"/>
      <c r="H62" s="30"/>
      <c r="I62" s="36" t="str">
        <f t="shared" si="0"/>
        <v/>
      </c>
      <c r="J62" s="30"/>
      <c r="K62" s="30"/>
      <c r="L62" s="36" t="str">
        <f t="shared" si="1"/>
        <v/>
      </c>
      <c r="M62" s="37" t="str">
        <f t="shared" si="2"/>
        <v/>
      </c>
      <c r="N62" s="37" t="str">
        <f t="shared" si="3"/>
        <v/>
      </c>
      <c r="O62" s="55"/>
      <c r="P62" s="55"/>
      <c r="Q62" s="55"/>
    </row>
    <row r="63" spans="1:17" x14ac:dyDescent="0.25">
      <c r="A63" s="38" t="str">
        <f t="shared" si="4"/>
        <v/>
      </c>
      <c r="B63" s="38"/>
      <c r="C63" s="30"/>
      <c r="D63" s="30"/>
      <c r="E63" s="30"/>
      <c r="F63" s="30"/>
      <c r="G63" s="30"/>
      <c r="H63" s="30"/>
      <c r="I63" s="36" t="str">
        <f t="shared" si="0"/>
        <v/>
      </c>
      <c r="J63" s="30"/>
      <c r="K63" s="30"/>
      <c r="L63" s="36" t="str">
        <f t="shared" si="1"/>
        <v/>
      </c>
      <c r="M63" s="37" t="str">
        <f t="shared" si="2"/>
        <v/>
      </c>
      <c r="N63" s="37" t="str">
        <f t="shared" si="3"/>
        <v/>
      </c>
      <c r="O63" s="55"/>
      <c r="P63" s="55"/>
      <c r="Q63" s="55"/>
    </row>
    <row r="64" spans="1:17" x14ac:dyDescent="0.25">
      <c r="A64" s="38" t="str">
        <f t="shared" si="4"/>
        <v/>
      </c>
      <c r="B64" s="38"/>
      <c r="C64" s="30"/>
      <c r="D64" s="30"/>
      <c r="E64" s="30"/>
      <c r="F64" s="30"/>
      <c r="G64" s="30"/>
      <c r="H64" s="30"/>
      <c r="I64" s="36" t="str">
        <f t="shared" si="0"/>
        <v/>
      </c>
      <c r="J64" s="30"/>
      <c r="K64" s="30"/>
      <c r="L64" s="36" t="str">
        <f t="shared" si="1"/>
        <v/>
      </c>
      <c r="M64" s="37" t="str">
        <f t="shared" si="2"/>
        <v/>
      </c>
      <c r="N64" s="37" t="str">
        <f t="shared" si="3"/>
        <v/>
      </c>
      <c r="O64" s="55"/>
      <c r="P64" s="55"/>
      <c r="Q64" s="55"/>
    </row>
    <row r="65" spans="1:17" x14ac:dyDescent="0.25">
      <c r="A65" s="38" t="str">
        <f t="shared" si="4"/>
        <v/>
      </c>
      <c r="B65" s="38"/>
      <c r="C65" s="30"/>
      <c r="D65" s="30"/>
      <c r="E65" s="30"/>
      <c r="F65" s="30"/>
      <c r="G65" s="30"/>
      <c r="H65" s="30"/>
      <c r="I65" s="36" t="str">
        <f t="shared" si="0"/>
        <v/>
      </c>
      <c r="J65" s="30"/>
      <c r="K65" s="30"/>
      <c r="L65" s="36" t="str">
        <f t="shared" si="1"/>
        <v/>
      </c>
      <c r="M65" s="37" t="str">
        <f t="shared" si="2"/>
        <v/>
      </c>
      <c r="N65" s="37" t="str">
        <f t="shared" si="3"/>
        <v/>
      </c>
      <c r="O65" s="55"/>
      <c r="P65" s="55"/>
      <c r="Q65" s="55"/>
    </row>
    <row r="66" spans="1:17" x14ac:dyDescent="0.25">
      <c r="A66" s="38" t="str">
        <f t="shared" si="4"/>
        <v/>
      </c>
      <c r="B66" s="38"/>
      <c r="C66" s="30"/>
      <c r="D66" s="30"/>
      <c r="E66" s="30"/>
      <c r="F66" s="30"/>
      <c r="G66" s="30"/>
      <c r="H66" s="30"/>
      <c r="I66" s="36" t="str">
        <f t="shared" si="0"/>
        <v/>
      </c>
      <c r="J66" s="30"/>
      <c r="K66" s="30"/>
      <c r="L66" s="36" t="str">
        <f t="shared" si="1"/>
        <v/>
      </c>
      <c r="M66" s="37" t="str">
        <f t="shared" si="2"/>
        <v/>
      </c>
      <c r="N66" s="37" t="str">
        <f t="shared" si="3"/>
        <v/>
      </c>
      <c r="O66" s="55"/>
      <c r="P66" s="55"/>
      <c r="Q66" s="55"/>
    </row>
    <row r="67" spans="1:17" x14ac:dyDescent="0.25">
      <c r="A67" s="38" t="str">
        <f t="shared" si="4"/>
        <v/>
      </c>
      <c r="B67" s="38"/>
      <c r="C67" s="30"/>
      <c r="D67" s="30"/>
      <c r="E67" s="30"/>
      <c r="F67" s="30"/>
      <c r="G67" s="30"/>
      <c r="H67" s="30"/>
      <c r="I67" s="36" t="str">
        <f t="shared" ref="I67:I130" si="7">IF(H67&lt;&gt;"",H67/G67,"")</f>
        <v/>
      </c>
      <c r="J67" s="30"/>
      <c r="K67" s="30"/>
      <c r="L67" s="36" t="str">
        <f t="shared" ref="L67:L130" si="8">IF(K67&lt;&gt;"",K67/J67,"")</f>
        <v/>
      </c>
      <c r="M67" s="37" t="str">
        <f t="shared" ref="M67:M130" si="9">IF(L67&lt;&gt;"",MAX(I67,L67),"")</f>
        <v/>
      </c>
      <c r="N67" s="37" t="str">
        <f t="shared" ref="N67:N130" si="10">IF($M67&lt;&gt;"",IF($M67&lt;50%,0%,IF($M67&lt;80%,$M67,100%)),"")</f>
        <v/>
      </c>
      <c r="O67" s="55"/>
      <c r="P67" s="55"/>
      <c r="Q67" s="55"/>
    </row>
    <row r="68" spans="1:17" x14ac:dyDescent="0.25">
      <c r="A68" s="38" t="str">
        <f t="shared" ref="A68:A131" si="11">IF(C68&lt;&gt;"",A67+1,"")</f>
        <v/>
      </c>
      <c r="B68" s="38"/>
      <c r="C68" s="30"/>
      <c r="D68" s="30"/>
      <c r="E68" s="30"/>
      <c r="F68" s="30"/>
      <c r="G68" s="30"/>
      <c r="H68" s="30"/>
      <c r="I68" s="36" t="str">
        <f t="shared" si="7"/>
        <v/>
      </c>
      <c r="J68" s="30"/>
      <c r="K68" s="30"/>
      <c r="L68" s="36" t="str">
        <f t="shared" si="8"/>
        <v/>
      </c>
      <c r="M68" s="37" t="str">
        <f t="shared" si="9"/>
        <v/>
      </c>
      <c r="N68" s="37" t="str">
        <f t="shared" si="10"/>
        <v/>
      </c>
      <c r="O68" s="55"/>
      <c r="P68" s="55"/>
      <c r="Q68" s="55"/>
    </row>
    <row r="69" spans="1:17" x14ac:dyDescent="0.25">
      <c r="A69" s="38" t="str">
        <f t="shared" si="11"/>
        <v/>
      </c>
      <c r="B69" s="38"/>
      <c r="C69" s="30"/>
      <c r="D69" s="30"/>
      <c r="E69" s="30"/>
      <c r="F69" s="30"/>
      <c r="G69" s="30"/>
      <c r="H69" s="30"/>
      <c r="I69" s="36" t="str">
        <f t="shared" si="7"/>
        <v/>
      </c>
      <c r="J69" s="30"/>
      <c r="K69" s="30"/>
      <c r="L69" s="36" t="str">
        <f t="shared" si="8"/>
        <v/>
      </c>
      <c r="M69" s="37" t="str">
        <f t="shared" si="9"/>
        <v/>
      </c>
      <c r="N69" s="37" t="str">
        <f t="shared" si="10"/>
        <v/>
      </c>
      <c r="O69" s="55"/>
      <c r="P69" s="55"/>
      <c r="Q69" s="55"/>
    </row>
    <row r="70" spans="1:17" x14ac:dyDescent="0.25">
      <c r="A70" s="38" t="str">
        <f t="shared" si="11"/>
        <v/>
      </c>
      <c r="B70" s="38"/>
      <c r="C70" s="30"/>
      <c r="D70" s="30"/>
      <c r="E70" s="30"/>
      <c r="F70" s="30"/>
      <c r="G70" s="30"/>
      <c r="H70" s="30"/>
      <c r="I70" s="36" t="str">
        <f t="shared" si="7"/>
        <v/>
      </c>
      <c r="J70" s="30"/>
      <c r="K70" s="30"/>
      <c r="L70" s="36" t="str">
        <f t="shared" si="8"/>
        <v/>
      </c>
      <c r="M70" s="37" t="str">
        <f t="shared" si="9"/>
        <v/>
      </c>
      <c r="N70" s="37" t="str">
        <f t="shared" si="10"/>
        <v/>
      </c>
      <c r="O70" s="55"/>
      <c r="P70" s="55"/>
      <c r="Q70" s="55"/>
    </row>
    <row r="71" spans="1:17" x14ac:dyDescent="0.25">
      <c r="A71" s="38" t="str">
        <f t="shared" si="11"/>
        <v/>
      </c>
      <c r="B71" s="38"/>
      <c r="C71" s="30"/>
      <c r="D71" s="30"/>
      <c r="E71" s="30"/>
      <c r="F71" s="30"/>
      <c r="G71" s="30"/>
      <c r="H71" s="30"/>
      <c r="I71" s="36" t="str">
        <f t="shared" si="7"/>
        <v/>
      </c>
      <c r="J71" s="30"/>
      <c r="K71" s="30"/>
      <c r="L71" s="36" t="str">
        <f t="shared" si="8"/>
        <v/>
      </c>
      <c r="M71" s="37" t="str">
        <f t="shared" si="9"/>
        <v/>
      </c>
      <c r="N71" s="37" t="str">
        <f t="shared" si="10"/>
        <v/>
      </c>
      <c r="O71" s="55"/>
      <c r="P71" s="55"/>
      <c r="Q71" s="55"/>
    </row>
    <row r="72" spans="1:17" x14ac:dyDescent="0.25">
      <c r="A72" s="38" t="str">
        <f t="shared" si="11"/>
        <v/>
      </c>
      <c r="B72" s="38"/>
      <c r="C72" s="30"/>
      <c r="D72" s="30"/>
      <c r="E72" s="30"/>
      <c r="F72" s="30"/>
      <c r="G72" s="30"/>
      <c r="H72" s="30"/>
      <c r="I72" s="36" t="str">
        <f t="shared" si="7"/>
        <v/>
      </c>
      <c r="J72" s="30"/>
      <c r="K72" s="30"/>
      <c r="L72" s="36" t="str">
        <f t="shared" si="8"/>
        <v/>
      </c>
      <c r="M72" s="37" t="str">
        <f t="shared" si="9"/>
        <v/>
      </c>
      <c r="N72" s="37" t="str">
        <f t="shared" si="10"/>
        <v/>
      </c>
      <c r="O72" s="55"/>
      <c r="P72" s="55"/>
      <c r="Q72" s="55"/>
    </row>
    <row r="73" spans="1:17" x14ac:dyDescent="0.25">
      <c r="A73" s="38" t="str">
        <f t="shared" si="11"/>
        <v/>
      </c>
      <c r="B73" s="38"/>
      <c r="C73" s="30"/>
      <c r="D73" s="30"/>
      <c r="E73" s="30"/>
      <c r="F73" s="30"/>
      <c r="G73" s="30"/>
      <c r="H73" s="30"/>
      <c r="I73" s="36" t="str">
        <f t="shared" si="7"/>
        <v/>
      </c>
      <c r="J73" s="30"/>
      <c r="K73" s="30"/>
      <c r="L73" s="36" t="str">
        <f t="shared" si="8"/>
        <v/>
      </c>
      <c r="M73" s="37" t="str">
        <f t="shared" si="9"/>
        <v/>
      </c>
      <c r="N73" s="37" t="str">
        <f t="shared" si="10"/>
        <v/>
      </c>
      <c r="O73" s="55"/>
      <c r="P73" s="55"/>
      <c r="Q73" s="55"/>
    </row>
    <row r="74" spans="1:17" x14ac:dyDescent="0.25">
      <c r="A74" s="38" t="str">
        <f t="shared" si="11"/>
        <v/>
      </c>
      <c r="B74" s="38"/>
      <c r="C74" s="30"/>
      <c r="D74" s="30"/>
      <c r="E74" s="30"/>
      <c r="F74" s="30"/>
      <c r="G74" s="30"/>
      <c r="H74" s="30"/>
      <c r="I74" s="36" t="str">
        <f t="shared" si="7"/>
        <v/>
      </c>
      <c r="J74" s="30"/>
      <c r="K74" s="30"/>
      <c r="L74" s="36" t="str">
        <f t="shared" si="8"/>
        <v/>
      </c>
      <c r="M74" s="37" t="str">
        <f t="shared" si="9"/>
        <v/>
      </c>
      <c r="N74" s="37" t="str">
        <f t="shared" si="10"/>
        <v/>
      </c>
      <c r="O74" s="55"/>
      <c r="P74" s="55"/>
      <c r="Q74" s="55"/>
    </row>
    <row r="75" spans="1:17" x14ac:dyDescent="0.25">
      <c r="A75" s="38" t="str">
        <f t="shared" si="11"/>
        <v/>
      </c>
      <c r="B75" s="38"/>
      <c r="C75" s="30"/>
      <c r="D75" s="30"/>
      <c r="E75" s="30"/>
      <c r="F75" s="30"/>
      <c r="G75" s="30"/>
      <c r="H75" s="30"/>
      <c r="I75" s="36" t="str">
        <f t="shared" si="7"/>
        <v/>
      </c>
      <c r="J75" s="30"/>
      <c r="K75" s="30"/>
      <c r="L75" s="36" t="str">
        <f t="shared" si="8"/>
        <v/>
      </c>
      <c r="M75" s="37" t="str">
        <f t="shared" si="9"/>
        <v/>
      </c>
      <c r="N75" s="37" t="str">
        <f t="shared" si="10"/>
        <v/>
      </c>
      <c r="O75" s="55"/>
      <c r="P75" s="55"/>
      <c r="Q75" s="55"/>
    </row>
    <row r="76" spans="1:17" x14ac:dyDescent="0.25">
      <c r="A76" s="38" t="str">
        <f t="shared" si="11"/>
        <v/>
      </c>
      <c r="B76" s="38"/>
      <c r="C76" s="30"/>
      <c r="D76" s="30"/>
      <c r="E76" s="30"/>
      <c r="F76" s="30"/>
      <c r="G76" s="30"/>
      <c r="H76" s="30"/>
      <c r="I76" s="36" t="str">
        <f t="shared" si="7"/>
        <v/>
      </c>
      <c r="J76" s="30"/>
      <c r="K76" s="30"/>
      <c r="L76" s="36" t="str">
        <f t="shared" si="8"/>
        <v/>
      </c>
      <c r="M76" s="37" t="str">
        <f t="shared" si="9"/>
        <v/>
      </c>
      <c r="N76" s="37" t="str">
        <f t="shared" si="10"/>
        <v/>
      </c>
      <c r="O76" s="55"/>
      <c r="P76" s="55"/>
      <c r="Q76" s="55"/>
    </row>
    <row r="77" spans="1:17" x14ac:dyDescent="0.25">
      <c r="A77" s="38" t="str">
        <f t="shared" si="11"/>
        <v/>
      </c>
      <c r="B77" s="38"/>
      <c r="C77" s="30"/>
      <c r="D77" s="30"/>
      <c r="E77" s="30"/>
      <c r="F77" s="30"/>
      <c r="G77" s="30"/>
      <c r="H77" s="30"/>
      <c r="I77" s="36" t="str">
        <f t="shared" si="7"/>
        <v/>
      </c>
      <c r="J77" s="30"/>
      <c r="K77" s="30"/>
      <c r="L77" s="36" t="str">
        <f t="shared" si="8"/>
        <v/>
      </c>
      <c r="M77" s="37" t="str">
        <f t="shared" si="9"/>
        <v/>
      </c>
      <c r="N77" s="37" t="str">
        <f t="shared" si="10"/>
        <v/>
      </c>
      <c r="O77" s="55"/>
      <c r="P77" s="55"/>
      <c r="Q77" s="55"/>
    </row>
    <row r="78" spans="1:17" x14ac:dyDescent="0.25">
      <c r="A78" s="38" t="str">
        <f t="shared" si="11"/>
        <v/>
      </c>
      <c r="B78" s="38"/>
      <c r="C78" s="30"/>
      <c r="D78" s="30"/>
      <c r="E78" s="30"/>
      <c r="F78" s="30"/>
      <c r="G78" s="30"/>
      <c r="H78" s="30"/>
      <c r="I78" s="36" t="str">
        <f t="shared" si="7"/>
        <v/>
      </c>
      <c r="J78" s="30"/>
      <c r="K78" s="30"/>
      <c r="L78" s="36" t="str">
        <f t="shared" si="8"/>
        <v/>
      </c>
      <c r="M78" s="37" t="str">
        <f t="shared" si="9"/>
        <v/>
      </c>
      <c r="N78" s="37" t="str">
        <f t="shared" si="10"/>
        <v/>
      </c>
      <c r="O78" s="55"/>
      <c r="P78" s="55"/>
      <c r="Q78" s="55"/>
    </row>
    <row r="79" spans="1:17" x14ac:dyDescent="0.25">
      <c r="A79" s="38" t="str">
        <f t="shared" si="11"/>
        <v/>
      </c>
      <c r="B79" s="38"/>
      <c r="C79" s="30"/>
      <c r="D79" s="30"/>
      <c r="E79" s="30"/>
      <c r="F79" s="30"/>
      <c r="G79" s="30"/>
      <c r="H79" s="30"/>
      <c r="I79" s="36" t="str">
        <f t="shared" si="7"/>
        <v/>
      </c>
      <c r="J79" s="30"/>
      <c r="K79" s="30"/>
      <c r="L79" s="36" t="str">
        <f t="shared" si="8"/>
        <v/>
      </c>
      <c r="M79" s="37" t="str">
        <f t="shared" si="9"/>
        <v/>
      </c>
      <c r="N79" s="37" t="str">
        <f t="shared" si="10"/>
        <v/>
      </c>
      <c r="O79" s="55"/>
      <c r="P79" s="55"/>
      <c r="Q79" s="55"/>
    </row>
    <row r="80" spans="1:17" x14ac:dyDescent="0.25">
      <c r="A80" s="38" t="str">
        <f t="shared" si="11"/>
        <v/>
      </c>
      <c r="B80" s="38"/>
      <c r="C80" s="30"/>
      <c r="D80" s="30"/>
      <c r="E80" s="30"/>
      <c r="F80" s="30"/>
      <c r="G80" s="30"/>
      <c r="H80" s="30"/>
      <c r="I80" s="36" t="str">
        <f t="shared" si="7"/>
        <v/>
      </c>
      <c r="J80" s="30"/>
      <c r="K80" s="30"/>
      <c r="L80" s="36" t="str">
        <f t="shared" si="8"/>
        <v/>
      </c>
      <c r="M80" s="37" t="str">
        <f t="shared" si="9"/>
        <v/>
      </c>
      <c r="N80" s="37" t="str">
        <f t="shared" si="10"/>
        <v/>
      </c>
      <c r="O80" s="55"/>
      <c r="P80" s="55"/>
      <c r="Q80" s="55"/>
    </row>
    <row r="81" spans="1:17" x14ac:dyDescent="0.25">
      <c r="A81" s="38" t="str">
        <f t="shared" si="11"/>
        <v/>
      </c>
      <c r="B81" s="38"/>
      <c r="C81" s="30"/>
      <c r="D81" s="30"/>
      <c r="E81" s="30"/>
      <c r="F81" s="30"/>
      <c r="G81" s="30"/>
      <c r="H81" s="30"/>
      <c r="I81" s="36" t="str">
        <f t="shared" si="7"/>
        <v/>
      </c>
      <c r="J81" s="30"/>
      <c r="K81" s="30"/>
      <c r="L81" s="36" t="str">
        <f t="shared" si="8"/>
        <v/>
      </c>
      <c r="M81" s="37" t="str">
        <f t="shared" si="9"/>
        <v/>
      </c>
      <c r="N81" s="37" t="str">
        <f t="shared" si="10"/>
        <v/>
      </c>
      <c r="O81" s="55"/>
      <c r="P81" s="55"/>
      <c r="Q81" s="55"/>
    </row>
    <row r="82" spans="1:17" x14ac:dyDescent="0.25">
      <c r="A82" s="38" t="str">
        <f t="shared" si="11"/>
        <v/>
      </c>
      <c r="B82" s="38"/>
      <c r="C82" s="30"/>
      <c r="D82" s="30"/>
      <c r="E82" s="30"/>
      <c r="F82" s="30"/>
      <c r="G82" s="30"/>
      <c r="H82" s="30"/>
      <c r="I82" s="36" t="str">
        <f t="shared" si="7"/>
        <v/>
      </c>
      <c r="J82" s="30"/>
      <c r="K82" s="30"/>
      <c r="L82" s="36" t="str">
        <f t="shared" si="8"/>
        <v/>
      </c>
      <c r="M82" s="37" t="str">
        <f t="shared" si="9"/>
        <v/>
      </c>
      <c r="N82" s="37" t="str">
        <f t="shared" si="10"/>
        <v/>
      </c>
      <c r="O82" s="55"/>
      <c r="P82" s="55"/>
      <c r="Q82" s="55"/>
    </row>
    <row r="83" spans="1:17" x14ac:dyDescent="0.25">
      <c r="A83" s="38" t="str">
        <f t="shared" si="11"/>
        <v/>
      </c>
      <c r="B83" s="38"/>
      <c r="C83" s="30"/>
      <c r="D83" s="30"/>
      <c r="E83" s="30"/>
      <c r="F83" s="30"/>
      <c r="G83" s="30"/>
      <c r="H83" s="30"/>
      <c r="I83" s="36" t="str">
        <f t="shared" si="7"/>
        <v/>
      </c>
      <c r="J83" s="30"/>
      <c r="K83" s="30"/>
      <c r="L83" s="36" t="str">
        <f t="shared" si="8"/>
        <v/>
      </c>
      <c r="M83" s="37" t="str">
        <f t="shared" si="9"/>
        <v/>
      </c>
      <c r="N83" s="37" t="str">
        <f t="shared" si="10"/>
        <v/>
      </c>
      <c r="O83" s="55"/>
      <c r="P83" s="55"/>
      <c r="Q83" s="55"/>
    </row>
    <row r="84" spans="1:17" x14ac:dyDescent="0.25">
      <c r="A84" s="38" t="str">
        <f t="shared" si="11"/>
        <v/>
      </c>
      <c r="B84" s="38"/>
      <c r="C84" s="30"/>
      <c r="D84" s="30"/>
      <c r="E84" s="30"/>
      <c r="F84" s="30"/>
      <c r="G84" s="30"/>
      <c r="H84" s="30"/>
      <c r="I84" s="36" t="str">
        <f t="shared" si="7"/>
        <v/>
      </c>
      <c r="J84" s="30"/>
      <c r="K84" s="30"/>
      <c r="L84" s="36" t="str">
        <f t="shared" si="8"/>
        <v/>
      </c>
      <c r="M84" s="37" t="str">
        <f t="shared" si="9"/>
        <v/>
      </c>
      <c r="N84" s="37" t="str">
        <f t="shared" si="10"/>
        <v/>
      </c>
      <c r="O84" s="55"/>
      <c r="P84" s="55"/>
      <c r="Q84" s="55"/>
    </row>
    <row r="85" spans="1:17" x14ac:dyDescent="0.25">
      <c r="A85" s="38" t="str">
        <f t="shared" si="11"/>
        <v/>
      </c>
      <c r="B85" s="38"/>
      <c r="C85" s="30"/>
      <c r="D85" s="30"/>
      <c r="E85" s="30"/>
      <c r="F85" s="30"/>
      <c r="G85" s="30"/>
      <c r="H85" s="30"/>
      <c r="I85" s="36" t="str">
        <f t="shared" si="7"/>
        <v/>
      </c>
      <c r="J85" s="30"/>
      <c r="K85" s="30"/>
      <c r="L85" s="36" t="str">
        <f t="shared" si="8"/>
        <v/>
      </c>
      <c r="M85" s="37" t="str">
        <f t="shared" si="9"/>
        <v/>
      </c>
      <c r="N85" s="37" t="str">
        <f t="shared" si="10"/>
        <v/>
      </c>
      <c r="O85" s="55"/>
      <c r="P85" s="55"/>
      <c r="Q85" s="55"/>
    </row>
    <row r="86" spans="1:17" x14ac:dyDescent="0.25">
      <c r="A86" s="38" t="str">
        <f t="shared" si="11"/>
        <v/>
      </c>
      <c r="B86" s="38"/>
      <c r="C86" s="30"/>
      <c r="D86" s="30"/>
      <c r="E86" s="30"/>
      <c r="F86" s="30"/>
      <c r="G86" s="30"/>
      <c r="H86" s="30"/>
      <c r="I86" s="36" t="str">
        <f t="shared" si="7"/>
        <v/>
      </c>
      <c r="J86" s="30"/>
      <c r="K86" s="30"/>
      <c r="L86" s="36" t="str">
        <f t="shared" si="8"/>
        <v/>
      </c>
      <c r="M86" s="37" t="str">
        <f t="shared" si="9"/>
        <v/>
      </c>
      <c r="N86" s="37" t="str">
        <f t="shared" si="10"/>
        <v/>
      </c>
      <c r="O86" s="55"/>
      <c r="P86" s="55"/>
      <c r="Q86" s="55"/>
    </row>
    <row r="87" spans="1:17" x14ac:dyDescent="0.25">
      <c r="A87" s="38" t="str">
        <f t="shared" si="11"/>
        <v/>
      </c>
      <c r="B87" s="38"/>
      <c r="C87" s="30"/>
      <c r="D87" s="30"/>
      <c r="E87" s="30"/>
      <c r="F87" s="30"/>
      <c r="G87" s="30"/>
      <c r="H87" s="30"/>
      <c r="I87" s="36" t="str">
        <f t="shared" si="7"/>
        <v/>
      </c>
      <c r="J87" s="30"/>
      <c r="K87" s="30"/>
      <c r="L87" s="36" t="str">
        <f t="shared" si="8"/>
        <v/>
      </c>
      <c r="M87" s="37" t="str">
        <f t="shared" si="9"/>
        <v/>
      </c>
      <c r="N87" s="37" t="str">
        <f t="shared" si="10"/>
        <v/>
      </c>
      <c r="O87" s="55"/>
      <c r="P87" s="55"/>
      <c r="Q87" s="55"/>
    </row>
    <row r="88" spans="1:17" x14ac:dyDescent="0.25">
      <c r="A88" s="38" t="str">
        <f t="shared" si="11"/>
        <v/>
      </c>
      <c r="B88" s="38"/>
      <c r="C88" s="30"/>
      <c r="D88" s="30"/>
      <c r="E88" s="30"/>
      <c r="F88" s="30"/>
      <c r="G88" s="30"/>
      <c r="H88" s="30"/>
      <c r="I88" s="36" t="str">
        <f t="shared" si="7"/>
        <v/>
      </c>
      <c r="J88" s="30"/>
      <c r="K88" s="30"/>
      <c r="L88" s="36" t="str">
        <f t="shared" si="8"/>
        <v/>
      </c>
      <c r="M88" s="37" t="str">
        <f t="shared" si="9"/>
        <v/>
      </c>
      <c r="N88" s="37" t="str">
        <f t="shared" si="10"/>
        <v/>
      </c>
      <c r="O88" s="55"/>
      <c r="P88" s="55"/>
      <c r="Q88" s="55"/>
    </row>
    <row r="89" spans="1:17" x14ac:dyDescent="0.25">
      <c r="A89" s="38" t="str">
        <f t="shared" si="11"/>
        <v/>
      </c>
      <c r="B89" s="38"/>
      <c r="C89" s="30"/>
      <c r="D89" s="30"/>
      <c r="E89" s="30"/>
      <c r="F89" s="30"/>
      <c r="G89" s="30"/>
      <c r="H89" s="30"/>
      <c r="I89" s="36" t="str">
        <f t="shared" si="7"/>
        <v/>
      </c>
      <c r="J89" s="30"/>
      <c r="K89" s="30"/>
      <c r="L89" s="36" t="str">
        <f t="shared" si="8"/>
        <v/>
      </c>
      <c r="M89" s="37" t="str">
        <f t="shared" si="9"/>
        <v/>
      </c>
      <c r="N89" s="37" t="str">
        <f t="shared" si="10"/>
        <v/>
      </c>
      <c r="O89" s="55"/>
      <c r="P89" s="55"/>
      <c r="Q89" s="55"/>
    </row>
    <row r="90" spans="1:17" x14ac:dyDescent="0.25">
      <c r="A90" s="38" t="str">
        <f t="shared" si="11"/>
        <v/>
      </c>
      <c r="B90" s="38"/>
      <c r="C90" s="30"/>
      <c r="D90" s="30"/>
      <c r="E90" s="30"/>
      <c r="F90" s="30"/>
      <c r="G90" s="30"/>
      <c r="H90" s="30"/>
      <c r="I90" s="36" t="str">
        <f t="shared" si="7"/>
        <v/>
      </c>
      <c r="J90" s="30"/>
      <c r="K90" s="30"/>
      <c r="L90" s="36" t="str">
        <f t="shared" si="8"/>
        <v/>
      </c>
      <c r="M90" s="37" t="str">
        <f t="shared" si="9"/>
        <v/>
      </c>
      <c r="N90" s="37" t="str">
        <f t="shared" si="10"/>
        <v/>
      </c>
      <c r="O90" s="55"/>
      <c r="P90" s="55"/>
      <c r="Q90" s="55"/>
    </row>
    <row r="91" spans="1:17" x14ac:dyDescent="0.25">
      <c r="A91" s="38" t="str">
        <f t="shared" si="11"/>
        <v/>
      </c>
      <c r="B91" s="38"/>
      <c r="C91" s="30"/>
      <c r="D91" s="30"/>
      <c r="E91" s="30"/>
      <c r="F91" s="30"/>
      <c r="G91" s="30"/>
      <c r="H91" s="30"/>
      <c r="I91" s="36" t="str">
        <f t="shared" si="7"/>
        <v/>
      </c>
      <c r="J91" s="30"/>
      <c r="K91" s="30"/>
      <c r="L91" s="36" t="str">
        <f t="shared" si="8"/>
        <v/>
      </c>
      <c r="M91" s="37" t="str">
        <f t="shared" si="9"/>
        <v/>
      </c>
      <c r="N91" s="37" t="str">
        <f t="shared" si="10"/>
        <v/>
      </c>
      <c r="O91" s="55"/>
      <c r="P91" s="55"/>
      <c r="Q91" s="55"/>
    </row>
    <row r="92" spans="1:17" x14ac:dyDescent="0.25">
      <c r="A92" s="38" t="str">
        <f t="shared" si="11"/>
        <v/>
      </c>
      <c r="B92" s="38"/>
      <c r="C92" s="30"/>
      <c r="D92" s="30"/>
      <c r="E92" s="30"/>
      <c r="F92" s="30"/>
      <c r="G92" s="30"/>
      <c r="H92" s="30"/>
      <c r="I92" s="36" t="str">
        <f t="shared" si="7"/>
        <v/>
      </c>
      <c r="J92" s="30"/>
      <c r="K92" s="30"/>
      <c r="L92" s="36" t="str">
        <f t="shared" si="8"/>
        <v/>
      </c>
      <c r="M92" s="37" t="str">
        <f t="shared" si="9"/>
        <v/>
      </c>
      <c r="N92" s="37" t="str">
        <f t="shared" si="10"/>
        <v/>
      </c>
      <c r="O92" s="55"/>
      <c r="P92" s="55"/>
      <c r="Q92" s="55"/>
    </row>
    <row r="93" spans="1:17" x14ac:dyDescent="0.25">
      <c r="A93" s="38" t="str">
        <f t="shared" si="11"/>
        <v/>
      </c>
      <c r="B93" s="38"/>
      <c r="C93" s="30"/>
      <c r="D93" s="30"/>
      <c r="E93" s="30"/>
      <c r="F93" s="30"/>
      <c r="G93" s="30"/>
      <c r="H93" s="30"/>
      <c r="I93" s="36" t="str">
        <f t="shared" si="7"/>
        <v/>
      </c>
      <c r="J93" s="30"/>
      <c r="K93" s="30"/>
      <c r="L93" s="36" t="str">
        <f t="shared" si="8"/>
        <v/>
      </c>
      <c r="M93" s="37" t="str">
        <f t="shared" si="9"/>
        <v/>
      </c>
      <c r="N93" s="37" t="str">
        <f t="shared" si="10"/>
        <v/>
      </c>
      <c r="O93" s="55"/>
      <c r="P93" s="55"/>
      <c r="Q93" s="55"/>
    </row>
    <row r="94" spans="1:17" x14ac:dyDescent="0.25">
      <c r="A94" s="38" t="str">
        <f t="shared" si="11"/>
        <v/>
      </c>
      <c r="B94" s="38"/>
      <c r="C94" s="30"/>
      <c r="D94" s="30"/>
      <c r="E94" s="30"/>
      <c r="F94" s="30"/>
      <c r="G94" s="30"/>
      <c r="H94" s="30"/>
      <c r="I94" s="36" t="str">
        <f t="shared" si="7"/>
        <v/>
      </c>
      <c r="J94" s="30"/>
      <c r="K94" s="30"/>
      <c r="L94" s="36" t="str">
        <f t="shared" si="8"/>
        <v/>
      </c>
      <c r="M94" s="37" t="str">
        <f t="shared" si="9"/>
        <v/>
      </c>
      <c r="N94" s="37" t="str">
        <f t="shared" si="10"/>
        <v/>
      </c>
      <c r="O94" s="55"/>
      <c r="P94" s="55"/>
      <c r="Q94" s="55"/>
    </row>
    <row r="95" spans="1:17" x14ac:dyDescent="0.25">
      <c r="A95" s="38" t="str">
        <f t="shared" si="11"/>
        <v/>
      </c>
      <c r="B95" s="38"/>
      <c r="C95" s="30"/>
      <c r="D95" s="30"/>
      <c r="E95" s="30"/>
      <c r="F95" s="30"/>
      <c r="G95" s="30"/>
      <c r="H95" s="30"/>
      <c r="I95" s="36" t="str">
        <f t="shared" si="7"/>
        <v/>
      </c>
      <c r="J95" s="30"/>
      <c r="K95" s="30"/>
      <c r="L95" s="36" t="str">
        <f t="shared" si="8"/>
        <v/>
      </c>
      <c r="M95" s="37" t="str">
        <f t="shared" si="9"/>
        <v/>
      </c>
      <c r="N95" s="37" t="str">
        <f t="shared" si="10"/>
        <v/>
      </c>
      <c r="O95" s="55"/>
      <c r="P95" s="55"/>
      <c r="Q95" s="55"/>
    </row>
    <row r="96" spans="1:17" x14ac:dyDescent="0.25">
      <c r="A96" s="38" t="str">
        <f t="shared" si="11"/>
        <v/>
      </c>
      <c r="B96" s="38"/>
      <c r="C96" s="30"/>
      <c r="D96" s="30"/>
      <c r="E96" s="30"/>
      <c r="F96" s="30"/>
      <c r="G96" s="30"/>
      <c r="H96" s="30"/>
      <c r="I96" s="36" t="str">
        <f t="shared" si="7"/>
        <v/>
      </c>
      <c r="J96" s="30"/>
      <c r="K96" s="30"/>
      <c r="L96" s="36" t="str">
        <f t="shared" si="8"/>
        <v/>
      </c>
      <c r="M96" s="37" t="str">
        <f t="shared" si="9"/>
        <v/>
      </c>
      <c r="N96" s="37" t="str">
        <f t="shared" si="10"/>
        <v/>
      </c>
      <c r="O96" s="55"/>
      <c r="P96" s="55"/>
      <c r="Q96" s="55"/>
    </row>
    <row r="97" spans="1:17" x14ac:dyDescent="0.25">
      <c r="A97" s="38" t="str">
        <f t="shared" si="11"/>
        <v/>
      </c>
      <c r="B97" s="38"/>
      <c r="C97" s="30"/>
      <c r="D97" s="30"/>
      <c r="E97" s="30"/>
      <c r="F97" s="30"/>
      <c r="G97" s="30"/>
      <c r="H97" s="30"/>
      <c r="I97" s="36" t="str">
        <f t="shared" si="7"/>
        <v/>
      </c>
      <c r="J97" s="30"/>
      <c r="K97" s="30"/>
      <c r="L97" s="36" t="str">
        <f t="shared" si="8"/>
        <v/>
      </c>
      <c r="M97" s="37" t="str">
        <f t="shared" si="9"/>
        <v/>
      </c>
      <c r="N97" s="37" t="str">
        <f t="shared" si="10"/>
        <v/>
      </c>
      <c r="O97" s="55"/>
      <c r="P97" s="55"/>
      <c r="Q97" s="55"/>
    </row>
    <row r="98" spans="1:17" x14ac:dyDescent="0.25">
      <c r="A98" s="38" t="str">
        <f t="shared" si="11"/>
        <v/>
      </c>
      <c r="B98" s="38"/>
      <c r="C98" s="30"/>
      <c r="D98" s="30"/>
      <c r="E98" s="30"/>
      <c r="F98" s="30"/>
      <c r="G98" s="30"/>
      <c r="H98" s="30"/>
      <c r="I98" s="36" t="str">
        <f t="shared" si="7"/>
        <v/>
      </c>
      <c r="J98" s="30"/>
      <c r="K98" s="30"/>
      <c r="L98" s="36" t="str">
        <f t="shared" si="8"/>
        <v/>
      </c>
      <c r="M98" s="37" t="str">
        <f t="shared" si="9"/>
        <v/>
      </c>
      <c r="N98" s="37" t="str">
        <f t="shared" si="10"/>
        <v/>
      </c>
      <c r="O98" s="55"/>
      <c r="P98" s="55"/>
      <c r="Q98" s="55"/>
    </row>
    <row r="99" spans="1:17" x14ac:dyDescent="0.25">
      <c r="A99" s="38" t="str">
        <f t="shared" si="11"/>
        <v/>
      </c>
      <c r="B99" s="38"/>
      <c r="C99" s="30"/>
      <c r="D99" s="30"/>
      <c r="E99" s="30"/>
      <c r="F99" s="30"/>
      <c r="G99" s="30"/>
      <c r="H99" s="30"/>
      <c r="I99" s="36" t="str">
        <f t="shared" si="7"/>
        <v/>
      </c>
      <c r="J99" s="30"/>
      <c r="K99" s="30"/>
      <c r="L99" s="36" t="str">
        <f t="shared" si="8"/>
        <v/>
      </c>
      <c r="M99" s="37" t="str">
        <f t="shared" si="9"/>
        <v/>
      </c>
      <c r="N99" s="37" t="str">
        <f t="shared" si="10"/>
        <v/>
      </c>
      <c r="O99" s="55"/>
      <c r="P99" s="55"/>
      <c r="Q99" s="55"/>
    </row>
    <row r="100" spans="1:17" x14ac:dyDescent="0.25">
      <c r="A100" s="38" t="str">
        <f t="shared" si="11"/>
        <v/>
      </c>
      <c r="B100" s="38"/>
      <c r="C100" s="30"/>
      <c r="D100" s="30"/>
      <c r="E100" s="30"/>
      <c r="F100" s="30"/>
      <c r="G100" s="30"/>
      <c r="H100" s="30"/>
      <c r="I100" s="36" t="str">
        <f t="shared" si="7"/>
        <v/>
      </c>
      <c r="J100" s="30"/>
      <c r="K100" s="30"/>
      <c r="L100" s="36" t="str">
        <f t="shared" si="8"/>
        <v/>
      </c>
      <c r="M100" s="37" t="str">
        <f t="shared" si="9"/>
        <v/>
      </c>
      <c r="N100" s="37" t="str">
        <f t="shared" si="10"/>
        <v/>
      </c>
      <c r="O100" s="55"/>
      <c r="P100" s="55"/>
      <c r="Q100" s="55"/>
    </row>
    <row r="101" spans="1:17" x14ac:dyDescent="0.25">
      <c r="A101" s="38" t="str">
        <f t="shared" si="11"/>
        <v/>
      </c>
      <c r="B101" s="38"/>
      <c r="C101" s="30"/>
      <c r="D101" s="30"/>
      <c r="E101" s="30"/>
      <c r="F101" s="30"/>
      <c r="G101" s="30"/>
      <c r="H101" s="30"/>
      <c r="I101" s="36" t="str">
        <f t="shared" si="7"/>
        <v/>
      </c>
      <c r="J101" s="30"/>
      <c r="K101" s="30"/>
      <c r="L101" s="36" t="str">
        <f t="shared" si="8"/>
        <v/>
      </c>
      <c r="M101" s="37" t="str">
        <f t="shared" si="9"/>
        <v/>
      </c>
      <c r="N101" s="37" t="str">
        <f t="shared" si="10"/>
        <v/>
      </c>
      <c r="O101" s="55"/>
      <c r="P101" s="55"/>
      <c r="Q101" s="55"/>
    </row>
    <row r="102" spans="1:17" x14ac:dyDescent="0.25">
      <c r="A102" s="38" t="str">
        <f t="shared" si="11"/>
        <v/>
      </c>
      <c r="B102" s="38"/>
      <c r="C102" s="30"/>
      <c r="D102" s="30"/>
      <c r="E102" s="30"/>
      <c r="F102" s="30"/>
      <c r="G102" s="30"/>
      <c r="H102" s="30"/>
      <c r="I102" s="36" t="str">
        <f t="shared" si="7"/>
        <v/>
      </c>
      <c r="J102" s="30"/>
      <c r="K102" s="30"/>
      <c r="L102" s="36" t="str">
        <f t="shared" si="8"/>
        <v/>
      </c>
      <c r="M102" s="37" t="str">
        <f t="shared" si="9"/>
        <v/>
      </c>
      <c r="N102" s="37" t="str">
        <f t="shared" si="10"/>
        <v/>
      </c>
      <c r="O102" s="55"/>
      <c r="P102" s="55"/>
      <c r="Q102" s="55"/>
    </row>
    <row r="103" spans="1:17" x14ac:dyDescent="0.25">
      <c r="A103" s="38" t="str">
        <f t="shared" si="11"/>
        <v/>
      </c>
      <c r="B103" s="38"/>
      <c r="C103" s="30"/>
      <c r="D103" s="30"/>
      <c r="E103" s="30"/>
      <c r="F103" s="30"/>
      <c r="G103" s="30"/>
      <c r="H103" s="30"/>
      <c r="I103" s="36" t="str">
        <f t="shared" si="7"/>
        <v/>
      </c>
      <c r="J103" s="30"/>
      <c r="K103" s="30"/>
      <c r="L103" s="36" t="str">
        <f t="shared" si="8"/>
        <v/>
      </c>
      <c r="M103" s="37" t="str">
        <f t="shared" si="9"/>
        <v/>
      </c>
      <c r="N103" s="37" t="str">
        <f t="shared" si="10"/>
        <v/>
      </c>
      <c r="O103" s="55"/>
      <c r="P103" s="55"/>
      <c r="Q103" s="55"/>
    </row>
    <row r="104" spans="1:17" x14ac:dyDescent="0.25">
      <c r="A104" s="38" t="str">
        <f t="shared" si="11"/>
        <v/>
      </c>
      <c r="B104" s="38"/>
      <c r="C104" s="30"/>
      <c r="D104" s="30"/>
      <c r="E104" s="30"/>
      <c r="F104" s="30"/>
      <c r="G104" s="30"/>
      <c r="H104" s="30"/>
      <c r="I104" s="36" t="str">
        <f t="shared" si="7"/>
        <v/>
      </c>
      <c r="J104" s="30"/>
      <c r="K104" s="30"/>
      <c r="L104" s="36" t="str">
        <f t="shared" si="8"/>
        <v/>
      </c>
      <c r="M104" s="37" t="str">
        <f t="shared" si="9"/>
        <v/>
      </c>
      <c r="N104" s="37" t="str">
        <f t="shared" si="10"/>
        <v/>
      </c>
      <c r="O104" s="55"/>
      <c r="P104" s="55"/>
      <c r="Q104" s="55"/>
    </row>
    <row r="105" spans="1:17" x14ac:dyDescent="0.25">
      <c r="A105" s="38" t="str">
        <f t="shared" si="11"/>
        <v/>
      </c>
      <c r="B105" s="38"/>
      <c r="C105" s="30"/>
      <c r="D105" s="30"/>
      <c r="E105" s="30"/>
      <c r="F105" s="30"/>
      <c r="G105" s="30"/>
      <c r="H105" s="30"/>
      <c r="I105" s="36" t="str">
        <f t="shared" si="7"/>
        <v/>
      </c>
      <c r="J105" s="30"/>
      <c r="K105" s="30"/>
      <c r="L105" s="36" t="str">
        <f t="shared" si="8"/>
        <v/>
      </c>
      <c r="M105" s="37" t="str">
        <f t="shared" si="9"/>
        <v/>
      </c>
      <c r="N105" s="37" t="str">
        <f t="shared" si="10"/>
        <v/>
      </c>
      <c r="O105" s="55"/>
      <c r="P105" s="55"/>
      <c r="Q105" s="55"/>
    </row>
    <row r="106" spans="1:17" x14ac:dyDescent="0.25">
      <c r="A106" s="38" t="str">
        <f t="shared" si="11"/>
        <v/>
      </c>
      <c r="B106" s="38"/>
      <c r="C106" s="30"/>
      <c r="D106" s="30"/>
      <c r="E106" s="30"/>
      <c r="F106" s="30"/>
      <c r="G106" s="30"/>
      <c r="H106" s="30"/>
      <c r="I106" s="36" t="str">
        <f t="shared" si="7"/>
        <v/>
      </c>
      <c r="J106" s="30"/>
      <c r="K106" s="30"/>
      <c r="L106" s="36" t="str">
        <f t="shared" si="8"/>
        <v/>
      </c>
      <c r="M106" s="37" t="str">
        <f t="shared" si="9"/>
        <v/>
      </c>
      <c r="N106" s="37" t="str">
        <f t="shared" si="10"/>
        <v/>
      </c>
      <c r="O106" s="55"/>
      <c r="P106" s="55"/>
      <c r="Q106" s="55"/>
    </row>
    <row r="107" spans="1:17" x14ac:dyDescent="0.25">
      <c r="A107" s="38" t="str">
        <f t="shared" si="11"/>
        <v/>
      </c>
      <c r="B107" s="38"/>
      <c r="C107" s="30"/>
      <c r="D107" s="30"/>
      <c r="E107" s="30"/>
      <c r="F107" s="30"/>
      <c r="G107" s="30"/>
      <c r="H107" s="30"/>
      <c r="I107" s="36" t="str">
        <f t="shared" si="7"/>
        <v/>
      </c>
      <c r="J107" s="30"/>
      <c r="K107" s="30"/>
      <c r="L107" s="36" t="str">
        <f t="shared" si="8"/>
        <v/>
      </c>
      <c r="M107" s="37" t="str">
        <f t="shared" si="9"/>
        <v/>
      </c>
      <c r="N107" s="37" t="str">
        <f t="shared" si="10"/>
        <v/>
      </c>
      <c r="O107" s="55"/>
      <c r="P107" s="55"/>
      <c r="Q107" s="55"/>
    </row>
    <row r="108" spans="1:17" x14ac:dyDescent="0.25">
      <c r="A108" s="38" t="str">
        <f t="shared" si="11"/>
        <v/>
      </c>
      <c r="B108" s="38"/>
      <c r="C108" s="30"/>
      <c r="D108" s="30"/>
      <c r="E108" s="30"/>
      <c r="F108" s="30"/>
      <c r="G108" s="30"/>
      <c r="H108" s="30"/>
      <c r="I108" s="36" t="str">
        <f t="shared" si="7"/>
        <v/>
      </c>
      <c r="J108" s="30"/>
      <c r="K108" s="30"/>
      <c r="L108" s="36" t="str">
        <f t="shared" si="8"/>
        <v/>
      </c>
      <c r="M108" s="37" t="str">
        <f t="shared" si="9"/>
        <v/>
      </c>
      <c r="N108" s="37" t="str">
        <f t="shared" si="10"/>
        <v/>
      </c>
      <c r="O108" s="55"/>
      <c r="P108" s="55"/>
      <c r="Q108" s="55"/>
    </row>
    <row r="109" spans="1:17" x14ac:dyDescent="0.25">
      <c r="A109" s="38" t="str">
        <f t="shared" si="11"/>
        <v/>
      </c>
      <c r="B109" s="38"/>
      <c r="C109" s="30"/>
      <c r="D109" s="30"/>
      <c r="E109" s="30"/>
      <c r="F109" s="30"/>
      <c r="G109" s="30"/>
      <c r="H109" s="30"/>
      <c r="I109" s="36" t="str">
        <f t="shared" si="7"/>
        <v/>
      </c>
      <c r="J109" s="30"/>
      <c r="K109" s="30"/>
      <c r="L109" s="36" t="str">
        <f t="shared" si="8"/>
        <v/>
      </c>
      <c r="M109" s="37" t="str">
        <f t="shared" si="9"/>
        <v/>
      </c>
      <c r="N109" s="37" t="str">
        <f t="shared" si="10"/>
        <v/>
      </c>
      <c r="O109" s="55"/>
      <c r="P109" s="55"/>
      <c r="Q109" s="55"/>
    </row>
    <row r="110" spans="1:17" x14ac:dyDescent="0.25">
      <c r="A110" s="38" t="str">
        <f t="shared" si="11"/>
        <v/>
      </c>
      <c r="B110" s="38"/>
      <c r="C110" s="30"/>
      <c r="D110" s="30"/>
      <c r="E110" s="30"/>
      <c r="F110" s="30"/>
      <c r="G110" s="30"/>
      <c r="H110" s="30"/>
      <c r="I110" s="36" t="str">
        <f t="shared" si="7"/>
        <v/>
      </c>
      <c r="J110" s="30"/>
      <c r="K110" s="30"/>
      <c r="L110" s="36" t="str">
        <f t="shared" si="8"/>
        <v/>
      </c>
      <c r="M110" s="37" t="str">
        <f t="shared" si="9"/>
        <v/>
      </c>
      <c r="N110" s="37" t="str">
        <f t="shared" si="10"/>
        <v/>
      </c>
      <c r="O110" s="55"/>
      <c r="P110" s="55"/>
      <c r="Q110" s="55"/>
    </row>
    <row r="111" spans="1:17" x14ac:dyDescent="0.25">
      <c r="A111" s="38" t="str">
        <f t="shared" si="11"/>
        <v/>
      </c>
      <c r="B111" s="38"/>
      <c r="C111" s="30"/>
      <c r="D111" s="30"/>
      <c r="E111" s="30"/>
      <c r="F111" s="30"/>
      <c r="G111" s="30"/>
      <c r="H111" s="30"/>
      <c r="I111" s="36" t="str">
        <f t="shared" si="7"/>
        <v/>
      </c>
      <c r="J111" s="30"/>
      <c r="K111" s="30"/>
      <c r="L111" s="36" t="str">
        <f t="shared" si="8"/>
        <v/>
      </c>
      <c r="M111" s="37" t="str">
        <f t="shared" si="9"/>
        <v/>
      </c>
      <c r="N111" s="37" t="str">
        <f t="shared" si="10"/>
        <v/>
      </c>
      <c r="O111" s="55"/>
      <c r="P111" s="55"/>
      <c r="Q111" s="55"/>
    </row>
    <row r="112" spans="1:17" x14ac:dyDescent="0.25">
      <c r="A112" s="38" t="str">
        <f t="shared" si="11"/>
        <v/>
      </c>
      <c r="B112" s="38"/>
      <c r="C112" s="30"/>
      <c r="D112" s="30"/>
      <c r="E112" s="30"/>
      <c r="F112" s="30"/>
      <c r="G112" s="30"/>
      <c r="H112" s="30"/>
      <c r="I112" s="36" t="str">
        <f t="shared" si="7"/>
        <v/>
      </c>
      <c r="J112" s="30"/>
      <c r="K112" s="30"/>
      <c r="L112" s="36" t="str">
        <f t="shared" si="8"/>
        <v/>
      </c>
      <c r="M112" s="37" t="str">
        <f t="shared" si="9"/>
        <v/>
      </c>
      <c r="N112" s="37" t="str">
        <f t="shared" si="10"/>
        <v/>
      </c>
      <c r="O112" s="55"/>
      <c r="P112" s="55"/>
      <c r="Q112" s="55"/>
    </row>
    <row r="113" spans="1:17" x14ac:dyDescent="0.25">
      <c r="A113" s="38" t="str">
        <f t="shared" si="11"/>
        <v/>
      </c>
      <c r="B113" s="38"/>
      <c r="C113" s="30"/>
      <c r="D113" s="30"/>
      <c r="E113" s="30"/>
      <c r="F113" s="30"/>
      <c r="G113" s="30"/>
      <c r="H113" s="30"/>
      <c r="I113" s="36" t="str">
        <f t="shared" si="7"/>
        <v/>
      </c>
      <c r="J113" s="30"/>
      <c r="K113" s="30"/>
      <c r="L113" s="36" t="str">
        <f t="shared" si="8"/>
        <v/>
      </c>
      <c r="M113" s="37" t="str">
        <f t="shared" si="9"/>
        <v/>
      </c>
      <c r="N113" s="37" t="str">
        <f t="shared" si="10"/>
        <v/>
      </c>
      <c r="O113" s="55"/>
      <c r="P113" s="55"/>
      <c r="Q113" s="55"/>
    </row>
    <row r="114" spans="1:17" x14ac:dyDescent="0.25">
      <c r="A114" s="38" t="str">
        <f t="shared" si="11"/>
        <v/>
      </c>
      <c r="B114" s="38"/>
      <c r="C114" s="30"/>
      <c r="D114" s="30"/>
      <c r="E114" s="30"/>
      <c r="F114" s="30"/>
      <c r="G114" s="30"/>
      <c r="H114" s="30"/>
      <c r="I114" s="36" t="str">
        <f t="shared" si="7"/>
        <v/>
      </c>
      <c r="J114" s="30"/>
      <c r="K114" s="30"/>
      <c r="L114" s="36" t="str">
        <f t="shared" si="8"/>
        <v/>
      </c>
      <c r="M114" s="37" t="str">
        <f t="shared" si="9"/>
        <v/>
      </c>
      <c r="N114" s="37" t="str">
        <f t="shared" si="10"/>
        <v/>
      </c>
      <c r="O114" s="55"/>
      <c r="P114" s="55"/>
      <c r="Q114" s="55"/>
    </row>
    <row r="115" spans="1:17" x14ac:dyDescent="0.25">
      <c r="A115" s="38" t="str">
        <f t="shared" si="11"/>
        <v/>
      </c>
      <c r="B115" s="38"/>
      <c r="C115" s="30"/>
      <c r="D115" s="30"/>
      <c r="E115" s="30"/>
      <c r="F115" s="30"/>
      <c r="G115" s="30"/>
      <c r="H115" s="30"/>
      <c r="I115" s="36" t="str">
        <f t="shared" si="7"/>
        <v/>
      </c>
      <c r="J115" s="30"/>
      <c r="K115" s="30"/>
      <c r="L115" s="36" t="str">
        <f t="shared" si="8"/>
        <v/>
      </c>
      <c r="M115" s="37" t="str">
        <f t="shared" si="9"/>
        <v/>
      </c>
      <c r="N115" s="37" t="str">
        <f t="shared" si="10"/>
        <v/>
      </c>
      <c r="O115" s="55"/>
      <c r="P115" s="55"/>
      <c r="Q115" s="55"/>
    </row>
    <row r="116" spans="1:17" x14ac:dyDescent="0.25">
      <c r="A116" s="38" t="str">
        <f t="shared" si="11"/>
        <v/>
      </c>
      <c r="B116" s="38"/>
      <c r="C116" s="30"/>
      <c r="D116" s="30"/>
      <c r="E116" s="30"/>
      <c r="F116" s="30"/>
      <c r="G116" s="30"/>
      <c r="H116" s="30"/>
      <c r="I116" s="36" t="str">
        <f t="shared" si="7"/>
        <v/>
      </c>
      <c r="J116" s="30"/>
      <c r="K116" s="30"/>
      <c r="L116" s="36" t="str">
        <f t="shared" si="8"/>
        <v/>
      </c>
      <c r="M116" s="37" t="str">
        <f t="shared" si="9"/>
        <v/>
      </c>
      <c r="N116" s="37" t="str">
        <f t="shared" si="10"/>
        <v/>
      </c>
      <c r="O116" s="55"/>
      <c r="P116" s="55"/>
      <c r="Q116" s="55"/>
    </row>
    <row r="117" spans="1:17" x14ac:dyDescent="0.25">
      <c r="A117" s="38" t="str">
        <f t="shared" si="11"/>
        <v/>
      </c>
      <c r="B117" s="38"/>
      <c r="C117" s="30"/>
      <c r="D117" s="30"/>
      <c r="E117" s="30"/>
      <c r="F117" s="30"/>
      <c r="G117" s="30"/>
      <c r="H117" s="30"/>
      <c r="I117" s="36" t="str">
        <f t="shared" si="7"/>
        <v/>
      </c>
      <c r="J117" s="30"/>
      <c r="K117" s="30"/>
      <c r="L117" s="36" t="str">
        <f t="shared" si="8"/>
        <v/>
      </c>
      <c r="M117" s="37" t="str">
        <f t="shared" si="9"/>
        <v/>
      </c>
      <c r="N117" s="37" t="str">
        <f t="shared" si="10"/>
        <v/>
      </c>
      <c r="O117" s="55"/>
      <c r="P117" s="55"/>
      <c r="Q117" s="55"/>
    </row>
    <row r="118" spans="1:17" x14ac:dyDescent="0.25">
      <c r="A118" s="38" t="str">
        <f t="shared" si="11"/>
        <v/>
      </c>
      <c r="B118" s="38"/>
      <c r="C118" s="30"/>
      <c r="D118" s="30"/>
      <c r="E118" s="30"/>
      <c r="F118" s="30"/>
      <c r="G118" s="30"/>
      <c r="H118" s="30"/>
      <c r="I118" s="36" t="str">
        <f t="shared" si="7"/>
        <v/>
      </c>
      <c r="J118" s="30"/>
      <c r="K118" s="30"/>
      <c r="L118" s="36" t="str">
        <f t="shared" si="8"/>
        <v/>
      </c>
      <c r="M118" s="37" t="str">
        <f t="shared" si="9"/>
        <v/>
      </c>
      <c r="N118" s="37" t="str">
        <f t="shared" si="10"/>
        <v/>
      </c>
      <c r="O118" s="55"/>
      <c r="P118" s="55"/>
      <c r="Q118" s="55"/>
    </row>
    <row r="119" spans="1:17" x14ac:dyDescent="0.25">
      <c r="A119" s="38" t="str">
        <f t="shared" si="11"/>
        <v/>
      </c>
      <c r="B119" s="38"/>
      <c r="C119" s="30"/>
      <c r="D119" s="30"/>
      <c r="E119" s="30"/>
      <c r="F119" s="30"/>
      <c r="G119" s="30"/>
      <c r="H119" s="30"/>
      <c r="I119" s="36" t="str">
        <f t="shared" si="7"/>
        <v/>
      </c>
      <c r="J119" s="30"/>
      <c r="K119" s="30"/>
      <c r="L119" s="36" t="str">
        <f t="shared" si="8"/>
        <v/>
      </c>
      <c r="M119" s="37" t="str">
        <f t="shared" si="9"/>
        <v/>
      </c>
      <c r="N119" s="37" t="str">
        <f t="shared" si="10"/>
        <v/>
      </c>
      <c r="O119" s="55"/>
      <c r="P119" s="55"/>
      <c r="Q119" s="55"/>
    </row>
    <row r="120" spans="1:17" x14ac:dyDescent="0.25">
      <c r="A120" s="38" t="str">
        <f t="shared" si="11"/>
        <v/>
      </c>
      <c r="B120" s="38"/>
      <c r="C120" s="30"/>
      <c r="D120" s="30"/>
      <c r="E120" s="30"/>
      <c r="F120" s="30"/>
      <c r="G120" s="30"/>
      <c r="H120" s="30"/>
      <c r="I120" s="36" t="str">
        <f t="shared" si="7"/>
        <v/>
      </c>
      <c r="J120" s="30"/>
      <c r="K120" s="30"/>
      <c r="L120" s="36" t="str">
        <f t="shared" si="8"/>
        <v/>
      </c>
      <c r="M120" s="37" t="str">
        <f t="shared" si="9"/>
        <v/>
      </c>
      <c r="N120" s="37" t="str">
        <f t="shared" si="10"/>
        <v/>
      </c>
      <c r="O120" s="55"/>
      <c r="P120" s="55"/>
      <c r="Q120" s="55"/>
    </row>
    <row r="121" spans="1:17" x14ac:dyDescent="0.25">
      <c r="A121" s="38" t="str">
        <f t="shared" si="11"/>
        <v/>
      </c>
      <c r="B121" s="38"/>
      <c r="C121" s="30"/>
      <c r="D121" s="30"/>
      <c r="E121" s="30"/>
      <c r="F121" s="30"/>
      <c r="G121" s="30"/>
      <c r="H121" s="30"/>
      <c r="I121" s="36" t="str">
        <f t="shared" si="7"/>
        <v/>
      </c>
      <c r="J121" s="30"/>
      <c r="K121" s="30"/>
      <c r="L121" s="36" t="str">
        <f t="shared" si="8"/>
        <v/>
      </c>
      <c r="M121" s="37" t="str">
        <f t="shared" si="9"/>
        <v/>
      </c>
      <c r="N121" s="37" t="str">
        <f t="shared" si="10"/>
        <v/>
      </c>
      <c r="O121" s="55"/>
      <c r="P121" s="55"/>
      <c r="Q121" s="55"/>
    </row>
    <row r="122" spans="1:17" x14ac:dyDescent="0.25">
      <c r="A122" s="38" t="str">
        <f t="shared" si="11"/>
        <v/>
      </c>
      <c r="B122" s="38"/>
      <c r="C122" s="30"/>
      <c r="D122" s="30"/>
      <c r="E122" s="30"/>
      <c r="F122" s="30"/>
      <c r="G122" s="30"/>
      <c r="H122" s="30"/>
      <c r="I122" s="36" t="str">
        <f t="shared" si="7"/>
        <v/>
      </c>
      <c r="J122" s="30"/>
      <c r="K122" s="30"/>
      <c r="L122" s="36" t="str">
        <f t="shared" si="8"/>
        <v/>
      </c>
      <c r="M122" s="37" t="str">
        <f t="shared" si="9"/>
        <v/>
      </c>
      <c r="N122" s="37" t="str">
        <f t="shared" si="10"/>
        <v/>
      </c>
      <c r="O122" s="55"/>
      <c r="P122" s="55"/>
      <c r="Q122" s="55"/>
    </row>
    <row r="123" spans="1:17" x14ac:dyDescent="0.25">
      <c r="A123" s="38" t="str">
        <f t="shared" si="11"/>
        <v/>
      </c>
      <c r="B123" s="38"/>
      <c r="C123" s="30"/>
      <c r="D123" s="30"/>
      <c r="E123" s="30"/>
      <c r="F123" s="30"/>
      <c r="G123" s="30"/>
      <c r="H123" s="30"/>
      <c r="I123" s="36" t="str">
        <f t="shared" si="7"/>
        <v/>
      </c>
      <c r="J123" s="30"/>
      <c r="K123" s="30"/>
      <c r="L123" s="36" t="str">
        <f t="shared" si="8"/>
        <v/>
      </c>
      <c r="M123" s="37" t="str">
        <f t="shared" si="9"/>
        <v/>
      </c>
      <c r="N123" s="37" t="str">
        <f t="shared" si="10"/>
        <v/>
      </c>
      <c r="O123" s="55"/>
      <c r="P123" s="55"/>
      <c r="Q123" s="55"/>
    </row>
    <row r="124" spans="1:17" x14ac:dyDescent="0.25">
      <c r="A124" s="38" t="str">
        <f t="shared" si="11"/>
        <v/>
      </c>
      <c r="B124" s="38"/>
      <c r="C124" s="30"/>
      <c r="D124" s="30"/>
      <c r="E124" s="30"/>
      <c r="F124" s="30"/>
      <c r="G124" s="30"/>
      <c r="H124" s="30"/>
      <c r="I124" s="36" t="str">
        <f t="shared" si="7"/>
        <v/>
      </c>
      <c r="J124" s="30"/>
      <c r="K124" s="30"/>
      <c r="L124" s="36" t="str">
        <f t="shared" si="8"/>
        <v/>
      </c>
      <c r="M124" s="37" t="str">
        <f t="shared" si="9"/>
        <v/>
      </c>
      <c r="N124" s="37" t="str">
        <f t="shared" si="10"/>
        <v/>
      </c>
      <c r="O124" s="55"/>
      <c r="P124" s="55"/>
      <c r="Q124" s="55"/>
    </row>
    <row r="125" spans="1:17" x14ac:dyDescent="0.25">
      <c r="A125" s="38" t="str">
        <f t="shared" si="11"/>
        <v/>
      </c>
      <c r="B125" s="38"/>
      <c r="C125" s="30"/>
      <c r="D125" s="30"/>
      <c r="E125" s="30"/>
      <c r="F125" s="30"/>
      <c r="G125" s="30"/>
      <c r="H125" s="30"/>
      <c r="I125" s="36" t="str">
        <f t="shared" si="7"/>
        <v/>
      </c>
      <c r="J125" s="30"/>
      <c r="K125" s="30"/>
      <c r="L125" s="36" t="str">
        <f t="shared" si="8"/>
        <v/>
      </c>
      <c r="M125" s="37" t="str">
        <f t="shared" si="9"/>
        <v/>
      </c>
      <c r="N125" s="37" t="str">
        <f t="shared" si="10"/>
        <v/>
      </c>
      <c r="O125" s="55"/>
      <c r="P125" s="55"/>
      <c r="Q125" s="55"/>
    </row>
    <row r="126" spans="1:17" x14ac:dyDescent="0.25">
      <c r="A126" s="38" t="str">
        <f t="shared" si="11"/>
        <v/>
      </c>
      <c r="B126" s="38"/>
      <c r="C126" s="30"/>
      <c r="D126" s="30"/>
      <c r="E126" s="30"/>
      <c r="F126" s="30"/>
      <c r="G126" s="30"/>
      <c r="H126" s="30"/>
      <c r="I126" s="36" t="str">
        <f t="shared" si="7"/>
        <v/>
      </c>
      <c r="J126" s="30"/>
      <c r="K126" s="30"/>
      <c r="L126" s="36" t="str">
        <f t="shared" si="8"/>
        <v/>
      </c>
      <c r="M126" s="37" t="str">
        <f t="shared" si="9"/>
        <v/>
      </c>
      <c r="N126" s="37" t="str">
        <f t="shared" si="10"/>
        <v/>
      </c>
      <c r="O126" s="55"/>
      <c r="P126" s="55"/>
      <c r="Q126" s="55"/>
    </row>
    <row r="127" spans="1:17" x14ac:dyDescent="0.25">
      <c r="A127" s="38" t="str">
        <f t="shared" si="11"/>
        <v/>
      </c>
      <c r="B127" s="38"/>
      <c r="C127" s="30"/>
      <c r="D127" s="30"/>
      <c r="E127" s="30"/>
      <c r="F127" s="30"/>
      <c r="G127" s="30"/>
      <c r="H127" s="30"/>
      <c r="I127" s="36" t="str">
        <f t="shared" si="7"/>
        <v/>
      </c>
      <c r="J127" s="30"/>
      <c r="K127" s="30"/>
      <c r="L127" s="36" t="str">
        <f t="shared" si="8"/>
        <v/>
      </c>
      <c r="M127" s="37" t="str">
        <f t="shared" si="9"/>
        <v/>
      </c>
      <c r="N127" s="37" t="str">
        <f t="shared" si="10"/>
        <v/>
      </c>
      <c r="O127" s="55"/>
      <c r="P127" s="55"/>
      <c r="Q127" s="55"/>
    </row>
    <row r="128" spans="1:17" x14ac:dyDescent="0.25">
      <c r="A128" s="38" t="str">
        <f t="shared" si="11"/>
        <v/>
      </c>
      <c r="B128" s="38"/>
      <c r="C128" s="30"/>
      <c r="D128" s="30"/>
      <c r="E128" s="30"/>
      <c r="F128" s="30"/>
      <c r="G128" s="30"/>
      <c r="H128" s="30"/>
      <c r="I128" s="36" t="str">
        <f t="shared" si="7"/>
        <v/>
      </c>
      <c r="J128" s="30"/>
      <c r="K128" s="30"/>
      <c r="L128" s="36" t="str">
        <f t="shared" si="8"/>
        <v/>
      </c>
      <c r="M128" s="37" t="str">
        <f t="shared" si="9"/>
        <v/>
      </c>
      <c r="N128" s="37" t="str">
        <f t="shared" si="10"/>
        <v/>
      </c>
      <c r="O128" s="55"/>
      <c r="P128" s="55"/>
      <c r="Q128" s="55"/>
    </row>
    <row r="129" spans="1:17" x14ac:dyDescent="0.25">
      <c r="A129" s="38" t="str">
        <f t="shared" si="11"/>
        <v/>
      </c>
      <c r="B129" s="38"/>
      <c r="C129" s="30"/>
      <c r="D129" s="30"/>
      <c r="E129" s="30"/>
      <c r="F129" s="30"/>
      <c r="G129" s="30"/>
      <c r="H129" s="30"/>
      <c r="I129" s="36" t="str">
        <f t="shared" si="7"/>
        <v/>
      </c>
      <c r="J129" s="30"/>
      <c r="K129" s="30"/>
      <c r="L129" s="36" t="str">
        <f t="shared" si="8"/>
        <v/>
      </c>
      <c r="M129" s="37" t="str">
        <f t="shared" si="9"/>
        <v/>
      </c>
      <c r="N129" s="37" t="str">
        <f t="shared" si="10"/>
        <v/>
      </c>
      <c r="O129" s="55"/>
      <c r="P129" s="55"/>
      <c r="Q129" s="55"/>
    </row>
    <row r="130" spans="1:17" x14ac:dyDescent="0.25">
      <c r="A130" s="38" t="str">
        <f t="shared" si="11"/>
        <v/>
      </c>
      <c r="B130" s="38"/>
      <c r="C130" s="30"/>
      <c r="D130" s="30"/>
      <c r="E130" s="30"/>
      <c r="F130" s="30"/>
      <c r="G130" s="30"/>
      <c r="H130" s="30"/>
      <c r="I130" s="36" t="str">
        <f t="shared" si="7"/>
        <v/>
      </c>
      <c r="J130" s="30"/>
      <c r="K130" s="30"/>
      <c r="L130" s="36" t="str">
        <f t="shared" si="8"/>
        <v/>
      </c>
      <c r="M130" s="37" t="str">
        <f t="shared" si="9"/>
        <v/>
      </c>
      <c r="N130" s="37" t="str">
        <f t="shared" si="10"/>
        <v/>
      </c>
      <c r="O130" s="55"/>
      <c r="P130" s="55"/>
      <c r="Q130" s="55"/>
    </row>
    <row r="131" spans="1:17" x14ac:dyDescent="0.25">
      <c r="A131" s="38" t="str">
        <f t="shared" si="11"/>
        <v/>
      </c>
      <c r="B131" s="38"/>
      <c r="C131" s="30"/>
      <c r="D131" s="30"/>
      <c r="E131" s="30"/>
      <c r="F131" s="30"/>
      <c r="G131" s="30"/>
      <c r="H131" s="30"/>
      <c r="I131" s="36" t="str">
        <f t="shared" ref="I131:I194" si="12">IF(H131&lt;&gt;"",H131/G131,"")</f>
        <v/>
      </c>
      <c r="J131" s="30"/>
      <c r="K131" s="30"/>
      <c r="L131" s="36" t="str">
        <f t="shared" ref="L131:L194" si="13">IF(K131&lt;&gt;"",K131/J131,"")</f>
        <v/>
      </c>
      <c r="M131" s="37" t="str">
        <f t="shared" ref="M131:M194" si="14">IF(L131&lt;&gt;"",MAX(I131,L131),"")</f>
        <v/>
      </c>
      <c r="N131" s="37" t="str">
        <f t="shared" ref="N131:N194" si="15">IF($M131&lt;&gt;"",IF($M131&lt;50%,0%,IF($M131&lt;80%,$M131,100%)),"")</f>
        <v/>
      </c>
      <c r="O131" s="55"/>
      <c r="P131" s="55"/>
      <c r="Q131" s="55"/>
    </row>
    <row r="132" spans="1:17" x14ac:dyDescent="0.25">
      <c r="A132" s="38" t="str">
        <f t="shared" ref="A132:A195" si="16">IF(C132&lt;&gt;"",A131+1,"")</f>
        <v/>
      </c>
      <c r="B132" s="38"/>
      <c r="C132" s="30"/>
      <c r="D132" s="30"/>
      <c r="E132" s="30"/>
      <c r="F132" s="30"/>
      <c r="G132" s="30"/>
      <c r="H132" s="30"/>
      <c r="I132" s="36" t="str">
        <f t="shared" si="12"/>
        <v/>
      </c>
      <c r="J132" s="30"/>
      <c r="K132" s="30"/>
      <c r="L132" s="36" t="str">
        <f t="shared" si="13"/>
        <v/>
      </c>
      <c r="M132" s="37" t="str">
        <f t="shared" si="14"/>
        <v/>
      </c>
      <c r="N132" s="37" t="str">
        <f t="shared" si="15"/>
        <v/>
      </c>
      <c r="O132" s="55"/>
      <c r="P132" s="55"/>
      <c r="Q132" s="55"/>
    </row>
    <row r="133" spans="1:17" x14ac:dyDescent="0.25">
      <c r="A133" s="38" t="str">
        <f t="shared" si="16"/>
        <v/>
      </c>
      <c r="B133" s="38"/>
      <c r="C133" s="30"/>
      <c r="D133" s="30"/>
      <c r="E133" s="30"/>
      <c r="F133" s="30"/>
      <c r="G133" s="30"/>
      <c r="H133" s="30"/>
      <c r="I133" s="36" t="str">
        <f t="shared" si="12"/>
        <v/>
      </c>
      <c r="J133" s="30"/>
      <c r="K133" s="30"/>
      <c r="L133" s="36" t="str">
        <f t="shared" si="13"/>
        <v/>
      </c>
      <c r="M133" s="37" t="str">
        <f t="shared" si="14"/>
        <v/>
      </c>
      <c r="N133" s="37" t="str">
        <f t="shared" si="15"/>
        <v/>
      </c>
      <c r="O133" s="55"/>
      <c r="P133" s="55"/>
      <c r="Q133" s="55"/>
    </row>
    <row r="134" spans="1:17" x14ac:dyDescent="0.25">
      <c r="A134" s="38" t="str">
        <f t="shared" si="16"/>
        <v/>
      </c>
      <c r="B134" s="38"/>
      <c r="C134" s="30"/>
      <c r="D134" s="30"/>
      <c r="E134" s="30"/>
      <c r="F134" s="30"/>
      <c r="G134" s="30"/>
      <c r="H134" s="30"/>
      <c r="I134" s="36" t="str">
        <f t="shared" si="12"/>
        <v/>
      </c>
      <c r="J134" s="30"/>
      <c r="K134" s="30"/>
      <c r="L134" s="36" t="str">
        <f t="shared" si="13"/>
        <v/>
      </c>
      <c r="M134" s="37" t="str">
        <f t="shared" si="14"/>
        <v/>
      </c>
      <c r="N134" s="37" t="str">
        <f t="shared" si="15"/>
        <v/>
      </c>
      <c r="O134" s="55"/>
      <c r="P134" s="55"/>
      <c r="Q134" s="55"/>
    </row>
    <row r="135" spans="1:17" x14ac:dyDescent="0.25">
      <c r="A135" s="38" t="str">
        <f t="shared" si="16"/>
        <v/>
      </c>
      <c r="B135" s="38"/>
      <c r="C135" s="30"/>
      <c r="D135" s="30"/>
      <c r="E135" s="30"/>
      <c r="F135" s="30"/>
      <c r="G135" s="30"/>
      <c r="H135" s="30"/>
      <c r="I135" s="36" t="str">
        <f t="shared" si="12"/>
        <v/>
      </c>
      <c r="J135" s="30"/>
      <c r="K135" s="30"/>
      <c r="L135" s="36" t="str">
        <f t="shared" si="13"/>
        <v/>
      </c>
      <c r="M135" s="37" t="str">
        <f t="shared" si="14"/>
        <v/>
      </c>
      <c r="N135" s="37" t="str">
        <f t="shared" si="15"/>
        <v/>
      </c>
      <c r="O135" s="55"/>
      <c r="P135" s="55"/>
      <c r="Q135" s="55"/>
    </row>
    <row r="136" spans="1:17" x14ac:dyDescent="0.25">
      <c r="A136" s="38" t="str">
        <f t="shared" si="16"/>
        <v/>
      </c>
      <c r="B136" s="38"/>
      <c r="C136" s="30"/>
      <c r="D136" s="30"/>
      <c r="E136" s="30"/>
      <c r="F136" s="30"/>
      <c r="G136" s="30"/>
      <c r="H136" s="30"/>
      <c r="I136" s="36" t="str">
        <f t="shared" si="12"/>
        <v/>
      </c>
      <c r="J136" s="30"/>
      <c r="K136" s="30"/>
      <c r="L136" s="36" t="str">
        <f t="shared" si="13"/>
        <v/>
      </c>
      <c r="M136" s="37" t="str">
        <f t="shared" si="14"/>
        <v/>
      </c>
      <c r="N136" s="37" t="str">
        <f t="shared" si="15"/>
        <v/>
      </c>
      <c r="O136" s="55"/>
      <c r="P136" s="55"/>
      <c r="Q136" s="55"/>
    </row>
    <row r="137" spans="1:17" x14ac:dyDescent="0.25">
      <c r="A137" s="38" t="str">
        <f t="shared" si="16"/>
        <v/>
      </c>
      <c r="B137" s="38"/>
      <c r="C137" s="30"/>
      <c r="D137" s="30"/>
      <c r="E137" s="30"/>
      <c r="F137" s="30"/>
      <c r="G137" s="30"/>
      <c r="H137" s="30"/>
      <c r="I137" s="36" t="str">
        <f t="shared" si="12"/>
        <v/>
      </c>
      <c r="J137" s="30"/>
      <c r="K137" s="30"/>
      <c r="L137" s="36" t="str">
        <f t="shared" si="13"/>
        <v/>
      </c>
      <c r="M137" s="37" t="str">
        <f t="shared" si="14"/>
        <v/>
      </c>
      <c r="N137" s="37" t="str">
        <f t="shared" si="15"/>
        <v/>
      </c>
      <c r="O137" s="55"/>
      <c r="P137" s="55"/>
      <c r="Q137" s="55"/>
    </row>
    <row r="138" spans="1:17" x14ac:dyDescent="0.25">
      <c r="A138" s="38" t="str">
        <f t="shared" si="16"/>
        <v/>
      </c>
      <c r="B138" s="38"/>
      <c r="C138" s="30"/>
      <c r="D138" s="30"/>
      <c r="E138" s="30"/>
      <c r="F138" s="30"/>
      <c r="G138" s="30"/>
      <c r="H138" s="30"/>
      <c r="I138" s="36" t="str">
        <f t="shared" si="12"/>
        <v/>
      </c>
      <c r="J138" s="30"/>
      <c r="K138" s="30"/>
      <c r="L138" s="36" t="str">
        <f t="shared" si="13"/>
        <v/>
      </c>
      <c r="M138" s="37" t="str">
        <f t="shared" si="14"/>
        <v/>
      </c>
      <c r="N138" s="37" t="str">
        <f t="shared" si="15"/>
        <v/>
      </c>
      <c r="O138" s="55"/>
      <c r="P138" s="55"/>
      <c r="Q138" s="55"/>
    </row>
    <row r="139" spans="1:17" x14ac:dyDescent="0.25">
      <c r="A139" s="38" t="str">
        <f t="shared" si="16"/>
        <v/>
      </c>
      <c r="B139" s="38"/>
      <c r="C139" s="30"/>
      <c r="D139" s="30"/>
      <c r="E139" s="30"/>
      <c r="F139" s="30"/>
      <c r="G139" s="30"/>
      <c r="H139" s="30"/>
      <c r="I139" s="36" t="str">
        <f t="shared" si="12"/>
        <v/>
      </c>
      <c r="J139" s="30"/>
      <c r="K139" s="30"/>
      <c r="L139" s="36" t="str">
        <f t="shared" si="13"/>
        <v/>
      </c>
      <c r="M139" s="37" t="str">
        <f t="shared" si="14"/>
        <v/>
      </c>
      <c r="N139" s="37" t="str">
        <f t="shared" si="15"/>
        <v/>
      </c>
      <c r="O139" s="55"/>
      <c r="P139" s="55"/>
      <c r="Q139" s="55"/>
    </row>
    <row r="140" spans="1:17" x14ac:dyDescent="0.25">
      <c r="A140" s="38" t="str">
        <f t="shared" si="16"/>
        <v/>
      </c>
      <c r="B140" s="38"/>
      <c r="C140" s="30"/>
      <c r="D140" s="30"/>
      <c r="E140" s="30"/>
      <c r="F140" s="30"/>
      <c r="G140" s="30"/>
      <c r="H140" s="30"/>
      <c r="I140" s="36" t="str">
        <f t="shared" si="12"/>
        <v/>
      </c>
      <c r="J140" s="30"/>
      <c r="K140" s="30"/>
      <c r="L140" s="36" t="str">
        <f t="shared" si="13"/>
        <v/>
      </c>
      <c r="M140" s="37" t="str">
        <f t="shared" si="14"/>
        <v/>
      </c>
      <c r="N140" s="37" t="str">
        <f t="shared" si="15"/>
        <v/>
      </c>
      <c r="O140" s="55"/>
      <c r="P140" s="55"/>
      <c r="Q140" s="55"/>
    </row>
    <row r="141" spans="1:17" x14ac:dyDescent="0.25">
      <c r="A141" s="38" t="str">
        <f t="shared" si="16"/>
        <v/>
      </c>
      <c r="B141" s="38"/>
      <c r="C141" s="30"/>
      <c r="D141" s="30"/>
      <c r="E141" s="30"/>
      <c r="F141" s="30"/>
      <c r="G141" s="30"/>
      <c r="H141" s="30"/>
      <c r="I141" s="36" t="str">
        <f t="shared" si="12"/>
        <v/>
      </c>
      <c r="J141" s="30"/>
      <c r="K141" s="30"/>
      <c r="L141" s="36" t="str">
        <f t="shared" si="13"/>
        <v/>
      </c>
      <c r="M141" s="37" t="str">
        <f t="shared" si="14"/>
        <v/>
      </c>
      <c r="N141" s="37" t="str">
        <f t="shared" si="15"/>
        <v/>
      </c>
      <c r="O141" s="55"/>
      <c r="P141" s="55"/>
      <c r="Q141" s="55"/>
    </row>
    <row r="142" spans="1:17" x14ac:dyDescent="0.25">
      <c r="A142" s="38" t="str">
        <f t="shared" si="16"/>
        <v/>
      </c>
      <c r="B142" s="38"/>
      <c r="C142" s="30"/>
      <c r="D142" s="30"/>
      <c r="E142" s="30"/>
      <c r="F142" s="30"/>
      <c r="G142" s="30"/>
      <c r="H142" s="30"/>
      <c r="I142" s="36" t="str">
        <f t="shared" si="12"/>
        <v/>
      </c>
      <c r="J142" s="30"/>
      <c r="K142" s="30"/>
      <c r="L142" s="36" t="str">
        <f t="shared" si="13"/>
        <v/>
      </c>
      <c r="M142" s="37" t="str">
        <f t="shared" si="14"/>
        <v/>
      </c>
      <c r="N142" s="37" t="str">
        <f t="shared" si="15"/>
        <v/>
      </c>
      <c r="O142" s="55"/>
      <c r="P142" s="55"/>
      <c r="Q142" s="55"/>
    </row>
    <row r="143" spans="1:17" x14ac:dyDescent="0.25">
      <c r="A143" s="38" t="str">
        <f t="shared" si="16"/>
        <v/>
      </c>
      <c r="B143" s="38"/>
      <c r="C143" s="30"/>
      <c r="D143" s="30"/>
      <c r="E143" s="30"/>
      <c r="F143" s="30"/>
      <c r="G143" s="30"/>
      <c r="H143" s="30"/>
      <c r="I143" s="36" t="str">
        <f t="shared" si="12"/>
        <v/>
      </c>
      <c r="J143" s="30"/>
      <c r="K143" s="30"/>
      <c r="L143" s="36" t="str">
        <f t="shared" si="13"/>
        <v/>
      </c>
      <c r="M143" s="37" t="str">
        <f t="shared" si="14"/>
        <v/>
      </c>
      <c r="N143" s="37" t="str">
        <f t="shared" si="15"/>
        <v/>
      </c>
      <c r="O143" s="55"/>
      <c r="P143" s="55"/>
      <c r="Q143" s="55"/>
    </row>
    <row r="144" spans="1:17" x14ac:dyDescent="0.25">
      <c r="A144" s="38" t="str">
        <f t="shared" si="16"/>
        <v/>
      </c>
      <c r="B144" s="38"/>
      <c r="C144" s="30"/>
      <c r="D144" s="30"/>
      <c r="E144" s="30"/>
      <c r="F144" s="30"/>
      <c r="G144" s="30"/>
      <c r="H144" s="30"/>
      <c r="I144" s="36" t="str">
        <f t="shared" si="12"/>
        <v/>
      </c>
      <c r="J144" s="30"/>
      <c r="K144" s="30"/>
      <c r="L144" s="36" t="str">
        <f t="shared" si="13"/>
        <v/>
      </c>
      <c r="M144" s="37" t="str">
        <f t="shared" si="14"/>
        <v/>
      </c>
      <c r="N144" s="37" t="str">
        <f t="shared" si="15"/>
        <v/>
      </c>
      <c r="O144" s="55"/>
      <c r="P144" s="55"/>
      <c r="Q144" s="55"/>
    </row>
    <row r="145" spans="1:17" x14ac:dyDescent="0.25">
      <c r="A145" s="38" t="str">
        <f t="shared" si="16"/>
        <v/>
      </c>
      <c r="B145" s="38"/>
      <c r="C145" s="30"/>
      <c r="D145" s="30"/>
      <c r="E145" s="30"/>
      <c r="F145" s="30"/>
      <c r="G145" s="30"/>
      <c r="H145" s="30"/>
      <c r="I145" s="36" t="str">
        <f t="shared" si="12"/>
        <v/>
      </c>
      <c r="J145" s="30"/>
      <c r="K145" s="30"/>
      <c r="L145" s="36" t="str">
        <f t="shared" si="13"/>
        <v/>
      </c>
      <c r="M145" s="37" t="str">
        <f t="shared" si="14"/>
        <v/>
      </c>
      <c r="N145" s="37" t="str">
        <f t="shared" si="15"/>
        <v/>
      </c>
      <c r="O145" s="55"/>
      <c r="P145" s="55"/>
      <c r="Q145" s="55"/>
    </row>
    <row r="146" spans="1:17" x14ac:dyDescent="0.25">
      <c r="A146" s="38" t="str">
        <f t="shared" si="16"/>
        <v/>
      </c>
      <c r="B146" s="38"/>
      <c r="C146" s="30"/>
      <c r="D146" s="30"/>
      <c r="E146" s="30"/>
      <c r="F146" s="30"/>
      <c r="G146" s="30"/>
      <c r="H146" s="30"/>
      <c r="I146" s="36" t="str">
        <f t="shared" si="12"/>
        <v/>
      </c>
      <c r="J146" s="30"/>
      <c r="K146" s="30"/>
      <c r="L146" s="36" t="str">
        <f t="shared" si="13"/>
        <v/>
      </c>
      <c r="M146" s="37" t="str">
        <f t="shared" si="14"/>
        <v/>
      </c>
      <c r="N146" s="37" t="str">
        <f t="shared" si="15"/>
        <v/>
      </c>
      <c r="O146" s="55"/>
      <c r="P146" s="55"/>
      <c r="Q146" s="55"/>
    </row>
    <row r="147" spans="1:17" x14ac:dyDescent="0.25">
      <c r="A147" s="38" t="str">
        <f t="shared" si="16"/>
        <v/>
      </c>
      <c r="B147" s="38"/>
      <c r="C147" s="30"/>
      <c r="D147" s="30"/>
      <c r="E147" s="30"/>
      <c r="F147" s="30"/>
      <c r="G147" s="30"/>
      <c r="H147" s="30"/>
      <c r="I147" s="36" t="str">
        <f t="shared" si="12"/>
        <v/>
      </c>
      <c r="J147" s="30"/>
      <c r="K147" s="30"/>
      <c r="L147" s="36" t="str">
        <f t="shared" si="13"/>
        <v/>
      </c>
      <c r="M147" s="37" t="str">
        <f t="shared" si="14"/>
        <v/>
      </c>
      <c r="N147" s="37" t="str">
        <f t="shared" si="15"/>
        <v/>
      </c>
      <c r="O147" s="55"/>
      <c r="P147" s="55"/>
      <c r="Q147" s="55"/>
    </row>
    <row r="148" spans="1:17" x14ac:dyDescent="0.25">
      <c r="A148" s="38" t="str">
        <f t="shared" si="16"/>
        <v/>
      </c>
      <c r="B148" s="38"/>
      <c r="C148" s="30"/>
      <c r="D148" s="30"/>
      <c r="E148" s="30"/>
      <c r="F148" s="30"/>
      <c r="G148" s="30"/>
      <c r="H148" s="30"/>
      <c r="I148" s="36" t="str">
        <f t="shared" si="12"/>
        <v/>
      </c>
      <c r="J148" s="30"/>
      <c r="K148" s="30"/>
      <c r="L148" s="36" t="str">
        <f t="shared" si="13"/>
        <v/>
      </c>
      <c r="M148" s="37" t="str">
        <f t="shared" si="14"/>
        <v/>
      </c>
      <c r="N148" s="37" t="str">
        <f t="shared" si="15"/>
        <v/>
      </c>
      <c r="O148" s="55"/>
      <c r="P148" s="55"/>
      <c r="Q148" s="55"/>
    </row>
    <row r="149" spans="1:17" x14ac:dyDescent="0.25">
      <c r="A149" s="38" t="str">
        <f t="shared" si="16"/>
        <v/>
      </c>
      <c r="B149" s="38"/>
      <c r="C149" s="30"/>
      <c r="D149" s="30"/>
      <c r="E149" s="30"/>
      <c r="F149" s="30"/>
      <c r="G149" s="30"/>
      <c r="H149" s="30"/>
      <c r="I149" s="36" t="str">
        <f t="shared" si="12"/>
        <v/>
      </c>
      <c r="J149" s="30"/>
      <c r="K149" s="30"/>
      <c r="L149" s="36" t="str">
        <f t="shared" si="13"/>
        <v/>
      </c>
      <c r="M149" s="37" t="str">
        <f t="shared" si="14"/>
        <v/>
      </c>
      <c r="N149" s="37" t="str">
        <f t="shared" si="15"/>
        <v/>
      </c>
      <c r="O149" s="55"/>
      <c r="P149" s="55"/>
      <c r="Q149" s="55"/>
    </row>
    <row r="150" spans="1:17" x14ac:dyDescent="0.25">
      <c r="A150" s="38" t="str">
        <f t="shared" si="16"/>
        <v/>
      </c>
      <c r="B150" s="38"/>
      <c r="C150" s="30"/>
      <c r="D150" s="30"/>
      <c r="E150" s="30"/>
      <c r="F150" s="30"/>
      <c r="G150" s="30"/>
      <c r="H150" s="30"/>
      <c r="I150" s="36" t="str">
        <f t="shared" si="12"/>
        <v/>
      </c>
      <c r="J150" s="30"/>
      <c r="K150" s="30"/>
      <c r="L150" s="36" t="str">
        <f t="shared" si="13"/>
        <v/>
      </c>
      <c r="M150" s="37" t="str">
        <f t="shared" si="14"/>
        <v/>
      </c>
      <c r="N150" s="37" t="str">
        <f t="shared" si="15"/>
        <v/>
      </c>
      <c r="O150" s="55"/>
      <c r="P150" s="55"/>
      <c r="Q150" s="55"/>
    </row>
    <row r="151" spans="1:17" x14ac:dyDescent="0.25">
      <c r="A151" s="38" t="str">
        <f t="shared" si="16"/>
        <v/>
      </c>
      <c r="B151" s="38"/>
      <c r="C151" s="30"/>
      <c r="D151" s="30"/>
      <c r="E151" s="30"/>
      <c r="F151" s="30"/>
      <c r="G151" s="30"/>
      <c r="H151" s="30"/>
      <c r="I151" s="36" t="str">
        <f t="shared" si="12"/>
        <v/>
      </c>
      <c r="J151" s="30"/>
      <c r="K151" s="30"/>
      <c r="L151" s="36" t="str">
        <f t="shared" si="13"/>
        <v/>
      </c>
      <c r="M151" s="37" t="str">
        <f t="shared" si="14"/>
        <v/>
      </c>
      <c r="N151" s="37" t="str">
        <f t="shared" si="15"/>
        <v/>
      </c>
      <c r="O151" s="55"/>
      <c r="P151" s="55"/>
      <c r="Q151" s="55"/>
    </row>
    <row r="152" spans="1:17" x14ac:dyDescent="0.25">
      <c r="A152" s="38" t="str">
        <f t="shared" si="16"/>
        <v/>
      </c>
      <c r="B152" s="38"/>
      <c r="C152" s="30"/>
      <c r="D152" s="30"/>
      <c r="E152" s="30"/>
      <c r="F152" s="30"/>
      <c r="G152" s="30"/>
      <c r="H152" s="30"/>
      <c r="I152" s="36" t="str">
        <f t="shared" si="12"/>
        <v/>
      </c>
      <c r="J152" s="30"/>
      <c r="K152" s="30"/>
      <c r="L152" s="36" t="str">
        <f t="shared" si="13"/>
        <v/>
      </c>
      <c r="M152" s="37" t="str">
        <f t="shared" si="14"/>
        <v/>
      </c>
      <c r="N152" s="37" t="str">
        <f t="shared" si="15"/>
        <v/>
      </c>
      <c r="O152" s="55"/>
      <c r="P152" s="55"/>
      <c r="Q152" s="55"/>
    </row>
    <row r="153" spans="1:17" x14ac:dyDescent="0.25">
      <c r="A153" s="38" t="str">
        <f t="shared" si="16"/>
        <v/>
      </c>
      <c r="B153" s="38"/>
      <c r="C153" s="30"/>
      <c r="D153" s="30"/>
      <c r="E153" s="30"/>
      <c r="F153" s="30"/>
      <c r="G153" s="30"/>
      <c r="H153" s="30"/>
      <c r="I153" s="36" t="str">
        <f t="shared" si="12"/>
        <v/>
      </c>
      <c r="J153" s="30"/>
      <c r="K153" s="30"/>
      <c r="L153" s="36" t="str">
        <f t="shared" si="13"/>
        <v/>
      </c>
      <c r="M153" s="37" t="str">
        <f t="shared" si="14"/>
        <v/>
      </c>
      <c r="N153" s="37" t="str">
        <f t="shared" si="15"/>
        <v/>
      </c>
      <c r="O153" s="55"/>
      <c r="P153" s="55"/>
      <c r="Q153" s="55"/>
    </row>
    <row r="154" spans="1:17" x14ac:dyDescent="0.25">
      <c r="A154" s="38" t="str">
        <f t="shared" si="16"/>
        <v/>
      </c>
      <c r="B154" s="38"/>
      <c r="C154" s="30"/>
      <c r="D154" s="30"/>
      <c r="E154" s="30"/>
      <c r="F154" s="30"/>
      <c r="G154" s="30"/>
      <c r="H154" s="30"/>
      <c r="I154" s="36" t="str">
        <f t="shared" si="12"/>
        <v/>
      </c>
      <c r="J154" s="30"/>
      <c r="K154" s="30"/>
      <c r="L154" s="36" t="str">
        <f t="shared" si="13"/>
        <v/>
      </c>
      <c r="M154" s="37" t="str">
        <f t="shared" si="14"/>
        <v/>
      </c>
      <c r="N154" s="37" t="str">
        <f t="shared" si="15"/>
        <v/>
      </c>
      <c r="O154" s="55"/>
      <c r="P154" s="55"/>
      <c r="Q154" s="55"/>
    </row>
    <row r="155" spans="1:17" x14ac:dyDescent="0.25">
      <c r="A155" s="38" t="str">
        <f t="shared" si="16"/>
        <v/>
      </c>
      <c r="B155" s="38"/>
      <c r="C155" s="30"/>
      <c r="D155" s="30"/>
      <c r="E155" s="30"/>
      <c r="F155" s="30"/>
      <c r="G155" s="30"/>
      <c r="H155" s="30"/>
      <c r="I155" s="36" t="str">
        <f t="shared" si="12"/>
        <v/>
      </c>
      <c r="J155" s="30"/>
      <c r="K155" s="30"/>
      <c r="L155" s="36" t="str">
        <f t="shared" si="13"/>
        <v/>
      </c>
      <c r="M155" s="37" t="str">
        <f t="shared" si="14"/>
        <v/>
      </c>
      <c r="N155" s="37" t="str">
        <f t="shared" si="15"/>
        <v/>
      </c>
      <c r="O155" s="55"/>
      <c r="P155" s="55"/>
      <c r="Q155" s="55"/>
    </row>
    <row r="156" spans="1:17" x14ac:dyDescent="0.25">
      <c r="A156" s="38" t="str">
        <f t="shared" si="16"/>
        <v/>
      </c>
      <c r="B156" s="38"/>
      <c r="C156" s="30"/>
      <c r="D156" s="30"/>
      <c r="E156" s="30"/>
      <c r="F156" s="30"/>
      <c r="G156" s="30"/>
      <c r="H156" s="30"/>
      <c r="I156" s="36" t="str">
        <f t="shared" si="12"/>
        <v/>
      </c>
      <c r="J156" s="30"/>
      <c r="K156" s="30"/>
      <c r="L156" s="36" t="str">
        <f t="shared" si="13"/>
        <v/>
      </c>
      <c r="M156" s="37" t="str">
        <f t="shared" si="14"/>
        <v/>
      </c>
      <c r="N156" s="37" t="str">
        <f t="shared" si="15"/>
        <v/>
      </c>
      <c r="O156" s="55"/>
      <c r="P156" s="55"/>
      <c r="Q156" s="55"/>
    </row>
    <row r="157" spans="1:17" x14ac:dyDescent="0.25">
      <c r="A157" s="38" t="str">
        <f t="shared" si="16"/>
        <v/>
      </c>
      <c r="B157" s="38"/>
      <c r="C157" s="30"/>
      <c r="D157" s="30"/>
      <c r="E157" s="30"/>
      <c r="F157" s="30"/>
      <c r="G157" s="30"/>
      <c r="H157" s="30"/>
      <c r="I157" s="36" t="str">
        <f t="shared" si="12"/>
        <v/>
      </c>
      <c r="J157" s="30"/>
      <c r="K157" s="30"/>
      <c r="L157" s="36" t="str">
        <f t="shared" si="13"/>
        <v/>
      </c>
      <c r="M157" s="37" t="str">
        <f t="shared" si="14"/>
        <v/>
      </c>
      <c r="N157" s="37" t="str">
        <f t="shared" si="15"/>
        <v/>
      </c>
      <c r="O157" s="55"/>
      <c r="P157" s="55"/>
      <c r="Q157" s="55"/>
    </row>
    <row r="158" spans="1:17" x14ac:dyDescent="0.25">
      <c r="A158" s="38" t="str">
        <f t="shared" si="16"/>
        <v/>
      </c>
      <c r="B158" s="38"/>
      <c r="C158" s="30"/>
      <c r="D158" s="30"/>
      <c r="E158" s="30"/>
      <c r="F158" s="30"/>
      <c r="G158" s="30"/>
      <c r="H158" s="30"/>
      <c r="I158" s="36" t="str">
        <f t="shared" si="12"/>
        <v/>
      </c>
      <c r="J158" s="30"/>
      <c r="K158" s="30"/>
      <c r="L158" s="36" t="str">
        <f t="shared" si="13"/>
        <v/>
      </c>
      <c r="M158" s="37" t="str">
        <f t="shared" si="14"/>
        <v/>
      </c>
      <c r="N158" s="37" t="str">
        <f t="shared" si="15"/>
        <v/>
      </c>
      <c r="O158" s="55"/>
      <c r="P158" s="55"/>
      <c r="Q158" s="55"/>
    </row>
    <row r="159" spans="1:17" x14ac:dyDescent="0.25">
      <c r="A159" s="38" t="str">
        <f t="shared" si="16"/>
        <v/>
      </c>
      <c r="B159" s="38"/>
      <c r="C159" s="30"/>
      <c r="D159" s="30"/>
      <c r="E159" s="30"/>
      <c r="F159" s="30"/>
      <c r="G159" s="30"/>
      <c r="H159" s="30"/>
      <c r="I159" s="36" t="str">
        <f t="shared" si="12"/>
        <v/>
      </c>
      <c r="J159" s="30"/>
      <c r="K159" s="30"/>
      <c r="L159" s="36" t="str">
        <f t="shared" si="13"/>
        <v/>
      </c>
      <c r="M159" s="37" t="str">
        <f t="shared" si="14"/>
        <v/>
      </c>
      <c r="N159" s="37" t="str">
        <f t="shared" si="15"/>
        <v/>
      </c>
      <c r="O159" s="55"/>
      <c r="P159" s="55"/>
      <c r="Q159" s="55"/>
    </row>
    <row r="160" spans="1:17" x14ac:dyDescent="0.25">
      <c r="A160" s="38" t="str">
        <f t="shared" si="16"/>
        <v/>
      </c>
      <c r="B160" s="38"/>
      <c r="C160" s="30"/>
      <c r="D160" s="30"/>
      <c r="E160" s="30"/>
      <c r="F160" s="30"/>
      <c r="G160" s="30"/>
      <c r="H160" s="30"/>
      <c r="I160" s="36" t="str">
        <f t="shared" si="12"/>
        <v/>
      </c>
      <c r="J160" s="30"/>
      <c r="K160" s="30"/>
      <c r="L160" s="36" t="str">
        <f t="shared" si="13"/>
        <v/>
      </c>
      <c r="M160" s="37" t="str">
        <f t="shared" si="14"/>
        <v/>
      </c>
      <c r="N160" s="37" t="str">
        <f t="shared" si="15"/>
        <v/>
      </c>
      <c r="O160" s="55"/>
      <c r="P160" s="55"/>
      <c r="Q160" s="55"/>
    </row>
    <row r="161" spans="1:17" x14ac:dyDescent="0.25">
      <c r="A161" s="38" t="str">
        <f t="shared" si="16"/>
        <v/>
      </c>
      <c r="B161" s="38"/>
      <c r="C161" s="30"/>
      <c r="D161" s="30"/>
      <c r="E161" s="30"/>
      <c r="F161" s="30"/>
      <c r="G161" s="30"/>
      <c r="H161" s="30"/>
      <c r="I161" s="36" t="str">
        <f t="shared" si="12"/>
        <v/>
      </c>
      <c r="J161" s="30"/>
      <c r="K161" s="30"/>
      <c r="L161" s="36" t="str">
        <f t="shared" si="13"/>
        <v/>
      </c>
      <c r="M161" s="37" t="str">
        <f t="shared" si="14"/>
        <v/>
      </c>
      <c r="N161" s="37" t="str">
        <f t="shared" si="15"/>
        <v/>
      </c>
      <c r="O161" s="55"/>
      <c r="P161" s="55"/>
      <c r="Q161" s="55"/>
    </row>
    <row r="162" spans="1:17" x14ac:dyDescent="0.25">
      <c r="A162" s="38" t="str">
        <f t="shared" si="16"/>
        <v/>
      </c>
      <c r="B162" s="38"/>
      <c r="C162" s="30"/>
      <c r="D162" s="30"/>
      <c r="E162" s="30"/>
      <c r="F162" s="30"/>
      <c r="G162" s="30"/>
      <c r="H162" s="30"/>
      <c r="I162" s="36" t="str">
        <f t="shared" si="12"/>
        <v/>
      </c>
      <c r="J162" s="30"/>
      <c r="K162" s="30"/>
      <c r="L162" s="36" t="str">
        <f t="shared" si="13"/>
        <v/>
      </c>
      <c r="M162" s="37" t="str">
        <f t="shared" si="14"/>
        <v/>
      </c>
      <c r="N162" s="37" t="str">
        <f t="shared" si="15"/>
        <v/>
      </c>
      <c r="O162" s="55"/>
      <c r="P162" s="55"/>
      <c r="Q162" s="55"/>
    </row>
    <row r="163" spans="1:17" x14ac:dyDescent="0.25">
      <c r="A163" s="38" t="str">
        <f t="shared" si="16"/>
        <v/>
      </c>
      <c r="B163" s="38"/>
      <c r="C163" s="30"/>
      <c r="D163" s="30"/>
      <c r="E163" s="30"/>
      <c r="F163" s="30"/>
      <c r="G163" s="30"/>
      <c r="H163" s="30"/>
      <c r="I163" s="36" t="str">
        <f t="shared" si="12"/>
        <v/>
      </c>
      <c r="J163" s="30"/>
      <c r="K163" s="30"/>
      <c r="L163" s="36" t="str">
        <f t="shared" si="13"/>
        <v/>
      </c>
      <c r="M163" s="37" t="str">
        <f t="shared" si="14"/>
        <v/>
      </c>
      <c r="N163" s="37" t="str">
        <f t="shared" si="15"/>
        <v/>
      </c>
      <c r="O163" s="55"/>
      <c r="P163" s="55"/>
      <c r="Q163" s="55"/>
    </row>
    <row r="164" spans="1:17" x14ac:dyDescent="0.25">
      <c r="A164" s="38" t="str">
        <f t="shared" si="16"/>
        <v/>
      </c>
      <c r="B164" s="38"/>
      <c r="C164" s="30"/>
      <c r="D164" s="30"/>
      <c r="E164" s="30"/>
      <c r="F164" s="30"/>
      <c r="G164" s="30"/>
      <c r="H164" s="30"/>
      <c r="I164" s="36" t="str">
        <f t="shared" si="12"/>
        <v/>
      </c>
      <c r="J164" s="30"/>
      <c r="K164" s="30"/>
      <c r="L164" s="36" t="str">
        <f t="shared" si="13"/>
        <v/>
      </c>
      <c r="M164" s="37" t="str">
        <f t="shared" si="14"/>
        <v/>
      </c>
      <c r="N164" s="37" t="str">
        <f t="shared" si="15"/>
        <v/>
      </c>
      <c r="O164" s="55"/>
      <c r="P164" s="55"/>
      <c r="Q164" s="55"/>
    </row>
    <row r="165" spans="1:17" x14ac:dyDescent="0.25">
      <c r="A165" s="38" t="str">
        <f t="shared" si="16"/>
        <v/>
      </c>
      <c r="B165" s="38"/>
      <c r="C165" s="30"/>
      <c r="D165" s="30"/>
      <c r="E165" s="30"/>
      <c r="F165" s="30"/>
      <c r="G165" s="30"/>
      <c r="H165" s="30"/>
      <c r="I165" s="36" t="str">
        <f t="shared" si="12"/>
        <v/>
      </c>
      <c r="J165" s="30"/>
      <c r="K165" s="30"/>
      <c r="L165" s="36" t="str">
        <f t="shared" si="13"/>
        <v/>
      </c>
      <c r="M165" s="37" t="str">
        <f t="shared" si="14"/>
        <v/>
      </c>
      <c r="N165" s="37" t="str">
        <f t="shared" si="15"/>
        <v/>
      </c>
      <c r="O165" s="55"/>
      <c r="P165" s="55"/>
      <c r="Q165" s="55"/>
    </row>
    <row r="166" spans="1:17" x14ac:dyDescent="0.25">
      <c r="A166" s="38" t="str">
        <f t="shared" si="16"/>
        <v/>
      </c>
      <c r="B166" s="38"/>
      <c r="C166" s="30"/>
      <c r="D166" s="30"/>
      <c r="E166" s="30"/>
      <c r="F166" s="30"/>
      <c r="G166" s="30"/>
      <c r="H166" s="30"/>
      <c r="I166" s="36" t="str">
        <f t="shared" si="12"/>
        <v/>
      </c>
      <c r="J166" s="30"/>
      <c r="K166" s="30"/>
      <c r="L166" s="36" t="str">
        <f t="shared" si="13"/>
        <v/>
      </c>
      <c r="M166" s="37" t="str">
        <f t="shared" si="14"/>
        <v/>
      </c>
      <c r="N166" s="37" t="str">
        <f t="shared" si="15"/>
        <v/>
      </c>
      <c r="O166" s="55"/>
      <c r="P166" s="55"/>
      <c r="Q166" s="55"/>
    </row>
    <row r="167" spans="1:17" x14ac:dyDescent="0.25">
      <c r="A167" s="38" t="str">
        <f t="shared" si="16"/>
        <v/>
      </c>
      <c r="B167" s="38"/>
      <c r="C167" s="30"/>
      <c r="D167" s="30"/>
      <c r="E167" s="30"/>
      <c r="F167" s="30"/>
      <c r="G167" s="30"/>
      <c r="H167" s="30"/>
      <c r="I167" s="36" t="str">
        <f t="shared" si="12"/>
        <v/>
      </c>
      <c r="J167" s="30"/>
      <c r="K167" s="30"/>
      <c r="L167" s="36" t="str">
        <f t="shared" si="13"/>
        <v/>
      </c>
      <c r="M167" s="37" t="str">
        <f t="shared" si="14"/>
        <v/>
      </c>
      <c r="N167" s="37" t="str">
        <f t="shared" si="15"/>
        <v/>
      </c>
      <c r="O167" s="55"/>
      <c r="P167" s="55"/>
      <c r="Q167" s="55"/>
    </row>
    <row r="168" spans="1:17" x14ac:dyDescent="0.25">
      <c r="A168" s="38" t="str">
        <f t="shared" si="16"/>
        <v/>
      </c>
      <c r="B168" s="38"/>
      <c r="C168" s="30"/>
      <c r="D168" s="30"/>
      <c r="E168" s="30"/>
      <c r="F168" s="30"/>
      <c r="G168" s="30"/>
      <c r="H168" s="30"/>
      <c r="I168" s="36" t="str">
        <f t="shared" si="12"/>
        <v/>
      </c>
      <c r="J168" s="30"/>
      <c r="K168" s="30"/>
      <c r="L168" s="36" t="str">
        <f t="shared" si="13"/>
        <v/>
      </c>
      <c r="M168" s="37" t="str">
        <f t="shared" si="14"/>
        <v/>
      </c>
      <c r="N168" s="37" t="str">
        <f t="shared" si="15"/>
        <v/>
      </c>
      <c r="O168" s="55"/>
      <c r="P168" s="55"/>
      <c r="Q168" s="55"/>
    </row>
    <row r="169" spans="1:17" x14ac:dyDescent="0.25">
      <c r="A169" s="38" t="str">
        <f t="shared" si="16"/>
        <v/>
      </c>
      <c r="B169" s="38"/>
      <c r="C169" s="30"/>
      <c r="D169" s="30"/>
      <c r="E169" s="30"/>
      <c r="F169" s="30"/>
      <c r="G169" s="30"/>
      <c r="H169" s="30"/>
      <c r="I169" s="36" t="str">
        <f t="shared" si="12"/>
        <v/>
      </c>
      <c r="J169" s="30"/>
      <c r="K169" s="30"/>
      <c r="L169" s="36" t="str">
        <f t="shared" si="13"/>
        <v/>
      </c>
      <c r="M169" s="37" t="str">
        <f t="shared" si="14"/>
        <v/>
      </c>
      <c r="N169" s="37" t="str">
        <f t="shared" si="15"/>
        <v/>
      </c>
      <c r="O169" s="55"/>
      <c r="P169" s="55"/>
      <c r="Q169" s="55"/>
    </row>
    <row r="170" spans="1:17" x14ac:dyDescent="0.25">
      <c r="A170" s="38" t="str">
        <f t="shared" si="16"/>
        <v/>
      </c>
      <c r="B170" s="38"/>
      <c r="C170" s="30"/>
      <c r="D170" s="30"/>
      <c r="E170" s="30"/>
      <c r="F170" s="30"/>
      <c r="G170" s="30"/>
      <c r="H170" s="30"/>
      <c r="I170" s="36" t="str">
        <f t="shared" si="12"/>
        <v/>
      </c>
      <c r="J170" s="30"/>
      <c r="K170" s="30"/>
      <c r="L170" s="36" t="str">
        <f t="shared" si="13"/>
        <v/>
      </c>
      <c r="M170" s="37" t="str">
        <f t="shared" si="14"/>
        <v/>
      </c>
      <c r="N170" s="37" t="str">
        <f t="shared" si="15"/>
        <v/>
      </c>
      <c r="O170" s="55"/>
      <c r="P170" s="55"/>
      <c r="Q170" s="55"/>
    </row>
    <row r="171" spans="1:17" x14ac:dyDescent="0.25">
      <c r="A171" s="38" t="str">
        <f t="shared" si="16"/>
        <v/>
      </c>
      <c r="B171" s="38"/>
      <c r="C171" s="30"/>
      <c r="D171" s="30"/>
      <c r="E171" s="30"/>
      <c r="F171" s="30"/>
      <c r="G171" s="30"/>
      <c r="H171" s="30"/>
      <c r="I171" s="36" t="str">
        <f t="shared" si="12"/>
        <v/>
      </c>
      <c r="J171" s="30"/>
      <c r="K171" s="30"/>
      <c r="L171" s="36" t="str">
        <f t="shared" si="13"/>
        <v/>
      </c>
      <c r="M171" s="37" t="str">
        <f t="shared" si="14"/>
        <v/>
      </c>
      <c r="N171" s="37" t="str">
        <f t="shared" si="15"/>
        <v/>
      </c>
      <c r="O171" s="55"/>
      <c r="P171" s="55"/>
      <c r="Q171" s="55"/>
    </row>
    <row r="172" spans="1:17" x14ac:dyDescent="0.25">
      <c r="A172" s="38" t="str">
        <f t="shared" si="16"/>
        <v/>
      </c>
      <c r="B172" s="38"/>
      <c r="C172" s="30"/>
      <c r="D172" s="30"/>
      <c r="E172" s="30"/>
      <c r="F172" s="30"/>
      <c r="G172" s="30"/>
      <c r="H172" s="30"/>
      <c r="I172" s="36" t="str">
        <f t="shared" si="12"/>
        <v/>
      </c>
      <c r="J172" s="30"/>
      <c r="K172" s="30"/>
      <c r="L172" s="36" t="str">
        <f t="shared" si="13"/>
        <v/>
      </c>
      <c r="M172" s="37" t="str">
        <f t="shared" si="14"/>
        <v/>
      </c>
      <c r="N172" s="37" t="str">
        <f t="shared" si="15"/>
        <v/>
      </c>
      <c r="O172" s="55"/>
      <c r="P172" s="55"/>
      <c r="Q172" s="55"/>
    </row>
    <row r="173" spans="1:17" x14ac:dyDescent="0.25">
      <c r="A173" s="38" t="str">
        <f t="shared" si="16"/>
        <v/>
      </c>
      <c r="B173" s="38"/>
      <c r="C173" s="30"/>
      <c r="D173" s="30"/>
      <c r="E173" s="30"/>
      <c r="F173" s="30"/>
      <c r="G173" s="30"/>
      <c r="H173" s="30"/>
      <c r="I173" s="36" t="str">
        <f t="shared" si="12"/>
        <v/>
      </c>
      <c r="J173" s="30"/>
      <c r="K173" s="30"/>
      <c r="L173" s="36" t="str">
        <f t="shared" si="13"/>
        <v/>
      </c>
      <c r="M173" s="37" t="str">
        <f t="shared" si="14"/>
        <v/>
      </c>
      <c r="N173" s="37" t="str">
        <f t="shared" si="15"/>
        <v/>
      </c>
      <c r="O173" s="55"/>
      <c r="P173" s="55"/>
      <c r="Q173" s="55"/>
    </row>
    <row r="174" spans="1:17" x14ac:dyDescent="0.25">
      <c r="A174" s="38" t="str">
        <f t="shared" si="16"/>
        <v/>
      </c>
      <c r="B174" s="38"/>
      <c r="C174" s="30"/>
      <c r="D174" s="30"/>
      <c r="E174" s="30"/>
      <c r="F174" s="30"/>
      <c r="G174" s="30"/>
      <c r="H174" s="30"/>
      <c r="I174" s="36" t="str">
        <f t="shared" si="12"/>
        <v/>
      </c>
      <c r="J174" s="30"/>
      <c r="K174" s="30"/>
      <c r="L174" s="36" t="str">
        <f t="shared" si="13"/>
        <v/>
      </c>
      <c r="M174" s="37" t="str">
        <f t="shared" si="14"/>
        <v/>
      </c>
      <c r="N174" s="37" t="str">
        <f t="shared" si="15"/>
        <v/>
      </c>
      <c r="O174" s="55"/>
      <c r="P174" s="55"/>
      <c r="Q174" s="55"/>
    </row>
    <row r="175" spans="1:17" x14ac:dyDescent="0.25">
      <c r="A175" s="38" t="str">
        <f t="shared" si="16"/>
        <v/>
      </c>
      <c r="B175" s="38"/>
      <c r="C175" s="30"/>
      <c r="D175" s="30"/>
      <c r="E175" s="30"/>
      <c r="F175" s="30"/>
      <c r="G175" s="30"/>
      <c r="H175" s="30"/>
      <c r="I175" s="36" t="str">
        <f t="shared" si="12"/>
        <v/>
      </c>
      <c r="J175" s="30"/>
      <c r="K175" s="30"/>
      <c r="L175" s="36" t="str">
        <f t="shared" si="13"/>
        <v/>
      </c>
      <c r="M175" s="37" t="str">
        <f t="shared" si="14"/>
        <v/>
      </c>
      <c r="N175" s="37" t="str">
        <f t="shared" si="15"/>
        <v/>
      </c>
      <c r="O175" s="55"/>
      <c r="P175" s="55"/>
      <c r="Q175" s="55"/>
    </row>
    <row r="176" spans="1:17" x14ac:dyDescent="0.25">
      <c r="A176" s="38" t="str">
        <f t="shared" si="16"/>
        <v/>
      </c>
      <c r="B176" s="38"/>
      <c r="C176" s="30"/>
      <c r="D176" s="30"/>
      <c r="E176" s="30"/>
      <c r="F176" s="30"/>
      <c r="G176" s="30"/>
      <c r="H176" s="30"/>
      <c r="I176" s="36" t="str">
        <f t="shared" si="12"/>
        <v/>
      </c>
      <c r="J176" s="30"/>
      <c r="K176" s="30"/>
      <c r="L176" s="36" t="str">
        <f t="shared" si="13"/>
        <v/>
      </c>
      <c r="M176" s="37" t="str">
        <f t="shared" si="14"/>
        <v/>
      </c>
      <c r="N176" s="37" t="str">
        <f t="shared" si="15"/>
        <v/>
      </c>
      <c r="O176" s="55"/>
      <c r="P176" s="55"/>
      <c r="Q176" s="55"/>
    </row>
    <row r="177" spans="1:17" x14ac:dyDescent="0.25">
      <c r="A177" s="38" t="str">
        <f t="shared" si="16"/>
        <v/>
      </c>
      <c r="B177" s="38"/>
      <c r="C177" s="30"/>
      <c r="D177" s="30"/>
      <c r="E177" s="30"/>
      <c r="F177" s="30"/>
      <c r="G177" s="30"/>
      <c r="H177" s="30"/>
      <c r="I177" s="36" t="str">
        <f t="shared" si="12"/>
        <v/>
      </c>
      <c r="J177" s="30"/>
      <c r="K177" s="30"/>
      <c r="L177" s="36" t="str">
        <f t="shared" si="13"/>
        <v/>
      </c>
      <c r="M177" s="37" t="str">
        <f t="shared" si="14"/>
        <v/>
      </c>
      <c r="N177" s="37" t="str">
        <f t="shared" si="15"/>
        <v/>
      </c>
      <c r="O177" s="55"/>
      <c r="P177" s="55"/>
      <c r="Q177" s="55"/>
    </row>
    <row r="178" spans="1:17" x14ac:dyDescent="0.25">
      <c r="A178" s="38" t="str">
        <f t="shared" si="16"/>
        <v/>
      </c>
      <c r="B178" s="38"/>
      <c r="C178" s="30"/>
      <c r="D178" s="30"/>
      <c r="E178" s="30"/>
      <c r="F178" s="30"/>
      <c r="G178" s="30"/>
      <c r="H178" s="30"/>
      <c r="I178" s="36" t="str">
        <f t="shared" si="12"/>
        <v/>
      </c>
      <c r="J178" s="30"/>
      <c r="K178" s="30"/>
      <c r="L178" s="36" t="str">
        <f t="shared" si="13"/>
        <v/>
      </c>
      <c r="M178" s="37" t="str">
        <f t="shared" si="14"/>
        <v/>
      </c>
      <c r="N178" s="37" t="str">
        <f t="shared" si="15"/>
        <v/>
      </c>
      <c r="O178" s="55"/>
      <c r="P178" s="55"/>
      <c r="Q178" s="55"/>
    </row>
    <row r="179" spans="1:17" x14ac:dyDescent="0.25">
      <c r="A179" s="38" t="str">
        <f t="shared" si="16"/>
        <v/>
      </c>
      <c r="B179" s="38"/>
      <c r="C179" s="30"/>
      <c r="D179" s="30"/>
      <c r="E179" s="30"/>
      <c r="F179" s="30"/>
      <c r="G179" s="30"/>
      <c r="H179" s="30"/>
      <c r="I179" s="36" t="str">
        <f t="shared" si="12"/>
        <v/>
      </c>
      <c r="J179" s="30"/>
      <c r="K179" s="30"/>
      <c r="L179" s="36" t="str">
        <f t="shared" si="13"/>
        <v/>
      </c>
      <c r="M179" s="37" t="str">
        <f t="shared" si="14"/>
        <v/>
      </c>
      <c r="N179" s="37" t="str">
        <f t="shared" si="15"/>
        <v/>
      </c>
      <c r="O179" s="55"/>
      <c r="P179" s="55"/>
      <c r="Q179" s="55"/>
    </row>
    <row r="180" spans="1:17" x14ac:dyDescent="0.25">
      <c r="A180" s="38" t="str">
        <f t="shared" si="16"/>
        <v/>
      </c>
      <c r="B180" s="38"/>
      <c r="C180" s="30"/>
      <c r="D180" s="30"/>
      <c r="E180" s="30"/>
      <c r="F180" s="30"/>
      <c r="G180" s="30"/>
      <c r="H180" s="30"/>
      <c r="I180" s="36" t="str">
        <f t="shared" si="12"/>
        <v/>
      </c>
      <c r="J180" s="30"/>
      <c r="K180" s="30"/>
      <c r="L180" s="36" t="str">
        <f t="shared" si="13"/>
        <v/>
      </c>
      <c r="M180" s="37" t="str">
        <f t="shared" si="14"/>
        <v/>
      </c>
      <c r="N180" s="37" t="str">
        <f t="shared" si="15"/>
        <v/>
      </c>
      <c r="O180" s="55"/>
      <c r="P180" s="55"/>
      <c r="Q180" s="55"/>
    </row>
    <row r="181" spans="1:17" x14ac:dyDescent="0.25">
      <c r="A181" s="38" t="str">
        <f t="shared" si="16"/>
        <v/>
      </c>
      <c r="B181" s="38"/>
      <c r="C181" s="30"/>
      <c r="D181" s="30"/>
      <c r="E181" s="30"/>
      <c r="F181" s="30"/>
      <c r="G181" s="30"/>
      <c r="H181" s="30"/>
      <c r="I181" s="36" t="str">
        <f t="shared" si="12"/>
        <v/>
      </c>
      <c r="J181" s="30"/>
      <c r="K181" s="30"/>
      <c r="L181" s="36" t="str">
        <f t="shared" si="13"/>
        <v/>
      </c>
      <c r="M181" s="37" t="str">
        <f t="shared" si="14"/>
        <v/>
      </c>
      <c r="N181" s="37" t="str">
        <f t="shared" si="15"/>
        <v/>
      </c>
      <c r="O181" s="55"/>
      <c r="P181" s="55"/>
      <c r="Q181" s="55"/>
    </row>
    <row r="182" spans="1:17" x14ac:dyDescent="0.25">
      <c r="A182" s="38" t="str">
        <f t="shared" si="16"/>
        <v/>
      </c>
      <c r="B182" s="38"/>
      <c r="C182" s="30"/>
      <c r="D182" s="30"/>
      <c r="E182" s="30"/>
      <c r="F182" s="30"/>
      <c r="G182" s="30"/>
      <c r="H182" s="30"/>
      <c r="I182" s="36" t="str">
        <f t="shared" si="12"/>
        <v/>
      </c>
      <c r="J182" s="30"/>
      <c r="K182" s="30"/>
      <c r="L182" s="36" t="str">
        <f t="shared" si="13"/>
        <v/>
      </c>
      <c r="M182" s="37" t="str">
        <f t="shared" si="14"/>
        <v/>
      </c>
      <c r="N182" s="37" t="str">
        <f t="shared" si="15"/>
        <v/>
      </c>
      <c r="O182" s="55"/>
      <c r="P182" s="55"/>
      <c r="Q182" s="55"/>
    </row>
    <row r="183" spans="1:17" x14ac:dyDescent="0.25">
      <c r="A183" s="38" t="str">
        <f t="shared" si="16"/>
        <v/>
      </c>
      <c r="B183" s="38"/>
      <c r="C183" s="30"/>
      <c r="D183" s="30"/>
      <c r="E183" s="30"/>
      <c r="F183" s="30"/>
      <c r="G183" s="30"/>
      <c r="H183" s="30"/>
      <c r="I183" s="36" t="str">
        <f t="shared" si="12"/>
        <v/>
      </c>
      <c r="J183" s="30"/>
      <c r="K183" s="30"/>
      <c r="L183" s="36" t="str">
        <f t="shared" si="13"/>
        <v/>
      </c>
      <c r="M183" s="37" t="str">
        <f t="shared" si="14"/>
        <v/>
      </c>
      <c r="N183" s="37" t="str">
        <f t="shared" si="15"/>
        <v/>
      </c>
      <c r="O183" s="55"/>
      <c r="P183" s="55"/>
      <c r="Q183" s="55"/>
    </row>
    <row r="184" spans="1:17" x14ac:dyDescent="0.25">
      <c r="A184" s="38" t="str">
        <f t="shared" si="16"/>
        <v/>
      </c>
      <c r="B184" s="38"/>
      <c r="C184" s="30"/>
      <c r="D184" s="30"/>
      <c r="E184" s="30"/>
      <c r="F184" s="30"/>
      <c r="G184" s="30"/>
      <c r="H184" s="30"/>
      <c r="I184" s="36" t="str">
        <f t="shared" si="12"/>
        <v/>
      </c>
      <c r="J184" s="30"/>
      <c r="K184" s="30"/>
      <c r="L184" s="36" t="str">
        <f t="shared" si="13"/>
        <v/>
      </c>
      <c r="M184" s="37" t="str">
        <f t="shared" si="14"/>
        <v/>
      </c>
      <c r="N184" s="37" t="str">
        <f t="shared" si="15"/>
        <v/>
      </c>
      <c r="O184" s="55"/>
      <c r="P184" s="55"/>
      <c r="Q184" s="55"/>
    </row>
    <row r="185" spans="1:17" x14ac:dyDescent="0.25">
      <c r="A185" s="38" t="str">
        <f t="shared" si="16"/>
        <v/>
      </c>
      <c r="B185" s="38"/>
      <c r="C185" s="30"/>
      <c r="D185" s="30"/>
      <c r="E185" s="30"/>
      <c r="F185" s="30"/>
      <c r="G185" s="30"/>
      <c r="H185" s="30"/>
      <c r="I185" s="36" t="str">
        <f t="shared" si="12"/>
        <v/>
      </c>
      <c r="J185" s="30"/>
      <c r="K185" s="30"/>
      <c r="L185" s="36" t="str">
        <f t="shared" si="13"/>
        <v/>
      </c>
      <c r="M185" s="37" t="str">
        <f t="shared" si="14"/>
        <v/>
      </c>
      <c r="N185" s="37" t="str">
        <f t="shared" si="15"/>
        <v/>
      </c>
      <c r="O185" s="55"/>
      <c r="P185" s="55"/>
      <c r="Q185" s="55"/>
    </row>
    <row r="186" spans="1:17" x14ac:dyDescent="0.25">
      <c r="A186" s="38" t="str">
        <f t="shared" si="16"/>
        <v/>
      </c>
      <c r="B186" s="38"/>
      <c r="C186" s="30"/>
      <c r="D186" s="30"/>
      <c r="E186" s="30"/>
      <c r="F186" s="30"/>
      <c r="G186" s="30"/>
      <c r="H186" s="30"/>
      <c r="I186" s="36" t="str">
        <f t="shared" si="12"/>
        <v/>
      </c>
      <c r="J186" s="30"/>
      <c r="K186" s="30"/>
      <c r="L186" s="36" t="str">
        <f t="shared" si="13"/>
        <v/>
      </c>
      <c r="M186" s="37" t="str">
        <f t="shared" si="14"/>
        <v/>
      </c>
      <c r="N186" s="37" t="str">
        <f t="shared" si="15"/>
        <v/>
      </c>
      <c r="O186" s="55"/>
      <c r="P186" s="55"/>
      <c r="Q186" s="55"/>
    </row>
    <row r="187" spans="1:17" x14ac:dyDescent="0.25">
      <c r="A187" s="38" t="str">
        <f t="shared" si="16"/>
        <v/>
      </c>
      <c r="B187" s="38"/>
      <c r="C187" s="30"/>
      <c r="D187" s="30"/>
      <c r="E187" s="30"/>
      <c r="F187" s="30"/>
      <c r="G187" s="30"/>
      <c r="H187" s="30"/>
      <c r="I187" s="36" t="str">
        <f t="shared" si="12"/>
        <v/>
      </c>
      <c r="J187" s="30"/>
      <c r="K187" s="30"/>
      <c r="L187" s="36" t="str">
        <f t="shared" si="13"/>
        <v/>
      </c>
      <c r="M187" s="37" t="str">
        <f t="shared" si="14"/>
        <v/>
      </c>
      <c r="N187" s="37" t="str">
        <f t="shared" si="15"/>
        <v/>
      </c>
      <c r="O187" s="55"/>
      <c r="P187" s="55"/>
      <c r="Q187" s="55"/>
    </row>
    <row r="188" spans="1:17" x14ac:dyDescent="0.25">
      <c r="A188" s="38" t="str">
        <f t="shared" si="16"/>
        <v/>
      </c>
      <c r="B188" s="38"/>
      <c r="C188" s="30"/>
      <c r="D188" s="30"/>
      <c r="E188" s="30"/>
      <c r="F188" s="30"/>
      <c r="G188" s="30"/>
      <c r="H188" s="30"/>
      <c r="I188" s="36" t="str">
        <f t="shared" si="12"/>
        <v/>
      </c>
      <c r="J188" s="30"/>
      <c r="K188" s="30"/>
      <c r="L188" s="36" t="str">
        <f t="shared" si="13"/>
        <v/>
      </c>
      <c r="M188" s="37" t="str">
        <f t="shared" si="14"/>
        <v/>
      </c>
      <c r="N188" s="37" t="str">
        <f t="shared" si="15"/>
        <v/>
      </c>
      <c r="O188" s="55"/>
      <c r="P188" s="55"/>
      <c r="Q188" s="55"/>
    </row>
    <row r="189" spans="1:17" x14ac:dyDescent="0.25">
      <c r="A189" s="38" t="str">
        <f t="shared" si="16"/>
        <v/>
      </c>
      <c r="B189" s="38"/>
      <c r="C189" s="30"/>
      <c r="D189" s="30"/>
      <c r="E189" s="30"/>
      <c r="F189" s="30"/>
      <c r="G189" s="30"/>
      <c r="H189" s="30"/>
      <c r="I189" s="36" t="str">
        <f t="shared" si="12"/>
        <v/>
      </c>
      <c r="J189" s="30"/>
      <c r="K189" s="30"/>
      <c r="L189" s="36" t="str">
        <f t="shared" si="13"/>
        <v/>
      </c>
      <c r="M189" s="37" t="str">
        <f t="shared" si="14"/>
        <v/>
      </c>
      <c r="N189" s="37" t="str">
        <f t="shared" si="15"/>
        <v/>
      </c>
      <c r="O189" s="55"/>
      <c r="P189" s="55"/>
      <c r="Q189" s="55"/>
    </row>
    <row r="190" spans="1:17" x14ac:dyDescent="0.25">
      <c r="A190" s="38" t="str">
        <f t="shared" si="16"/>
        <v/>
      </c>
      <c r="B190" s="38"/>
      <c r="C190" s="30"/>
      <c r="D190" s="30"/>
      <c r="E190" s="30"/>
      <c r="F190" s="30"/>
      <c r="G190" s="30"/>
      <c r="H190" s="30"/>
      <c r="I190" s="36" t="str">
        <f t="shared" si="12"/>
        <v/>
      </c>
      <c r="J190" s="30"/>
      <c r="K190" s="30"/>
      <c r="L190" s="36" t="str">
        <f t="shared" si="13"/>
        <v/>
      </c>
      <c r="M190" s="37" t="str">
        <f t="shared" si="14"/>
        <v/>
      </c>
      <c r="N190" s="37" t="str">
        <f t="shared" si="15"/>
        <v/>
      </c>
      <c r="O190" s="55"/>
      <c r="P190" s="55"/>
      <c r="Q190" s="55"/>
    </row>
    <row r="191" spans="1:17" x14ac:dyDescent="0.25">
      <c r="A191" s="38" t="str">
        <f t="shared" si="16"/>
        <v/>
      </c>
      <c r="B191" s="38"/>
      <c r="C191" s="30"/>
      <c r="D191" s="30"/>
      <c r="E191" s="30"/>
      <c r="F191" s="30"/>
      <c r="G191" s="30"/>
      <c r="H191" s="30"/>
      <c r="I191" s="36" t="str">
        <f t="shared" si="12"/>
        <v/>
      </c>
      <c r="J191" s="30"/>
      <c r="K191" s="30"/>
      <c r="L191" s="36" t="str">
        <f t="shared" si="13"/>
        <v/>
      </c>
      <c r="M191" s="37" t="str">
        <f t="shared" si="14"/>
        <v/>
      </c>
      <c r="N191" s="37" t="str">
        <f t="shared" si="15"/>
        <v/>
      </c>
      <c r="O191" s="55"/>
      <c r="P191" s="55"/>
      <c r="Q191" s="55"/>
    </row>
    <row r="192" spans="1:17" x14ac:dyDescent="0.25">
      <c r="A192" s="38" t="str">
        <f t="shared" si="16"/>
        <v/>
      </c>
      <c r="B192" s="38"/>
      <c r="C192" s="30"/>
      <c r="D192" s="30"/>
      <c r="E192" s="30"/>
      <c r="F192" s="30"/>
      <c r="G192" s="30"/>
      <c r="H192" s="30"/>
      <c r="I192" s="36" t="str">
        <f t="shared" si="12"/>
        <v/>
      </c>
      <c r="J192" s="30"/>
      <c r="K192" s="30"/>
      <c r="L192" s="36" t="str">
        <f t="shared" si="13"/>
        <v/>
      </c>
      <c r="M192" s="37" t="str">
        <f t="shared" si="14"/>
        <v/>
      </c>
      <c r="N192" s="37" t="str">
        <f t="shared" si="15"/>
        <v/>
      </c>
      <c r="O192" s="55"/>
      <c r="P192" s="55"/>
      <c r="Q192" s="55"/>
    </row>
    <row r="193" spans="1:17" x14ac:dyDescent="0.25">
      <c r="A193" s="38" t="str">
        <f t="shared" si="16"/>
        <v/>
      </c>
      <c r="B193" s="38"/>
      <c r="C193" s="30"/>
      <c r="D193" s="30"/>
      <c r="E193" s="30"/>
      <c r="F193" s="30"/>
      <c r="G193" s="30"/>
      <c r="H193" s="30"/>
      <c r="I193" s="36" t="str">
        <f t="shared" si="12"/>
        <v/>
      </c>
      <c r="J193" s="30"/>
      <c r="K193" s="30"/>
      <c r="L193" s="36" t="str">
        <f t="shared" si="13"/>
        <v/>
      </c>
      <c r="M193" s="37" t="str">
        <f t="shared" si="14"/>
        <v/>
      </c>
      <c r="N193" s="37" t="str">
        <f t="shared" si="15"/>
        <v/>
      </c>
      <c r="O193" s="55"/>
      <c r="P193" s="55"/>
      <c r="Q193" s="55"/>
    </row>
    <row r="194" spans="1:17" x14ac:dyDescent="0.25">
      <c r="A194" s="38" t="str">
        <f t="shared" si="16"/>
        <v/>
      </c>
      <c r="B194" s="38"/>
      <c r="C194" s="30"/>
      <c r="D194" s="30"/>
      <c r="E194" s="30"/>
      <c r="F194" s="30"/>
      <c r="G194" s="30"/>
      <c r="H194" s="30"/>
      <c r="I194" s="36" t="str">
        <f t="shared" si="12"/>
        <v/>
      </c>
      <c r="J194" s="30"/>
      <c r="K194" s="30"/>
      <c r="L194" s="36" t="str">
        <f t="shared" si="13"/>
        <v/>
      </c>
      <c r="M194" s="37" t="str">
        <f t="shared" si="14"/>
        <v/>
      </c>
      <c r="N194" s="37" t="str">
        <f t="shared" si="15"/>
        <v/>
      </c>
      <c r="O194" s="55"/>
      <c r="P194" s="55"/>
      <c r="Q194" s="55"/>
    </row>
    <row r="195" spans="1:17" x14ac:dyDescent="0.25">
      <c r="A195" s="38" t="str">
        <f t="shared" si="16"/>
        <v/>
      </c>
      <c r="B195" s="38"/>
      <c r="C195" s="30"/>
      <c r="D195" s="30"/>
      <c r="E195" s="30"/>
      <c r="F195" s="30"/>
      <c r="G195" s="30"/>
      <c r="H195" s="30"/>
      <c r="I195" s="36" t="str">
        <f t="shared" ref="I195:I258" si="17">IF(H195&lt;&gt;"",H195/G195,"")</f>
        <v/>
      </c>
      <c r="J195" s="30"/>
      <c r="K195" s="30"/>
      <c r="L195" s="36" t="str">
        <f t="shared" ref="L195:L258" si="18">IF(K195&lt;&gt;"",K195/J195,"")</f>
        <v/>
      </c>
      <c r="M195" s="37" t="str">
        <f t="shared" ref="M195:M258" si="19">IF(L195&lt;&gt;"",MAX(I195,L195),"")</f>
        <v/>
      </c>
      <c r="N195" s="37" t="str">
        <f t="shared" ref="N195:N258" si="20">IF($M195&lt;&gt;"",IF($M195&lt;50%,0%,IF($M195&lt;80%,$M195,100%)),"")</f>
        <v/>
      </c>
      <c r="O195" s="55"/>
      <c r="P195" s="55"/>
      <c r="Q195" s="55"/>
    </row>
    <row r="196" spans="1:17" x14ac:dyDescent="0.25">
      <c r="A196" s="38" t="str">
        <f t="shared" ref="A196:A259" si="21">IF(C196&lt;&gt;"",A195+1,"")</f>
        <v/>
      </c>
      <c r="B196" s="38"/>
      <c r="C196" s="30"/>
      <c r="D196" s="30"/>
      <c r="E196" s="30"/>
      <c r="F196" s="30"/>
      <c r="G196" s="30"/>
      <c r="H196" s="30"/>
      <c r="I196" s="36" t="str">
        <f t="shared" si="17"/>
        <v/>
      </c>
      <c r="J196" s="30"/>
      <c r="K196" s="30"/>
      <c r="L196" s="36" t="str">
        <f t="shared" si="18"/>
        <v/>
      </c>
      <c r="M196" s="37" t="str">
        <f t="shared" si="19"/>
        <v/>
      </c>
      <c r="N196" s="37" t="str">
        <f t="shared" si="20"/>
        <v/>
      </c>
      <c r="O196" s="55"/>
      <c r="P196" s="55"/>
      <c r="Q196" s="55"/>
    </row>
    <row r="197" spans="1:17" x14ac:dyDescent="0.25">
      <c r="A197" s="38" t="str">
        <f t="shared" si="21"/>
        <v/>
      </c>
      <c r="B197" s="38"/>
      <c r="C197" s="30"/>
      <c r="D197" s="30"/>
      <c r="E197" s="30"/>
      <c r="F197" s="30"/>
      <c r="G197" s="30"/>
      <c r="H197" s="30"/>
      <c r="I197" s="36" t="str">
        <f t="shared" si="17"/>
        <v/>
      </c>
      <c r="J197" s="30"/>
      <c r="K197" s="30"/>
      <c r="L197" s="36" t="str">
        <f t="shared" si="18"/>
        <v/>
      </c>
      <c r="M197" s="37" t="str">
        <f t="shared" si="19"/>
        <v/>
      </c>
      <c r="N197" s="37" t="str">
        <f t="shared" si="20"/>
        <v/>
      </c>
      <c r="O197" s="55"/>
      <c r="P197" s="55"/>
      <c r="Q197" s="55"/>
    </row>
    <row r="198" spans="1:17" x14ac:dyDescent="0.25">
      <c r="A198" s="38" t="str">
        <f t="shared" si="21"/>
        <v/>
      </c>
      <c r="B198" s="38"/>
      <c r="C198" s="30"/>
      <c r="D198" s="30"/>
      <c r="E198" s="30"/>
      <c r="F198" s="30"/>
      <c r="G198" s="30"/>
      <c r="H198" s="30"/>
      <c r="I198" s="36" t="str">
        <f t="shared" si="17"/>
        <v/>
      </c>
      <c r="J198" s="30"/>
      <c r="K198" s="30"/>
      <c r="L198" s="36" t="str">
        <f t="shared" si="18"/>
        <v/>
      </c>
      <c r="M198" s="37" t="str">
        <f t="shared" si="19"/>
        <v/>
      </c>
      <c r="N198" s="37" t="str">
        <f t="shared" si="20"/>
        <v/>
      </c>
      <c r="O198" s="55"/>
      <c r="P198" s="55"/>
      <c r="Q198" s="55"/>
    </row>
    <row r="199" spans="1:17" x14ac:dyDescent="0.25">
      <c r="A199" s="38" t="str">
        <f t="shared" si="21"/>
        <v/>
      </c>
      <c r="B199" s="38"/>
      <c r="C199" s="30"/>
      <c r="D199" s="30"/>
      <c r="E199" s="30"/>
      <c r="F199" s="30"/>
      <c r="G199" s="30"/>
      <c r="H199" s="30"/>
      <c r="I199" s="36" t="str">
        <f t="shared" si="17"/>
        <v/>
      </c>
      <c r="J199" s="30"/>
      <c r="K199" s="30"/>
      <c r="L199" s="36" t="str">
        <f t="shared" si="18"/>
        <v/>
      </c>
      <c r="M199" s="37" t="str">
        <f t="shared" si="19"/>
        <v/>
      </c>
      <c r="N199" s="37" t="str">
        <f t="shared" si="20"/>
        <v/>
      </c>
      <c r="O199" s="55"/>
      <c r="P199" s="55"/>
      <c r="Q199" s="55"/>
    </row>
    <row r="200" spans="1:17" x14ac:dyDescent="0.25">
      <c r="A200" s="38" t="str">
        <f t="shared" si="21"/>
        <v/>
      </c>
      <c r="B200" s="38"/>
      <c r="C200" s="30"/>
      <c r="D200" s="30"/>
      <c r="E200" s="30"/>
      <c r="F200" s="30"/>
      <c r="G200" s="30"/>
      <c r="H200" s="30"/>
      <c r="I200" s="36" t="str">
        <f t="shared" si="17"/>
        <v/>
      </c>
      <c r="J200" s="30"/>
      <c r="K200" s="30"/>
      <c r="L200" s="36" t="str">
        <f t="shared" si="18"/>
        <v/>
      </c>
      <c r="M200" s="37" t="str">
        <f t="shared" si="19"/>
        <v/>
      </c>
      <c r="N200" s="37" t="str">
        <f t="shared" si="20"/>
        <v/>
      </c>
      <c r="O200" s="55"/>
      <c r="P200" s="55"/>
      <c r="Q200" s="55"/>
    </row>
    <row r="201" spans="1:17" x14ac:dyDescent="0.25">
      <c r="A201" s="38" t="str">
        <f t="shared" si="21"/>
        <v/>
      </c>
      <c r="B201" s="38"/>
      <c r="C201" s="30"/>
      <c r="D201" s="30"/>
      <c r="E201" s="30"/>
      <c r="F201" s="30"/>
      <c r="G201" s="30"/>
      <c r="H201" s="30"/>
      <c r="I201" s="36" t="str">
        <f t="shared" si="17"/>
        <v/>
      </c>
      <c r="J201" s="30"/>
      <c r="K201" s="30"/>
      <c r="L201" s="36" t="str">
        <f t="shared" si="18"/>
        <v/>
      </c>
      <c r="M201" s="37" t="str">
        <f t="shared" si="19"/>
        <v/>
      </c>
      <c r="N201" s="37" t="str">
        <f t="shared" si="20"/>
        <v/>
      </c>
      <c r="O201" s="55"/>
      <c r="P201" s="55"/>
      <c r="Q201" s="55"/>
    </row>
    <row r="202" spans="1:17" x14ac:dyDescent="0.25">
      <c r="A202" s="38" t="str">
        <f t="shared" si="21"/>
        <v/>
      </c>
      <c r="B202" s="38"/>
      <c r="C202" s="30"/>
      <c r="D202" s="30"/>
      <c r="E202" s="30"/>
      <c r="F202" s="30"/>
      <c r="G202" s="30"/>
      <c r="H202" s="30"/>
      <c r="I202" s="36" t="str">
        <f t="shared" si="17"/>
        <v/>
      </c>
      <c r="J202" s="30"/>
      <c r="K202" s="30"/>
      <c r="L202" s="36" t="str">
        <f t="shared" si="18"/>
        <v/>
      </c>
      <c r="M202" s="37" t="str">
        <f t="shared" si="19"/>
        <v/>
      </c>
      <c r="N202" s="37" t="str">
        <f t="shared" si="20"/>
        <v/>
      </c>
      <c r="O202" s="55"/>
      <c r="P202" s="55"/>
      <c r="Q202" s="55"/>
    </row>
    <row r="203" spans="1:17" x14ac:dyDescent="0.25">
      <c r="A203" s="38" t="str">
        <f t="shared" si="21"/>
        <v/>
      </c>
      <c r="B203" s="38"/>
      <c r="C203" s="30"/>
      <c r="D203" s="30"/>
      <c r="E203" s="30"/>
      <c r="F203" s="30"/>
      <c r="G203" s="30"/>
      <c r="H203" s="30"/>
      <c r="I203" s="36" t="str">
        <f t="shared" si="17"/>
        <v/>
      </c>
      <c r="J203" s="30"/>
      <c r="K203" s="30"/>
      <c r="L203" s="36" t="str">
        <f t="shared" si="18"/>
        <v/>
      </c>
      <c r="M203" s="37" t="str">
        <f t="shared" si="19"/>
        <v/>
      </c>
      <c r="N203" s="37" t="str">
        <f t="shared" si="20"/>
        <v/>
      </c>
      <c r="O203" s="55"/>
      <c r="P203" s="55"/>
      <c r="Q203" s="55"/>
    </row>
    <row r="204" spans="1:17" x14ac:dyDescent="0.25">
      <c r="A204" s="38" t="str">
        <f t="shared" si="21"/>
        <v/>
      </c>
      <c r="B204" s="38"/>
      <c r="C204" s="30"/>
      <c r="D204" s="30"/>
      <c r="E204" s="30"/>
      <c r="F204" s="30"/>
      <c r="G204" s="30"/>
      <c r="H204" s="30"/>
      <c r="I204" s="36" t="str">
        <f t="shared" si="17"/>
        <v/>
      </c>
      <c r="J204" s="30"/>
      <c r="K204" s="30"/>
      <c r="L204" s="36" t="str">
        <f t="shared" si="18"/>
        <v/>
      </c>
      <c r="M204" s="37" t="str">
        <f t="shared" si="19"/>
        <v/>
      </c>
      <c r="N204" s="37" t="str">
        <f t="shared" si="20"/>
        <v/>
      </c>
      <c r="O204" s="55"/>
      <c r="P204" s="55"/>
      <c r="Q204" s="55"/>
    </row>
    <row r="205" spans="1:17" x14ac:dyDescent="0.25">
      <c r="A205" s="38" t="str">
        <f t="shared" si="21"/>
        <v/>
      </c>
      <c r="B205" s="38"/>
      <c r="C205" s="30"/>
      <c r="D205" s="30"/>
      <c r="E205" s="30"/>
      <c r="F205" s="30"/>
      <c r="G205" s="30"/>
      <c r="H205" s="30"/>
      <c r="I205" s="36" t="str">
        <f t="shared" si="17"/>
        <v/>
      </c>
      <c r="J205" s="30"/>
      <c r="K205" s="30"/>
      <c r="L205" s="36" t="str">
        <f t="shared" si="18"/>
        <v/>
      </c>
      <c r="M205" s="37" t="str">
        <f t="shared" si="19"/>
        <v/>
      </c>
      <c r="N205" s="37" t="str">
        <f t="shared" si="20"/>
        <v/>
      </c>
      <c r="O205" s="55"/>
      <c r="P205" s="55"/>
      <c r="Q205" s="55"/>
    </row>
    <row r="206" spans="1:17" x14ac:dyDescent="0.25">
      <c r="A206" s="38" t="str">
        <f t="shared" si="21"/>
        <v/>
      </c>
      <c r="B206" s="38"/>
      <c r="C206" s="30"/>
      <c r="D206" s="30"/>
      <c r="E206" s="30"/>
      <c r="F206" s="30"/>
      <c r="G206" s="30"/>
      <c r="H206" s="30"/>
      <c r="I206" s="36" t="str">
        <f t="shared" si="17"/>
        <v/>
      </c>
      <c r="J206" s="30"/>
      <c r="K206" s="30"/>
      <c r="L206" s="36" t="str">
        <f t="shared" si="18"/>
        <v/>
      </c>
      <c r="M206" s="37" t="str">
        <f t="shared" si="19"/>
        <v/>
      </c>
      <c r="N206" s="37" t="str">
        <f t="shared" si="20"/>
        <v/>
      </c>
      <c r="O206" s="55"/>
      <c r="P206" s="55"/>
      <c r="Q206" s="55"/>
    </row>
    <row r="207" spans="1:17" x14ac:dyDescent="0.25">
      <c r="A207" s="38" t="str">
        <f t="shared" si="21"/>
        <v/>
      </c>
      <c r="B207" s="38"/>
      <c r="C207" s="30"/>
      <c r="D207" s="30"/>
      <c r="E207" s="30"/>
      <c r="F207" s="30"/>
      <c r="G207" s="30"/>
      <c r="H207" s="30"/>
      <c r="I207" s="36" t="str">
        <f t="shared" si="17"/>
        <v/>
      </c>
      <c r="J207" s="30"/>
      <c r="K207" s="30"/>
      <c r="L207" s="36" t="str">
        <f t="shared" si="18"/>
        <v/>
      </c>
      <c r="M207" s="37" t="str">
        <f t="shared" si="19"/>
        <v/>
      </c>
      <c r="N207" s="37" t="str">
        <f t="shared" si="20"/>
        <v/>
      </c>
      <c r="O207" s="55"/>
      <c r="P207" s="55"/>
      <c r="Q207" s="55"/>
    </row>
    <row r="208" spans="1:17" x14ac:dyDescent="0.25">
      <c r="A208" s="38" t="str">
        <f t="shared" si="21"/>
        <v/>
      </c>
      <c r="B208" s="38"/>
      <c r="C208" s="30"/>
      <c r="D208" s="30"/>
      <c r="E208" s="30"/>
      <c r="F208" s="30"/>
      <c r="G208" s="30"/>
      <c r="H208" s="30"/>
      <c r="I208" s="36" t="str">
        <f t="shared" si="17"/>
        <v/>
      </c>
      <c r="J208" s="30"/>
      <c r="K208" s="30"/>
      <c r="L208" s="36" t="str">
        <f t="shared" si="18"/>
        <v/>
      </c>
      <c r="M208" s="37" t="str">
        <f t="shared" si="19"/>
        <v/>
      </c>
      <c r="N208" s="37" t="str">
        <f t="shared" si="20"/>
        <v/>
      </c>
      <c r="O208" s="55"/>
      <c r="P208" s="55"/>
      <c r="Q208" s="55"/>
    </row>
    <row r="209" spans="1:17" x14ac:dyDescent="0.25">
      <c r="A209" s="38" t="str">
        <f t="shared" si="21"/>
        <v/>
      </c>
      <c r="B209" s="38"/>
      <c r="C209" s="30"/>
      <c r="D209" s="30"/>
      <c r="E209" s="30"/>
      <c r="F209" s="30"/>
      <c r="G209" s="30"/>
      <c r="H209" s="30"/>
      <c r="I209" s="36" t="str">
        <f t="shared" si="17"/>
        <v/>
      </c>
      <c r="J209" s="30"/>
      <c r="K209" s="30"/>
      <c r="L209" s="36" t="str">
        <f t="shared" si="18"/>
        <v/>
      </c>
      <c r="M209" s="37" t="str">
        <f t="shared" si="19"/>
        <v/>
      </c>
      <c r="N209" s="37" t="str">
        <f t="shared" si="20"/>
        <v/>
      </c>
      <c r="O209" s="55"/>
      <c r="P209" s="55"/>
      <c r="Q209" s="55"/>
    </row>
    <row r="210" spans="1:17" x14ac:dyDescent="0.25">
      <c r="A210" s="38" t="str">
        <f t="shared" si="21"/>
        <v/>
      </c>
      <c r="B210" s="38"/>
      <c r="C210" s="30"/>
      <c r="D210" s="30"/>
      <c r="E210" s="30"/>
      <c r="F210" s="30"/>
      <c r="G210" s="30"/>
      <c r="H210" s="30"/>
      <c r="I210" s="36" t="str">
        <f t="shared" si="17"/>
        <v/>
      </c>
      <c r="J210" s="30"/>
      <c r="K210" s="30"/>
      <c r="L210" s="36" t="str">
        <f t="shared" si="18"/>
        <v/>
      </c>
      <c r="M210" s="37" t="str">
        <f t="shared" si="19"/>
        <v/>
      </c>
      <c r="N210" s="37" t="str">
        <f t="shared" si="20"/>
        <v/>
      </c>
      <c r="O210" s="55"/>
      <c r="P210" s="55"/>
      <c r="Q210" s="55"/>
    </row>
    <row r="211" spans="1:17" x14ac:dyDescent="0.25">
      <c r="A211" s="38" t="str">
        <f t="shared" si="21"/>
        <v/>
      </c>
      <c r="B211" s="38"/>
      <c r="C211" s="30"/>
      <c r="D211" s="30"/>
      <c r="E211" s="30"/>
      <c r="F211" s="30"/>
      <c r="G211" s="30"/>
      <c r="H211" s="30"/>
      <c r="I211" s="36" t="str">
        <f t="shared" si="17"/>
        <v/>
      </c>
      <c r="J211" s="30"/>
      <c r="K211" s="30"/>
      <c r="L211" s="36" t="str">
        <f t="shared" si="18"/>
        <v/>
      </c>
      <c r="M211" s="37" t="str">
        <f t="shared" si="19"/>
        <v/>
      </c>
      <c r="N211" s="37" t="str">
        <f t="shared" si="20"/>
        <v/>
      </c>
      <c r="O211" s="55"/>
      <c r="P211" s="55"/>
      <c r="Q211" s="55"/>
    </row>
    <row r="212" spans="1:17" x14ac:dyDescent="0.25">
      <c r="A212" s="38" t="str">
        <f t="shared" si="21"/>
        <v/>
      </c>
      <c r="B212" s="38"/>
      <c r="C212" s="30"/>
      <c r="D212" s="30"/>
      <c r="E212" s="30"/>
      <c r="F212" s="30"/>
      <c r="G212" s="30"/>
      <c r="H212" s="30"/>
      <c r="I212" s="36" t="str">
        <f t="shared" si="17"/>
        <v/>
      </c>
      <c r="J212" s="30"/>
      <c r="K212" s="30"/>
      <c r="L212" s="36" t="str">
        <f t="shared" si="18"/>
        <v/>
      </c>
      <c r="M212" s="37" t="str">
        <f t="shared" si="19"/>
        <v/>
      </c>
      <c r="N212" s="37" t="str">
        <f t="shared" si="20"/>
        <v/>
      </c>
      <c r="O212" s="55"/>
      <c r="P212" s="55"/>
      <c r="Q212" s="55"/>
    </row>
    <row r="213" spans="1:17" x14ac:dyDescent="0.25">
      <c r="A213" s="38" t="str">
        <f t="shared" si="21"/>
        <v/>
      </c>
      <c r="B213" s="38"/>
      <c r="C213" s="30"/>
      <c r="D213" s="30"/>
      <c r="E213" s="30"/>
      <c r="F213" s="30"/>
      <c r="G213" s="30"/>
      <c r="H213" s="30"/>
      <c r="I213" s="36" t="str">
        <f t="shared" si="17"/>
        <v/>
      </c>
      <c r="J213" s="30"/>
      <c r="K213" s="30"/>
      <c r="L213" s="36" t="str">
        <f t="shared" si="18"/>
        <v/>
      </c>
      <c r="M213" s="37" t="str">
        <f t="shared" si="19"/>
        <v/>
      </c>
      <c r="N213" s="37" t="str">
        <f t="shared" si="20"/>
        <v/>
      </c>
      <c r="O213" s="55"/>
      <c r="P213" s="55"/>
      <c r="Q213" s="55"/>
    </row>
    <row r="214" spans="1:17" x14ac:dyDescent="0.25">
      <c r="A214" s="38" t="str">
        <f t="shared" si="21"/>
        <v/>
      </c>
      <c r="B214" s="38"/>
      <c r="C214" s="30"/>
      <c r="D214" s="30"/>
      <c r="E214" s="30"/>
      <c r="F214" s="30"/>
      <c r="G214" s="30"/>
      <c r="H214" s="30"/>
      <c r="I214" s="36" t="str">
        <f t="shared" si="17"/>
        <v/>
      </c>
      <c r="J214" s="30"/>
      <c r="K214" s="30"/>
      <c r="L214" s="36" t="str">
        <f t="shared" si="18"/>
        <v/>
      </c>
      <c r="M214" s="37" t="str">
        <f t="shared" si="19"/>
        <v/>
      </c>
      <c r="N214" s="37" t="str">
        <f t="shared" si="20"/>
        <v/>
      </c>
      <c r="O214" s="55"/>
      <c r="P214" s="55"/>
      <c r="Q214" s="55"/>
    </row>
    <row r="215" spans="1:17" x14ac:dyDescent="0.25">
      <c r="A215" s="38" t="str">
        <f t="shared" si="21"/>
        <v/>
      </c>
      <c r="B215" s="38"/>
      <c r="C215" s="30"/>
      <c r="D215" s="30"/>
      <c r="E215" s="30"/>
      <c r="F215" s="30"/>
      <c r="G215" s="30"/>
      <c r="H215" s="30"/>
      <c r="I215" s="36" t="str">
        <f t="shared" si="17"/>
        <v/>
      </c>
      <c r="J215" s="30"/>
      <c r="K215" s="30"/>
      <c r="L215" s="36" t="str">
        <f t="shared" si="18"/>
        <v/>
      </c>
      <c r="M215" s="37" t="str">
        <f t="shared" si="19"/>
        <v/>
      </c>
      <c r="N215" s="37" t="str">
        <f t="shared" si="20"/>
        <v/>
      </c>
      <c r="O215" s="55"/>
      <c r="P215" s="55"/>
      <c r="Q215" s="55"/>
    </row>
    <row r="216" spans="1:17" x14ac:dyDescent="0.25">
      <c r="A216" s="38" t="str">
        <f t="shared" si="21"/>
        <v/>
      </c>
      <c r="B216" s="38"/>
      <c r="C216" s="30"/>
      <c r="D216" s="30"/>
      <c r="E216" s="30"/>
      <c r="F216" s="30"/>
      <c r="G216" s="30"/>
      <c r="H216" s="30"/>
      <c r="I216" s="36" t="str">
        <f t="shared" si="17"/>
        <v/>
      </c>
      <c r="J216" s="30"/>
      <c r="K216" s="30"/>
      <c r="L216" s="36" t="str">
        <f t="shared" si="18"/>
        <v/>
      </c>
      <c r="M216" s="37" t="str">
        <f t="shared" si="19"/>
        <v/>
      </c>
      <c r="N216" s="37" t="str">
        <f t="shared" si="20"/>
        <v/>
      </c>
      <c r="O216" s="55"/>
      <c r="P216" s="55"/>
      <c r="Q216" s="55"/>
    </row>
    <row r="217" spans="1:17" x14ac:dyDescent="0.25">
      <c r="A217" s="38" t="str">
        <f t="shared" si="21"/>
        <v/>
      </c>
      <c r="B217" s="38"/>
      <c r="C217" s="30"/>
      <c r="D217" s="30"/>
      <c r="E217" s="30"/>
      <c r="F217" s="30"/>
      <c r="G217" s="30"/>
      <c r="H217" s="30"/>
      <c r="I217" s="36" t="str">
        <f t="shared" si="17"/>
        <v/>
      </c>
      <c r="J217" s="30"/>
      <c r="K217" s="30"/>
      <c r="L217" s="36" t="str">
        <f t="shared" si="18"/>
        <v/>
      </c>
      <c r="M217" s="37" t="str">
        <f t="shared" si="19"/>
        <v/>
      </c>
      <c r="N217" s="37" t="str">
        <f t="shared" si="20"/>
        <v/>
      </c>
      <c r="O217" s="55"/>
      <c r="P217" s="55"/>
      <c r="Q217" s="55"/>
    </row>
    <row r="218" spans="1:17" x14ac:dyDescent="0.25">
      <c r="A218" s="38" t="str">
        <f t="shared" si="21"/>
        <v/>
      </c>
      <c r="B218" s="38"/>
      <c r="C218" s="30"/>
      <c r="D218" s="30"/>
      <c r="E218" s="30"/>
      <c r="F218" s="30"/>
      <c r="G218" s="30"/>
      <c r="H218" s="30"/>
      <c r="I218" s="36" t="str">
        <f t="shared" si="17"/>
        <v/>
      </c>
      <c r="J218" s="30"/>
      <c r="K218" s="30"/>
      <c r="L218" s="36" t="str">
        <f t="shared" si="18"/>
        <v/>
      </c>
      <c r="M218" s="37" t="str">
        <f t="shared" si="19"/>
        <v/>
      </c>
      <c r="N218" s="37" t="str">
        <f t="shared" si="20"/>
        <v/>
      </c>
      <c r="O218" s="55"/>
      <c r="P218" s="55"/>
      <c r="Q218" s="55"/>
    </row>
    <row r="219" spans="1:17" x14ac:dyDescent="0.25">
      <c r="A219" s="38" t="str">
        <f t="shared" si="21"/>
        <v/>
      </c>
      <c r="B219" s="38"/>
      <c r="C219" s="30"/>
      <c r="D219" s="30"/>
      <c r="E219" s="30"/>
      <c r="F219" s="30"/>
      <c r="G219" s="30"/>
      <c r="H219" s="30"/>
      <c r="I219" s="36" t="str">
        <f t="shared" si="17"/>
        <v/>
      </c>
      <c r="J219" s="30"/>
      <c r="K219" s="30"/>
      <c r="L219" s="36" t="str">
        <f t="shared" si="18"/>
        <v/>
      </c>
      <c r="M219" s="37" t="str">
        <f t="shared" si="19"/>
        <v/>
      </c>
      <c r="N219" s="37" t="str">
        <f t="shared" si="20"/>
        <v/>
      </c>
      <c r="O219" s="55"/>
      <c r="P219" s="55"/>
      <c r="Q219" s="55"/>
    </row>
    <row r="220" spans="1:17" x14ac:dyDescent="0.25">
      <c r="A220" s="38" t="str">
        <f t="shared" si="21"/>
        <v/>
      </c>
      <c r="B220" s="38"/>
      <c r="C220" s="30"/>
      <c r="D220" s="30"/>
      <c r="E220" s="30"/>
      <c r="F220" s="30"/>
      <c r="G220" s="30"/>
      <c r="H220" s="30"/>
      <c r="I220" s="36" t="str">
        <f t="shared" si="17"/>
        <v/>
      </c>
      <c r="J220" s="30"/>
      <c r="K220" s="30"/>
      <c r="L220" s="36" t="str">
        <f t="shared" si="18"/>
        <v/>
      </c>
      <c r="M220" s="37" t="str">
        <f t="shared" si="19"/>
        <v/>
      </c>
      <c r="N220" s="37" t="str">
        <f t="shared" si="20"/>
        <v/>
      </c>
      <c r="O220" s="55"/>
      <c r="P220" s="55"/>
      <c r="Q220" s="55"/>
    </row>
    <row r="221" spans="1:17" x14ac:dyDescent="0.25">
      <c r="A221" s="38" t="str">
        <f t="shared" si="21"/>
        <v/>
      </c>
      <c r="B221" s="38"/>
      <c r="C221" s="30"/>
      <c r="D221" s="30"/>
      <c r="E221" s="30"/>
      <c r="F221" s="30"/>
      <c r="G221" s="30"/>
      <c r="H221" s="30"/>
      <c r="I221" s="36" t="str">
        <f t="shared" si="17"/>
        <v/>
      </c>
      <c r="J221" s="30"/>
      <c r="K221" s="30"/>
      <c r="L221" s="36" t="str">
        <f t="shared" si="18"/>
        <v/>
      </c>
      <c r="M221" s="37" t="str">
        <f t="shared" si="19"/>
        <v/>
      </c>
      <c r="N221" s="37" t="str">
        <f t="shared" si="20"/>
        <v/>
      </c>
      <c r="O221" s="55"/>
      <c r="P221" s="55"/>
      <c r="Q221" s="55"/>
    </row>
    <row r="222" spans="1:17" x14ac:dyDescent="0.25">
      <c r="A222" s="38" t="str">
        <f t="shared" si="21"/>
        <v/>
      </c>
      <c r="B222" s="38"/>
      <c r="C222" s="30"/>
      <c r="D222" s="30"/>
      <c r="E222" s="30"/>
      <c r="F222" s="30"/>
      <c r="G222" s="30"/>
      <c r="H222" s="30"/>
      <c r="I222" s="36" t="str">
        <f t="shared" si="17"/>
        <v/>
      </c>
      <c r="J222" s="30"/>
      <c r="K222" s="30"/>
      <c r="L222" s="36" t="str">
        <f t="shared" si="18"/>
        <v/>
      </c>
      <c r="M222" s="37" t="str">
        <f t="shared" si="19"/>
        <v/>
      </c>
      <c r="N222" s="37" t="str">
        <f t="shared" si="20"/>
        <v/>
      </c>
      <c r="O222" s="55"/>
      <c r="P222" s="55"/>
      <c r="Q222" s="55"/>
    </row>
    <row r="223" spans="1:17" x14ac:dyDescent="0.25">
      <c r="A223" s="38" t="str">
        <f t="shared" si="21"/>
        <v/>
      </c>
      <c r="B223" s="38"/>
      <c r="C223" s="30"/>
      <c r="D223" s="30"/>
      <c r="E223" s="30"/>
      <c r="F223" s="30"/>
      <c r="G223" s="30"/>
      <c r="H223" s="30"/>
      <c r="I223" s="36" t="str">
        <f t="shared" si="17"/>
        <v/>
      </c>
      <c r="J223" s="30"/>
      <c r="K223" s="30"/>
      <c r="L223" s="36" t="str">
        <f t="shared" si="18"/>
        <v/>
      </c>
      <c r="M223" s="37" t="str">
        <f t="shared" si="19"/>
        <v/>
      </c>
      <c r="N223" s="37" t="str">
        <f t="shared" si="20"/>
        <v/>
      </c>
      <c r="O223" s="55"/>
      <c r="P223" s="55"/>
      <c r="Q223" s="55"/>
    </row>
    <row r="224" spans="1:17" x14ac:dyDescent="0.25">
      <c r="A224" s="38" t="str">
        <f t="shared" si="21"/>
        <v/>
      </c>
      <c r="B224" s="38"/>
      <c r="C224" s="30"/>
      <c r="D224" s="30"/>
      <c r="E224" s="30"/>
      <c r="F224" s="30"/>
      <c r="G224" s="30"/>
      <c r="H224" s="30"/>
      <c r="I224" s="36" t="str">
        <f t="shared" si="17"/>
        <v/>
      </c>
      <c r="J224" s="30"/>
      <c r="K224" s="30"/>
      <c r="L224" s="36" t="str">
        <f t="shared" si="18"/>
        <v/>
      </c>
      <c r="M224" s="37" t="str">
        <f t="shared" si="19"/>
        <v/>
      </c>
      <c r="N224" s="37" t="str">
        <f t="shared" si="20"/>
        <v/>
      </c>
      <c r="O224" s="55"/>
      <c r="P224" s="55"/>
      <c r="Q224" s="55"/>
    </row>
    <row r="225" spans="1:17" x14ac:dyDescent="0.25">
      <c r="A225" s="38" t="str">
        <f t="shared" si="21"/>
        <v/>
      </c>
      <c r="B225" s="38"/>
      <c r="C225" s="30"/>
      <c r="D225" s="30"/>
      <c r="E225" s="30"/>
      <c r="F225" s="30"/>
      <c r="G225" s="30"/>
      <c r="H225" s="30"/>
      <c r="I225" s="36" t="str">
        <f t="shared" si="17"/>
        <v/>
      </c>
      <c r="J225" s="30"/>
      <c r="K225" s="30"/>
      <c r="L225" s="36" t="str">
        <f t="shared" si="18"/>
        <v/>
      </c>
      <c r="M225" s="37" t="str">
        <f t="shared" si="19"/>
        <v/>
      </c>
      <c r="N225" s="37" t="str">
        <f t="shared" si="20"/>
        <v/>
      </c>
      <c r="O225" s="55"/>
      <c r="P225" s="55"/>
      <c r="Q225" s="55"/>
    </row>
    <row r="226" spans="1:17" x14ac:dyDescent="0.25">
      <c r="A226" s="38" t="str">
        <f t="shared" si="21"/>
        <v/>
      </c>
      <c r="B226" s="38"/>
      <c r="C226" s="30"/>
      <c r="D226" s="30"/>
      <c r="E226" s="30"/>
      <c r="F226" s="30"/>
      <c r="G226" s="30"/>
      <c r="H226" s="30"/>
      <c r="I226" s="36" t="str">
        <f t="shared" si="17"/>
        <v/>
      </c>
      <c r="J226" s="30"/>
      <c r="K226" s="30"/>
      <c r="L226" s="36" t="str">
        <f t="shared" si="18"/>
        <v/>
      </c>
      <c r="M226" s="37" t="str">
        <f t="shared" si="19"/>
        <v/>
      </c>
      <c r="N226" s="37" t="str">
        <f t="shared" si="20"/>
        <v/>
      </c>
      <c r="O226" s="55"/>
      <c r="P226" s="55"/>
      <c r="Q226" s="55"/>
    </row>
    <row r="227" spans="1:17" x14ac:dyDescent="0.25">
      <c r="A227" s="38" t="str">
        <f t="shared" si="21"/>
        <v/>
      </c>
      <c r="B227" s="38"/>
      <c r="C227" s="30"/>
      <c r="D227" s="30"/>
      <c r="E227" s="30"/>
      <c r="F227" s="30"/>
      <c r="G227" s="30"/>
      <c r="H227" s="30"/>
      <c r="I227" s="36" t="str">
        <f t="shared" si="17"/>
        <v/>
      </c>
      <c r="J227" s="30"/>
      <c r="K227" s="30"/>
      <c r="L227" s="36" t="str">
        <f t="shared" si="18"/>
        <v/>
      </c>
      <c r="M227" s="37" t="str">
        <f t="shared" si="19"/>
        <v/>
      </c>
      <c r="N227" s="37" t="str">
        <f t="shared" si="20"/>
        <v/>
      </c>
      <c r="O227" s="55"/>
      <c r="P227" s="55"/>
      <c r="Q227" s="55"/>
    </row>
    <row r="228" spans="1:17" x14ac:dyDescent="0.25">
      <c r="A228" s="38" t="str">
        <f t="shared" si="21"/>
        <v/>
      </c>
      <c r="B228" s="38"/>
      <c r="C228" s="30"/>
      <c r="D228" s="30"/>
      <c r="E228" s="30"/>
      <c r="F228" s="30"/>
      <c r="G228" s="30"/>
      <c r="H228" s="30"/>
      <c r="I228" s="36" t="str">
        <f t="shared" si="17"/>
        <v/>
      </c>
      <c r="J228" s="30"/>
      <c r="K228" s="30"/>
      <c r="L228" s="36" t="str">
        <f t="shared" si="18"/>
        <v/>
      </c>
      <c r="M228" s="37" t="str">
        <f t="shared" si="19"/>
        <v/>
      </c>
      <c r="N228" s="37" t="str">
        <f t="shared" si="20"/>
        <v/>
      </c>
      <c r="O228" s="55"/>
      <c r="P228" s="55"/>
      <c r="Q228" s="55"/>
    </row>
    <row r="229" spans="1:17" x14ac:dyDescent="0.25">
      <c r="A229" s="38" t="str">
        <f t="shared" si="21"/>
        <v/>
      </c>
      <c r="B229" s="38"/>
      <c r="C229" s="30"/>
      <c r="D229" s="30"/>
      <c r="E229" s="30"/>
      <c r="F229" s="30"/>
      <c r="G229" s="30"/>
      <c r="H229" s="30"/>
      <c r="I229" s="36" t="str">
        <f t="shared" si="17"/>
        <v/>
      </c>
      <c r="J229" s="30"/>
      <c r="K229" s="30"/>
      <c r="L229" s="36" t="str">
        <f t="shared" si="18"/>
        <v/>
      </c>
      <c r="M229" s="37" t="str">
        <f t="shared" si="19"/>
        <v/>
      </c>
      <c r="N229" s="37" t="str">
        <f t="shared" si="20"/>
        <v/>
      </c>
      <c r="O229" s="55"/>
      <c r="P229" s="55"/>
      <c r="Q229" s="55"/>
    </row>
    <row r="230" spans="1:17" x14ac:dyDescent="0.25">
      <c r="A230" s="38" t="str">
        <f t="shared" si="21"/>
        <v/>
      </c>
      <c r="B230" s="38"/>
      <c r="C230" s="30"/>
      <c r="D230" s="30"/>
      <c r="E230" s="30"/>
      <c r="F230" s="30"/>
      <c r="G230" s="30"/>
      <c r="H230" s="30"/>
      <c r="I230" s="36" t="str">
        <f t="shared" si="17"/>
        <v/>
      </c>
      <c r="J230" s="30"/>
      <c r="K230" s="30"/>
      <c r="L230" s="36" t="str">
        <f t="shared" si="18"/>
        <v/>
      </c>
      <c r="M230" s="37" t="str">
        <f t="shared" si="19"/>
        <v/>
      </c>
      <c r="N230" s="37" t="str">
        <f t="shared" si="20"/>
        <v/>
      </c>
      <c r="O230" s="55"/>
      <c r="P230" s="55"/>
      <c r="Q230" s="55"/>
    </row>
    <row r="231" spans="1:17" x14ac:dyDescent="0.25">
      <c r="A231" s="38" t="str">
        <f t="shared" si="21"/>
        <v/>
      </c>
      <c r="B231" s="38"/>
      <c r="C231" s="30"/>
      <c r="D231" s="30"/>
      <c r="E231" s="30"/>
      <c r="F231" s="30"/>
      <c r="G231" s="30"/>
      <c r="H231" s="30"/>
      <c r="I231" s="36" t="str">
        <f t="shared" si="17"/>
        <v/>
      </c>
      <c r="J231" s="30"/>
      <c r="K231" s="30"/>
      <c r="L231" s="36" t="str">
        <f t="shared" si="18"/>
        <v/>
      </c>
      <c r="M231" s="37" t="str">
        <f t="shared" si="19"/>
        <v/>
      </c>
      <c r="N231" s="37" t="str">
        <f t="shared" si="20"/>
        <v/>
      </c>
      <c r="O231" s="55"/>
      <c r="P231" s="55"/>
      <c r="Q231" s="55"/>
    </row>
    <row r="232" spans="1:17" x14ac:dyDescent="0.25">
      <c r="A232" s="38" t="str">
        <f t="shared" si="21"/>
        <v/>
      </c>
      <c r="B232" s="38"/>
      <c r="C232" s="30"/>
      <c r="D232" s="30"/>
      <c r="E232" s="30"/>
      <c r="F232" s="30"/>
      <c r="G232" s="30"/>
      <c r="H232" s="30"/>
      <c r="I232" s="36" t="str">
        <f t="shared" si="17"/>
        <v/>
      </c>
      <c r="J232" s="30"/>
      <c r="K232" s="30"/>
      <c r="L232" s="36" t="str">
        <f t="shared" si="18"/>
        <v/>
      </c>
      <c r="M232" s="37" t="str">
        <f t="shared" si="19"/>
        <v/>
      </c>
      <c r="N232" s="37" t="str">
        <f t="shared" si="20"/>
        <v/>
      </c>
      <c r="O232" s="55"/>
      <c r="P232" s="55"/>
      <c r="Q232" s="55"/>
    </row>
    <row r="233" spans="1:17" x14ac:dyDescent="0.25">
      <c r="A233" s="38" t="str">
        <f t="shared" si="21"/>
        <v/>
      </c>
      <c r="B233" s="38"/>
      <c r="C233" s="30"/>
      <c r="D233" s="30"/>
      <c r="E233" s="30"/>
      <c r="F233" s="30"/>
      <c r="G233" s="30"/>
      <c r="H233" s="30"/>
      <c r="I233" s="36" t="str">
        <f t="shared" si="17"/>
        <v/>
      </c>
      <c r="J233" s="30"/>
      <c r="K233" s="30"/>
      <c r="L233" s="36" t="str">
        <f t="shared" si="18"/>
        <v/>
      </c>
      <c r="M233" s="37" t="str">
        <f t="shared" si="19"/>
        <v/>
      </c>
      <c r="N233" s="37" t="str">
        <f t="shared" si="20"/>
        <v/>
      </c>
      <c r="O233" s="55"/>
      <c r="P233" s="55"/>
      <c r="Q233" s="55"/>
    </row>
    <row r="234" spans="1:17" x14ac:dyDescent="0.25">
      <c r="A234" s="38" t="str">
        <f t="shared" si="21"/>
        <v/>
      </c>
      <c r="B234" s="38"/>
      <c r="C234" s="30"/>
      <c r="D234" s="30"/>
      <c r="E234" s="30"/>
      <c r="F234" s="30"/>
      <c r="G234" s="30"/>
      <c r="H234" s="30"/>
      <c r="I234" s="36" t="str">
        <f t="shared" si="17"/>
        <v/>
      </c>
      <c r="J234" s="30"/>
      <c r="K234" s="30"/>
      <c r="L234" s="36" t="str">
        <f t="shared" si="18"/>
        <v/>
      </c>
      <c r="M234" s="37" t="str">
        <f t="shared" si="19"/>
        <v/>
      </c>
      <c r="N234" s="37" t="str">
        <f t="shared" si="20"/>
        <v/>
      </c>
      <c r="O234" s="55"/>
      <c r="P234" s="55"/>
      <c r="Q234" s="55"/>
    </row>
    <row r="235" spans="1:17" x14ac:dyDescent="0.25">
      <c r="A235" s="38" t="str">
        <f t="shared" si="21"/>
        <v/>
      </c>
      <c r="B235" s="38"/>
      <c r="C235" s="30"/>
      <c r="D235" s="30"/>
      <c r="E235" s="30"/>
      <c r="F235" s="30"/>
      <c r="G235" s="30"/>
      <c r="H235" s="30"/>
      <c r="I235" s="36" t="str">
        <f t="shared" si="17"/>
        <v/>
      </c>
      <c r="J235" s="30"/>
      <c r="K235" s="30"/>
      <c r="L235" s="36" t="str">
        <f t="shared" si="18"/>
        <v/>
      </c>
      <c r="M235" s="37" t="str">
        <f t="shared" si="19"/>
        <v/>
      </c>
      <c r="N235" s="37" t="str">
        <f t="shared" si="20"/>
        <v/>
      </c>
      <c r="O235" s="55"/>
      <c r="P235" s="55"/>
      <c r="Q235" s="55"/>
    </row>
    <row r="236" spans="1:17" x14ac:dyDescent="0.25">
      <c r="A236" s="38" t="str">
        <f t="shared" si="21"/>
        <v/>
      </c>
      <c r="B236" s="38"/>
      <c r="C236" s="30"/>
      <c r="D236" s="30"/>
      <c r="E236" s="30"/>
      <c r="F236" s="30"/>
      <c r="G236" s="30"/>
      <c r="H236" s="30"/>
      <c r="I236" s="36" t="str">
        <f t="shared" si="17"/>
        <v/>
      </c>
      <c r="J236" s="30"/>
      <c r="K236" s="30"/>
      <c r="L236" s="36" t="str">
        <f t="shared" si="18"/>
        <v/>
      </c>
      <c r="M236" s="37" t="str">
        <f t="shared" si="19"/>
        <v/>
      </c>
      <c r="N236" s="37" t="str">
        <f t="shared" si="20"/>
        <v/>
      </c>
      <c r="O236" s="55"/>
      <c r="P236" s="55"/>
      <c r="Q236" s="55"/>
    </row>
    <row r="237" spans="1:17" x14ac:dyDescent="0.25">
      <c r="A237" s="38" t="str">
        <f t="shared" si="21"/>
        <v/>
      </c>
      <c r="B237" s="38"/>
      <c r="C237" s="30"/>
      <c r="D237" s="30"/>
      <c r="E237" s="30"/>
      <c r="F237" s="30"/>
      <c r="G237" s="30"/>
      <c r="H237" s="30"/>
      <c r="I237" s="36" t="str">
        <f t="shared" si="17"/>
        <v/>
      </c>
      <c r="J237" s="30"/>
      <c r="K237" s="30"/>
      <c r="L237" s="36" t="str">
        <f t="shared" si="18"/>
        <v/>
      </c>
      <c r="M237" s="37" t="str">
        <f t="shared" si="19"/>
        <v/>
      </c>
      <c r="N237" s="37" t="str">
        <f t="shared" si="20"/>
        <v/>
      </c>
      <c r="O237" s="55"/>
      <c r="P237" s="55"/>
      <c r="Q237" s="55"/>
    </row>
    <row r="238" spans="1:17" x14ac:dyDescent="0.25">
      <c r="A238" s="38" t="str">
        <f t="shared" si="21"/>
        <v/>
      </c>
      <c r="B238" s="38"/>
      <c r="C238" s="30"/>
      <c r="D238" s="30"/>
      <c r="E238" s="30"/>
      <c r="F238" s="30"/>
      <c r="G238" s="30"/>
      <c r="H238" s="30"/>
      <c r="I238" s="36" t="str">
        <f t="shared" si="17"/>
        <v/>
      </c>
      <c r="J238" s="30"/>
      <c r="K238" s="30"/>
      <c r="L238" s="36" t="str">
        <f t="shared" si="18"/>
        <v/>
      </c>
      <c r="M238" s="37" t="str">
        <f t="shared" si="19"/>
        <v/>
      </c>
      <c r="N238" s="37" t="str">
        <f t="shared" si="20"/>
        <v/>
      </c>
      <c r="O238" s="55"/>
      <c r="P238" s="55"/>
      <c r="Q238" s="55"/>
    </row>
    <row r="239" spans="1:17" x14ac:dyDescent="0.25">
      <c r="A239" s="38" t="str">
        <f t="shared" si="21"/>
        <v/>
      </c>
      <c r="B239" s="38"/>
      <c r="C239" s="30"/>
      <c r="D239" s="30"/>
      <c r="E239" s="30"/>
      <c r="F239" s="30"/>
      <c r="G239" s="30"/>
      <c r="H239" s="30"/>
      <c r="I239" s="36" t="str">
        <f t="shared" si="17"/>
        <v/>
      </c>
      <c r="J239" s="30"/>
      <c r="K239" s="30"/>
      <c r="L239" s="36" t="str">
        <f t="shared" si="18"/>
        <v/>
      </c>
      <c r="M239" s="37" t="str">
        <f t="shared" si="19"/>
        <v/>
      </c>
      <c r="N239" s="37" t="str">
        <f t="shared" si="20"/>
        <v/>
      </c>
      <c r="O239" s="55"/>
      <c r="P239" s="55"/>
      <c r="Q239" s="55"/>
    </row>
    <row r="240" spans="1:17" x14ac:dyDescent="0.25">
      <c r="A240" s="38" t="str">
        <f t="shared" si="21"/>
        <v/>
      </c>
      <c r="B240" s="38"/>
      <c r="C240" s="30"/>
      <c r="D240" s="30"/>
      <c r="E240" s="30"/>
      <c r="F240" s="30"/>
      <c r="G240" s="30"/>
      <c r="H240" s="30"/>
      <c r="I240" s="36" t="str">
        <f t="shared" si="17"/>
        <v/>
      </c>
      <c r="J240" s="30"/>
      <c r="K240" s="30"/>
      <c r="L240" s="36" t="str">
        <f t="shared" si="18"/>
        <v/>
      </c>
      <c r="M240" s="37" t="str">
        <f t="shared" si="19"/>
        <v/>
      </c>
      <c r="N240" s="37" t="str">
        <f t="shared" si="20"/>
        <v/>
      </c>
      <c r="O240" s="55"/>
      <c r="P240" s="55"/>
      <c r="Q240" s="55"/>
    </row>
    <row r="241" spans="1:17" x14ac:dyDescent="0.25">
      <c r="A241" s="38" t="str">
        <f t="shared" si="21"/>
        <v/>
      </c>
      <c r="B241" s="38"/>
      <c r="C241" s="30"/>
      <c r="D241" s="30"/>
      <c r="E241" s="30"/>
      <c r="F241" s="30"/>
      <c r="G241" s="30"/>
      <c r="H241" s="30"/>
      <c r="I241" s="36" t="str">
        <f t="shared" si="17"/>
        <v/>
      </c>
      <c r="J241" s="30"/>
      <c r="K241" s="30"/>
      <c r="L241" s="36" t="str">
        <f t="shared" si="18"/>
        <v/>
      </c>
      <c r="M241" s="37" t="str">
        <f t="shared" si="19"/>
        <v/>
      </c>
      <c r="N241" s="37" t="str">
        <f t="shared" si="20"/>
        <v/>
      </c>
      <c r="O241" s="55"/>
      <c r="P241" s="55"/>
      <c r="Q241" s="55"/>
    </row>
    <row r="242" spans="1:17" x14ac:dyDescent="0.25">
      <c r="A242" s="38" t="str">
        <f t="shared" si="21"/>
        <v/>
      </c>
      <c r="B242" s="38"/>
      <c r="C242" s="30"/>
      <c r="D242" s="30"/>
      <c r="E242" s="30"/>
      <c r="F242" s="30"/>
      <c r="G242" s="30"/>
      <c r="H242" s="30"/>
      <c r="I242" s="36" t="str">
        <f t="shared" si="17"/>
        <v/>
      </c>
      <c r="J242" s="30"/>
      <c r="K242" s="30"/>
      <c r="L242" s="36" t="str">
        <f t="shared" si="18"/>
        <v/>
      </c>
      <c r="M242" s="37" t="str">
        <f t="shared" si="19"/>
        <v/>
      </c>
      <c r="N242" s="37" t="str">
        <f t="shared" si="20"/>
        <v/>
      </c>
      <c r="O242" s="55"/>
      <c r="P242" s="55"/>
      <c r="Q242" s="55"/>
    </row>
    <row r="243" spans="1:17" x14ac:dyDescent="0.25">
      <c r="A243" s="38" t="str">
        <f t="shared" si="21"/>
        <v/>
      </c>
      <c r="B243" s="38"/>
      <c r="C243" s="30"/>
      <c r="D243" s="30"/>
      <c r="E243" s="30"/>
      <c r="F243" s="30"/>
      <c r="G243" s="30"/>
      <c r="H243" s="30"/>
      <c r="I243" s="36" t="str">
        <f t="shared" si="17"/>
        <v/>
      </c>
      <c r="J243" s="30"/>
      <c r="K243" s="30"/>
      <c r="L243" s="36" t="str">
        <f t="shared" si="18"/>
        <v/>
      </c>
      <c r="M243" s="37" t="str">
        <f t="shared" si="19"/>
        <v/>
      </c>
      <c r="N243" s="37" t="str">
        <f t="shared" si="20"/>
        <v/>
      </c>
      <c r="O243" s="55"/>
      <c r="P243" s="55"/>
      <c r="Q243" s="55"/>
    </row>
    <row r="244" spans="1:17" x14ac:dyDescent="0.25">
      <c r="A244" s="38" t="str">
        <f t="shared" si="21"/>
        <v/>
      </c>
      <c r="B244" s="38"/>
      <c r="C244" s="30"/>
      <c r="D244" s="30"/>
      <c r="E244" s="30"/>
      <c r="F244" s="30"/>
      <c r="G244" s="30"/>
      <c r="H244" s="30"/>
      <c r="I244" s="36" t="str">
        <f t="shared" si="17"/>
        <v/>
      </c>
      <c r="J244" s="30"/>
      <c r="K244" s="30"/>
      <c r="L244" s="36" t="str">
        <f t="shared" si="18"/>
        <v/>
      </c>
      <c r="M244" s="37" t="str">
        <f t="shared" si="19"/>
        <v/>
      </c>
      <c r="N244" s="37" t="str">
        <f t="shared" si="20"/>
        <v/>
      </c>
      <c r="O244" s="55"/>
      <c r="P244" s="55"/>
      <c r="Q244" s="55"/>
    </row>
    <row r="245" spans="1:17" x14ac:dyDescent="0.25">
      <c r="A245" s="38" t="str">
        <f t="shared" si="21"/>
        <v/>
      </c>
      <c r="B245" s="38"/>
      <c r="C245" s="30"/>
      <c r="D245" s="30"/>
      <c r="E245" s="30"/>
      <c r="F245" s="30"/>
      <c r="G245" s="30"/>
      <c r="H245" s="30"/>
      <c r="I245" s="36" t="str">
        <f t="shared" si="17"/>
        <v/>
      </c>
      <c r="J245" s="30"/>
      <c r="K245" s="30"/>
      <c r="L245" s="36" t="str">
        <f t="shared" si="18"/>
        <v/>
      </c>
      <c r="M245" s="37" t="str">
        <f t="shared" si="19"/>
        <v/>
      </c>
      <c r="N245" s="37" t="str">
        <f t="shared" si="20"/>
        <v/>
      </c>
      <c r="O245" s="55"/>
      <c r="P245" s="55"/>
      <c r="Q245" s="55"/>
    </row>
    <row r="246" spans="1:17" x14ac:dyDescent="0.25">
      <c r="A246" s="38" t="str">
        <f t="shared" si="21"/>
        <v/>
      </c>
      <c r="B246" s="38"/>
      <c r="C246" s="30"/>
      <c r="D246" s="30"/>
      <c r="E246" s="30"/>
      <c r="F246" s="30"/>
      <c r="G246" s="30"/>
      <c r="H246" s="30"/>
      <c r="I246" s="36" t="str">
        <f t="shared" si="17"/>
        <v/>
      </c>
      <c r="J246" s="30"/>
      <c r="K246" s="30"/>
      <c r="L246" s="36" t="str">
        <f t="shared" si="18"/>
        <v/>
      </c>
      <c r="M246" s="37" t="str">
        <f t="shared" si="19"/>
        <v/>
      </c>
      <c r="N246" s="37" t="str">
        <f t="shared" si="20"/>
        <v/>
      </c>
      <c r="O246" s="55"/>
      <c r="P246" s="55"/>
      <c r="Q246" s="55"/>
    </row>
    <row r="247" spans="1:17" x14ac:dyDescent="0.25">
      <c r="A247" s="38" t="str">
        <f t="shared" si="21"/>
        <v/>
      </c>
      <c r="B247" s="38"/>
      <c r="C247" s="30"/>
      <c r="D247" s="30"/>
      <c r="E247" s="30"/>
      <c r="F247" s="30"/>
      <c r="G247" s="30"/>
      <c r="H247" s="30"/>
      <c r="I247" s="36" t="str">
        <f t="shared" si="17"/>
        <v/>
      </c>
      <c r="J247" s="30"/>
      <c r="K247" s="30"/>
      <c r="L247" s="36" t="str">
        <f t="shared" si="18"/>
        <v/>
      </c>
      <c r="M247" s="37" t="str">
        <f t="shared" si="19"/>
        <v/>
      </c>
      <c r="N247" s="37" t="str">
        <f t="shared" si="20"/>
        <v/>
      </c>
      <c r="O247" s="55"/>
      <c r="P247" s="55"/>
      <c r="Q247" s="55"/>
    </row>
    <row r="248" spans="1:17" x14ac:dyDescent="0.25">
      <c r="A248" s="38" t="str">
        <f t="shared" si="21"/>
        <v/>
      </c>
      <c r="B248" s="38"/>
      <c r="C248" s="30"/>
      <c r="D248" s="30"/>
      <c r="E248" s="30"/>
      <c r="F248" s="30"/>
      <c r="G248" s="30"/>
      <c r="H248" s="30"/>
      <c r="I248" s="36" t="str">
        <f t="shared" si="17"/>
        <v/>
      </c>
      <c r="J248" s="30"/>
      <c r="K248" s="30"/>
      <c r="L248" s="36" t="str">
        <f t="shared" si="18"/>
        <v/>
      </c>
      <c r="M248" s="37" t="str">
        <f t="shared" si="19"/>
        <v/>
      </c>
      <c r="N248" s="37" t="str">
        <f t="shared" si="20"/>
        <v/>
      </c>
      <c r="O248" s="55"/>
      <c r="P248" s="55"/>
      <c r="Q248" s="55"/>
    </row>
    <row r="249" spans="1:17" x14ac:dyDescent="0.25">
      <c r="A249" s="38" t="str">
        <f t="shared" si="21"/>
        <v/>
      </c>
      <c r="B249" s="38"/>
      <c r="C249" s="30"/>
      <c r="D249" s="30"/>
      <c r="E249" s="30"/>
      <c r="F249" s="30"/>
      <c r="G249" s="30"/>
      <c r="H249" s="30"/>
      <c r="I249" s="36" t="str">
        <f t="shared" si="17"/>
        <v/>
      </c>
      <c r="J249" s="30"/>
      <c r="K249" s="30"/>
      <c r="L249" s="36" t="str">
        <f t="shared" si="18"/>
        <v/>
      </c>
      <c r="M249" s="37" t="str">
        <f t="shared" si="19"/>
        <v/>
      </c>
      <c r="N249" s="37" t="str">
        <f t="shared" si="20"/>
        <v/>
      </c>
      <c r="O249" s="55"/>
      <c r="P249" s="55"/>
      <c r="Q249" s="55"/>
    </row>
    <row r="250" spans="1:17" x14ac:dyDescent="0.25">
      <c r="A250" s="38" t="str">
        <f t="shared" si="21"/>
        <v/>
      </c>
      <c r="B250" s="38"/>
      <c r="C250" s="30"/>
      <c r="D250" s="30"/>
      <c r="E250" s="30"/>
      <c r="F250" s="30"/>
      <c r="G250" s="30"/>
      <c r="H250" s="30"/>
      <c r="I250" s="36" t="str">
        <f t="shared" si="17"/>
        <v/>
      </c>
      <c r="J250" s="30"/>
      <c r="K250" s="30"/>
      <c r="L250" s="36" t="str">
        <f t="shared" si="18"/>
        <v/>
      </c>
      <c r="M250" s="37" t="str">
        <f t="shared" si="19"/>
        <v/>
      </c>
      <c r="N250" s="37" t="str">
        <f t="shared" si="20"/>
        <v/>
      </c>
      <c r="O250" s="55"/>
      <c r="P250" s="55"/>
      <c r="Q250" s="55"/>
    </row>
    <row r="251" spans="1:17" x14ac:dyDescent="0.25">
      <c r="A251" s="38" t="str">
        <f t="shared" si="21"/>
        <v/>
      </c>
      <c r="B251" s="38"/>
      <c r="C251" s="30"/>
      <c r="D251" s="30"/>
      <c r="E251" s="30"/>
      <c r="F251" s="30"/>
      <c r="G251" s="30"/>
      <c r="H251" s="30"/>
      <c r="I251" s="36" t="str">
        <f t="shared" si="17"/>
        <v/>
      </c>
      <c r="J251" s="30"/>
      <c r="K251" s="30"/>
      <c r="L251" s="36" t="str">
        <f t="shared" si="18"/>
        <v/>
      </c>
      <c r="M251" s="37" t="str">
        <f t="shared" si="19"/>
        <v/>
      </c>
      <c r="N251" s="37" t="str">
        <f t="shared" si="20"/>
        <v/>
      </c>
      <c r="O251" s="55"/>
      <c r="P251" s="55"/>
      <c r="Q251" s="55"/>
    </row>
    <row r="252" spans="1:17" x14ac:dyDescent="0.25">
      <c r="A252" s="38" t="str">
        <f t="shared" si="21"/>
        <v/>
      </c>
      <c r="B252" s="38"/>
      <c r="C252" s="30"/>
      <c r="D252" s="30"/>
      <c r="E252" s="30"/>
      <c r="F252" s="30"/>
      <c r="G252" s="30"/>
      <c r="H252" s="30"/>
      <c r="I252" s="36" t="str">
        <f t="shared" si="17"/>
        <v/>
      </c>
      <c r="J252" s="30"/>
      <c r="K252" s="30"/>
      <c r="L252" s="36" t="str">
        <f t="shared" si="18"/>
        <v/>
      </c>
      <c r="M252" s="37" t="str">
        <f t="shared" si="19"/>
        <v/>
      </c>
      <c r="N252" s="37" t="str">
        <f t="shared" si="20"/>
        <v/>
      </c>
      <c r="O252" s="55"/>
      <c r="P252" s="55"/>
      <c r="Q252" s="55"/>
    </row>
    <row r="253" spans="1:17" x14ac:dyDescent="0.25">
      <c r="A253" s="38" t="str">
        <f t="shared" si="21"/>
        <v/>
      </c>
      <c r="B253" s="38"/>
      <c r="C253" s="30"/>
      <c r="D253" s="30"/>
      <c r="E253" s="30"/>
      <c r="F253" s="30"/>
      <c r="G253" s="30"/>
      <c r="H253" s="30"/>
      <c r="I253" s="36" t="str">
        <f t="shared" si="17"/>
        <v/>
      </c>
      <c r="J253" s="30"/>
      <c r="K253" s="30"/>
      <c r="L253" s="36" t="str">
        <f t="shared" si="18"/>
        <v/>
      </c>
      <c r="M253" s="37" t="str">
        <f t="shared" si="19"/>
        <v/>
      </c>
      <c r="N253" s="37" t="str">
        <f t="shared" si="20"/>
        <v/>
      </c>
      <c r="O253" s="55"/>
      <c r="P253" s="55"/>
      <c r="Q253" s="55"/>
    </row>
    <row r="254" spans="1:17" x14ac:dyDescent="0.25">
      <c r="A254" s="38" t="str">
        <f t="shared" si="21"/>
        <v/>
      </c>
      <c r="B254" s="38"/>
      <c r="C254" s="30"/>
      <c r="D254" s="30"/>
      <c r="E254" s="30"/>
      <c r="F254" s="30"/>
      <c r="G254" s="30"/>
      <c r="H254" s="30"/>
      <c r="I254" s="36" t="str">
        <f t="shared" si="17"/>
        <v/>
      </c>
      <c r="J254" s="30"/>
      <c r="K254" s="30"/>
      <c r="L254" s="36" t="str">
        <f t="shared" si="18"/>
        <v/>
      </c>
      <c r="M254" s="37" t="str">
        <f t="shared" si="19"/>
        <v/>
      </c>
      <c r="N254" s="37" t="str">
        <f t="shared" si="20"/>
        <v/>
      </c>
      <c r="O254" s="55"/>
      <c r="P254" s="55"/>
      <c r="Q254" s="55"/>
    </row>
    <row r="255" spans="1:17" x14ac:dyDescent="0.25">
      <c r="A255" s="38" t="str">
        <f t="shared" si="21"/>
        <v/>
      </c>
      <c r="B255" s="38"/>
      <c r="C255" s="30"/>
      <c r="D255" s="30"/>
      <c r="E255" s="30"/>
      <c r="F255" s="30"/>
      <c r="G255" s="30"/>
      <c r="H255" s="30"/>
      <c r="I255" s="36" t="str">
        <f t="shared" si="17"/>
        <v/>
      </c>
      <c r="J255" s="30"/>
      <c r="K255" s="30"/>
      <c r="L255" s="36" t="str">
        <f t="shared" si="18"/>
        <v/>
      </c>
      <c r="M255" s="37" t="str">
        <f t="shared" si="19"/>
        <v/>
      </c>
      <c r="N255" s="37" t="str">
        <f t="shared" si="20"/>
        <v/>
      </c>
      <c r="O255" s="55"/>
      <c r="P255" s="55"/>
      <c r="Q255" s="55"/>
    </row>
    <row r="256" spans="1:17" x14ac:dyDescent="0.25">
      <c r="A256" s="38" t="str">
        <f t="shared" si="21"/>
        <v/>
      </c>
      <c r="B256" s="38"/>
      <c r="C256" s="30"/>
      <c r="D256" s="30"/>
      <c r="E256" s="30"/>
      <c r="F256" s="30"/>
      <c r="G256" s="30"/>
      <c r="H256" s="30"/>
      <c r="I256" s="36" t="str">
        <f t="shared" si="17"/>
        <v/>
      </c>
      <c r="J256" s="30"/>
      <c r="K256" s="30"/>
      <c r="L256" s="36" t="str">
        <f t="shared" si="18"/>
        <v/>
      </c>
      <c r="M256" s="37" t="str">
        <f t="shared" si="19"/>
        <v/>
      </c>
      <c r="N256" s="37" t="str">
        <f t="shared" si="20"/>
        <v/>
      </c>
      <c r="O256" s="55"/>
      <c r="P256" s="55"/>
      <c r="Q256" s="55"/>
    </row>
    <row r="257" spans="1:17" x14ac:dyDescent="0.25">
      <c r="A257" s="38" t="str">
        <f t="shared" si="21"/>
        <v/>
      </c>
      <c r="B257" s="38"/>
      <c r="C257" s="30"/>
      <c r="D257" s="30"/>
      <c r="E257" s="30"/>
      <c r="F257" s="30"/>
      <c r="G257" s="30"/>
      <c r="H257" s="30"/>
      <c r="I257" s="36" t="str">
        <f t="shared" si="17"/>
        <v/>
      </c>
      <c r="J257" s="30"/>
      <c r="K257" s="30"/>
      <c r="L257" s="36" t="str">
        <f t="shared" si="18"/>
        <v/>
      </c>
      <c r="M257" s="37" t="str">
        <f t="shared" si="19"/>
        <v/>
      </c>
      <c r="N257" s="37" t="str">
        <f t="shared" si="20"/>
        <v/>
      </c>
      <c r="O257" s="55"/>
      <c r="P257" s="55"/>
      <c r="Q257" s="55"/>
    </row>
    <row r="258" spans="1:17" x14ac:dyDescent="0.25">
      <c r="A258" s="38" t="str">
        <f t="shared" si="21"/>
        <v/>
      </c>
      <c r="B258" s="38"/>
      <c r="C258" s="30"/>
      <c r="D258" s="30"/>
      <c r="E258" s="30"/>
      <c r="F258" s="30"/>
      <c r="G258" s="30"/>
      <c r="H258" s="30"/>
      <c r="I258" s="36" t="str">
        <f t="shared" si="17"/>
        <v/>
      </c>
      <c r="J258" s="30"/>
      <c r="K258" s="30"/>
      <c r="L258" s="36" t="str">
        <f t="shared" si="18"/>
        <v/>
      </c>
      <c r="M258" s="37" t="str">
        <f t="shared" si="19"/>
        <v/>
      </c>
      <c r="N258" s="37" t="str">
        <f t="shared" si="20"/>
        <v/>
      </c>
      <c r="O258" s="55"/>
      <c r="P258" s="55"/>
      <c r="Q258" s="55"/>
    </row>
    <row r="259" spans="1:17" x14ac:dyDescent="0.25">
      <c r="A259" s="38" t="str">
        <f t="shared" si="21"/>
        <v/>
      </c>
      <c r="B259" s="38"/>
      <c r="C259" s="30"/>
      <c r="D259" s="30"/>
      <c r="E259" s="30"/>
      <c r="F259" s="30"/>
      <c r="G259" s="30"/>
      <c r="H259" s="30"/>
      <c r="I259" s="36" t="str">
        <f t="shared" ref="I259:I299" si="22">IF(H259&lt;&gt;"",H259/G259,"")</f>
        <v/>
      </c>
      <c r="J259" s="30"/>
      <c r="K259" s="30"/>
      <c r="L259" s="36" t="str">
        <f t="shared" ref="L259:L299" si="23">IF(K259&lt;&gt;"",K259/J259,"")</f>
        <v/>
      </c>
      <c r="M259" s="37" t="str">
        <f t="shared" ref="M259:M299" si="24">IF(L259&lt;&gt;"",MAX(I259,L259),"")</f>
        <v/>
      </c>
      <c r="N259" s="37" t="str">
        <f t="shared" ref="N259:N299" si="25">IF($M259&lt;&gt;"",IF($M259&lt;50%,0%,IF($M259&lt;80%,$M259,100%)),"")</f>
        <v/>
      </c>
      <c r="O259" s="55"/>
      <c r="P259" s="55"/>
      <c r="Q259" s="55"/>
    </row>
    <row r="260" spans="1:17" x14ac:dyDescent="0.25">
      <c r="A260" s="38" t="str">
        <f t="shared" ref="A260:A299" si="26">IF(C260&lt;&gt;"",A259+1,"")</f>
        <v/>
      </c>
      <c r="B260" s="38"/>
      <c r="C260" s="30"/>
      <c r="D260" s="30"/>
      <c r="E260" s="30"/>
      <c r="F260" s="30"/>
      <c r="G260" s="30"/>
      <c r="H260" s="30"/>
      <c r="I260" s="36" t="str">
        <f t="shared" si="22"/>
        <v/>
      </c>
      <c r="J260" s="30"/>
      <c r="K260" s="30"/>
      <c r="L260" s="36" t="str">
        <f t="shared" si="23"/>
        <v/>
      </c>
      <c r="M260" s="37" t="str">
        <f t="shared" si="24"/>
        <v/>
      </c>
      <c r="N260" s="37" t="str">
        <f t="shared" si="25"/>
        <v/>
      </c>
      <c r="O260" s="55"/>
      <c r="P260" s="55"/>
      <c r="Q260" s="55"/>
    </row>
    <row r="261" spans="1:17" x14ac:dyDescent="0.25">
      <c r="A261" s="38" t="str">
        <f t="shared" si="26"/>
        <v/>
      </c>
      <c r="B261" s="38"/>
      <c r="C261" s="30"/>
      <c r="D261" s="30"/>
      <c r="E261" s="30"/>
      <c r="F261" s="30"/>
      <c r="G261" s="30"/>
      <c r="H261" s="30"/>
      <c r="I261" s="36" t="str">
        <f t="shared" si="22"/>
        <v/>
      </c>
      <c r="J261" s="30"/>
      <c r="K261" s="30"/>
      <c r="L261" s="36" t="str">
        <f t="shared" si="23"/>
        <v/>
      </c>
      <c r="M261" s="37" t="str">
        <f t="shared" si="24"/>
        <v/>
      </c>
      <c r="N261" s="37" t="str">
        <f t="shared" si="25"/>
        <v/>
      </c>
      <c r="O261" s="55"/>
      <c r="P261" s="55"/>
      <c r="Q261" s="55"/>
    </row>
    <row r="262" spans="1:17" x14ac:dyDescent="0.25">
      <c r="A262" s="38" t="str">
        <f t="shared" si="26"/>
        <v/>
      </c>
      <c r="B262" s="38"/>
      <c r="C262" s="30"/>
      <c r="D262" s="30"/>
      <c r="E262" s="30"/>
      <c r="F262" s="30"/>
      <c r="G262" s="30"/>
      <c r="H262" s="30"/>
      <c r="I262" s="36" t="str">
        <f t="shared" si="22"/>
        <v/>
      </c>
      <c r="J262" s="30"/>
      <c r="K262" s="30"/>
      <c r="L262" s="36" t="str">
        <f t="shared" si="23"/>
        <v/>
      </c>
      <c r="M262" s="37" t="str">
        <f t="shared" si="24"/>
        <v/>
      </c>
      <c r="N262" s="37" t="str">
        <f t="shared" si="25"/>
        <v/>
      </c>
      <c r="O262" s="55"/>
      <c r="P262" s="55"/>
      <c r="Q262" s="55"/>
    </row>
    <row r="263" spans="1:17" x14ac:dyDescent="0.25">
      <c r="A263" s="38" t="str">
        <f t="shared" si="26"/>
        <v/>
      </c>
      <c r="B263" s="38"/>
      <c r="C263" s="30"/>
      <c r="D263" s="30"/>
      <c r="E263" s="30"/>
      <c r="F263" s="30"/>
      <c r="G263" s="30"/>
      <c r="H263" s="30"/>
      <c r="I263" s="36" t="str">
        <f t="shared" si="22"/>
        <v/>
      </c>
      <c r="J263" s="30"/>
      <c r="K263" s="30"/>
      <c r="L263" s="36" t="str">
        <f t="shared" si="23"/>
        <v/>
      </c>
      <c r="M263" s="37" t="str">
        <f t="shared" si="24"/>
        <v/>
      </c>
      <c r="N263" s="37" t="str">
        <f t="shared" si="25"/>
        <v/>
      </c>
      <c r="O263" s="55"/>
      <c r="P263" s="55"/>
      <c r="Q263" s="55"/>
    </row>
    <row r="264" spans="1:17" x14ac:dyDescent="0.25">
      <c r="A264" s="38" t="str">
        <f t="shared" si="26"/>
        <v/>
      </c>
      <c r="B264" s="38"/>
      <c r="C264" s="30"/>
      <c r="D264" s="30"/>
      <c r="E264" s="30"/>
      <c r="F264" s="30"/>
      <c r="G264" s="30"/>
      <c r="H264" s="30"/>
      <c r="I264" s="36" t="str">
        <f t="shared" si="22"/>
        <v/>
      </c>
      <c r="J264" s="30"/>
      <c r="K264" s="30"/>
      <c r="L264" s="36" t="str">
        <f t="shared" si="23"/>
        <v/>
      </c>
      <c r="M264" s="37" t="str">
        <f t="shared" si="24"/>
        <v/>
      </c>
      <c r="N264" s="37" t="str">
        <f t="shared" si="25"/>
        <v/>
      </c>
      <c r="O264" s="55"/>
      <c r="P264" s="55"/>
      <c r="Q264" s="55"/>
    </row>
    <row r="265" spans="1:17" x14ac:dyDescent="0.25">
      <c r="A265" s="38" t="str">
        <f t="shared" si="26"/>
        <v/>
      </c>
      <c r="B265" s="38"/>
      <c r="C265" s="30"/>
      <c r="D265" s="30"/>
      <c r="E265" s="30"/>
      <c r="F265" s="30"/>
      <c r="G265" s="30"/>
      <c r="H265" s="30"/>
      <c r="I265" s="36" t="str">
        <f t="shared" si="22"/>
        <v/>
      </c>
      <c r="J265" s="30"/>
      <c r="K265" s="30"/>
      <c r="L265" s="36" t="str">
        <f t="shared" si="23"/>
        <v/>
      </c>
      <c r="M265" s="37" t="str">
        <f t="shared" si="24"/>
        <v/>
      </c>
      <c r="N265" s="37" t="str">
        <f t="shared" si="25"/>
        <v/>
      </c>
      <c r="O265" s="55"/>
      <c r="P265" s="55"/>
      <c r="Q265" s="55"/>
    </row>
    <row r="266" spans="1:17" x14ac:dyDescent="0.25">
      <c r="A266" s="38" t="str">
        <f t="shared" si="26"/>
        <v/>
      </c>
      <c r="B266" s="38"/>
      <c r="C266" s="30"/>
      <c r="D266" s="30"/>
      <c r="E266" s="30"/>
      <c r="F266" s="30"/>
      <c r="G266" s="30"/>
      <c r="H266" s="30"/>
      <c r="I266" s="36" t="str">
        <f t="shared" si="22"/>
        <v/>
      </c>
      <c r="J266" s="30"/>
      <c r="K266" s="30"/>
      <c r="L266" s="36" t="str">
        <f t="shared" si="23"/>
        <v/>
      </c>
      <c r="M266" s="37" t="str">
        <f t="shared" si="24"/>
        <v/>
      </c>
      <c r="N266" s="37" t="str">
        <f t="shared" si="25"/>
        <v/>
      </c>
      <c r="O266" s="55"/>
      <c r="P266" s="55"/>
      <c r="Q266" s="55"/>
    </row>
    <row r="267" spans="1:17" x14ac:dyDescent="0.25">
      <c r="A267" s="38" t="str">
        <f t="shared" si="26"/>
        <v/>
      </c>
      <c r="B267" s="38"/>
      <c r="C267" s="30"/>
      <c r="D267" s="30"/>
      <c r="E267" s="30"/>
      <c r="F267" s="30"/>
      <c r="G267" s="30"/>
      <c r="H267" s="30"/>
      <c r="I267" s="36" t="str">
        <f t="shared" si="22"/>
        <v/>
      </c>
      <c r="J267" s="30"/>
      <c r="K267" s="30"/>
      <c r="L267" s="36" t="str">
        <f t="shared" si="23"/>
        <v/>
      </c>
      <c r="M267" s="37" t="str">
        <f t="shared" si="24"/>
        <v/>
      </c>
      <c r="N267" s="37" t="str">
        <f t="shared" si="25"/>
        <v/>
      </c>
      <c r="O267" s="55"/>
      <c r="P267" s="55"/>
      <c r="Q267" s="55"/>
    </row>
    <row r="268" spans="1:17" x14ac:dyDescent="0.25">
      <c r="A268" s="38" t="str">
        <f t="shared" si="26"/>
        <v/>
      </c>
      <c r="B268" s="38"/>
      <c r="C268" s="30"/>
      <c r="D268" s="30"/>
      <c r="E268" s="30"/>
      <c r="F268" s="30"/>
      <c r="G268" s="30"/>
      <c r="H268" s="30"/>
      <c r="I268" s="36" t="str">
        <f t="shared" si="22"/>
        <v/>
      </c>
      <c r="J268" s="30"/>
      <c r="K268" s="30"/>
      <c r="L268" s="36" t="str">
        <f t="shared" si="23"/>
        <v/>
      </c>
      <c r="M268" s="37" t="str">
        <f t="shared" si="24"/>
        <v/>
      </c>
      <c r="N268" s="37" t="str">
        <f t="shared" si="25"/>
        <v/>
      </c>
      <c r="O268" s="55"/>
      <c r="P268" s="55"/>
      <c r="Q268" s="55"/>
    </row>
    <row r="269" spans="1:17" x14ac:dyDescent="0.25">
      <c r="A269" s="38" t="str">
        <f t="shared" si="26"/>
        <v/>
      </c>
      <c r="B269" s="38"/>
      <c r="C269" s="30"/>
      <c r="D269" s="30"/>
      <c r="E269" s="30"/>
      <c r="F269" s="30"/>
      <c r="G269" s="30"/>
      <c r="H269" s="30"/>
      <c r="I269" s="36" t="str">
        <f t="shared" si="22"/>
        <v/>
      </c>
      <c r="J269" s="30"/>
      <c r="K269" s="30"/>
      <c r="L269" s="36" t="str">
        <f t="shared" si="23"/>
        <v/>
      </c>
      <c r="M269" s="37" t="str">
        <f t="shared" si="24"/>
        <v/>
      </c>
      <c r="N269" s="37" t="str">
        <f t="shared" si="25"/>
        <v/>
      </c>
      <c r="O269" s="55"/>
      <c r="P269" s="55"/>
      <c r="Q269" s="55"/>
    </row>
    <row r="270" spans="1:17" x14ac:dyDescent="0.25">
      <c r="A270" s="38" t="str">
        <f t="shared" si="26"/>
        <v/>
      </c>
      <c r="B270" s="38"/>
      <c r="C270" s="30"/>
      <c r="D270" s="30"/>
      <c r="E270" s="30"/>
      <c r="F270" s="30"/>
      <c r="G270" s="30"/>
      <c r="H270" s="30"/>
      <c r="I270" s="36" t="str">
        <f t="shared" si="22"/>
        <v/>
      </c>
      <c r="J270" s="30"/>
      <c r="K270" s="30"/>
      <c r="L270" s="36" t="str">
        <f t="shared" si="23"/>
        <v/>
      </c>
      <c r="M270" s="37" t="str">
        <f t="shared" si="24"/>
        <v/>
      </c>
      <c r="N270" s="37" t="str">
        <f t="shared" si="25"/>
        <v/>
      </c>
      <c r="O270" s="55"/>
      <c r="P270" s="55"/>
      <c r="Q270" s="55"/>
    </row>
    <row r="271" spans="1:17" x14ac:dyDescent="0.25">
      <c r="A271" s="38" t="str">
        <f t="shared" si="26"/>
        <v/>
      </c>
      <c r="B271" s="38"/>
      <c r="C271" s="30"/>
      <c r="D271" s="30"/>
      <c r="E271" s="30"/>
      <c r="F271" s="30"/>
      <c r="G271" s="30"/>
      <c r="H271" s="30"/>
      <c r="I271" s="36" t="str">
        <f t="shared" si="22"/>
        <v/>
      </c>
      <c r="J271" s="30"/>
      <c r="K271" s="30"/>
      <c r="L271" s="36" t="str">
        <f t="shared" si="23"/>
        <v/>
      </c>
      <c r="M271" s="37" t="str">
        <f t="shared" si="24"/>
        <v/>
      </c>
      <c r="N271" s="37" t="str">
        <f t="shared" si="25"/>
        <v/>
      </c>
      <c r="O271" s="55"/>
      <c r="P271" s="55"/>
      <c r="Q271" s="55"/>
    </row>
    <row r="272" spans="1:17" x14ac:dyDescent="0.25">
      <c r="A272" s="38" t="str">
        <f t="shared" si="26"/>
        <v/>
      </c>
      <c r="B272" s="38"/>
      <c r="C272" s="30"/>
      <c r="D272" s="30"/>
      <c r="E272" s="30"/>
      <c r="F272" s="30"/>
      <c r="G272" s="30"/>
      <c r="H272" s="30"/>
      <c r="I272" s="36" t="str">
        <f t="shared" si="22"/>
        <v/>
      </c>
      <c r="J272" s="30"/>
      <c r="K272" s="30"/>
      <c r="L272" s="36" t="str">
        <f t="shared" si="23"/>
        <v/>
      </c>
      <c r="M272" s="37" t="str">
        <f t="shared" si="24"/>
        <v/>
      </c>
      <c r="N272" s="37" t="str">
        <f t="shared" si="25"/>
        <v/>
      </c>
      <c r="O272" s="55"/>
      <c r="P272" s="55"/>
      <c r="Q272" s="55"/>
    </row>
    <row r="273" spans="1:17" x14ac:dyDescent="0.25">
      <c r="A273" s="38" t="str">
        <f t="shared" si="26"/>
        <v/>
      </c>
      <c r="B273" s="38"/>
      <c r="C273" s="30"/>
      <c r="D273" s="30"/>
      <c r="E273" s="30"/>
      <c r="F273" s="30"/>
      <c r="G273" s="30"/>
      <c r="H273" s="30"/>
      <c r="I273" s="36" t="str">
        <f t="shared" si="22"/>
        <v/>
      </c>
      <c r="J273" s="30"/>
      <c r="K273" s="30"/>
      <c r="L273" s="36" t="str">
        <f t="shared" si="23"/>
        <v/>
      </c>
      <c r="M273" s="37" t="str">
        <f t="shared" si="24"/>
        <v/>
      </c>
      <c r="N273" s="37" t="str">
        <f t="shared" si="25"/>
        <v/>
      </c>
      <c r="O273" s="55"/>
      <c r="P273" s="55"/>
      <c r="Q273" s="55"/>
    </row>
    <row r="274" spans="1:17" x14ac:dyDescent="0.25">
      <c r="A274" s="38" t="str">
        <f t="shared" si="26"/>
        <v/>
      </c>
      <c r="B274" s="38"/>
      <c r="C274" s="30"/>
      <c r="D274" s="30"/>
      <c r="E274" s="30"/>
      <c r="F274" s="30"/>
      <c r="G274" s="30"/>
      <c r="H274" s="30"/>
      <c r="I274" s="36" t="str">
        <f t="shared" si="22"/>
        <v/>
      </c>
      <c r="J274" s="30"/>
      <c r="K274" s="30"/>
      <c r="L274" s="36" t="str">
        <f t="shared" si="23"/>
        <v/>
      </c>
      <c r="M274" s="37" t="str">
        <f t="shared" si="24"/>
        <v/>
      </c>
      <c r="N274" s="37" t="str">
        <f t="shared" si="25"/>
        <v/>
      </c>
      <c r="O274" s="55"/>
      <c r="P274" s="55"/>
      <c r="Q274" s="55"/>
    </row>
    <row r="275" spans="1:17" x14ac:dyDescent="0.25">
      <c r="A275" s="38" t="str">
        <f t="shared" si="26"/>
        <v/>
      </c>
      <c r="B275" s="38"/>
      <c r="C275" s="30"/>
      <c r="D275" s="30"/>
      <c r="E275" s="30"/>
      <c r="F275" s="30"/>
      <c r="G275" s="30"/>
      <c r="H275" s="30"/>
      <c r="I275" s="36" t="str">
        <f t="shared" si="22"/>
        <v/>
      </c>
      <c r="J275" s="30"/>
      <c r="K275" s="30"/>
      <c r="L275" s="36" t="str">
        <f t="shared" si="23"/>
        <v/>
      </c>
      <c r="M275" s="37" t="str">
        <f t="shared" si="24"/>
        <v/>
      </c>
      <c r="N275" s="37" t="str">
        <f t="shared" si="25"/>
        <v/>
      </c>
      <c r="O275" s="55"/>
      <c r="P275" s="55"/>
      <c r="Q275" s="55"/>
    </row>
    <row r="276" spans="1:17" x14ac:dyDescent="0.25">
      <c r="A276" s="38" t="str">
        <f t="shared" si="26"/>
        <v/>
      </c>
      <c r="B276" s="38"/>
      <c r="C276" s="30"/>
      <c r="D276" s="30"/>
      <c r="E276" s="30"/>
      <c r="F276" s="30"/>
      <c r="G276" s="30"/>
      <c r="H276" s="30"/>
      <c r="I276" s="36" t="str">
        <f t="shared" si="22"/>
        <v/>
      </c>
      <c r="J276" s="30"/>
      <c r="K276" s="30"/>
      <c r="L276" s="36" t="str">
        <f t="shared" si="23"/>
        <v/>
      </c>
      <c r="M276" s="37" t="str">
        <f t="shared" si="24"/>
        <v/>
      </c>
      <c r="N276" s="37" t="str">
        <f t="shared" si="25"/>
        <v/>
      </c>
      <c r="O276" s="55"/>
      <c r="P276" s="55"/>
      <c r="Q276" s="55"/>
    </row>
    <row r="277" spans="1:17" x14ac:dyDescent="0.25">
      <c r="A277" s="38" t="str">
        <f t="shared" si="26"/>
        <v/>
      </c>
      <c r="B277" s="38"/>
      <c r="C277" s="30"/>
      <c r="D277" s="30"/>
      <c r="E277" s="30"/>
      <c r="F277" s="30"/>
      <c r="G277" s="30"/>
      <c r="H277" s="30"/>
      <c r="I277" s="36" t="str">
        <f t="shared" si="22"/>
        <v/>
      </c>
      <c r="J277" s="30"/>
      <c r="K277" s="30"/>
      <c r="L277" s="36" t="str">
        <f t="shared" si="23"/>
        <v/>
      </c>
      <c r="M277" s="37" t="str">
        <f t="shared" si="24"/>
        <v/>
      </c>
      <c r="N277" s="37" t="str">
        <f t="shared" si="25"/>
        <v/>
      </c>
      <c r="O277" s="55"/>
      <c r="P277" s="55"/>
      <c r="Q277" s="55"/>
    </row>
    <row r="278" spans="1:17" x14ac:dyDescent="0.25">
      <c r="A278" s="38" t="str">
        <f t="shared" si="26"/>
        <v/>
      </c>
      <c r="B278" s="38"/>
      <c r="C278" s="30"/>
      <c r="D278" s="30"/>
      <c r="E278" s="30"/>
      <c r="F278" s="30"/>
      <c r="G278" s="30"/>
      <c r="H278" s="30"/>
      <c r="I278" s="36" t="str">
        <f t="shared" si="22"/>
        <v/>
      </c>
      <c r="J278" s="30"/>
      <c r="K278" s="30"/>
      <c r="L278" s="36" t="str">
        <f t="shared" si="23"/>
        <v/>
      </c>
      <c r="M278" s="37" t="str">
        <f t="shared" si="24"/>
        <v/>
      </c>
      <c r="N278" s="37" t="str">
        <f t="shared" si="25"/>
        <v/>
      </c>
      <c r="O278" s="55"/>
      <c r="P278" s="55"/>
      <c r="Q278" s="55"/>
    </row>
    <row r="279" spans="1:17" x14ac:dyDescent="0.25">
      <c r="A279" s="38" t="str">
        <f t="shared" si="26"/>
        <v/>
      </c>
      <c r="B279" s="38"/>
      <c r="C279" s="30"/>
      <c r="D279" s="30"/>
      <c r="E279" s="30"/>
      <c r="F279" s="30"/>
      <c r="G279" s="30"/>
      <c r="H279" s="30"/>
      <c r="I279" s="36" t="str">
        <f t="shared" si="22"/>
        <v/>
      </c>
      <c r="J279" s="30"/>
      <c r="K279" s="30"/>
      <c r="L279" s="36" t="str">
        <f t="shared" si="23"/>
        <v/>
      </c>
      <c r="M279" s="37" t="str">
        <f t="shared" si="24"/>
        <v/>
      </c>
      <c r="N279" s="37" t="str">
        <f t="shared" si="25"/>
        <v/>
      </c>
      <c r="O279" s="55"/>
      <c r="P279" s="55"/>
      <c r="Q279" s="55"/>
    </row>
    <row r="280" spans="1:17" x14ac:dyDescent="0.25">
      <c r="A280" s="38" t="str">
        <f t="shared" si="26"/>
        <v/>
      </c>
      <c r="B280" s="38"/>
      <c r="C280" s="30"/>
      <c r="D280" s="30"/>
      <c r="E280" s="30"/>
      <c r="F280" s="30"/>
      <c r="G280" s="30"/>
      <c r="H280" s="30"/>
      <c r="I280" s="36" t="str">
        <f t="shared" si="22"/>
        <v/>
      </c>
      <c r="J280" s="30"/>
      <c r="K280" s="30"/>
      <c r="L280" s="36" t="str">
        <f t="shared" si="23"/>
        <v/>
      </c>
      <c r="M280" s="37" t="str">
        <f t="shared" si="24"/>
        <v/>
      </c>
      <c r="N280" s="37" t="str">
        <f t="shared" si="25"/>
        <v/>
      </c>
      <c r="O280" s="55"/>
      <c r="P280" s="55"/>
      <c r="Q280" s="55"/>
    </row>
    <row r="281" spans="1:17" x14ac:dyDescent="0.25">
      <c r="A281" s="38" t="str">
        <f t="shared" si="26"/>
        <v/>
      </c>
      <c r="B281" s="38"/>
      <c r="C281" s="30"/>
      <c r="D281" s="30"/>
      <c r="E281" s="30"/>
      <c r="F281" s="30"/>
      <c r="G281" s="30"/>
      <c r="H281" s="30"/>
      <c r="I281" s="36" t="str">
        <f t="shared" si="22"/>
        <v/>
      </c>
      <c r="J281" s="30"/>
      <c r="K281" s="30"/>
      <c r="L281" s="36" t="str">
        <f t="shared" si="23"/>
        <v/>
      </c>
      <c r="M281" s="37" t="str">
        <f t="shared" si="24"/>
        <v/>
      </c>
      <c r="N281" s="37" t="str">
        <f t="shared" si="25"/>
        <v/>
      </c>
      <c r="O281" s="55"/>
      <c r="P281" s="55"/>
      <c r="Q281" s="55"/>
    </row>
    <row r="282" spans="1:17" x14ac:dyDescent="0.25">
      <c r="A282" s="38" t="str">
        <f t="shared" si="26"/>
        <v/>
      </c>
      <c r="B282" s="38"/>
      <c r="C282" s="30"/>
      <c r="D282" s="30"/>
      <c r="E282" s="30"/>
      <c r="F282" s="30"/>
      <c r="G282" s="30"/>
      <c r="H282" s="30"/>
      <c r="I282" s="36" t="str">
        <f t="shared" si="22"/>
        <v/>
      </c>
      <c r="J282" s="30"/>
      <c r="K282" s="30"/>
      <c r="L282" s="36" t="str">
        <f t="shared" si="23"/>
        <v/>
      </c>
      <c r="M282" s="37" t="str">
        <f t="shared" si="24"/>
        <v/>
      </c>
      <c r="N282" s="37" t="str">
        <f t="shared" si="25"/>
        <v/>
      </c>
      <c r="O282" s="55"/>
      <c r="P282" s="55"/>
      <c r="Q282" s="55"/>
    </row>
    <row r="283" spans="1:17" x14ac:dyDescent="0.25">
      <c r="A283" s="38" t="str">
        <f t="shared" si="26"/>
        <v/>
      </c>
      <c r="B283" s="38"/>
      <c r="C283" s="30"/>
      <c r="D283" s="30"/>
      <c r="E283" s="30"/>
      <c r="F283" s="30"/>
      <c r="G283" s="30"/>
      <c r="H283" s="30"/>
      <c r="I283" s="36" t="str">
        <f t="shared" si="22"/>
        <v/>
      </c>
      <c r="J283" s="30"/>
      <c r="K283" s="30"/>
      <c r="L283" s="36" t="str">
        <f t="shared" si="23"/>
        <v/>
      </c>
      <c r="M283" s="37" t="str">
        <f t="shared" si="24"/>
        <v/>
      </c>
      <c r="N283" s="37" t="str">
        <f t="shared" si="25"/>
        <v/>
      </c>
      <c r="O283" s="55"/>
      <c r="P283" s="55"/>
      <c r="Q283" s="55"/>
    </row>
    <row r="284" spans="1:17" x14ac:dyDescent="0.25">
      <c r="A284" s="38" t="str">
        <f t="shared" si="26"/>
        <v/>
      </c>
      <c r="B284" s="38"/>
      <c r="C284" s="30"/>
      <c r="D284" s="30"/>
      <c r="E284" s="30"/>
      <c r="F284" s="30"/>
      <c r="G284" s="30"/>
      <c r="H284" s="30"/>
      <c r="I284" s="36" t="str">
        <f t="shared" si="22"/>
        <v/>
      </c>
      <c r="J284" s="30"/>
      <c r="K284" s="30"/>
      <c r="L284" s="36" t="str">
        <f t="shared" si="23"/>
        <v/>
      </c>
      <c r="M284" s="37" t="str">
        <f t="shared" si="24"/>
        <v/>
      </c>
      <c r="N284" s="37" t="str">
        <f t="shared" si="25"/>
        <v/>
      </c>
      <c r="O284" s="55"/>
      <c r="P284" s="55"/>
      <c r="Q284" s="55"/>
    </row>
    <row r="285" spans="1:17" x14ac:dyDescent="0.25">
      <c r="A285" s="38" t="str">
        <f t="shared" si="26"/>
        <v/>
      </c>
      <c r="B285" s="38"/>
      <c r="C285" s="30"/>
      <c r="D285" s="30"/>
      <c r="E285" s="30"/>
      <c r="F285" s="30"/>
      <c r="G285" s="30"/>
      <c r="H285" s="30"/>
      <c r="I285" s="36" t="str">
        <f t="shared" si="22"/>
        <v/>
      </c>
      <c r="J285" s="30"/>
      <c r="K285" s="30"/>
      <c r="L285" s="36" t="str">
        <f t="shared" si="23"/>
        <v/>
      </c>
      <c r="M285" s="37" t="str">
        <f t="shared" si="24"/>
        <v/>
      </c>
      <c r="N285" s="37" t="str">
        <f t="shared" si="25"/>
        <v/>
      </c>
      <c r="O285" s="55"/>
      <c r="P285" s="55"/>
      <c r="Q285" s="55"/>
    </row>
    <row r="286" spans="1:17" x14ac:dyDescent="0.25">
      <c r="A286" s="38" t="str">
        <f t="shared" si="26"/>
        <v/>
      </c>
      <c r="B286" s="38"/>
      <c r="C286" s="30"/>
      <c r="D286" s="30"/>
      <c r="E286" s="30"/>
      <c r="F286" s="30"/>
      <c r="G286" s="30"/>
      <c r="H286" s="30"/>
      <c r="I286" s="36" t="str">
        <f t="shared" si="22"/>
        <v/>
      </c>
      <c r="J286" s="30"/>
      <c r="K286" s="30"/>
      <c r="L286" s="36" t="str">
        <f t="shared" si="23"/>
        <v/>
      </c>
      <c r="M286" s="37" t="str">
        <f t="shared" si="24"/>
        <v/>
      </c>
      <c r="N286" s="37" t="str">
        <f t="shared" si="25"/>
        <v/>
      </c>
      <c r="O286" s="55"/>
      <c r="P286" s="55"/>
      <c r="Q286" s="55"/>
    </row>
    <row r="287" spans="1:17" x14ac:dyDescent="0.25">
      <c r="A287" s="38" t="str">
        <f t="shared" si="26"/>
        <v/>
      </c>
      <c r="B287" s="38"/>
      <c r="C287" s="30"/>
      <c r="D287" s="30"/>
      <c r="E287" s="30"/>
      <c r="F287" s="30"/>
      <c r="G287" s="30"/>
      <c r="H287" s="30"/>
      <c r="I287" s="36" t="str">
        <f t="shared" si="22"/>
        <v/>
      </c>
      <c r="J287" s="30"/>
      <c r="K287" s="30"/>
      <c r="L287" s="36" t="str">
        <f t="shared" si="23"/>
        <v/>
      </c>
      <c r="M287" s="37" t="str">
        <f t="shared" si="24"/>
        <v/>
      </c>
      <c r="N287" s="37" t="str">
        <f t="shared" si="25"/>
        <v/>
      </c>
      <c r="O287" s="55"/>
      <c r="P287" s="55"/>
      <c r="Q287" s="55"/>
    </row>
    <row r="288" spans="1:17" x14ac:dyDescent="0.25">
      <c r="A288" s="38" t="str">
        <f t="shared" si="26"/>
        <v/>
      </c>
      <c r="B288" s="38"/>
      <c r="C288" s="30"/>
      <c r="D288" s="30"/>
      <c r="E288" s="30"/>
      <c r="F288" s="30"/>
      <c r="G288" s="30"/>
      <c r="H288" s="30"/>
      <c r="I288" s="36" t="str">
        <f t="shared" si="22"/>
        <v/>
      </c>
      <c r="J288" s="30"/>
      <c r="K288" s="30"/>
      <c r="L288" s="36" t="str">
        <f t="shared" si="23"/>
        <v/>
      </c>
      <c r="M288" s="37" t="str">
        <f t="shared" si="24"/>
        <v/>
      </c>
      <c r="N288" s="37" t="str">
        <f t="shared" si="25"/>
        <v/>
      </c>
      <c r="O288" s="55"/>
      <c r="P288" s="55"/>
      <c r="Q288" s="55"/>
    </row>
    <row r="289" spans="1:17" x14ac:dyDescent="0.25">
      <c r="A289" s="38" t="str">
        <f t="shared" si="26"/>
        <v/>
      </c>
      <c r="B289" s="38"/>
      <c r="C289" s="30"/>
      <c r="D289" s="30"/>
      <c r="E289" s="30"/>
      <c r="F289" s="30"/>
      <c r="G289" s="30"/>
      <c r="H289" s="30"/>
      <c r="I289" s="36" t="str">
        <f t="shared" si="22"/>
        <v/>
      </c>
      <c r="J289" s="30"/>
      <c r="K289" s="30"/>
      <c r="L289" s="36" t="str">
        <f t="shared" si="23"/>
        <v/>
      </c>
      <c r="M289" s="37" t="str">
        <f t="shared" si="24"/>
        <v/>
      </c>
      <c r="N289" s="37" t="str">
        <f t="shared" si="25"/>
        <v/>
      </c>
      <c r="O289" s="55"/>
      <c r="P289" s="55"/>
      <c r="Q289" s="55"/>
    </row>
    <row r="290" spans="1:17" x14ac:dyDescent="0.25">
      <c r="A290" s="38" t="str">
        <f t="shared" si="26"/>
        <v/>
      </c>
      <c r="B290" s="38"/>
      <c r="C290" s="30"/>
      <c r="D290" s="30"/>
      <c r="E290" s="30"/>
      <c r="F290" s="30"/>
      <c r="G290" s="30"/>
      <c r="H290" s="30"/>
      <c r="I290" s="36" t="str">
        <f t="shared" si="22"/>
        <v/>
      </c>
      <c r="J290" s="30"/>
      <c r="K290" s="30"/>
      <c r="L290" s="36" t="str">
        <f t="shared" si="23"/>
        <v/>
      </c>
      <c r="M290" s="37" t="str">
        <f t="shared" si="24"/>
        <v/>
      </c>
      <c r="N290" s="37" t="str">
        <f t="shared" si="25"/>
        <v/>
      </c>
      <c r="O290" s="55"/>
      <c r="P290" s="55"/>
      <c r="Q290" s="55"/>
    </row>
    <row r="291" spans="1:17" x14ac:dyDescent="0.25">
      <c r="A291" s="38" t="str">
        <f t="shared" si="26"/>
        <v/>
      </c>
      <c r="B291" s="38"/>
      <c r="C291" s="30"/>
      <c r="D291" s="30"/>
      <c r="E291" s="30"/>
      <c r="F291" s="30"/>
      <c r="G291" s="30"/>
      <c r="H291" s="30"/>
      <c r="I291" s="36" t="str">
        <f t="shared" si="22"/>
        <v/>
      </c>
      <c r="J291" s="30"/>
      <c r="K291" s="30"/>
      <c r="L291" s="36" t="str">
        <f t="shared" si="23"/>
        <v/>
      </c>
      <c r="M291" s="37" t="str">
        <f t="shared" si="24"/>
        <v/>
      </c>
      <c r="N291" s="37" t="str">
        <f t="shared" si="25"/>
        <v/>
      </c>
      <c r="O291" s="55"/>
      <c r="P291" s="55"/>
      <c r="Q291" s="55"/>
    </row>
    <row r="292" spans="1:17" x14ac:dyDescent="0.25">
      <c r="A292" s="38" t="str">
        <f t="shared" si="26"/>
        <v/>
      </c>
      <c r="B292" s="38"/>
      <c r="C292" s="30"/>
      <c r="D292" s="30"/>
      <c r="E292" s="30"/>
      <c r="F292" s="30"/>
      <c r="G292" s="30"/>
      <c r="H292" s="30"/>
      <c r="I292" s="36" t="str">
        <f t="shared" si="22"/>
        <v/>
      </c>
      <c r="J292" s="30"/>
      <c r="K292" s="30"/>
      <c r="L292" s="36" t="str">
        <f t="shared" si="23"/>
        <v/>
      </c>
      <c r="M292" s="37" t="str">
        <f t="shared" si="24"/>
        <v/>
      </c>
      <c r="N292" s="37" t="str">
        <f t="shared" si="25"/>
        <v/>
      </c>
      <c r="O292" s="55"/>
      <c r="P292" s="55"/>
      <c r="Q292" s="55"/>
    </row>
    <row r="293" spans="1:17" x14ac:dyDescent="0.25">
      <c r="A293" s="38" t="str">
        <f t="shared" si="26"/>
        <v/>
      </c>
      <c r="B293" s="38"/>
      <c r="C293" s="30"/>
      <c r="D293" s="30"/>
      <c r="E293" s="30"/>
      <c r="F293" s="30"/>
      <c r="G293" s="30"/>
      <c r="H293" s="30"/>
      <c r="I293" s="36" t="str">
        <f t="shared" si="22"/>
        <v/>
      </c>
      <c r="J293" s="30"/>
      <c r="K293" s="30"/>
      <c r="L293" s="36" t="str">
        <f t="shared" si="23"/>
        <v/>
      </c>
      <c r="M293" s="37" t="str">
        <f t="shared" si="24"/>
        <v/>
      </c>
      <c r="N293" s="37" t="str">
        <f t="shared" si="25"/>
        <v/>
      </c>
      <c r="O293" s="55"/>
      <c r="P293" s="55"/>
      <c r="Q293" s="55"/>
    </row>
    <row r="294" spans="1:17" x14ac:dyDescent="0.25">
      <c r="A294" s="38" t="str">
        <f t="shared" si="26"/>
        <v/>
      </c>
      <c r="B294" s="38"/>
      <c r="C294" s="30"/>
      <c r="D294" s="30"/>
      <c r="E294" s="30"/>
      <c r="F294" s="30"/>
      <c r="G294" s="30"/>
      <c r="H294" s="30"/>
      <c r="I294" s="36" t="str">
        <f t="shared" si="22"/>
        <v/>
      </c>
      <c r="J294" s="30"/>
      <c r="K294" s="30"/>
      <c r="L294" s="36" t="str">
        <f t="shared" si="23"/>
        <v/>
      </c>
      <c r="M294" s="37" t="str">
        <f t="shared" si="24"/>
        <v/>
      </c>
      <c r="N294" s="37" t="str">
        <f t="shared" si="25"/>
        <v/>
      </c>
      <c r="O294" s="55"/>
      <c r="P294" s="55"/>
      <c r="Q294" s="55"/>
    </row>
    <row r="295" spans="1:17" x14ac:dyDescent="0.25">
      <c r="A295" s="38" t="str">
        <f t="shared" si="26"/>
        <v/>
      </c>
      <c r="B295" s="38"/>
      <c r="C295" s="30"/>
      <c r="D295" s="30"/>
      <c r="E295" s="30"/>
      <c r="F295" s="30"/>
      <c r="G295" s="30"/>
      <c r="H295" s="30"/>
      <c r="I295" s="36" t="str">
        <f t="shared" si="22"/>
        <v/>
      </c>
      <c r="J295" s="30"/>
      <c r="K295" s="30"/>
      <c r="L295" s="36" t="str">
        <f t="shared" si="23"/>
        <v/>
      </c>
      <c r="M295" s="37" t="str">
        <f t="shared" si="24"/>
        <v/>
      </c>
      <c r="N295" s="37" t="str">
        <f t="shared" si="25"/>
        <v/>
      </c>
      <c r="O295" s="55"/>
      <c r="P295" s="55"/>
      <c r="Q295" s="55"/>
    </row>
    <row r="296" spans="1:17" x14ac:dyDescent="0.25">
      <c r="A296" s="38" t="str">
        <f t="shared" si="26"/>
        <v/>
      </c>
      <c r="B296" s="38"/>
      <c r="C296" s="30"/>
      <c r="D296" s="30"/>
      <c r="E296" s="30"/>
      <c r="F296" s="30"/>
      <c r="G296" s="30"/>
      <c r="H296" s="30"/>
      <c r="I296" s="36" t="str">
        <f t="shared" si="22"/>
        <v/>
      </c>
      <c r="J296" s="30"/>
      <c r="K296" s="30"/>
      <c r="L296" s="36" t="str">
        <f t="shared" si="23"/>
        <v/>
      </c>
      <c r="M296" s="37" t="str">
        <f t="shared" si="24"/>
        <v/>
      </c>
      <c r="N296" s="37" t="str">
        <f t="shared" si="25"/>
        <v/>
      </c>
      <c r="O296" s="55"/>
      <c r="P296" s="55"/>
      <c r="Q296" s="55"/>
    </row>
    <row r="297" spans="1:17" x14ac:dyDescent="0.25">
      <c r="A297" s="38" t="str">
        <f t="shared" si="26"/>
        <v/>
      </c>
      <c r="B297" s="38"/>
      <c r="C297" s="30"/>
      <c r="D297" s="30"/>
      <c r="E297" s="30"/>
      <c r="F297" s="30"/>
      <c r="G297" s="30"/>
      <c r="H297" s="30"/>
      <c r="I297" s="36" t="str">
        <f t="shared" si="22"/>
        <v/>
      </c>
      <c r="J297" s="30"/>
      <c r="K297" s="30"/>
      <c r="L297" s="36" t="str">
        <f t="shared" si="23"/>
        <v/>
      </c>
      <c r="M297" s="37" t="str">
        <f t="shared" si="24"/>
        <v/>
      </c>
      <c r="N297" s="37" t="str">
        <f t="shared" si="25"/>
        <v/>
      </c>
      <c r="O297" s="55"/>
      <c r="P297" s="55"/>
      <c r="Q297" s="55"/>
    </row>
    <row r="298" spans="1:17" x14ac:dyDescent="0.25">
      <c r="A298" s="38" t="str">
        <f t="shared" si="26"/>
        <v/>
      </c>
      <c r="B298" s="38"/>
      <c r="C298" s="30"/>
      <c r="D298" s="30"/>
      <c r="E298" s="30"/>
      <c r="F298" s="30"/>
      <c r="G298" s="30"/>
      <c r="H298" s="30"/>
      <c r="I298" s="36" t="str">
        <f t="shared" si="22"/>
        <v/>
      </c>
      <c r="J298" s="30"/>
      <c r="K298" s="30"/>
      <c r="L298" s="36" t="str">
        <f t="shared" si="23"/>
        <v/>
      </c>
      <c r="M298" s="37" t="str">
        <f t="shared" si="24"/>
        <v/>
      </c>
      <c r="N298" s="37" t="str">
        <f t="shared" si="25"/>
        <v/>
      </c>
      <c r="O298" s="55"/>
      <c r="P298" s="55"/>
      <c r="Q298" s="55"/>
    </row>
    <row r="299" spans="1:17" x14ac:dyDescent="0.25">
      <c r="A299" s="38" t="str">
        <f t="shared" si="26"/>
        <v/>
      </c>
      <c r="B299" s="38"/>
      <c r="C299" s="30"/>
      <c r="D299" s="30"/>
      <c r="E299" s="30"/>
      <c r="F299" s="30"/>
      <c r="G299" s="30"/>
      <c r="H299" s="30"/>
      <c r="I299" s="36" t="str">
        <f t="shared" si="22"/>
        <v/>
      </c>
      <c r="J299" s="30"/>
      <c r="K299" s="30"/>
      <c r="L299" s="36" t="str">
        <f t="shared" si="23"/>
        <v/>
      </c>
      <c r="M299" s="37" t="str">
        <f t="shared" si="24"/>
        <v/>
      </c>
      <c r="N299" s="37" t="str">
        <f t="shared" si="25"/>
        <v/>
      </c>
      <c r="O299" s="55"/>
      <c r="P299" s="55"/>
      <c r="Q299" s="55"/>
    </row>
  </sheetData>
  <autoFilter ref="A2:CE2" xr:uid="{00000000-0001-0000-07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Terminologies</vt:lpstr>
      <vt:lpstr>Instructions</vt:lpstr>
      <vt:lpstr>Route-Details</vt:lpstr>
      <vt:lpstr>Node Details</vt:lpstr>
      <vt:lpstr>Other Material</vt:lpstr>
      <vt:lpstr>Other Services</vt:lpstr>
      <vt:lpstr>PO Details</vt:lpstr>
      <vt:lpstr>Other Revenue</vt:lpstr>
      <vt:lpstr>HP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Chintan Shah</dc:creator>
  <cp:keywords/>
  <dc:description/>
  <cp:lastModifiedBy>Vaishali Moon</cp:lastModifiedBy>
  <cp:revision/>
  <dcterms:created xsi:type="dcterms:W3CDTF">2022-10-14T07:42:24Z</dcterms:created>
  <dcterms:modified xsi:type="dcterms:W3CDTF">2026-04-29T19:32:11Z</dcterms:modified>
  <cp:category/>
  <cp:contentStatus/>
</cp:coreProperties>
</file>