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netorg1056155-my.sharepoint.com/personal/k_prajapati_cloudextel_com/Documents/SDU/Master Tracker/"/>
    </mc:Choice>
  </mc:AlternateContent>
  <xr:revisionPtr revIDLastSave="344" documentId="11_807E594573C2759E3C21E57A123EAC0DF6310937" xr6:coauthVersionLast="47" xr6:coauthVersionMax="47" xr10:uidLastSave="{5B8700DB-8237-4FC2-9B0D-51F8EC3201B7}"/>
  <bookViews>
    <workbookView xWindow="-120" yWindow="-120" windowWidth="20730" windowHeight="11040" tabRatio="796" firstSheet="1" activeTab="2" xr2:uid="{00000000-000D-0000-FFFF-FFFF00000000}"/>
  </bookViews>
  <sheets>
    <sheet name="Terminologies" sheetId="1" r:id="rId1"/>
    <sheet name="Instructions" sheetId="2" r:id="rId2"/>
    <sheet name="Route-Details" sheetId="4" r:id="rId3"/>
    <sheet name="Node Details" sheetId="5" r:id="rId4"/>
    <sheet name="Other Material" sheetId="6" r:id="rId5"/>
    <sheet name="Other Services" sheetId="7" r:id="rId6"/>
    <sheet name="PO Details" sheetId="9" r:id="rId7"/>
    <sheet name="Other Revenue" sheetId="10" r:id="rId8"/>
    <sheet name="HP" sheetId="8" r:id="rId9"/>
  </sheets>
  <definedNames>
    <definedName name="_xlnm._FilterDatabase" localSheetId="8" hidden="1">HP!$A$2:$CE$2</definedName>
    <definedName name="_xlnm._FilterDatabase" localSheetId="4" hidden="1">'Other Material'!$A$2:$X$110</definedName>
    <definedName name="_xlnm._FilterDatabase" localSheetId="2" hidden="1">'Route-Details'!$A$2:$BD$17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5" l="1"/>
  <c r="F40" i="5"/>
  <c r="G40" i="5"/>
  <c r="H40" i="5"/>
  <c r="I40" i="5"/>
  <c r="J40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N15" i="4"/>
  <c r="AQ15" i="4"/>
  <c r="AR15" i="4" s="1"/>
  <c r="AV15" i="4"/>
  <c r="AW15" i="4" s="1"/>
  <c r="BA15" i="4"/>
  <c r="BB15" i="4"/>
  <c r="A78" i="7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P78" i="7"/>
  <c r="Q78" i="7"/>
  <c r="U78" i="7"/>
  <c r="V78" i="7"/>
  <c r="W78" i="7" s="1"/>
  <c r="P79" i="7"/>
  <c r="Q79" i="7"/>
  <c r="U79" i="7"/>
  <c r="V79" i="7"/>
  <c r="P80" i="7"/>
  <c r="Q80" i="7"/>
  <c r="U80" i="7"/>
  <c r="V80" i="7"/>
  <c r="W80" i="7" s="1"/>
  <c r="P81" i="7"/>
  <c r="Q81" i="7" s="1"/>
  <c r="U81" i="7"/>
  <c r="V81" i="7"/>
  <c r="W81" i="7" s="1"/>
  <c r="P82" i="7"/>
  <c r="Q82" i="7" s="1"/>
  <c r="U82" i="7"/>
  <c r="V82" i="7"/>
  <c r="P83" i="7"/>
  <c r="Q83" i="7" s="1"/>
  <c r="U83" i="7"/>
  <c r="W83" i="7" s="1"/>
  <c r="V83" i="7"/>
  <c r="P84" i="7"/>
  <c r="Q84" i="7" s="1"/>
  <c r="U84" i="7"/>
  <c r="V84" i="7"/>
  <c r="W84" i="7"/>
  <c r="P85" i="7"/>
  <c r="Q85" i="7" s="1"/>
  <c r="U85" i="7"/>
  <c r="V85" i="7"/>
  <c r="W85" i="7"/>
  <c r="P86" i="7"/>
  <c r="Q86" i="7"/>
  <c r="U86" i="7"/>
  <c r="V86" i="7"/>
  <c r="W86" i="7" s="1"/>
  <c r="P87" i="7"/>
  <c r="Q87" i="7"/>
  <c r="U87" i="7"/>
  <c r="V87" i="7"/>
  <c r="P88" i="7"/>
  <c r="Q88" i="7"/>
  <c r="U88" i="7"/>
  <c r="V88" i="7"/>
  <c r="W88" i="7" s="1"/>
  <c r="P89" i="7"/>
  <c r="Q89" i="7" s="1"/>
  <c r="U89" i="7"/>
  <c r="V89" i="7"/>
  <c r="W89" i="7" s="1"/>
  <c r="P90" i="7"/>
  <c r="Q90" i="7" s="1"/>
  <c r="U90" i="7"/>
  <c r="V90" i="7"/>
  <c r="P91" i="7"/>
  <c r="Q91" i="7" s="1"/>
  <c r="U91" i="7"/>
  <c r="W91" i="7" s="1"/>
  <c r="V91" i="7"/>
  <c r="P92" i="7"/>
  <c r="Q92" i="7" s="1"/>
  <c r="U92" i="7"/>
  <c r="W92" i="7" s="1"/>
  <c r="V92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78" i="7"/>
  <c r="BC15" i="4" l="1"/>
  <c r="W90" i="7"/>
  <c r="W79" i="7"/>
  <c r="W87" i="7"/>
  <c r="W82" i="7"/>
  <c r="U4" i="7" l="1"/>
  <c r="V4" i="7"/>
  <c r="W4" i="7"/>
  <c r="U5" i="7"/>
  <c r="W5" i="7" s="1"/>
  <c r="V5" i="7"/>
  <c r="U6" i="7"/>
  <c r="V6" i="7"/>
  <c r="W6" i="7" s="1"/>
  <c r="U7" i="7"/>
  <c r="V7" i="7"/>
  <c r="W7" i="7"/>
  <c r="U8" i="7"/>
  <c r="V8" i="7"/>
  <c r="W8" i="7"/>
  <c r="U9" i="7"/>
  <c r="W9" i="7" s="1"/>
  <c r="V9" i="7"/>
  <c r="U10" i="7"/>
  <c r="V10" i="7"/>
  <c r="W10" i="7" s="1"/>
  <c r="U11" i="7"/>
  <c r="V11" i="7"/>
  <c r="W11" i="7"/>
  <c r="U12" i="7"/>
  <c r="V12" i="7"/>
  <c r="W12" i="7"/>
  <c r="U13" i="7"/>
  <c r="W13" i="7" s="1"/>
  <c r="V13" i="7"/>
  <c r="U14" i="7"/>
  <c r="V14" i="7"/>
  <c r="W14" i="7" s="1"/>
  <c r="U15" i="7"/>
  <c r="V15" i="7"/>
  <c r="W15" i="7"/>
  <c r="U16" i="7"/>
  <c r="V16" i="7"/>
  <c r="W16" i="7"/>
  <c r="U17" i="7"/>
  <c r="W17" i="7" s="1"/>
  <c r="V17" i="7"/>
  <c r="U18" i="7"/>
  <c r="V18" i="7"/>
  <c r="W18" i="7" s="1"/>
  <c r="U19" i="7"/>
  <c r="V19" i="7"/>
  <c r="W19" i="7"/>
  <c r="U20" i="7"/>
  <c r="V20" i="7"/>
  <c r="W20" i="7"/>
  <c r="U21" i="7"/>
  <c r="W21" i="7" s="1"/>
  <c r="V21" i="7"/>
  <c r="U22" i="7"/>
  <c r="V22" i="7"/>
  <c r="W22" i="7" s="1"/>
  <c r="U23" i="7"/>
  <c r="V23" i="7"/>
  <c r="W23" i="7"/>
  <c r="U24" i="7"/>
  <c r="V24" i="7"/>
  <c r="W24" i="7"/>
  <c r="U25" i="7"/>
  <c r="W25" i="7" s="1"/>
  <c r="V25" i="7"/>
  <c r="U26" i="7"/>
  <c r="V26" i="7"/>
  <c r="W26" i="7" s="1"/>
  <c r="U27" i="7"/>
  <c r="V27" i="7"/>
  <c r="W27" i="7"/>
  <c r="U28" i="7"/>
  <c r="V28" i="7"/>
  <c r="W28" i="7"/>
  <c r="U29" i="7"/>
  <c r="W29" i="7" s="1"/>
  <c r="V29" i="7"/>
  <c r="U30" i="7"/>
  <c r="V30" i="7"/>
  <c r="W30" i="7" s="1"/>
  <c r="U31" i="7"/>
  <c r="V31" i="7"/>
  <c r="W31" i="7"/>
  <c r="U32" i="7"/>
  <c r="V32" i="7"/>
  <c r="W32" i="7"/>
  <c r="U33" i="7"/>
  <c r="W33" i="7" s="1"/>
  <c r="V33" i="7"/>
  <c r="U34" i="7"/>
  <c r="V34" i="7"/>
  <c r="W34" i="7" s="1"/>
  <c r="U35" i="7"/>
  <c r="V35" i="7"/>
  <c r="W35" i="7"/>
  <c r="U36" i="7"/>
  <c r="V36" i="7"/>
  <c r="W36" i="7"/>
  <c r="U37" i="7"/>
  <c r="W37" i="7" s="1"/>
  <c r="V37" i="7"/>
  <c r="U38" i="7"/>
  <c r="V38" i="7"/>
  <c r="W38" i="7" s="1"/>
  <c r="U39" i="7"/>
  <c r="V39" i="7"/>
  <c r="W39" i="7"/>
  <c r="U40" i="7"/>
  <c r="V40" i="7"/>
  <c r="W40" i="7"/>
  <c r="U41" i="7"/>
  <c r="W41" i="7" s="1"/>
  <c r="V41" i="7"/>
  <c r="U42" i="7"/>
  <c r="V42" i="7"/>
  <c r="W42" i="7" s="1"/>
  <c r="U43" i="7"/>
  <c r="V43" i="7"/>
  <c r="W43" i="7"/>
  <c r="U44" i="7"/>
  <c r="V44" i="7"/>
  <c r="W44" i="7"/>
  <c r="U45" i="7"/>
  <c r="W45" i="7" s="1"/>
  <c r="V45" i="7"/>
  <c r="U46" i="7"/>
  <c r="V46" i="7"/>
  <c r="W46" i="7" s="1"/>
  <c r="U47" i="7"/>
  <c r="V47" i="7"/>
  <c r="W47" i="7"/>
  <c r="U48" i="7"/>
  <c r="V48" i="7"/>
  <c r="W48" i="7"/>
  <c r="U49" i="7"/>
  <c r="W49" i="7" s="1"/>
  <c r="V49" i="7"/>
  <c r="U50" i="7"/>
  <c r="V50" i="7"/>
  <c r="W50" i="7" s="1"/>
  <c r="U51" i="7"/>
  <c r="V51" i="7"/>
  <c r="W51" i="7"/>
  <c r="U52" i="7"/>
  <c r="V52" i="7"/>
  <c r="W52" i="7"/>
  <c r="U53" i="7"/>
  <c r="W53" i="7" s="1"/>
  <c r="V53" i="7"/>
  <c r="U54" i="7"/>
  <c r="V54" i="7"/>
  <c r="W54" i="7" s="1"/>
  <c r="U55" i="7"/>
  <c r="V55" i="7"/>
  <c r="W55" i="7"/>
  <c r="U56" i="7"/>
  <c r="V56" i="7"/>
  <c r="W56" i="7"/>
  <c r="U57" i="7"/>
  <c r="W57" i="7" s="1"/>
  <c r="V57" i="7"/>
  <c r="U58" i="7"/>
  <c r="V58" i="7"/>
  <c r="W58" i="7" s="1"/>
  <c r="U59" i="7"/>
  <c r="V59" i="7"/>
  <c r="W59" i="7"/>
  <c r="U60" i="7"/>
  <c r="V60" i="7"/>
  <c r="W60" i="7"/>
  <c r="U61" i="7"/>
  <c r="W61" i="7" s="1"/>
  <c r="V61" i="7"/>
  <c r="U62" i="7"/>
  <c r="V62" i="7"/>
  <c r="W62" i="7" s="1"/>
  <c r="U63" i="7"/>
  <c r="V63" i="7"/>
  <c r="W63" i="7"/>
  <c r="U64" i="7"/>
  <c r="V64" i="7"/>
  <c r="W64" i="7"/>
  <c r="U65" i="7"/>
  <c r="W65" i="7" s="1"/>
  <c r="V65" i="7"/>
  <c r="U66" i="7"/>
  <c r="V66" i="7"/>
  <c r="W66" i="7" s="1"/>
  <c r="U67" i="7"/>
  <c r="V67" i="7"/>
  <c r="W67" i="7"/>
  <c r="U68" i="7"/>
  <c r="V68" i="7"/>
  <c r="W68" i="7"/>
  <c r="U69" i="7"/>
  <c r="W69" i="7" s="1"/>
  <c r="V69" i="7"/>
  <c r="U70" i="7"/>
  <c r="V70" i="7"/>
  <c r="W70" i="7" s="1"/>
  <c r="U71" i="7"/>
  <c r="V71" i="7"/>
  <c r="W71" i="7"/>
  <c r="U72" i="7"/>
  <c r="V72" i="7"/>
  <c r="W72" i="7"/>
  <c r="U73" i="7"/>
  <c r="W73" i="7" s="1"/>
  <c r="V73" i="7"/>
  <c r="U74" i="7"/>
  <c r="V74" i="7"/>
  <c r="W74" i="7" s="1"/>
  <c r="U75" i="7"/>
  <c r="V75" i="7"/>
  <c r="W75" i="7"/>
  <c r="U76" i="7"/>
  <c r="V76" i="7"/>
  <c r="W76" i="7"/>
  <c r="U77" i="7"/>
  <c r="V77" i="7"/>
  <c r="V3" i="7"/>
  <c r="W3" i="7" s="1"/>
  <c r="U3" i="7"/>
  <c r="P4" i="7"/>
  <c r="Q4" i="7" s="1"/>
  <c r="P5" i="7"/>
  <c r="Q5" i="7"/>
  <c r="P6" i="7"/>
  <c r="Q6" i="7" s="1"/>
  <c r="P7" i="7"/>
  <c r="Q7" i="7"/>
  <c r="P8" i="7"/>
  <c r="Q8" i="7" s="1"/>
  <c r="P9" i="7"/>
  <c r="Q9" i="7"/>
  <c r="P10" i="7"/>
  <c r="Q10" i="7" s="1"/>
  <c r="P11" i="7"/>
  <c r="Q11" i="7"/>
  <c r="P12" i="7"/>
  <c r="Q12" i="7" s="1"/>
  <c r="P13" i="7"/>
  <c r="Q13" i="7"/>
  <c r="P14" i="7"/>
  <c r="Q14" i="7" s="1"/>
  <c r="P15" i="7"/>
  <c r="Q15" i="7"/>
  <c r="P16" i="7"/>
  <c r="Q16" i="7"/>
  <c r="P17" i="7"/>
  <c r="Q17" i="7"/>
  <c r="P18" i="7"/>
  <c r="Q18" i="7"/>
  <c r="P19" i="7"/>
  <c r="Q19" i="7"/>
  <c r="P20" i="7"/>
  <c r="Q20" i="7"/>
  <c r="P21" i="7"/>
  <c r="Q21" i="7"/>
  <c r="P22" i="7"/>
  <c r="Q22" i="7"/>
  <c r="P23" i="7"/>
  <c r="Q23" i="7"/>
  <c r="P24" i="7"/>
  <c r="Q24" i="7"/>
  <c r="P25" i="7"/>
  <c r="Q25" i="7"/>
  <c r="P26" i="7"/>
  <c r="Q26" i="7"/>
  <c r="P27" i="7"/>
  <c r="Q27" i="7"/>
  <c r="P28" i="7"/>
  <c r="Q28" i="7"/>
  <c r="P29" i="7"/>
  <c r="Q29" i="7"/>
  <c r="P30" i="7"/>
  <c r="Q30" i="7"/>
  <c r="P31" i="7"/>
  <c r="Q31" i="7"/>
  <c r="P32" i="7"/>
  <c r="Q32" i="7"/>
  <c r="P33" i="7"/>
  <c r="Q33" i="7"/>
  <c r="P34" i="7"/>
  <c r="Q34" i="7"/>
  <c r="P35" i="7"/>
  <c r="Q35" i="7"/>
  <c r="P36" i="7"/>
  <c r="Q36" i="7"/>
  <c r="P37" i="7"/>
  <c r="Q37" i="7"/>
  <c r="P38" i="7"/>
  <c r="Q38" i="7"/>
  <c r="P39" i="7"/>
  <c r="Q39" i="7"/>
  <c r="P40" i="7"/>
  <c r="Q40" i="7"/>
  <c r="P41" i="7"/>
  <c r="Q41" i="7"/>
  <c r="P42" i="7"/>
  <c r="Q42" i="7"/>
  <c r="P43" i="7"/>
  <c r="Q43" i="7"/>
  <c r="P44" i="7"/>
  <c r="Q44" i="7"/>
  <c r="P45" i="7"/>
  <c r="Q45" i="7"/>
  <c r="P46" i="7"/>
  <c r="Q46" i="7"/>
  <c r="P47" i="7"/>
  <c r="Q47" i="7"/>
  <c r="P48" i="7"/>
  <c r="Q48" i="7"/>
  <c r="P49" i="7"/>
  <c r="Q49" i="7"/>
  <c r="P50" i="7"/>
  <c r="Q50" i="7"/>
  <c r="P51" i="7"/>
  <c r="Q51" i="7"/>
  <c r="P52" i="7"/>
  <c r="Q52" i="7"/>
  <c r="P53" i="7"/>
  <c r="Q53" i="7"/>
  <c r="P54" i="7"/>
  <c r="Q54" i="7"/>
  <c r="P55" i="7"/>
  <c r="Q55" i="7"/>
  <c r="P56" i="7"/>
  <c r="Q56" i="7"/>
  <c r="P57" i="7"/>
  <c r="Q57" i="7"/>
  <c r="P58" i="7"/>
  <c r="Q58" i="7"/>
  <c r="P59" i="7"/>
  <c r="Q59" i="7"/>
  <c r="P60" i="7"/>
  <c r="Q60" i="7"/>
  <c r="P61" i="7"/>
  <c r="Q61" i="7"/>
  <c r="P62" i="7"/>
  <c r="Q62" i="7"/>
  <c r="P63" i="7"/>
  <c r="Q63" i="7"/>
  <c r="P64" i="7"/>
  <c r="Q64" i="7"/>
  <c r="P65" i="7"/>
  <c r="Q65" i="7"/>
  <c r="P66" i="7"/>
  <c r="Q66" i="7"/>
  <c r="P67" i="7"/>
  <c r="Q67" i="7"/>
  <c r="P68" i="7"/>
  <c r="Q68" i="7"/>
  <c r="P69" i="7"/>
  <c r="Q69" i="7"/>
  <c r="P70" i="7"/>
  <c r="Q70" i="7"/>
  <c r="P71" i="7"/>
  <c r="Q71" i="7"/>
  <c r="P72" i="7"/>
  <c r="Q72" i="7"/>
  <c r="P73" i="7"/>
  <c r="Q73" i="7"/>
  <c r="P74" i="7"/>
  <c r="Q74" i="7"/>
  <c r="P75" i="7"/>
  <c r="Q75" i="7"/>
  <c r="P76" i="7"/>
  <c r="Q76" i="7"/>
  <c r="P77" i="7"/>
  <c r="Q77" i="7"/>
  <c r="AF40" i="5"/>
  <c r="AK40" i="5"/>
  <c r="AO40" i="5" s="1"/>
  <c r="AN40" i="5"/>
  <c r="AS40" i="5"/>
  <c r="AT40" i="5"/>
  <c r="AX40" i="5"/>
  <c r="AY40" i="5"/>
  <c r="AZ40" i="5" s="1"/>
  <c r="A40" i="5"/>
  <c r="W77" i="7" l="1"/>
  <c r="H39" i="5"/>
  <c r="A5" i="5" l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" i="5"/>
  <c r="Q4" i="8" l="1"/>
  <c r="Q5" i="8"/>
  <c r="Q6" i="8"/>
  <c r="Q3" i="8"/>
  <c r="O9" i="9" l="1"/>
  <c r="O8" i="9"/>
  <c r="O7" i="9"/>
  <c r="O6" i="9"/>
  <c r="O5" i="9"/>
  <c r="O4" i="9"/>
  <c r="O3" i="9"/>
  <c r="O2" i="9"/>
  <c r="A3" i="10"/>
  <c r="A4" i="10" s="1"/>
  <c r="A5" i="10" s="1"/>
  <c r="A6" i="10" s="1"/>
  <c r="A7" i="10" s="1"/>
  <c r="A8" i="10" s="1"/>
  <c r="A9" i="10" s="1"/>
  <c r="A3" i="9"/>
  <c r="A4" i="9" s="1"/>
  <c r="A5" i="9" s="1"/>
  <c r="A6" i="9" s="1"/>
  <c r="A7" i="9" s="1"/>
  <c r="A8" i="9" s="1"/>
  <c r="A9" i="9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L299" i="8"/>
  <c r="M299" i="8" s="1"/>
  <c r="N299" i="8" s="1"/>
  <c r="I299" i="8"/>
  <c r="A299" i="8"/>
  <c r="L298" i="8"/>
  <c r="M298" i="8" s="1"/>
  <c r="N298" i="8" s="1"/>
  <c r="I298" i="8"/>
  <c r="A298" i="8"/>
  <c r="L297" i="8"/>
  <c r="M297" i="8" s="1"/>
  <c r="N297" i="8" s="1"/>
  <c r="I297" i="8"/>
  <c r="A297" i="8"/>
  <c r="L296" i="8"/>
  <c r="M296" i="8" s="1"/>
  <c r="N296" i="8" s="1"/>
  <c r="I296" i="8"/>
  <c r="A296" i="8"/>
  <c r="L295" i="8"/>
  <c r="M295" i="8" s="1"/>
  <c r="N295" i="8" s="1"/>
  <c r="I295" i="8"/>
  <c r="A295" i="8"/>
  <c r="L294" i="8"/>
  <c r="M294" i="8" s="1"/>
  <c r="N294" i="8" s="1"/>
  <c r="I294" i="8"/>
  <c r="A294" i="8"/>
  <c r="L293" i="8"/>
  <c r="M293" i="8" s="1"/>
  <c r="N293" i="8" s="1"/>
  <c r="I293" i="8"/>
  <c r="A293" i="8"/>
  <c r="L292" i="8"/>
  <c r="M292" i="8" s="1"/>
  <c r="N292" i="8" s="1"/>
  <c r="I292" i="8"/>
  <c r="A292" i="8"/>
  <c r="L291" i="8"/>
  <c r="M291" i="8" s="1"/>
  <c r="N291" i="8" s="1"/>
  <c r="I291" i="8"/>
  <c r="A291" i="8"/>
  <c r="M290" i="8"/>
  <c r="N290" i="8" s="1"/>
  <c r="L290" i="8"/>
  <c r="I290" i="8"/>
  <c r="A290" i="8"/>
  <c r="L289" i="8"/>
  <c r="M289" i="8" s="1"/>
  <c r="N289" i="8" s="1"/>
  <c r="I289" i="8"/>
  <c r="A289" i="8"/>
  <c r="L288" i="8"/>
  <c r="M288" i="8" s="1"/>
  <c r="N288" i="8" s="1"/>
  <c r="I288" i="8"/>
  <c r="A288" i="8"/>
  <c r="L287" i="8"/>
  <c r="M287" i="8" s="1"/>
  <c r="N287" i="8" s="1"/>
  <c r="I287" i="8"/>
  <c r="A287" i="8"/>
  <c r="L286" i="8"/>
  <c r="M286" i="8" s="1"/>
  <c r="N286" i="8" s="1"/>
  <c r="I286" i="8"/>
  <c r="A286" i="8"/>
  <c r="L285" i="8"/>
  <c r="M285" i="8" s="1"/>
  <c r="N285" i="8" s="1"/>
  <c r="I285" i="8"/>
  <c r="A285" i="8"/>
  <c r="L284" i="8"/>
  <c r="M284" i="8" s="1"/>
  <c r="N284" i="8" s="1"/>
  <c r="I284" i="8"/>
  <c r="A284" i="8"/>
  <c r="L283" i="8"/>
  <c r="M283" i="8" s="1"/>
  <c r="N283" i="8" s="1"/>
  <c r="I283" i="8"/>
  <c r="A283" i="8"/>
  <c r="L282" i="8"/>
  <c r="M282" i="8" s="1"/>
  <c r="N282" i="8" s="1"/>
  <c r="I282" i="8"/>
  <c r="A282" i="8"/>
  <c r="L281" i="8"/>
  <c r="M281" i="8" s="1"/>
  <c r="N281" i="8" s="1"/>
  <c r="I281" i="8"/>
  <c r="A281" i="8"/>
  <c r="L280" i="8"/>
  <c r="M280" i="8" s="1"/>
  <c r="N280" i="8" s="1"/>
  <c r="I280" i="8"/>
  <c r="A280" i="8"/>
  <c r="L279" i="8"/>
  <c r="M279" i="8" s="1"/>
  <c r="N279" i="8" s="1"/>
  <c r="I279" i="8"/>
  <c r="A279" i="8"/>
  <c r="L278" i="8"/>
  <c r="M278" i="8" s="1"/>
  <c r="N278" i="8" s="1"/>
  <c r="I278" i="8"/>
  <c r="A278" i="8"/>
  <c r="L277" i="8"/>
  <c r="M277" i="8" s="1"/>
  <c r="N277" i="8" s="1"/>
  <c r="I277" i="8"/>
  <c r="A277" i="8"/>
  <c r="L276" i="8"/>
  <c r="M276" i="8" s="1"/>
  <c r="N276" i="8" s="1"/>
  <c r="I276" i="8"/>
  <c r="A276" i="8"/>
  <c r="L275" i="8"/>
  <c r="M275" i="8" s="1"/>
  <c r="N275" i="8" s="1"/>
  <c r="I275" i="8"/>
  <c r="A275" i="8"/>
  <c r="L274" i="8"/>
  <c r="M274" i="8" s="1"/>
  <c r="N274" i="8" s="1"/>
  <c r="I274" i="8"/>
  <c r="A274" i="8"/>
  <c r="L273" i="8"/>
  <c r="M273" i="8" s="1"/>
  <c r="N273" i="8" s="1"/>
  <c r="I273" i="8"/>
  <c r="A273" i="8"/>
  <c r="L272" i="8"/>
  <c r="M272" i="8" s="1"/>
  <c r="N272" i="8" s="1"/>
  <c r="I272" i="8"/>
  <c r="A272" i="8"/>
  <c r="L271" i="8"/>
  <c r="M271" i="8" s="1"/>
  <c r="N271" i="8" s="1"/>
  <c r="I271" i="8"/>
  <c r="A271" i="8"/>
  <c r="L270" i="8"/>
  <c r="M270" i="8" s="1"/>
  <c r="N270" i="8" s="1"/>
  <c r="I270" i="8"/>
  <c r="A270" i="8"/>
  <c r="L269" i="8"/>
  <c r="M269" i="8" s="1"/>
  <c r="N269" i="8" s="1"/>
  <c r="I269" i="8"/>
  <c r="A269" i="8"/>
  <c r="L268" i="8"/>
  <c r="M268" i="8" s="1"/>
  <c r="N268" i="8" s="1"/>
  <c r="I268" i="8"/>
  <c r="A268" i="8"/>
  <c r="L267" i="8"/>
  <c r="M267" i="8" s="1"/>
  <c r="N267" i="8" s="1"/>
  <c r="I267" i="8"/>
  <c r="A267" i="8"/>
  <c r="L266" i="8"/>
  <c r="M266" i="8" s="1"/>
  <c r="N266" i="8" s="1"/>
  <c r="I266" i="8"/>
  <c r="A266" i="8"/>
  <c r="L265" i="8"/>
  <c r="M265" i="8" s="1"/>
  <c r="N265" i="8" s="1"/>
  <c r="I265" i="8"/>
  <c r="A265" i="8"/>
  <c r="L264" i="8"/>
  <c r="M264" i="8" s="1"/>
  <c r="N264" i="8" s="1"/>
  <c r="I264" i="8"/>
  <c r="A264" i="8"/>
  <c r="L263" i="8"/>
  <c r="M263" i="8" s="1"/>
  <c r="N263" i="8" s="1"/>
  <c r="I263" i="8"/>
  <c r="A263" i="8"/>
  <c r="L262" i="8"/>
  <c r="M262" i="8" s="1"/>
  <c r="N262" i="8" s="1"/>
  <c r="I262" i="8"/>
  <c r="A262" i="8"/>
  <c r="L261" i="8"/>
  <c r="M261" i="8" s="1"/>
  <c r="N261" i="8" s="1"/>
  <c r="I261" i="8"/>
  <c r="A261" i="8"/>
  <c r="L260" i="8"/>
  <c r="M260" i="8" s="1"/>
  <c r="N260" i="8" s="1"/>
  <c r="I260" i="8"/>
  <c r="A260" i="8"/>
  <c r="L259" i="8"/>
  <c r="M259" i="8" s="1"/>
  <c r="N259" i="8" s="1"/>
  <c r="I259" i="8"/>
  <c r="A259" i="8"/>
  <c r="L258" i="8"/>
  <c r="M258" i="8" s="1"/>
  <c r="N258" i="8" s="1"/>
  <c r="I258" i="8"/>
  <c r="A258" i="8"/>
  <c r="L257" i="8"/>
  <c r="M257" i="8" s="1"/>
  <c r="N257" i="8" s="1"/>
  <c r="I257" i="8"/>
  <c r="A257" i="8"/>
  <c r="L256" i="8"/>
  <c r="M256" i="8" s="1"/>
  <c r="N256" i="8" s="1"/>
  <c r="I256" i="8"/>
  <c r="A256" i="8"/>
  <c r="L255" i="8"/>
  <c r="M255" i="8" s="1"/>
  <c r="N255" i="8" s="1"/>
  <c r="I255" i="8"/>
  <c r="A255" i="8"/>
  <c r="L254" i="8"/>
  <c r="M254" i="8" s="1"/>
  <c r="N254" i="8" s="1"/>
  <c r="I254" i="8"/>
  <c r="A254" i="8"/>
  <c r="L253" i="8"/>
  <c r="M253" i="8" s="1"/>
  <c r="N253" i="8" s="1"/>
  <c r="I253" i="8"/>
  <c r="A253" i="8"/>
  <c r="L252" i="8"/>
  <c r="M252" i="8" s="1"/>
  <c r="N252" i="8" s="1"/>
  <c r="I252" i="8"/>
  <c r="A252" i="8"/>
  <c r="L251" i="8"/>
  <c r="M251" i="8" s="1"/>
  <c r="N251" i="8" s="1"/>
  <c r="I251" i="8"/>
  <c r="A251" i="8"/>
  <c r="L250" i="8"/>
  <c r="M250" i="8" s="1"/>
  <c r="N250" i="8" s="1"/>
  <c r="I250" i="8"/>
  <c r="A250" i="8"/>
  <c r="L249" i="8"/>
  <c r="M249" i="8" s="1"/>
  <c r="N249" i="8" s="1"/>
  <c r="I249" i="8"/>
  <c r="A249" i="8"/>
  <c r="L248" i="8"/>
  <c r="M248" i="8" s="1"/>
  <c r="N248" i="8" s="1"/>
  <c r="I248" i="8"/>
  <c r="A248" i="8"/>
  <c r="L247" i="8"/>
  <c r="M247" i="8" s="1"/>
  <c r="N247" i="8" s="1"/>
  <c r="I247" i="8"/>
  <c r="A247" i="8"/>
  <c r="L246" i="8"/>
  <c r="M246" i="8" s="1"/>
  <c r="N246" i="8" s="1"/>
  <c r="I246" i="8"/>
  <c r="A246" i="8"/>
  <c r="L245" i="8"/>
  <c r="M245" i="8" s="1"/>
  <c r="N245" i="8" s="1"/>
  <c r="I245" i="8"/>
  <c r="A245" i="8"/>
  <c r="L244" i="8"/>
  <c r="M244" i="8" s="1"/>
  <c r="N244" i="8" s="1"/>
  <c r="I244" i="8"/>
  <c r="A244" i="8"/>
  <c r="L243" i="8"/>
  <c r="M243" i="8" s="1"/>
  <c r="N243" i="8" s="1"/>
  <c r="I243" i="8"/>
  <c r="A243" i="8"/>
  <c r="L242" i="8"/>
  <c r="M242" i="8" s="1"/>
  <c r="N242" i="8" s="1"/>
  <c r="I242" i="8"/>
  <c r="A242" i="8"/>
  <c r="L241" i="8"/>
  <c r="M241" i="8" s="1"/>
  <c r="N241" i="8" s="1"/>
  <c r="I241" i="8"/>
  <c r="A241" i="8"/>
  <c r="L240" i="8"/>
  <c r="M240" i="8" s="1"/>
  <c r="N240" i="8" s="1"/>
  <c r="I240" i="8"/>
  <c r="A240" i="8"/>
  <c r="L239" i="8"/>
  <c r="M239" i="8" s="1"/>
  <c r="N239" i="8" s="1"/>
  <c r="I239" i="8"/>
  <c r="A239" i="8"/>
  <c r="L238" i="8"/>
  <c r="M238" i="8" s="1"/>
  <c r="N238" i="8" s="1"/>
  <c r="I238" i="8"/>
  <c r="A238" i="8"/>
  <c r="L237" i="8"/>
  <c r="M237" i="8" s="1"/>
  <c r="N237" i="8" s="1"/>
  <c r="I237" i="8"/>
  <c r="A237" i="8"/>
  <c r="L236" i="8"/>
  <c r="M236" i="8" s="1"/>
  <c r="N236" i="8" s="1"/>
  <c r="I236" i="8"/>
  <c r="A236" i="8"/>
  <c r="L235" i="8"/>
  <c r="M235" i="8" s="1"/>
  <c r="N235" i="8" s="1"/>
  <c r="I235" i="8"/>
  <c r="A235" i="8"/>
  <c r="L234" i="8"/>
  <c r="M234" i="8" s="1"/>
  <c r="N234" i="8" s="1"/>
  <c r="I234" i="8"/>
  <c r="A234" i="8"/>
  <c r="L233" i="8"/>
  <c r="M233" i="8" s="1"/>
  <c r="N233" i="8" s="1"/>
  <c r="I233" i="8"/>
  <c r="A233" i="8"/>
  <c r="L232" i="8"/>
  <c r="M232" i="8" s="1"/>
  <c r="N232" i="8" s="1"/>
  <c r="I232" i="8"/>
  <c r="A232" i="8"/>
  <c r="L231" i="8"/>
  <c r="M231" i="8" s="1"/>
  <c r="N231" i="8" s="1"/>
  <c r="I231" i="8"/>
  <c r="A231" i="8"/>
  <c r="L230" i="8"/>
  <c r="M230" i="8" s="1"/>
  <c r="N230" i="8" s="1"/>
  <c r="I230" i="8"/>
  <c r="A230" i="8"/>
  <c r="L229" i="8"/>
  <c r="M229" i="8" s="1"/>
  <c r="N229" i="8" s="1"/>
  <c r="I229" i="8"/>
  <c r="A229" i="8"/>
  <c r="L228" i="8"/>
  <c r="M228" i="8" s="1"/>
  <c r="N228" i="8" s="1"/>
  <c r="I228" i="8"/>
  <c r="A228" i="8"/>
  <c r="L227" i="8"/>
  <c r="M227" i="8" s="1"/>
  <c r="N227" i="8" s="1"/>
  <c r="I227" i="8"/>
  <c r="A227" i="8"/>
  <c r="L226" i="8"/>
  <c r="M226" i="8" s="1"/>
  <c r="N226" i="8" s="1"/>
  <c r="I226" i="8"/>
  <c r="A226" i="8"/>
  <c r="L225" i="8"/>
  <c r="M225" i="8" s="1"/>
  <c r="N225" i="8" s="1"/>
  <c r="I225" i="8"/>
  <c r="A225" i="8"/>
  <c r="L224" i="8"/>
  <c r="M224" i="8" s="1"/>
  <c r="N224" i="8" s="1"/>
  <c r="I224" i="8"/>
  <c r="A224" i="8"/>
  <c r="L223" i="8"/>
  <c r="M223" i="8" s="1"/>
  <c r="N223" i="8" s="1"/>
  <c r="I223" i="8"/>
  <c r="A223" i="8"/>
  <c r="L222" i="8"/>
  <c r="M222" i="8" s="1"/>
  <c r="N222" i="8" s="1"/>
  <c r="I222" i="8"/>
  <c r="A222" i="8"/>
  <c r="L221" i="8"/>
  <c r="M221" i="8" s="1"/>
  <c r="N221" i="8" s="1"/>
  <c r="I221" i="8"/>
  <c r="A221" i="8"/>
  <c r="L220" i="8"/>
  <c r="M220" i="8" s="1"/>
  <c r="N220" i="8" s="1"/>
  <c r="I220" i="8"/>
  <c r="A220" i="8"/>
  <c r="L219" i="8"/>
  <c r="M219" i="8" s="1"/>
  <c r="N219" i="8" s="1"/>
  <c r="I219" i="8"/>
  <c r="A219" i="8"/>
  <c r="L218" i="8"/>
  <c r="M218" i="8" s="1"/>
  <c r="N218" i="8" s="1"/>
  <c r="I218" i="8"/>
  <c r="A218" i="8"/>
  <c r="L217" i="8"/>
  <c r="M217" i="8" s="1"/>
  <c r="N217" i="8" s="1"/>
  <c r="I217" i="8"/>
  <c r="A217" i="8"/>
  <c r="L216" i="8"/>
  <c r="M216" i="8" s="1"/>
  <c r="N216" i="8" s="1"/>
  <c r="I216" i="8"/>
  <c r="A216" i="8"/>
  <c r="L215" i="8"/>
  <c r="M215" i="8" s="1"/>
  <c r="N215" i="8" s="1"/>
  <c r="I215" i="8"/>
  <c r="A215" i="8"/>
  <c r="L214" i="8"/>
  <c r="M214" i="8" s="1"/>
  <c r="N214" i="8" s="1"/>
  <c r="I214" i="8"/>
  <c r="A214" i="8"/>
  <c r="L213" i="8"/>
  <c r="M213" i="8" s="1"/>
  <c r="N213" i="8" s="1"/>
  <c r="I213" i="8"/>
  <c r="A213" i="8"/>
  <c r="L212" i="8"/>
  <c r="M212" i="8" s="1"/>
  <c r="N212" i="8" s="1"/>
  <c r="I212" i="8"/>
  <c r="A212" i="8"/>
  <c r="L211" i="8"/>
  <c r="M211" i="8" s="1"/>
  <c r="N211" i="8" s="1"/>
  <c r="I211" i="8"/>
  <c r="A211" i="8"/>
  <c r="L210" i="8"/>
  <c r="M210" i="8" s="1"/>
  <c r="N210" i="8" s="1"/>
  <c r="I210" i="8"/>
  <c r="A210" i="8"/>
  <c r="L209" i="8"/>
  <c r="M209" i="8" s="1"/>
  <c r="N209" i="8" s="1"/>
  <c r="I209" i="8"/>
  <c r="A209" i="8"/>
  <c r="L208" i="8"/>
  <c r="M208" i="8" s="1"/>
  <c r="N208" i="8" s="1"/>
  <c r="I208" i="8"/>
  <c r="A208" i="8"/>
  <c r="L207" i="8"/>
  <c r="M207" i="8" s="1"/>
  <c r="N207" i="8" s="1"/>
  <c r="I207" i="8"/>
  <c r="A207" i="8"/>
  <c r="L206" i="8"/>
  <c r="M206" i="8" s="1"/>
  <c r="N206" i="8" s="1"/>
  <c r="I206" i="8"/>
  <c r="A206" i="8"/>
  <c r="L205" i="8"/>
  <c r="M205" i="8" s="1"/>
  <c r="N205" i="8" s="1"/>
  <c r="I205" i="8"/>
  <c r="A205" i="8"/>
  <c r="L204" i="8"/>
  <c r="M204" i="8" s="1"/>
  <c r="N204" i="8" s="1"/>
  <c r="I204" i="8"/>
  <c r="A204" i="8"/>
  <c r="L203" i="8"/>
  <c r="M203" i="8" s="1"/>
  <c r="N203" i="8" s="1"/>
  <c r="I203" i="8"/>
  <c r="A203" i="8"/>
  <c r="L202" i="8"/>
  <c r="M202" i="8" s="1"/>
  <c r="N202" i="8" s="1"/>
  <c r="I202" i="8"/>
  <c r="A202" i="8"/>
  <c r="L201" i="8"/>
  <c r="M201" i="8" s="1"/>
  <c r="N201" i="8" s="1"/>
  <c r="I201" i="8"/>
  <c r="A201" i="8"/>
  <c r="L200" i="8"/>
  <c r="M200" i="8" s="1"/>
  <c r="N200" i="8" s="1"/>
  <c r="I200" i="8"/>
  <c r="A200" i="8"/>
  <c r="L199" i="8"/>
  <c r="M199" i="8" s="1"/>
  <c r="N199" i="8" s="1"/>
  <c r="I199" i="8"/>
  <c r="A199" i="8"/>
  <c r="L198" i="8"/>
  <c r="M198" i="8" s="1"/>
  <c r="N198" i="8" s="1"/>
  <c r="I198" i="8"/>
  <c r="A198" i="8"/>
  <c r="L197" i="8"/>
  <c r="M197" i="8" s="1"/>
  <c r="N197" i="8" s="1"/>
  <c r="I197" i="8"/>
  <c r="A197" i="8"/>
  <c r="L196" i="8"/>
  <c r="M196" i="8" s="1"/>
  <c r="N196" i="8" s="1"/>
  <c r="I196" i="8"/>
  <c r="A196" i="8"/>
  <c r="L195" i="8"/>
  <c r="M195" i="8" s="1"/>
  <c r="N195" i="8" s="1"/>
  <c r="I195" i="8"/>
  <c r="A195" i="8"/>
  <c r="L194" i="8"/>
  <c r="M194" i="8" s="1"/>
  <c r="N194" i="8" s="1"/>
  <c r="I194" i="8"/>
  <c r="A194" i="8"/>
  <c r="L193" i="8"/>
  <c r="M193" i="8" s="1"/>
  <c r="N193" i="8" s="1"/>
  <c r="I193" i="8"/>
  <c r="A193" i="8"/>
  <c r="L192" i="8"/>
  <c r="M192" i="8" s="1"/>
  <c r="N192" i="8" s="1"/>
  <c r="I192" i="8"/>
  <c r="A192" i="8"/>
  <c r="L191" i="8"/>
  <c r="M191" i="8" s="1"/>
  <c r="N191" i="8" s="1"/>
  <c r="I191" i="8"/>
  <c r="A191" i="8"/>
  <c r="L190" i="8"/>
  <c r="M190" i="8" s="1"/>
  <c r="N190" i="8" s="1"/>
  <c r="I190" i="8"/>
  <c r="A190" i="8"/>
  <c r="L189" i="8"/>
  <c r="M189" i="8" s="1"/>
  <c r="N189" i="8" s="1"/>
  <c r="I189" i="8"/>
  <c r="A189" i="8"/>
  <c r="L188" i="8"/>
  <c r="M188" i="8" s="1"/>
  <c r="N188" i="8" s="1"/>
  <c r="I188" i="8"/>
  <c r="A188" i="8"/>
  <c r="L187" i="8"/>
  <c r="M187" i="8" s="1"/>
  <c r="N187" i="8" s="1"/>
  <c r="I187" i="8"/>
  <c r="A187" i="8"/>
  <c r="L186" i="8"/>
  <c r="M186" i="8" s="1"/>
  <c r="N186" i="8" s="1"/>
  <c r="I186" i="8"/>
  <c r="A186" i="8"/>
  <c r="L185" i="8"/>
  <c r="M185" i="8" s="1"/>
  <c r="N185" i="8" s="1"/>
  <c r="I185" i="8"/>
  <c r="A185" i="8"/>
  <c r="L184" i="8"/>
  <c r="M184" i="8" s="1"/>
  <c r="N184" i="8" s="1"/>
  <c r="I184" i="8"/>
  <c r="A184" i="8"/>
  <c r="L183" i="8"/>
  <c r="M183" i="8" s="1"/>
  <c r="N183" i="8" s="1"/>
  <c r="I183" i="8"/>
  <c r="A183" i="8"/>
  <c r="L182" i="8"/>
  <c r="M182" i="8" s="1"/>
  <c r="N182" i="8" s="1"/>
  <c r="I182" i="8"/>
  <c r="A182" i="8"/>
  <c r="L181" i="8"/>
  <c r="M181" i="8" s="1"/>
  <c r="N181" i="8" s="1"/>
  <c r="I181" i="8"/>
  <c r="A181" i="8"/>
  <c r="L180" i="8"/>
  <c r="M180" i="8" s="1"/>
  <c r="N180" i="8" s="1"/>
  <c r="I180" i="8"/>
  <c r="A180" i="8"/>
  <c r="L179" i="8"/>
  <c r="M179" i="8" s="1"/>
  <c r="N179" i="8" s="1"/>
  <c r="I179" i="8"/>
  <c r="A179" i="8"/>
  <c r="L178" i="8"/>
  <c r="M178" i="8" s="1"/>
  <c r="N178" i="8" s="1"/>
  <c r="I178" i="8"/>
  <c r="A178" i="8"/>
  <c r="L177" i="8"/>
  <c r="M177" i="8" s="1"/>
  <c r="N177" i="8" s="1"/>
  <c r="I177" i="8"/>
  <c r="A177" i="8"/>
  <c r="L176" i="8"/>
  <c r="M176" i="8" s="1"/>
  <c r="N176" i="8" s="1"/>
  <c r="I176" i="8"/>
  <c r="A176" i="8"/>
  <c r="L175" i="8"/>
  <c r="M175" i="8" s="1"/>
  <c r="N175" i="8" s="1"/>
  <c r="I175" i="8"/>
  <c r="A175" i="8"/>
  <c r="L174" i="8"/>
  <c r="M174" i="8" s="1"/>
  <c r="N174" i="8" s="1"/>
  <c r="I174" i="8"/>
  <c r="A174" i="8"/>
  <c r="L173" i="8"/>
  <c r="M173" i="8" s="1"/>
  <c r="N173" i="8" s="1"/>
  <c r="I173" i="8"/>
  <c r="A173" i="8"/>
  <c r="L172" i="8"/>
  <c r="M172" i="8" s="1"/>
  <c r="N172" i="8" s="1"/>
  <c r="I172" i="8"/>
  <c r="A172" i="8"/>
  <c r="L171" i="8"/>
  <c r="M171" i="8" s="1"/>
  <c r="N171" i="8" s="1"/>
  <c r="I171" i="8"/>
  <c r="A171" i="8"/>
  <c r="L170" i="8"/>
  <c r="M170" i="8" s="1"/>
  <c r="N170" i="8" s="1"/>
  <c r="I170" i="8"/>
  <c r="A170" i="8"/>
  <c r="L169" i="8"/>
  <c r="M169" i="8" s="1"/>
  <c r="N169" i="8" s="1"/>
  <c r="I169" i="8"/>
  <c r="A169" i="8"/>
  <c r="L168" i="8"/>
  <c r="M168" i="8" s="1"/>
  <c r="N168" i="8" s="1"/>
  <c r="I168" i="8"/>
  <c r="A168" i="8"/>
  <c r="L167" i="8"/>
  <c r="M167" i="8" s="1"/>
  <c r="N167" i="8" s="1"/>
  <c r="I167" i="8"/>
  <c r="A167" i="8"/>
  <c r="L166" i="8"/>
  <c r="M166" i="8" s="1"/>
  <c r="N166" i="8" s="1"/>
  <c r="I166" i="8"/>
  <c r="A166" i="8"/>
  <c r="L165" i="8"/>
  <c r="M165" i="8" s="1"/>
  <c r="N165" i="8" s="1"/>
  <c r="I165" i="8"/>
  <c r="A165" i="8"/>
  <c r="L164" i="8"/>
  <c r="M164" i="8" s="1"/>
  <c r="N164" i="8" s="1"/>
  <c r="I164" i="8"/>
  <c r="A164" i="8"/>
  <c r="L163" i="8"/>
  <c r="M163" i="8" s="1"/>
  <c r="N163" i="8" s="1"/>
  <c r="I163" i="8"/>
  <c r="A163" i="8"/>
  <c r="L162" i="8"/>
  <c r="M162" i="8" s="1"/>
  <c r="N162" i="8" s="1"/>
  <c r="I162" i="8"/>
  <c r="A162" i="8"/>
  <c r="L161" i="8"/>
  <c r="M161" i="8" s="1"/>
  <c r="N161" i="8" s="1"/>
  <c r="I161" i="8"/>
  <c r="A161" i="8"/>
  <c r="L160" i="8"/>
  <c r="M160" i="8" s="1"/>
  <c r="N160" i="8" s="1"/>
  <c r="I160" i="8"/>
  <c r="A160" i="8"/>
  <c r="L159" i="8"/>
  <c r="M159" i="8" s="1"/>
  <c r="N159" i="8" s="1"/>
  <c r="I159" i="8"/>
  <c r="A159" i="8"/>
  <c r="L158" i="8"/>
  <c r="M158" i="8" s="1"/>
  <c r="N158" i="8" s="1"/>
  <c r="I158" i="8"/>
  <c r="A158" i="8"/>
  <c r="L157" i="8"/>
  <c r="M157" i="8" s="1"/>
  <c r="N157" i="8" s="1"/>
  <c r="I157" i="8"/>
  <c r="A157" i="8"/>
  <c r="L156" i="8"/>
  <c r="M156" i="8" s="1"/>
  <c r="N156" i="8" s="1"/>
  <c r="I156" i="8"/>
  <c r="A156" i="8"/>
  <c r="L155" i="8"/>
  <c r="M155" i="8" s="1"/>
  <c r="N155" i="8" s="1"/>
  <c r="I155" i="8"/>
  <c r="A155" i="8"/>
  <c r="L154" i="8"/>
  <c r="M154" i="8" s="1"/>
  <c r="N154" i="8" s="1"/>
  <c r="I154" i="8"/>
  <c r="A154" i="8"/>
  <c r="L153" i="8"/>
  <c r="M153" i="8" s="1"/>
  <c r="N153" i="8" s="1"/>
  <c r="I153" i="8"/>
  <c r="A153" i="8"/>
  <c r="L152" i="8"/>
  <c r="M152" i="8" s="1"/>
  <c r="N152" i="8" s="1"/>
  <c r="I152" i="8"/>
  <c r="A152" i="8"/>
  <c r="L151" i="8"/>
  <c r="M151" i="8" s="1"/>
  <c r="N151" i="8" s="1"/>
  <c r="I151" i="8"/>
  <c r="A151" i="8"/>
  <c r="L150" i="8"/>
  <c r="M150" i="8" s="1"/>
  <c r="N150" i="8" s="1"/>
  <c r="I150" i="8"/>
  <c r="A150" i="8"/>
  <c r="L149" i="8"/>
  <c r="M149" i="8" s="1"/>
  <c r="N149" i="8" s="1"/>
  <c r="I149" i="8"/>
  <c r="A149" i="8"/>
  <c r="L148" i="8"/>
  <c r="M148" i="8" s="1"/>
  <c r="N148" i="8" s="1"/>
  <c r="I148" i="8"/>
  <c r="A148" i="8"/>
  <c r="L147" i="8"/>
  <c r="M147" i="8" s="1"/>
  <c r="N147" i="8" s="1"/>
  <c r="I147" i="8"/>
  <c r="A147" i="8"/>
  <c r="L146" i="8"/>
  <c r="M146" i="8" s="1"/>
  <c r="N146" i="8" s="1"/>
  <c r="I146" i="8"/>
  <c r="A146" i="8"/>
  <c r="L145" i="8"/>
  <c r="M145" i="8" s="1"/>
  <c r="N145" i="8" s="1"/>
  <c r="I145" i="8"/>
  <c r="A145" i="8"/>
  <c r="L144" i="8"/>
  <c r="M144" i="8" s="1"/>
  <c r="N144" i="8" s="1"/>
  <c r="I144" i="8"/>
  <c r="A144" i="8"/>
  <c r="L143" i="8"/>
  <c r="M143" i="8" s="1"/>
  <c r="N143" i="8" s="1"/>
  <c r="I143" i="8"/>
  <c r="A143" i="8"/>
  <c r="L142" i="8"/>
  <c r="M142" i="8" s="1"/>
  <c r="N142" i="8" s="1"/>
  <c r="I142" i="8"/>
  <c r="A142" i="8"/>
  <c r="L141" i="8"/>
  <c r="M141" i="8" s="1"/>
  <c r="N141" i="8" s="1"/>
  <c r="I141" i="8"/>
  <c r="A141" i="8"/>
  <c r="L140" i="8"/>
  <c r="M140" i="8" s="1"/>
  <c r="N140" i="8" s="1"/>
  <c r="I140" i="8"/>
  <c r="A140" i="8"/>
  <c r="L139" i="8"/>
  <c r="M139" i="8" s="1"/>
  <c r="N139" i="8" s="1"/>
  <c r="I139" i="8"/>
  <c r="A139" i="8"/>
  <c r="L138" i="8"/>
  <c r="M138" i="8" s="1"/>
  <c r="N138" i="8" s="1"/>
  <c r="I138" i="8"/>
  <c r="A138" i="8"/>
  <c r="L137" i="8"/>
  <c r="M137" i="8" s="1"/>
  <c r="N137" i="8" s="1"/>
  <c r="I137" i="8"/>
  <c r="A137" i="8"/>
  <c r="L136" i="8"/>
  <c r="M136" i="8" s="1"/>
  <c r="N136" i="8" s="1"/>
  <c r="I136" i="8"/>
  <c r="A136" i="8"/>
  <c r="L135" i="8"/>
  <c r="M135" i="8" s="1"/>
  <c r="N135" i="8" s="1"/>
  <c r="I135" i="8"/>
  <c r="A135" i="8"/>
  <c r="L134" i="8"/>
  <c r="M134" i="8" s="1"/>
  <c r="N134" i="8" s="1"/>
  <c r="I134" i="8"/>
  <c r="A134" i="8"/>
  <c r="L133" i="8"/>
  <c r="M133" i="8" s="1"/>
  <c r="N133" i="8" s="1"/>
  <c r="I133" i="8"/>
  <c r="A133" i="8"/>
  <c r="L132" i="8"/>
  <c r="M132" i="8" s="1"/>
  <c r="N132" i="8" s="1"/>
  <c r="I132" i="8"/>
  <c r="A132" i="8"/>
  <c r="L131" i="8"/>
  <c r="M131" i="8" s="1"/>
  <c r="N131" i="8" s="1"/>
  <c r="I131" i="8"/>
  <c r="A131" i="8"/>
  <c r="L130" i="8"/>
  <c r="M130" i="8" s="1"/>
  <c r="N130" i="8" s="1"/>
  <c r="I130" i="8"/>
  <c r="A130" i="8"/>
  <c r="L129" i="8"/>
  <c r="M129" i="8" s="1"/>
  <c r="N129" i="8" s="1"/>
  <c r="I129" i="8"/>
  <c r="A129" i="8"/>
  <c r="L128" i="8"/>
  <c r="M128" i="8" s="1"/>
  <c r="N128" i="8" s="1"/>
  <c r="I128" i="8"/>
  <c r="A128" i="8"/>
  <c r="L127" i="8"/>
  <c r="M127" i="8" s="1"/>
  <c r="N127" i="8" s="1"/>
  <c r="I127" i="8"/>
  <c r="A127" i="8"/>
  <c r="L126" i="8"/>
  <c r="M126" i="8" s="1"/>
  <c r="N126" i="8" s="1"/>
  <c r="I126" i="8"/>
  <c r="A126" i="8"/>
  <c r="L125" i="8"/>
  <c r="M125" i="8" s="1"/>
  <c r="N125" i="8" s="1"/>
  <c r="I125" i="8"/>
  <c r="A125" i="8"/>
  <c r="L124" i="8"/>
  <c r="M124" i="8" s="1"/>
  <c r="N124" i="8" s="1"/>
  <c r="I124" i="8"/>
  <c r="A124" i="8"/>
  <c r="L123" i="8"/>
  <c r="M123" i="8" s="1"/>
  <c r="N123" i="8" s="1"/>
  <c r="I123" i="8"/>
  <c r="A123" i="8"/>
  <c r="L122" i="8"/>
  <c r="M122" i="8" s="1"/>
  <c r="N122" i="8" s="1"/>
  <c r="I122" i="8"/>
  <c r="A122" i="8"/>
  <c r="L121" i="8"/>
  <c r="M121" i="8" s="1"/>
  <c r="N121" i="8" s="1"/>
  <c r="I121" i="8"/>
  <c r="A121" i="8"/>
  <c r="L120" i="8"/>
  <c r="M120" i="8" s="1"/>
  <c r="N120" i="8" s="1"/>
  <c r="I120" i="8"/>
  <c r="A120" i="8"/>
  <c r="L119" i="8"/>
  <c r="M119" i="8" s="1"/>
  <c r="N119" i="8" s="1"/>
  <c r="I119" i="8"/>
  <c r="A119" i="8"/>
  <c r="L118" i="8"/>
  <c r="M118" i="8" s="1"/>
  <c r="N118" i="8" s="1"/>
  <c r="I118" i="8"/>
  <c r="A118" i="8"/>
  <c r="L117" i="8"/>
  <c r="M117" i="8" s="1"/>
  <c r="N117" i="8" s="1"/>
  <c r="I117" i="8"/>
  <c r="A117" i="8"/>
  <c r="L116" i="8"/>
  <c r="M116" i="8" s="1"/>
  <c r="N116" i="8" s="1"/>
  <c r="I116" i="8"/>
  <c r="A116" i="8"/>
  <c r="L115" i="8"/>
  <c r="M115" i="8" s="1"/>
  <c r="N115" i="8" s="1"/>
  <c r="I115" i="8"/>
  <c r="A115" i="8"/>
  <c r="L114" i="8"/>
  <c r="M114" i="8" s="1"/>
  <c r="N114" i="8" s="1"/>
  <c r="I114" i="8"/>
  <c r="A114" i="8"/>
  <c r="L113" i="8"/>
  <c r="M113" i="8" s="1"/>
  <c r="N113" i="8" s="1"/>
  <c r="I113" i="8"/>
  <c r="A113" i="8"/>
  <c r="L112" i="8"/>
  <c r="M112" i="8" s="1"/>
  <c r="N112" i="8" s="1"/>
  <c r="I112" i="8"/>
  <c r="A112" i="8"/>
  <c r="L111" i="8"/>
  <c r="M111" i="8" s="1"/>
  <c r="N111" i="8" s="1"/>
  <c r="I111" i="8"/>
  <c r="A111" i="8"/>
  <c r="L110" i="8"/>
  <c r="M110" i="8" s="1"/>
  <c r="N110" i="8" s="1"/>
  <c r="I110" i="8"/>
  <c r="A110" i="8"/>
  <c r="L109" i="8"/>
  <c r="M109" i="8" s="1"/>
  <c r="N109" i="8" s="1"/>
  <c r="I109" i="8"/>
  <c r="A109" i="8"/>
  <c r="L108" i="8"/>
  <c r="M108" i="8" s="1"/>
  <c r="N108" i="8" s="1"/>
  <c r="I108" i="8"/>
  <c r="A108" i="8"/>
  <c r="L107" i="8"/>
  <c r="M107" i="8" s="1"/>
  <c r="N107" i="8" s="1"/>
  <c r="I107" i="8"/>
  <c r="A107" i="8"/>
  <c r="L106" i="8"/>
  <c r="M106" i="8" s="1"/>
  <c r="N106" i="8" s="1"/>
  <c r="I106" i="8"/>
  <c r="A106" i="8"/>
  <c r="L105" i="8"/>
  <c r="M105" i="8" s="1"/>
  <c r="N105" i="8" s="1"/>
  <c r="I105" i="8"/>
  <c r="A105" i="8"/>
  <c r="L104" i="8"/>
  <c r="M104" i="8" s="1"/>
  <c r="N104" i="8" s="1"/>
  <c r="I104" i="8"/>
  <c r="A104" i="8"/>
  <c r="L103" i="8"/>
  <c r="M103" i="8" s="1"/>
  <c r="N103" i="8" s="1"/>
  <c r="I103" i="8"/>
  <c r="A103" i="8"/>
  <c r="L102" i="8"/>
  <c r="M102" i="8" s="1"/>
  <c r="N102" i="8" s="1"/>
  <c r="I102" i="8"/>
  <c r="A102" i="8"/>
  <c r="L101" i="8"/>
  <c r="M101" i="8" s="1"/>
  <c r="N101" i="8" s="1"/>
  <c r="I101" i="8"/>
  <c r="A101" i="8"/>
  <c r="L100" i="8"/>
  <c r="M100" i="8" s="1"/>
  <c r="N100" i="8" s="1"/>
  <c r="I100" i="8"/>
  <c r="A100" i="8"/>
  <c r="L99" i="8"/>
  <c r="M99" i="8" s="1"/>
  <c r="N99" i="8" s="1"/>
  <c r="I99" i="8"/>
  <c r="A99" i="8"/>
  <c r="L98" i="8"/>
  <c r="M98" i="8" s="1"/>
  <c r="N98" i="8" s="1"/>
  <c r="I98" i="8"/>
  <c r="A98" i="8"/>
  <c r="L97" i="8"/>
  <c r="M97" i="8" s="1"/>
  <c r="N97" i="8" s="1"/>
  <c r="I97" i="8"/>
  <c r="A97" i="8"/>
  <c r="L96" i="8"/>
  <c r="M96" i="8" s="1"/>
  <c r="N96" i="8" s="1"/>
  <c r="I96" i="8"/>
  <c r="A96" i="8"/>
  <c r="L95" i="8"/>
  <c r="M95" i="8" s="1"/>
  <c r="N95" i="8" s="1"/>
  <c r="I95" i="8"/>
  <c r="A95" i="8"/>
  <c r="L94" i="8"/>
  <c r="M94" i="8" s="1"/>
  <c r="N94" i="8" s="1"/>
  <c r="I94" i="8"/>
  <c r="A94" i="8"/>
  <c r="L93" i="8"/>
  <c r="M93" i="8" s="1"/>
  <c r="N93" i="8" s="1"/>
  <c r="I93" i="8"/>
  <c r="A93" i="8"/>
  <c r="L92" i="8"/>
  <c r="M92" i="8" s="1"/>
  <c r="N92" i="8" s="1"/>
  <c r="I92" i="8"/>
  <c r="A92" i="8"/>
  <c r="L91" i="8"/>
  <c r="M91" i="8" s="1"/>
  <c r="N91" i="8" s="1"/>
  <c r="I91" i="8"/>
  <c r="A91" i="8"/>
  <c r="L90" i="8"/>
  <c r="M90" i="8" s="1"/>
  <c r="N90" i="8" s="1"/>
  <c r="I90" i="8"/>
  <c r="A90" i="8"/>
  <c r="L89" i="8"/>
  <c r="M89" i="8" s="1"/>
  <c r="N89" i="8" s="1"/>
  <c r="I89" i="8"/>
  <c r="A89" i="8"/>
  <c r="L88" i="8"/>
  <c r="M88" i="8" s="1"/>
  <c r="N88" i="8" s="1"/>
  <c r="I88" i="8"/>
  <c r="A88" i="8"/>
  <c r="L87" i="8"/>
  <c r="M87" i="8" s="1"/>
  <c r="N87" i="8" s="1"/>
  <c r="I87" i="8"/>
  <c r="A87" i="8"/>
  <c r="L86" i="8"/>
  <c r="M86" i="8" s="1"/>
  <c r="N86" i="8" s="1"/>
  <c r="I86" i="8"/>
  <c r="A86" i="8"/>
  <c r="L85" i="8"/>
  <c r="M85" i="8" s="1"/>
  <c r="N85" i="8" s="1"/>
  <c r="I85" i="8"/>
  <c r="A85" i="8"/>
  <c r="L84" i="8"/>
  <c r="M84" i="8" s="1"/>
  <c r="N84" i="8" s="1"/>
  <c r="I84" i="8"/>
  <c r="A84" i="8"/>
  <c r="L83" i="8"/>
  <c r="M83" i="8" s="1"/>
  <c r="N83" i="8" s="1"/>
  <c r="I83" i="8"/>
  <c r="A83" i="8"/>
  <c r="L82" i="8"/>
  <c r="M82" i="8" s="1"/>
  <c r="N82" i="8" s="1"/>
  <c r="I82" i="8"/>
  <c r="A82" i="8"/>
  <c r="L81" i="8"/>
  <c r="M81" i="8" s="1"/>
  <c r="N81" i="8" s="1"/>
  <c r="I81" i="8"/>
  <c r="A81" i="8"/>
  <c r="L80" i="8"/>
  <c r="M80" i="8" s="1"/>
  <c r="N80" i="8" s="1"/>
  <c r="I80" i="8"/>
  <c r="A80" i="8"/>
  <c r="L79" i="8"/>
  <c r="M79" i="8" s="1"/>
  <c r="N79" i="8" s="1"/>
  <c r="I79" i="8"/>
  <c r="A79" i="8"/>
  <c r="L78" i="8"/>
  <c r="M78" i="8" s="1"/>
  <c r="N78" i="8" s="1"/>
  <c r="I78" i="8"/>
  <c r="A78" i="8"/>
  <c r="L77" i="8"/>
  <c r="M77" i="8" s="1"/>
  <c r="N77" i="8" s="1"/>
  <c r="I77" i="8"/>
  <c r="A77" i="8"/>
  <c r="L76" i="8"/>
  <c r="M76" i="8" s="1"/>
  <c r="N76" i="8" s="1"/>
  <c r="I76" i="8"/>
  <c r="A76" i="8"/>
  <c r="L75" i="8"/>
  <c r="M75" i="8" s="1"/>
  <c r="N75" i="8" s="1"/>
  <c r="I75" i="8"/>
  <c r="A75" i="8"/>
  <c r="L74" i="8"/>
  <c r="M74" i="8" s="1"/>
  <c r="N74" i="8" s="1"/>
  <c r="I74" i="8"/>
  <c r="A74" i="8"/>
  <c r="L73" i="8"/>
  <c r="M73" i="8" s="1"/>
  <c r="N73" i="8" s="1"/>
  <c r="I73" i="8"/>
  <c r="A73" i="8"/>
  <c r="L72" i="8"/>
  <c r="M72" i="8" s="1"/>
  <c r="N72" i="8" s="1"/>
  <c r="I72" i="8"/>
  <c r="A72" i="8"/>
  <c r="L71" i="8"/>
  <c r="M71" i="8" s="1"/>
  <c r="N71" i="8" s="1"/>
  <c r="I71" i="8"/>
  <c r="A71" i="8"/>
  <c r="L70" i="8"/>
  <c r="M70" i="8" s="1"/>
  <c r="N70" i="8" s="1"/>
  <c r="I70" i="8"/>
  <c r="A70" i="8"/>
  <c r="L69" i="8"/>
  <c r="M69" i="8" s="1"/>
  <c r="N69" i="8" s="1"/>
  <c r="I69" i="8"/>
  <c r="A69" i="8"/>
  <c r="L68" i="8"/>
  <c r="M68" i="8" s="1"/>
  <c r="N68" i="8" s="1"/>
  <c r="I68" i="8"/>
  <c r="A68" i="8"/>
  <c r="L67" i="8"/>
  <c r="M67" i="8" s="1"/>
  <c r="N67" i="8" s="1"/>
  <c r="I67" i="8"/>
  <c r="A67" i="8"/>
  <c r="L66" i="8"/>
  <c r="M66" i="8" s="1"/>
  <c r="N66" i="8" s="1"/>
  <c r="I66" i="8"/>
  <c r="A66" i="8"/>
  <c r="L65" i="8"/>
  <c r="M65" i="8" s="1"/>
  <c r="N65" i="8" s="1"/>
  <c r="I65" i="8"/>
  <c r="A65" i="8"/>
  <c r="L64" i="8"/>
  <c r="M64" i="8" s="1"/>
  <c r="N64" i="8" s="1"/>
  <c r="I64" i="8"/>
  <c r="A64" i="8"/>
  <c r="L63" i="8"/>
  <c r="M63" i="8" s="1"/>
  <c r="N63" i="8" s="1"/>
  <c r="I63" i="8"/>
  <c r="A63" i="8"/>
  <c r="L62" i="8"/>
  <c r="M62" i="8" s="1"/>
  <c r="N62" i="8" s="1"/>
  <c r="I62" i="8"/>
  <c r="A62" i="8"/>
  <c r="L61" i="8"/>
  <c r="M61" i="8" s="1"/>
  <c r="N61" i="8" s="1"/>
  <c r="I61" i="8"/>
  <c r="A61" i="8"/>
  <c r="L60" i="8"/>
  <c r="M60" i="8" s="1"/>
  <c r="N60" i="8" s="1"/>
  <c r="I60" i="8"/>
  <c r="A60" i="8"/>
  <c r="L59" i="8"/>
  <c r="M59" i="8" s="1"/>
  <c r="N59" i="8" s="1"/>
  <c r="I59" i="8"/>
  <c r="A59" i="8"/>
  <c r="L58" i="8"/>
  <c r="M58" i="8" s="1"/>
  <c r="N58" i="8" s="1"/>
  <c r="I58" i="8"/>
  <c r="A58" i="8"/>
  <c r="L57" i="8"/>
  <c r="M57" i="8" s="1"/>
  <c r="N57" i="8" s="1"/>
  <c r="I57" i="8"/>
  <c r="A57" i="8"/>
  <c r="L56" i="8"/>
  <c r="M56" i="8" s="1"/>
  <c r="N56" i="8" s="1"/>
  <c r="I56" i="8"/>
  <c r="A56" i="8"/>
  <c r="L55" i="8"/>
  <c r="M55" i="8" s="1"/>
  <c r="N55" i="8" s="1"/>
  <c r="I55" i="8"/>
  <c r="A55" i="8"/>
  <c r="L54" i="8"/>
  <c r="M54" i="8" s="1"/>
  <c r="N54" i="8" s="1"/>
  <c r="I54" i="8"/>
  <c r="A54" i="8"/>
  <c r="L53" i="8"/>
  <c r="M53" i="8" s="1"/>
  <c r="N53" i="8" s="1"/>
  <c r="I53" i="8"/>
  <c r="A53" i="8"/>
  <c r="L52" i="8"/>
  <c r="M52" i="8" s="1"/>
  <c r="N52" i="8" s="1"/>
  <c r="I52" i="8"/>
  <c r="A52" i="8"/>
  <c r="L51" i="8"/>
  <c r="M51" i="8" s="1"/>
  <c r="N51" i="8" s="1"/>
  <c r="I51" i="8"/>
  <c r="A51" i="8"/>
  <c r="L50" i="8"/>
  <c r="M50" i="8" s="1"/>
  <c r="N50" i="8" s="1"/>
  <c r="I50" i="8"/>
  <c r="A50" i="8"/>
  <c r="L49" i="8"/>
  <c r="M49" i="8" s="1"/>
  <c r="N49" i="8" s="1"/>
  <c r="I49" i="8"/>
  <c r="A49" i="8"/>
  <c r="L48" i="8"/>
  <c r="M48" i="8" s="1"/>
  <c r="N48" i="8" s="1"/>
  <c r="I48" i="8"/>
  <c r="A48" i="8"/>
  <c r="L47" i="8"/>
  <c r="M47" i="8" s="1"/>
  <c r="N47" i="8" s="1"/>
  <c r="I47" i="8"/>
  <c r="A47" i="8"/>
  <c r="L46" i="8"/>
  <c r="M46" i="8" s="1"/>
  <c r="N46" i="8" s="1"/>
  <c r="I46" i="8"/>
  <c r="A46" i="8"/>
  <c r="L45" i="8"/>
  <c r="M45" i="8" s="1"/>
  <c r="N45" i="8" s="1"/>
  <c r="I45" i="8"/>
  <c r="A45" i="8"/>
  <c r="L44" i="8"/>
  <c r="M44" i="8" s="1"/>
  <c r="N44" i="8" s="1"/>
  <c r="I44" i="8"/>
  <c r="A44" i="8"/>
  <c r="L43" i="8"/>
  <c r="M43" i="8" s="1"/>
  <c r="N43" i="8" s="1"/>
  <c r="I43" i="8"/>
  <c r="A43" i="8"/>
  <c r="L42" i="8"/>
  <c r="M42" i="8" s="1"/>
  <c r="N42" i="8" s="1"/>
  <c r="I42" i="8"/>
  <c r="A42" i="8"/>
  <c r="L41" i="8"/>
  <c r="M41" i="8" s="1"/>
  <c r="N41" i="8" s="1"/>
  <c r="I41" i="8"/>
  <c r="A41" i="8"/>
  <c r="L40" i="8"/>
  <c r="M40" i="8" s="1"/>
  <c r="N40" i="8" s="1"/>
  <c r="I40" i="8"/>
  <c r="A40" i="8"/>
  <c r="L39" i="8"/>
  <c r="M39" i="8" s="1"/>
  <c r="N39" i="8" s="1"/>
  <c r="I39" i="8"/>
  <c r="A39" i="8"/>
  <c r="L38" i="8"/>
  <c r="M38" i="8" s="1"/>
  <c r="N38" i="8" s="1"/>
  <c r="I38" i="8"/>
  <c r="A38" i="8"/>
  <c r="L37" i="8"/>
  <c r="M37" i="8" s="1"/>
  <c r="N37" i="8" s="1"/>
  <c r="I37" i="8"/>
  <c r="A37" i="8"/>
  <c r="L36" i="8"/>
  <c r="M36" i="8" s="1"/>
  <c r="N36" i="8" s="1"/>
  <c r="I36" i="8"/>
  <c r="A36" i="8"/>
  <c r="L35" i="8"/>
  <c r="M35" i="8" s="1"/>
  <c r="N35" i="8" s="1"/>
  <c r="I35" i="8"/>
  <c r="A35" i="8"/>
  <c r="L34" i="8"/>
  <c r="M34" i="8" s="1"/>
  <c r="N34" i="8" s="1"/>
  <c r="I34" i="8"/>
  <c r="A34" i="8"/>
  <c r="L33" i="8"/>
  <c r="M33" i="8" s="1"/>
  <c r="N33" i="8" s="1"/>
  <c r="I33" i="8"/>
  <c r="A33" i="8"/>
  <c r="L32" i="8"/>
  <c r="M32" i="8" s="1"/>
  <c r="N32" i="8" s="1"/>
  <c r="I32" i="8"/>
  <c r="A32" i="8"/>
  <c r="L31" i="8"/>
  <c r="M31" i="8" s="1"/>
  <c r="N31" i="8" s="1"/>
  <c r="I31" i="8"/>
  <c r="A31" i="8"/>
  <c r="L30" i="8"/>
  <c r="M30" i="8" s="1"/>
  <c r="N30" i="8" s="1"/>
  <c r="I30" i="8"/>
  <c r="A30" i="8"/>
  <c r="L29" i="8"/>
  <c r="M29" i="8" s="1"/>
  <c r="N29" i="8" s="1"/>
  <c r="I29" i="8"/>
  <c r="A29" i="8"/>
  <c r="L28" i="8"/>
  <c r="M28" i="8" s="1"/>
  <c r="N28" i="8" s="1"/>
  <c r="I28" i="8"/>
  <c r="A28" i="8"/>
  <c r="L27" i="8"/>
  <c r="M27" i="8" s="1"/>
  <c r="N27" i="8" s="1"/>
  <c r="I27" i="8"/>
  <c r="A27" i="8"/>
  <c r="L26" i="8"/>
  <c r="M26" i="8" s="1"/>
  <c r="N26" i="8" s="1"/>
  <c r="I26" i="8"/>
  <c r="A26" i="8"/>
  <c r="L25" i="8"/>
  <c r="M25" i="8" s="1"/>
  <c r="N25" i="8" s="1"/>
  <c r="I25" i="8"/>
  <c r="A25" i="8"/>
  <c r="L24" i="8"/>
  <c r="M24" i="8" s="1"/>
  <c r="N24" i="8" s="1"/>
  <c r="I24" i="8"/>
  <c r="A24" i="8"/>
  <c r="L23" i="8"/>
  <c r="M23" i="8" s="1"/>
  <c r="N23" i="8" s="1"/>
  <c r="I23" i="8"/>
  <c r="A23" i="8"/>
  <c r="L22" i="8"/>
  <c r="M22" i="8" s="1"/>
  <c r="N22" i="8" s="1"/>
  <c r="I22" i="8"/>
  <c r="A22" i="8"/>
  <c r="L21" i="8"/>
  <c r="M21" i="8" s="1"/>
  <c r="N21" i="8" s="1"/>
  <c r="I21" i="8"/>
  <c r="A21" i="8"/>
  <c r="L20" i="8"/>
  <c r="M20" i="8" s="1"/>
  <c r="N20" i="8" s="1"/>
  <c r="I20" i="8"/>
  <c r="A20" i="8"/>
  <c r="L19" i="8"/>
  <c r="M19" i="8" s="1"/>
  <c r="N19" i="8" s="1"/>
  <c r="I19" i="8"/>
  <c r="A19" i="8"/>
  <c r="L18" i="8"/>
  <c r="M18" i="8" s="1"/>
  <c r="N18" i="8" s="1"/>
  <c r="I18" i="8"/>
  <c r="A18" i="8"/>
  <c r="L17" i="8"/>
  <c r="M17" i="8" s="1"/>
  <c r="N17" i="8" s="1"/>
  <c r="I17" i="8"/>
  <c r="A17" i="8"/>
  <c r="L16" i="8"/>
  <c r="M16" i="8" s="1"/>
  <c r="N16" i="8" s="1"/>
  <c r="I16" i="8"/>
  <c r="A16" i="8"/>
  <c r="L15" i="8"/>
  <c r="M15" i="8" s="1"/>
  <c r="N15" i="8" s="1"/>
  <c r="I15" i="8"/>
  <c r="A15" i="8"/>
  <c r="L14" i="8"/>
  <c r="M14" i="8" s="1"/>
  <c r="N14" i="8" s="1"/>
  <c r="I14" i="8"/>
  <c r="A14" i="8"/>
  <c r="L13" i="8"/>
  <c r="M13" i="8" s="1"/>
  <c r="N13" i="8" s="1"/>
  <c r="I13" i="8"/>
  <c r="A13" i="8"/>
  <c r="L12" i="8"/>
  <c r="M12" i="8" s="1"/>
  <c r="N12" i="8" s="1"/>
  <c r="I12" i="8"/>
  <c r="A12" i="8"/>
  <c r="L11" i="8"/>
  <c r="M11" i="8" s="1"/>
  <c r="N11" i="8" s="1"/>
  <c r="I11" i="8"/>
  <c r="A11" i="8"/>
  <c r="L10" i="8"/>
  <c r="M10" i="8" s="1"/>
  <c r="N10" i="8" s="1"/>
  <c r="I10" i="8"/>
  <c r="A10" i="8"/>
  <c r="L9" i="8"/>
  <c r="M9" i="8" s="1"/>
  <c r="N9" i="8" s="1"/>
  <c r="I9" i="8"/>
  <c r="A9" i="8"/>
  <c r="L8" i="8"/>
  <c r="M8" i="8" s="1"/>
  <c r="N8" i="8" s="1"/>
  <c r="I8" i="8"/>
  <c r="A8" i="8"/>
  <c r="L7" i="8"/>
  <c r="M7" i="8" s="1"/>
  <c r="N7" i="8" s="1"/>
  <c r="I7" i="8"/>
  <c r="A7" i="8"/>
  <c r="L6" i="8"/>
  <c r="M6" i="8" s="1"/>
  <c r="N6" i="8" s="1"/>
  <c r="I6" i="8"/>
  <c r="L5" i="8"/>
  <c r="M5" i="8" s="1"/>
  <c r="N5" i="8" s="1"/>
  <c r="I5" i="8"/>
  <c r="L4" i="8"/>
  <c r="M4" i="8" s="1"/>
  <c r="N4" i="8" s="1"/>
  <c r="I4" i="8"/>
  <c r="A4" i="8"/>
  <c r="A5" i="8" s="1"/>
  <c r="A6" i="8" s="1"/>
  <c r="L3" i="8"/>
  <c r="I3" i="8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P3" i="7"/>
  <c r="Q3" i="7" s="1"/>
  <c r="K3" i="7"/>
  <c r="I1" i="7"/>
  <c r="E1" i="7"/>
  <c r="D1" i="7"/>
  <c r="C1" i="7"/>
  <c r="V110" i="6"/>
  <c r="U110" i="6"/>
  <c r="P110" i="6"/>
  <c r="Q110" i="6" s="1"/>
  <c r="K110" i="6"/>
  <c r="V109" i="6"/>
  <c r="U109" i="6"/>
  <c r="P109" i="6"/>
  <c r="Q109" i="6" s="1"/>
  <c r="K109" i="6"/>
  <c r="V108" i="6"/>
  <c r="U108" i="6"/>
  <c r="P108" i="6"/>
  <c r="Q108" i="6" s="1"/>
  <c r="K108" i="6"/>
  <c r="V107" i="6"/>
  <c r="U107" i="6"/>
  <c r="P107" i="6"/>
  <c r="Q107" i="6" s="1"/>
  <c r="K107" i="6"/>
  <c r="V106" i="6"/>
  <c r="U106" i="6"/>
  <c r="P106" i="6"/>
  <c r="Q106" i="6" s="1"/>
  <c r="K106" i="6"/>
  <c r="V105" i="6"/>
  <c r="U105" i="6"/>
  <c r="P105" i="6"/>
  <c r="Q105" i="6" s="1"/>
  <c r="K105" i="6"/>
  <c r="V104" i="6"/>
  <c r="U104" i="6"/>
  <c r="P104" i="6"/>
  <c r="Q104" i="6" s="1"/>
  <c r="K104" i="6"/>
  <c r="V103" i="6"/>
  <c r="U103" i="6"/>
  <c r="P103" i="6"/>
  <c r="Q103" i="6" s="1"/>
  <c r="K103" i="6"/>
  <c r="V102" i="6"/>
  <c r="U102" i="6"/>
  <c r="P102" i="6"/>
  <c r="Q102" i="6" s="1"/>
  <c r="K102" i="6"/>
  <c r="V101" i="6"/>
  <c r="U101" i="6"/>
  <c r="P101" i="6"/>
  <c r="Q101" i="6" s="1"/>
  <c r="K101" i="6"/>
  <c r="V100" i="6"/>
  <c r="U100" i="6"/>
  <c r="P100" i="6"/>
  <c r="Q100" i="6" s="1"/>
  <c r="K100" i="6"/>
  <c r="V99" i="6"/>
  <c r="U99" i="6"/>
  <c r="P99" i="6"/>
  <c r="Q99" i="6" s="1"/>
  <c r="K99" i="6"/>
  <c r="V98" i="6"/>
  <c r="U98" i="6"/>
  <c r="P98" i="6"/>
  <c r="Q98" i="6" s="1"/>
  <c r="K98" i="6"/>
  <c r="V97" i="6"/>
  <c r="U97" i="6"/>
  <c r="P97" i="6"/>
  <c r="Q97" i="6" s="1"/>
  <c r="K97" i="6"/>
  <c r="V96" i="6"/>
  <c r="U96" i="6"/>
  <c r="P96" i="6"/>
  <c r="Q96" i="6" s="1"/>
  <c r="K96" i="6"/>
  <c r="V95" i="6"/>
  <c r="U95" i="6"/>
  <c r="P95" i="6"/>
  <c r="Q95" i="6" s="1"/>
  <c r="K95" i="6"/>
  <c r="V94" i="6"/>
  <c r="U94" i="6"/>
  <c r="P94" i="6"/>
  <c r="Q94" i="6" s="1"/>
  <c r="K94" i="6"/>
  <c r="V93" i="6"/>
  <c r="U93" i="6"/>
  <c r="P93" i="6"/>
  <c r="Q93" i="6" s="1"/>
  <c r="K93" i="6"/>
  <c r="V92" i="6"/>
  <c r="U92" i="6"/>
  <c r="P92" i="6"/>
  <c r="Q92" i="6" s="1"/>
  <c r="K92" i="6"/>
  <c r="V91" i="6"/>
  <c r="U91" i="6"/>
  <c r="P91" i="6"/>
  <c r="Q91" i="6" s="1"/>
  <c r="K91" i="6"/>
  <c r="V90" i="6"/>
  <c r="U90" i="6"/>
  <c r="P90" i="6"/>
  <c r="Q90" i="6" s="1"/>
  <c r="K90" i="6"/>
  <c r="V89" i="6"/>
  <c r="U89" i="6"/>
  <c r="P89" i="6"/>
  <c r="Q89" i="6" s="1"/>
  <c r="K89" i="6"/>
  <c r="V88" i="6"/>
  <c r="U88" i="6"/>
  <c r="P88" i="6"/>
  <c r="Q88" i="6" s="1"/>
  <c r="K88" i="6"/>
  <c r="V87" i="6"/>
  <c r="U87" i="6"/>
  <c r="P87" i="6"/>
  <c r="Q87" i="6" s="1"/>
  <c r="K87" i="6"/>
  <c r="V86" i="6"/>
  <c r="U86" i="6"/>
  <c r="P86" i="6"/>
  <c r="Q86" i="6" s="1"/>
  <c r="K86" i="6"/>
  <c r="V85" i="6"/>
  <c r="U85" i="6"/>
  <c r="P85" i="6"/>
  <c r="Q85" i="6" s="1"/>
  <c r="K85" i="6"/>
  <c r="V84" i="6"/>
  <c r="U84" i="6"/>
  <c r="P84" i="6"/>
  <c r="Q84" i="6" s="1"/>
  <c r="K84" i="6"/>
  <c r="V83" i="6"/>
  <c r="U83" i="6"/>
  <c r="P83" i="6"/>
  <c r="Q83" i="6" s="1"/>
  <c r="K83" i="6"/>
  <c r="V82" i="6"/>
  <c r="U82" i="6"/>
  <c r="P82" i="6"/>
  <c r="Q82" i="6" s="1"/>
  <c r="K82" i="6"/>
  <c r="V81" i="6"/>
  <c r="U81" i="6"/>
  <c r="P81" i="6"/>
  <c r="Q81" i="6" s="1"/>
  <c r="K81" i="6"/>
  <c r="V80" i="6"/>
  <c r="U80" i="6"/>
  <c r="P80" i="6"/>
  <c r="Q80" i="6" s="1"/>
  <c r="K80" i="6"/>
  <c r="V79" i="6"/>
  <c r="U79" i="6"/>
  <c r="P79" i="6"/>
  <c r="Q79" i="6" s="1"/>
  <c r="K79" i="6"/>
  <c r="V78" i="6"/>
  <c r="U78" i="6"/>
  <c r="P78" i="6"/>
  <c r="Q78" i="6" s="1"/>
  <c r="K78" i="6"/>
  <c r="V77" i="6"/>
  <c r="U77" i="6"/>
  <c r="P77" i="6"/>
  <c r="Q77" i="6" s="1"/>
  <c r="K77" i="6"/>
  <c r="V76" i="6"/>
  <c r="U76" i="6"/>
  <c r="P76" i="6"/>
  <c r="Q76" i="6" s="1"/>
  <c r="K76" i="6"/>
  <c r="V75" i="6"/>
  <c r="U75" i="6"/>
  <c r="P75" i="6"/>
  <c r="Q75" i="6" s="1"/>
  <c r="K75" i="6"/>
  <c r="V74" i="6"/>
  <c r="U74" i="6"/>
  <c r="P74" i="6"/>
  <c r="Q74" i="6" s="1"/>
  <c r="K74" i="6"/>
  <c r="V73" i="6"/>
  <c r="U73" i="6"/>
  <c r="P73" i="6"/>
  <c r="Q73" i="6" s="1"/>
  <c r="K73" i="6"/>
  <c r="V72" i="6"/>
  <c r="U72" i="6"/>
  <c r="P72" i="6"/>
  <c r="Q72" i="6" s="1"/>
  <c r="K72" i="6"/>
  <c r="V71" i="6"/>
  <c r="U71" i="6"/>
  <c r="P71" i="6"/>
  <c r="Q71" i="6" s="1"/>
  <c r="K71" i="6"/>
  <c r="V70" i="6"/>
  <c r="U70" i="6"/>
  <c r="P70" i="6"/>
  <c r="Q70" i="6" s="1"/>
  <c r="K70" i="6"/>
  <c r="V69" i="6"/>
  <c r="U69" i="6"/>
  <c r="P69" i="6"/>
  <c r="Q69" i="6" s="1"/>
  <c r="K69" i="6"/>
  <c r="V68" i="6"/>
  <c r="U68" i="6"/>
  <c r="P68" i="6"/>
  <c r="Q68" i="6" s="1"/>
  <c r="K68" i="6"/>
  <c r="V67" i="6"/>
  <c r="U67" i="6"/>
  <c r="P67" i="6"/>
  <c r="Q67" i="6" s="1"/>
  <c r="K67" i="6"/>
  <c r="V66" i="6"/>
  <c r="U66" i="6"/>
  <c r="P66" i="6"/>
  <c r="Q66" i="6" s="1"/>
  <c r="K66" i="6"/>
  <c r="V65" i="6"/>
  <c r="U65" i="6"/>
  <c r="P65" i="6"/>
  <c r="Q65" i="6" s="1"/>
  <c r="K65" i="6"/>
  <c r="V64" i="6"/>
  <c r="U64" i="6"/>
  <c r="P64" i="6"/>
  <c r="Q64" i="6" s="1"/>
  <c r="K64" i="6"/>
  <c r="V63" i="6"/>
  <c r="U63" i="6"/>
  <c r="P63" i="6"/>
  <c r="Q63" i="6" s="1"/>
  <c r="K63" i="6"/>
  <c r="V62" i="6"/>
  <c r="U62" i="6"/>
  <c r="P62" i="6"/>
  <c r="Q62" i="6" s="1"/>
  <c r="K62" i="6"/>
  <c r="V61" i="6"/>
  <c r="U61" i="6"/>
  <c r="P61" i="6"/>
  <c r="Q61" i="6" s="1"/>
  <c r="K61" i="6"/>
  <c r="V60" i="6"/>
  <c r="U60" i="6"/>
  <c r="P60" i="6"/>
  <c r="Q60" i="6" s="1"/>
  <c r="K60" i="6"/>
  <c r="V59" i="6"/>
  <c r="U59" i="6"/>
  <c r="P59" i="6"/>
  <c r="Q59" i="6" s="1"/>
  <c r="K59" i="6"/>
  <c r="V58" i="6"/>
  <c r="U58" i="6"/>
  <c r="P58" i="6"/>
  <c r="Q58" i="6" s="1"/>
  <c r="K58" i="6"/>
  <c r="V57" i="6"/>
  <c r="U57" i="6"/>
  <c r="P57" i="6"/>
  <c r="Q57" i="6" s="1"/>
  <c r="K57" i="6"/>
  <c r="V56" i="6"/>
  <c r="U56" i="6"/>
  <c r="P56" i="6"/>
  <c r="Q56" i="6" s="1"/>
  <c r="K56" i="6"/>
  <c r="V55" i="6"/>
  <c r="U55" i="6"/>
  <c r="P55" i="6"/>
  <c r="Q55" i="6" s="1"/>
  <c r="K55" i="6"/>
  <c r="V54" i="6"/>
  <c r="U54" i="6"/>
  <c r="P54" i="6"/>
  <c r="Q54" i="6" s="1"/>
  <c r="K54" i="6"/>
  <c r="V53" i="6"/>
  <c r="U53" i="6"/>
  <c r="P53" i="6"/>
  <c r="Q53" i="6" s="1"/>
  <c r="K53" i="6"/>
  <c r="V52" i="6"/>
  <c r="U52" i="6"/>
  <c r="P52" i="6"/>
  <c r="Q52" i="6" s="1"/>
  <c r="K52" i="6"/>
  <c r="V51" i="6"/>
  <c r="U51" i="6"/>
  <c r="P51" i="6"/>
  <c r="Q51" i="6" s="1"/>
  <c r="K51" i="6"/>
  <c r="V50" i="6"/>
  <c r="U50" i="6"/>
  <c r="P50" i="6"/>
  <c r="Q50" i="6" s="1"/>
  <c r="K50" i="6"/>
  <c r="V49" i="6"/>
  <c r="U49" i="6"/>
  <c r="P49" i="6"/>
  <c r="Q49" i="6" s="1"/>
  <c r="K49" i="6"/>
  <c r="V48" i="6"/>
  <c r="U48" i="6"/>
  <c r="P48" i="6"/>
  <c r="Q48" i="6" s="1"/>
  <c r="K48" i="6"/>
  <c r="V47" i="6"/>
  <c r="U47" i="6"/>
  <c r="P47" i="6"/>
  <c r="Q47" i="6" s="1"/>
  <c r="K47" i="6"/>
  <c r="V46" i="6"/>
  <c r="U46" i="6"/>
  <c r="P46" i="6"/>
  <c r="Q46" i="6" s="1"/>
  <c r="K46" i="6"/>
  <c r="V45" i="6"/>
  <c r="U45" i="6"/>
  <c r="P45" i="6"/>
  <c r="Q45" i="6" s="1"/>
  <c r="K45" i="6"/>
  <c r="V44" i="6"/>
  <c r="U44" i="6"/>
  <c r="P44" i="6"/>
  <c r="Q44" i="6" s="1"/>
  <c r="K44" i="6"/>
  <c r="V43" i="6"/>
  <c r="U43" i="6"/>
  <c r="P43" i="6"/>
  <c r="Q43" i="6" s="1"/>
  <c r="K43" i="6"/>
  <c r="V42" i="6"/>
  <c r="U42" i="6"/>
  <c r="P42" i="6"/>
  <c r="Q42" i="6" s="1"/>
  <c r="K42" i="6"/>
  <c r="V41" i="6"/>
  <c r="U41" i="6"/>
  <c r="P41" i="6"/>
  <c r="Q41" i="6" s="1"/>
  <c r="K41" i="6"/>
  <c r="V40" i="6"/>
  <c r="U40" i="6"/>
  <c r="P40" i="6"/>
  <c r="Q40" i="6" s="1"/>
  <c r="K40" i="6"/>
  <c r="V39" i="6"/>
  <c r="U39" i="6"/>
  <c r="P39" i="6"/>
  <c r="Q39" i="6" s="1"/>
  <c r="K39" i="6"/>
  <c r="V38" i="6"/>
  <c r="U38" i="6"/>
  <c r="P38" i="6"/>
  <c r="Q38" i="6" s="1"/>
  <c r="K38" i="6"/>
  <c r="V37" i="6"/>
  <c r="U37" i="6"/>
  <c r="P37" i="6"/>
  <c r="Q37" i="6" s="1"/>
  <c r="K37" i="6"/>
  <c r="V36" i="6"/>
  <c r="U36" i="6"/>
  <c r="P36" i="6"/>
  <c r="Q36" i="6" s="1"/>
  <c r="K36" i="6"/>
  <c r="V35" i="6"/>
  <c r="U35" i="6"/>
  <c r="P35" i="6"/>
  <c r="Q35" i="6" s="1"/>
  <c r="K35" i="6"/>
  <c r="V34" i="6"/>
  <c r="U34" i="6"/>
  <c r="P34" i="6"/>
  <c r="Q34" i="6" s="1"/>
  <c r="K34" i="6"/>
  <c r="V33" i="6"/>
  <c r="U33" i="6"/>
  <c r="P33" i="6"/>
  <c r="Q33" i="6" s="1"/>
  <c r="K33" i="6"/>
  <c r="V32" i="6"/>
  <c r="U32" i="6"/>
  <c r="P32" i="6"/>
  <c r="Q32" i="6" s="1"/>
  <c r="K32" i="6"/>
  <c r="V31" i="6"/>
  <c r="U31" i="6"/>
  <c r="P31" i="6"/>
  <c r="Q31" i="6" s="1"/>
  <c r="K31" i="6"/>
  <c r="V30" i="6"/>
  <c r="U30" i="6"/>
  <c r="P30" i="6"/>
  <c r="Q30" i="6" s="1"/>
  <c r="K30" i="6"/>
  <c r="V29" i="6"/>
  <c r="U29" i="6"/>
  <c r="P29" i="6"/>
  <c r="Q29" i="6" s="1"/>
  <c r="K29" i="6"/>
  <c r="V28" i="6"/>
  <c r="U28" i="6"/>
  <c r="P28" i="6"/>
  <c r="Q28" i="6" s="1"/>
  <c r="K28" i="6"/>
  <c r="V27" i="6"/>
  <c r="U27" i="6"/>
  <c r="P27" i="6"/>
  <c r="Q27" i="6" s="1"/>
  <c r="K27" i="6"/>
  <c r="V26" i="6"/>
  <c r="U26" i="6"/>
  <c r="P26" i="6"/>
  <c r="Q26" i="6" s="1"/>
  <c r="K26" i="6"/>
  <c r="V25" i="6"/>
  <c r="U25" i="6"/>
  <c r="P25" i="6"/>
  <c r="Q25" i="6" s="1"/>
  <c r="K25" i="6"/>
  <c r="V24" i="6"/>
  <c r="U24" i="6"/>
  <c r="P24" i="6"/>
  <c r="Q24" i="6" s="1"/>
  <c r="K24" i="6"/>
  <c r="V23" i="6"/>
  <c r="U23" i="6"/>
  <c r="P23" i="6"/>
  <c r="Q23" i="6" s="1"/>
  <c r="K23" i="6"/>
  <c r="V22" i="6"/>
  <c r="U22" i="6"/>
  <c r="P22" i="6"/>
  <c r="Q22" i="6" s="1"/>
  <c r="K22" i="6"/>
  <c r="V21" i="6"/>
  <c r="U21" i="6"/>
  <c r="P21" i="6"/>
  <c r="Q21" i="6" s="1"/>
  <c r="K21" i="6"/>
  <c r="V20" i="6"/>
  <c r="U20" i="6"/>
  <c r="P20" i="6"/>
  <c r="Q20" i="6" s="1"/>
  <c r="K20" i="6"/>
  <c r="V19" i="6"/>
  <c r="U19" i="6"/>
  <c r="P19" i="6"/>
  <c r="Q19" i="6" s="1"/>
  <c r="K19" i="6"/>
  <c r="V18" i="6"/>
  <c r="U18" i="6"/>
  <c r="P18" i="6"/>
  <c r="Q18" i="6" s="1"/>
  <c r="K18" i="6"/>
  <c r="V17" i="6"/>
  <c r="U17" i="6"/>
  <c r="P17" i="6"/>
  <c r="Q17" i="6" s="1"/>
  <c r="K17" i="6"/>
  <c r="V16" i="6"/>
  <c r="U16" i="6"/>
  <c r="P16" i="6"/>
  <c r="Q16" i="6" s="1"/>
  <c r="K16" i="6"/>
  <c r="V15" i="6"/>
  <c r="U15" i="6"/>
  <c r="P15" i="6"/>
  <c r="Q15" i="6" s="1"/>
  <c r="K15" i="6"/>
  <c r="V14" i="6"/>
  <c r="U14" i="6"/>
  <c r="P14" i="6"/>
  <c r="Q14" i="6" s="1"/>
  <c r="K14" i="6"/>
  <c r="V13" i="6"/>
  <c r="U13" i="6"/>
  <c r="P13" i="6"/>
  <c r="Q13" i="6" s="1"/>
  <c r="K13" i="6"/>
  <c r="V12" i="6"/>
  <c r="U12" i="6"/>
  <c r="P12" i="6"/>
  <c r="Q12" i="6" s="1"/>
  <c r="K12" i="6"/>
  <c r="V11" i="6"/>
  <c r="U11" i="6"/>
  <c r="P11" i="6"/>
  <c r="Q11" i="6" s="1"/>
  <c r="K11" i="6"/>
  <c r="V10" i="6"/>
  <c r="U10" i="6"/>
  <c r="P10" i="6"/>
  <c r="Q10" i="6" s="1"/>
  <c r="K10" i="6"/>
  <c r="V9" i="6"/>
  <c r="U9" i="6"/>
  <c r="P9" i="6"/>
  <c r="Q9" i="6" s="1"/>
  <c r="K9" i="6"/>
  <c r="V8" i="6"/>
  <c r="U8" i="6"/>
  <c r="P8" i="6"/>
  <c r="Q8" i="6" s="1"/>
  <c r="K8" i="6"/>
  <c r="V7" i="6"/>
  <c r="U7" i="6"/>
  <c r="P7" i="6"/>
  <c r="Q7" i="6" s="1"/>
  <c r="K7" i="6"/>
  <c r="V6" i="6"/>
  <c r="U6" i="6"/>
  <c r="P6" i="6"/>
  <c r="Q6" i="6" s="1"/>
  <c r="K6" i="6"/>
  <c r="V5" i="6"/>
  <c r="U5" i="6"/>
  <c r="P5" i="6"/>
  <c r="Q5" i="6" s="1"/>
  <c r="K5" i="6"/>
  <c r="V4" i="6"/>
  <c r="U4" i="6"/>
  <c r="P4" i="6"/>
  <c r="Q4" i="6" s="1"/>
  <c r="K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V3" i="6"/>
  <c r="U3" i="6"/>
  <c r="W3" i="6" s="1"/>
  <c r="P3" i="6"/>
  <c r="Q3" i="6" s="1"/>
  <c r="K3" i="6"/>
  <c r="I1" i="6"/>
  <c r="E1" i="6"/>
  <c r="D1" i="6"/>
  <c r="C97" i="6"/>
  <c r="AY39" i="5"/>
  <c r="AX39" i="5"/>
  <c r="AS39" i="5"/>
  <c r="AT39" i="5" s="1"/>
  <c r="AN39" i="5"/>
  <c r="AK39" i="5"/>
  <c r="AF39" i="5"/>
  <c r="AY38" i="5"/>
  <c r="AX38" i="5"/>
  <c r="AT38" i="5"/>
  <c r="AS38" i="5"/>
  <c r="AN38" i="5"/>
  <c r="AK38" i="5"/>
  <c r="AO38" i="5" s="1"/>
  <c r="AF38" i="5"/>
  <c r="AY37" i="5"/>
  <c r="AX37" i="5"/>
  <c r="AS37" i="5"/>
  <c r="AT37" i="5" s="1"/>
  <c r="AN37" i="5"/>
  <c r="AK37" i="5"/>
  <c r="AF37" i="5"/>
  <c r="I37" i="5"/>
  <c r="AY36" i="5"/>
  <c r="AX36" i="5"/>
  <c r="AS36" i="5"/>
  <c r="AT36" i="5" s="1"/>
  <c r="AN36" i="5"/>
  <c r="AK36" i="5"/>
  <c r="AF36" i="5"/>
  <c r="AY35" i="5"/>
  <c r="AX35" i="5"/>
  <c r="AS35" i="5"/>
  <c r="AT35" i="5" s="1"/>
  <c r="AN35" i="5"/>
  <c r="AO35" i="5" s="1"/>
  <c r="AK35" i="5"/>
  <c r="AF35" i="5"/>
  <c r="AY34" i="5"/>
  <c r="AX34" i="5"/>
  <c r="AS34" i="5"/>
  <c r="AT34" i="5" s="1"/>
  <c r="AN34" i="5"/>
  <c r="AK34" i="5"/>
  <c r="AF34" i="5"/>
  <c r="AY33" i="5"/>
  <c r="AX33" i="5"/>
  <c r="AS33" i="5"/>
  <c r="AT33" i="5" s="1"/>
  <c r="AN33" i="5"/>
  <c r="AO33" i="5" s="1"/>
  <c r="AK33" i="5"/>
  <c r="AF33" i="5"/>
  <c r="AY32" i="5"/>
  <c r="AX32" i="5"/>
  <c r="AS32" i="5"/>
  <c r="AT32" i="5" s="1"/>
  <c r="AN32" i="5"/>
  <c r="AK32" i="5"/>
  <c r="AF32" i="5"/>
  <c r="AY31" i="5"/>
  <c r="AX31" i="5"/>
  <c r="AS31" i="5"/>
  <c r="AT31" i="5" s="1"/>
  <c r="AN31" i="5"/>
  <c r="AK31" i="5"/>
  <c r="AF31" i="5"/>
  <c r="AY30" i="5"/>
  <c r="AX30" i="5"/>
  <c r="AS30" i="5"/>
  <c r="AT30" i="5" s="1"/>
  <c r="AN30" i="5"/>
  <c r="AO30" i="5" s="1"/>
  <c r="AK30" i="5"/>
  <c r="AF30" i="5"/>
  <c r="AY29" i="5"/>
  <c r="AX29" i="5"/>
  <c r="AS29" i="5"/>
  <c r="AT29" i="5" s="1"/>
  <c r="AN29" i="5"/>
  <c r="AK29" i="5"/>
  <c r="AF29" i="5"/>
  <c r="AY28" i="5"/>
  <c r="AZ28" i="5" s="1"/>
  <c r="AX28" i="5"/>
  <c r="AS28" i="5"/>
  <c r="AT28" i="5" s="1"/>
  <c r="AN28" i="5"/>
  <c r="AK28" i="5"/>
  <c r="AF28" i="5"/>
  <c r="AY27" i="5"/>
  <c r="AX27" i="5"/>
  <c r="AT27" i="5"/>
  <c r="AS27" i="5"/>
  <c r="AN27" i="5"/>
  <c r="AK27" i="5"/>
  <c r="AF27" i="5"/>
  <c r="AY26" i="5"/>
  <c r="AX26" i="5"/>
  <c r="AS26" i="5"/>
  <c r="AT26" i="5" s="1"/>
  <c r="AN26" i="5"/>
  <c r="AO26" i="5" s="1"/>
  <c r="AK26" i="5"/>
  <c r="AF26" i="5"/>
  <c r="AY25" i="5"/>
  <c r="AX25" i="5"/>
  <c r="AS25" i="5"/>
  <c r="AT25" i="5" s="1"/>
  <c r="AN25" i="5"/>
  <c r="AO25" i="5" s="1"/>
  <c r="AK25" i="5"/>
  <c r="AF25" i="5"/>
  <c r="AY24" i="5"/>
  <c r="AX24" i="5"/>
  <c r="AS24" i="5"/>
  <c r="AT24" i="5" s="1"/>
  <c r="AN24" i="5"/>
  <c r="AK24" i="5"/>
  <c r="AF24" i="5"/>
  <c r="AY23" i="5"/>
  <c r="AX23" i="5"/>
  <c r="AS23" i="5"/>
  <c r="AT23" i="5" s="1"/>
  <c r="AN23" i="5"/>
  <c r="AO23" i="5" s="1"/>
  <c r="AK23" i="5"/>
  <c r="AF23" i="5"/>
  <c r="AY22" i="5"/>
  <c r="AX22" i="5"/>
  <c r="AS22" i="5"/>
  <c r="AT22" i="5" s="1"/>
  <c r="AN22" i="5"/>
  <c r="AK22" i="5"/>
  <c r="AF22" i="5"/>
  <c r="AY21" i="5"/>
  <c r="AX21" i="5"/>
  <c r="AS21" i="5"/>
  <c r="AT21" i="5" s="1"/>
  <c r="AN21" i="5"/>
  <c r="AK21" i="5"/>
  <c r="AO21" i="5" s="1"/>
  <c r="AF21" i="5"/>
  <c r="AY20" i="5"/>
  <c r="AX20" i="5"/>
  <c r="AS20" i="5"/>
  <c r="AT20" i="5" s="1"/>
  <c r="AN20" i="5"/>
  <c r="AO20" i="5" s="1"/>
  <c r="AK20" i="5"/>
  <c r="AF20" i="5"/>
  <c r="AY19" i="5"/>
  <c r="AX19" i="5"/>
  <c r="AS19" i="5"/>
  <c r="AT19" i="5" s="1"/>
  <c r="AN19" i="5"/>
  <c r="AK19" i="5"/>
  <c r="AF19" i="5"/>
  <c r="AY18" i="5"/>
  <c r="AX18" i="5"/>
  <c r="AS18" i="5"/>
  <c r="AT18" i="5" s="1"/>
  <c r="AN18" i="5"/>
  <c r="AK18" i="5"/>
  <c r="AF18" i="5"/>
  <c r="AY17" i="5"/>
  <c r="AX17" i="5"/>
  <c r="AS17" i="5"/>
  <c r="AT17" i="5" s="1"/>
  <c r="AN17" i="5"/>
  <c r="AK17" i="5"/>
  <c r="AF17" i="5"/>
  <c r="AY16" i="5"/>
  <c r="AZ16" i="5" s="1"/>
  <c r="AX16" i="5"/>
  <c r="AS16" i="5"/>
  <c r="AT16" i="5" s="1"/>
  <c r="AN16" i="5"/>
  <c r="AK16" i="5"/>
  <c r="AF16" i="5"/>
  <c r="AY15" i="5"/>
  <c r="AX15" i="5"/>
  <c r="AT15" i="5"/>
  <c r="AS15" i="5"/>
  <c r="AN15" i="5"/>
  <c r="AK15" i="5"/>
  <c r="AF15" i="5"/>
  <c r="AY14" i="5"/>
  <c r="AX14" i="5"/>
  <c r="AS14" i="5"/>
  <c r="AT14" i="5" s="1"/>
  <c r="AN14" i="5"/>
  <c r="AO14" i="5" s="1"/>
  <c r="AK14" i="5"/>
  <c r="AF14" i="5"/>
  <c r="AY13" i="5"/>
  <c r="AX13" i="5"/>
  <c r="AS13" i="5"/>
  <c r="AT13" i="5" s="1"/>
  <c r="AN13" i="5"/>
  <c r="AK13" i="5"/>
  <c r="AO13" i="5" s="1"/>
  <c r="AF13" i="5"/>
  <c r="H13" i="5"/>
  <c r="AY12" i="5"/>
  <c r="AX12" i="5"/>
  <c r="AS12" i="5"/>
  <c r="AT12" i="5" s="1"/>
  <c r="AN12" i="5"/>
  <c r="AK12" i="5"/>
  <c r="AF12" i="5"/>
  <c r="AY11" i="5"/>
  <c r="AX11" i="5"/>
  <c r="AS11" i="5"/>
  <c r="AT11" i="5" s="1"/>
  <c r="AN11" i="5"/>
  <c r="AK11" i="5"/>
  <c r="AF11" i="5"/>
  <c r="AY10" i="5"/>
  <c r="AX10" i="5"/>
  <c r="AS10" i="5"/>
  <c r="AT10" i="5" s="1"/>
  <c r="AN10" i="5"/>
  <c r="AK10" i="5"/>
  <c r="AO10" i="5" s="1"/>
  <c r="AF10" i="5"/>
  <c r="AY9" i="5"/>
  <c r="AX9" i="5"/>
  <c r="AS9" i="5"/>
  <c r="AT9" i="5" s="1"/>
  <c r="AN9" i="5"/>
  <c r="AO9" i="5" s="1"/>
  <c r="AK9" i="5"/>
  <c r="AF9" i="5"/>
  <c r="AY8" i="5"/>
  <c r="AX8" i="5"/>
  <c r="AS8" i="5"/>
  <c r="AT8" i="5" s="1"/>
  <c r="AN8" i="5"/>
  <c r="AK8" i="5"/>
  <c r="AF8" i="5"/>
  <c r="AY7" i="5"/>
  <c r="AX7" i="5"/>
  <c r="AS7" i="5"/>
  <c r="AT7" i="5" s="1"/>
  <c r="AN7" i="5"/>
  <c r="AK7" i="5"/>
  <c r="AF7" i="5"/>
  <c r="AY6" i="5"/>
  <c r="AX6" i="5"/>
  <c r="AS6" i="5"/>
  <c r="AT6" i="5" s="1"/>
  <c r="AN6" i="5"/>
  <c r="AK6" i="5"/>
  <c r="AF6" i="5"/>
  <c r="AY5" i="5"/>
  <c r="AX5" i="5"/>
  <c r="AS5" i="5"/>
  <c r="AT5" i="5" s="1"/>
  <c r="AN5" i="5"/>
  <c r="AK5" i="5"/>
  <c r="AO5" i="5" s="1"/>
  <c r="AF5" i="5"/>
  <c r="AY4" i="5"/>
  <c r="AZ4" i="5" s="1"/>
  <c r="AX4" i="5"/>
  <c r="AS4" i="5"/>
  <c r="AT4" i="5" s="1"/>
  <c r="AN4" i="5"/>
  <c r="AK4" i="5"/>
  <c r="AF4" i="5"/>
  <c r="AY3" i="5"/>
  <c r="AX3" i="5"/>
  <c r="AS3" i="5"/>
  <c r="AT3" i="5" s="1"/>
  <c r="AN3" i="5"/>
  <c r="AK3" i="5"/>
  <c r="AF3" i="5"/>
  <c r="I3" i="5"/>
  <c r="S1" i="5"/>
  <c r="J1" i="5"/>
  <c r="I1" i="5"/>
  <c r="I29" i="5" s="1"/>
  <c r="H1" i="5"/>
  <c r="H17" i="5" s="1"/>
  <c r="G1" i="5"/>
  <c r="F1" i="5"/>
  <c r="E1" i="5"/>
  <c r="E24" i="5" s="1"/>
  <c r="BA17" i="4"/>
  <c r="AV17" i="4"/>
  <c r="AQ17" i="4"/>
  <c r="BA16" i="4"/>
  <c r="AV16" i="4"/>
  <c r="AQ16" i="4"/>
  <c r="BA14" i="4"/>
  <c r="AV14" i="4"/>
  <c r="AQ14" i="4"/>
  <c r="BA13" i="4"/>
  <c r="AV13" i="4"/>
  <c r="AQ13" i="4"/>
  <c r="BA12" i="4"/>
  <c r="AV12" i="4"/>
  <c r="AQ12" i="4"/>
  <c r="BA11" i="4"/>
  <c r="AV11" i="4"/>
  <c r="AQ11" i="4"/>
  <c r="BA10" i="4"/>
  <c r="AV10" i="4"/>
  <c r="AQ10" i="4"/>
  <c r="BA9" i="4"/>
  <c r="AV9" i="4"/>
  <c r="AQ9" i="4"/>
  <c r="AI9" i="4"/>
  <c r="BA8" i="4"/>
  <c r="AV8" i="4"/>
  <c r="AQ8" i="4"/>
  <c r="BA7" i="4"/>
  <c r="AV7" i="4"/>
  <c r="AQ7" i="4"/>
  <c r="BA6" i="4"/>
  <c r="AV6" i="4"/>
  <c r="AQ6" i="4"/>
  <c r="BA5" i="4"/>
  <c r="AV5" i="4"/>
  <c r="AQ5" i="4"/>
  <c r="BA4" i="4"/>
  <c r="AV4" i="4"/>
  <c r="AQ4" i="4"/>
  <c r="BA3" i="4"/>
  <c r="AV3" i="4"/>
  <c r="AQ3" i="4"/>
  <c r="O1" i="4"/>
  <c r="W97" i="6" l="1"/>
  <c r="W7" i="6"/>
  <c r="W31" i="6"/>
  <c r="W33" i="6"/>
  <c r="W40" i="6"/>
  <c r="W42" i="6"/>
  <c r="W44" i="6"/>
  <c r="W46" i="6"/>
  <c r="W56" i="6"/>
  <c r="W60" i="6"/>
  <c r="W71" i="6"/>
  <c r="W72" i="6"/>
  <c r="W76" i="6"/>
  <c r="W77" i="6"/>
  <c r="W79" i="6"/>
  <c r="W81" i="6"/>
  <c r="W84" i="6"/>
  <c r="W93" i="6"/>
  <c r="W18" i="6"/>
  <c r="W26" i="6"/>
  <c r="W30" i="6"/>
  <c r="W35" i="6"/>
  <c r="W41" i="6"/>
  <c r="W49" i="6"/>
  <c r="W51" i="6"/>
  <c r="W53" i="6"/>
  <c r="W57" i="6"/>
  <c r="W62" i="6"/>
  <c r="W78" i="6"/>
  <c r="AO6" i="5"/>
  <c r="AZ15" i="5"/>
  <c r="AZ19" i="5"/>
  <c r="AZ24" i="5"/>
  <c r="M3" i="8"/>
  <c r="N3" i="8" s="1"/>
  <c r="W58" i="6"/>
  <c r="W66" i="6"/>
  <c r="W15" i="6"/>
  <c r="W17" i="6"/>
  <c r="W19" i="6"/>
  <c r="W21" i="6"/>
  <c r="W25" i="6"/>
  <c r="W29" i="6"/>
  <c r="W39" i="6"/>
  <c r="W96" i="6"/>
  <c r="W98" i="6"/>
  <c r="W100" i="6"/>
  <c r="W50" i="6"/>
  <c r="W65" i="6"/>
  <c r="W67" i="6"/>
  <c r="W69" i="6"/>
  <c r="W10" i="6"/>
  <c r="W12" i="6"/>
  <c r="W14" i="6"/>
  <c r="W83" i="6"/>
  <c r="W85" i="6"/>
  <c r="W89" i="6"/>
  <c r="W105" i="6"/>
  <c r="W107" i="6"/>
  <c r="AZ7" i="5"/>
  <c r="AO19" i="5"/>
  <c r="AO29" i="5"/>
  <c r="AO18" i="5"/>
  <c r="AO15" i="5"/>
  <c r="AZ27" i="5"/>
  <c r="AZ36" i="5"/>
  <c r="AO3" i="5"/>
  <c r="AO22" i="5"/>
  <c r="AO37" i="5"/>
  <c r="AO34" i="5"/>
  <c r="AO12" i="5"/>
  <c r="AO17" i="5"/>
  <c r="C56" i="7"/>
  <c r="K1" i="7"/>
  <c r="W8" i="6"/>
  <c r="W16" i="6"/>
  <c r="W20" i="6"/>
  <c r="W22" i="6"/>
  <c r="W28" i="6"/>
  <c r="W32" i="6"/>
  <c r="W59" i="6"/>
  <c r="W61" i="6"/>
  <c r="W82" i="6"/>
  <c r="W86" i="6"/>
  <c r="W88" i="6"/>
  <c r="W90" i="6"/>
  <c r="W92" i="6"/>
  <c r="W94" i="6"/>
  <c r="W34" i="6"/>
  <c r="W38" i="6"/>
  <c r="W73" i="6"/>
  <c r="W75" i="6"/>
  <c r="W102" i="6"/>
  <c r="W104" i="6"/>
  <c r="W106" i="6"/>
  <c r="W108" i="6"/>
  <c r="W110" i="6"/>
  <c r="W54" i="6"/>
  <c r="W87" i="6"/>
  <c r="W91" i="6"/>
  <c r="W9" i="6"/>
  <c r="W11" i="6"/>
  <c r="W27" i="6"/>
  <c r="K1" i="6"/>
  <c r="W37" i="6"/>
  <c r="W43" i="6"/>
  <c r="W45" i="6"/>
  <c r="W55" i="6"/>
  <c r="W70" i="6"/>
  <c r="W74" i="6"/>
  <c r="AZ12" i="5"/>
  <c r="AZ23" i="5"/>
  <c r="AO27" i="5"/>
  <c r="AZ32" i="5"/>
  <c r="AZ35" i="5"/>
  <c r="C40" i="7"/>
  <c r="AO7" i="5"/>
  <c r="AO8" i="5"/>
  <c r="AZ11" i="5"/>
  <c r="AO16" i="5"/>
  <c r="AZ20" i="5"/>
  <c r="AZ31" i="5"/>
  <c r="G33" i="5"/>
  <c r="I34" i="5"/>
  <c r="AO39" i="5"/>
  <c r="AO28" i="5"/>
  <c r="G21" i="5"/>
  <c r="AO4" i="5"/>
  <c r="AZ8" i="5"/>
  <c r="G20" i="5"/>
  <c r="AO24" i="5"/>
  <c r="G29" i="5"/>
  <c r="AO36" i="5"/>
  <c r="C9" i="7"/>
  <c r="C6" i="7"/>
  <c r="G32" i="5"/>
  <c r="G8" i="5"/>
  <c r="AO11" i="5"/>
  <c r="AO31" i="5"/>
  <c r="AO32" i="5"/>
  <c r="AZ39" i="5"/>
  <c r="C20" i="7"/>
  <c r="I17" i="5"/>
  <c r="F28" i="5"/>
  <c r="I26" i="5"/>
  <c r="F12" i="5"/>
  <c r="G28" i="5"/>
  <c r="I22" i="5"/>
  <c r="C12" i="7"/>
  <c r="C18" i="7"/>
  <c r="C28" i="7"/>
  <c r="C15" i="6"/>
  <c r="C36" i="6"/>
  <c r="C84" i="6"/>
  <c r="C8" i="7"/>
  <c r="C14" i="7"/>
  <c r="C17" i="7"/>
  <c r="C32" i="7"/>
  <c r="C44" i="7"/>
  <c r="C74" i="7"/>
  <c r="C19" i="6"/>
  <c r="C52" i="6"/>
  <c r="C5" i="7"/>
  <c r="C73" i="7"/>
  <c r="C16" i="7"/>
  <c r="C24" i="7"/>
  <c r="C48" i="7"/>
  <c r="C4" i="7"/>
  <c r="C10" i="7"/>
  <c r="C13" i="7"/>
  <c r="C36" i="7"/>
  <c r="C18" i="6"/>
  <c r="C52" i="7"/>
  <c r="J32" i="5"/>
  <c r="D66" i="6" s="1"/>
  <c r="J19" i="5"/>
  <c r="E20" i="5"/>
  <c r="J35" i="5"/>
  <c r="D72" i="7" s="1"/>
  <c r="E36" i="5"/>
  <c r="E107" i="6" s="1"/>
  <c r="J38" i="5"/>
  <c r="D35" i="6" s="1"/>
  <c r="J21" i="5"/>
  <c r="J22" i="5"/>
  <c r="D57" i="6" s="1"/>
  <c r="J25" i="5"/>
  <c r="D96" i="6" s="1"/>
  <c r="F4" i="5"/>
  <c r="G5" i="5"/>
  <c r="J23" i="5"/>
  <c r="D60" i="7" s="1"/>
  <c r="J24" i="5"/>
  <c r="D22" i="7" s="1"/>
  <c r="J26" i="5"/>
  <c r="J5" i="5"/>
  <c r="J30" i="5"/>
  <c r="D27" i="6" s="1"/>
  <c r="J10" i="5"/>
  <c r="D47" i="7" s="1"/>
  <c r="J3" i="5"/>
  <c r="D37" i="6" s="1"/>
  <c r="J36" i="5"/>
  <c r="D70" i="6" s="1"/>
  <c r="J4" i="5"/>
  <c r="D41" i="7" s="1"/>
  <c r="J6" i="5"/>
  <c r="D42" i="6" s="1"/>
  <c r="J27" i="5"/>
  <c r="D24" i="6" s="1"/>
  <c r="J7" i="5"/>
  <c r="D44" i="7" s="1"/>
  <c r="E8" i="5"/>
  <c r="E7" i="7" s="1"/>
  <c r="I9" i="5"/>
  <c r="J31" i="5"/>
  <c r="D28" i="7" s="1"/>
  <c r="E32" i="5"/>
  <c r="E66" i="6" s="1"/>
  <c r="J9" i="5"/>
  <c r="D45" i="6" s="1"/>
  <c r="J12" i="5"/>
  <c r="D11" i="6" s="1"/>
  <c r="J13" i="5"/>
  <c r="D84" i="6" s="1"/>
  <c r="J14" i="5"/>
  <c r="D51" i="7" s="1"/>
  <c r="J16" i="5"/>
  <c r="D14" i="6" s="1"/>
  <c r="J17" i="5"/>
  <c r="D54" i="7" s="1"/>
  <c r="J18" i="5"/>
  <c r="D89" i="6" s="1"/>
  <c r="J33" i="5"/>
  <c r="D30" i="6" s="1"/>
  <c r="AI5" i="4"/>
  <c r="AI13" i="4"/>
  <c r="AW9" i="4"/>
  <c r="F16" i="5"/>
  <c r="W1" i="4"/>
  <c r="F20" i="5"/>
  <c r="F8" i="5"/>
  <c r="F5" i="5"/>
  <c r="F32" i="5"/>
  <c r="F14" i="5"/>
  <c r="F10" i="5"/>
  <c r="F3" i="5"/>
  <c r="F36" i="5"/>
  <c r="F9" i="5"/>
  <c r="F6" i="5"/>
  <c r="H3" i="5"/>
  <c r="H29" i="5"/>
  <c r="H21" i="5"/>
  <c r="H5" i="5"/>
  <c r="H37" i="5"/>
  <c r="H9" i="5"/>
  <c r="H33" i="5"/>
  <c r="F24" i="5"/>
  <c r="H25" i="5"/>
  <c r="E4" i="5"/>
  <c r="E3" i="7" s="1"/>
  <c r="I10" i="5"/>
  <c r="I21" i="5"/>
  <c r="I38" i="5"/>
  <c r="I33" i="5"/>
  <c r="I18" i="5"/>
  <c r="I6" i="5"/>
  <c r="I30" i="5"/>
  <c r="I25" i="5"/>
  <c r="I5" i="5"/>
  <c r="I13" i="5"/>
  <c r="I14" i="5"/>
  <c r="E16" i="5"/>
  <c r="E87" i="6" s="1"/>
  <c r="E12" i="5"/>
  <c r="E48" i="6" s="1"/>
  <c r="E28" i="5"/>
  <c r="J8" i="5"/>
  <c r="D7" i="6" s="1"/>
  <c r="G9" i="5"/>
  <c r="G12" i="5"/>
  <c r="G13" i="5"/>
  <c r="G16" i="5"/>
  <c r="G17" i="5"/>
  <c r="J20" i="5"/>
  <c r="D18" i="6" s="1"/>
  <c r="J29" i="5"/>
  <c r="J34" i="5"/>
  <c r="J39" i="5"/>
  <c r="D36" i="7" s="1"/>
  <c r="G36" i="5"/>
  <c r="G37" i="5"/>
  <c r="G4" i="5"/>
  <c r="J11" i="5"/>
  <c r="D47" i="6" s="1"/>
  <c r="J15" i="5"/>
  <c r="D50" i="6" s="1"/>
  <c r="G24" i="5"/>
  <c r="G25" i="5"/>
  <c r="J28" i="5"/>
  <c r="D25" i="7" s="1"/>
  <c r="J37" i="5"/>
  <c r="D74" i="7" s="1"/>
  <c r="W13" i="6"/>
  <c r="C44" i="6"/>
  <c r="C76" i="6"/>
  <c r="W99" i="6"/>
  <c r="W5" i="6"/>
  <c r="W24" i="6"/>
  <c r="W47" i="6"/>
  <c r="W52" i="6"/>
  <c r="W64" i="6"/>
  <c r="W101" i="6"/>
  <c r="C68" i="6"/>
  <c r="W103" i="6"/>
  <c r="W4" i="6"/>
  <c r="C28" i="6"/>
  <c r="C90" i="6"/>
  <c r="Q1" i="6"/>
  <c r="C13" i="6"/>
  <c r="C20" i="6"/>
  <c r="C35" i="6"/>
  <c r="C60" i="6"/>
  <c r="W6" i="6"/>
  <c r="C16" i="6"/>
  <c r="W23" i="6"/>
  <c r="C27" i="6"/>
  <c r="W36" i="6"/>
  <c r="W48" i="6"/>
  <c r="W63" i="6"/>
  <c r="W68" i="6"/>
  <c r="W80" i="6"/>
  <c r="W95" i="6"/>
  <c r="W109" i="6"/>
  <c r="AI10" i="4"/>
  <c r="AI12" i="4"/>
  <c r="AW12" i="4"/>
  <c r="AI4" i="4"/>
  <c r="AW4" i="4"/>
  <c r="AI8" i="4"/>
  <c r="AW8" i="4"/>
  <c r="AI16" i="4"/>
  <c r="AI11" i="4"/>
  <c r="X1" i="4"/>
  <c r="AI6" i="4"/>
  <c r="AI14" i="4"/>
  <c r="AI7" i="4"/>
  <c r="AI17" i="4"/>
  <c r="E3" i="5"/>
  <c r="E37" i="6" s="1"/>
  <c r="AZ6" i="5"/>
  <c r="AZ10" i="5"/>
  <c r="AZ14" i="5"/>
  <c r="AZ18" i="5"/>
  <c r="AZ22" i="5"/>
  <c r="AZ26" i="5"/>
  <c r="AZ30" i="5"/>
  <c r="AZ34" i="5"/>
  <c r="AZ38" i="5"/>
  <c r="E7" i="5"/>
  <c r="E6" i="6" s="1"/>
  <c r="G3" i="5"/>
  <c r="H4" i="5"/>
  <c r="AZ5" i="5"/>
  <c r="F7" i="5"/>
  <c r="H8" i="5"/>
  <c r="AZ9" i="5"/>
  <c r="F11" i="5"/>
  <c r="H12" i="5"/>
  <c r="AZ13" i="5"/>
  <c r="F15" i="5"/>
  <c r="H16" i="5"/>
  <c r="AZ17" i="5"/>
  <c r="F19" i="5"/>
  <c r="H20" i="5"/>
  <c r="AZ21" i="5"/>
  <c r="F23" i="5"/>
  <c r="H24" i="5"/>
  <c r="AZ25" i="5"/>
  <c r="F27" i="5"/>
  <c r="H28" i="5"/>
  <c r="AZ29" i="5"/>
  <c r="F31" i="5"/>
  <c r="H32" i="5"/>
  <c r="AZ33" i="5"/>
  <c r="F35" i="5"/>
  <c r="H36" i="5"/>
  <c r="AZ37" i="5"/>
  <c r="F39" i="5"/>
  <c r="E11" i="5"/>
  <c r="AW5" i="4"/>
  <c r="AW13" i="4"/>
  <c r="I4" i="5"/>
  <c r="E6" i="5"/>
  <c r="E43" i="7" s="1"/>
  <c r="G7" i="5"/>
  <c r="I8" i="5"/>
  <c r="E10" i="5"/>
  <c r="E9" i="7" s="1"/>
  <c r="G11" i="5"/>
  <c r="I12" i="5"/>
  <c r="E14" i="5"/>
  <c r="G15" i="5"/>
  <c r="I16" i="5"/>
  <c r="E18" i="5"/>
  <c r="E53" i="6" s="1"/>
  <c r="G19" i="5"/>
  <c r="I20" i="5"/>
  <c r="E22" i="5"/>
  <c r="E93" i="6" s="1"/>
  <c r="G23" i="5"/>
  <c r="I24" i="5"/>
  <c r="E26" i="5"/>
  <c r="E22" i="6" s="1"/>
  <c r="G27" i="5"/>
  <c r="I28" i="5"/>
  <c r="E30" i="5"/>
  <c r="E27" i="6" s="1"/>
  <c r="G31" i="5"/>
  <c r="I32" i="5"/>
  <c r="E34" i="5"/>
  <c r="E29" i="6" s="1"/>
  <c r="G35" i="5"/>
  <c r="I36" i="5"/>
  <c r="E38" i="5"/>
  <c r="E109" i="6" s="1"/>
  <c r="G39" i="5"/>
  <c r="E15" i="5"/>
  <c r="E13" i="6" s="1"/>
  <c r="E19" i="5"/>
  <c r="E17" i="6" s="1"/>
  <c r="E23" i="5"/>
  <c r="E20" i="6" s="1"/>
  <c r="E27" i="5"/>
  <c r="E24" i="6" s="1"/>
  <c r="E31" i="5"/>
  <c r="E68" i="7" s="1"/>
  <c r="E35" i="5"/>
  <c r="E32" i="7" s="1"/>
  <c r="E39" i="5"/>
  <c r="E110" i="6" s="1"/>
  <c r="H7" i="5"/>
  <c r="H11" i="5"/>
  <c r="H15" i="5"/>
  <c r="F18" i="5"/>
  <c r="H19" i="5"/>
  <c r="F22" i="5"/>
  <c r="H23" i="5"/>
  <c r="F26" i="5"/>
  <c r="H27" i="5"/>
  <c r="F30" i="5"/>
  <c r="H31" i="5"/>
  <c r="F34" i="5"/>
  <c r="H35" i="5"/>
  <c r="F38" i="5"/>
  <c r="E54" i="6"/>
  <c r="AZ3" i="5"/>
  <c r="E5" i="5"/>
  <c r="E4" i="7" s="1"/>
  <c r="G6" i="5"/>
  <c r="I7" i="5"/>
  <c r="E9" i="5"/>
  <c r="E45" i="6" s="1"/>
  <c r="G10" i="5"/>
  <c r="I11" i="5"/>
  <c r="E13" i="5"/>
  <c r="G14" i="5"/>
  <c r="I15" i="5"/>
  <c r="E17" i="5"/>
  <c r="E88" i="6" s="1"/>
  <c r="G18" i="5"/>
  <c r="I19" i="5"/>
  <c r="E21" i="5"/>
  <c r="G22" i="5"/>
  <c r="I23" i="5"/>
  <c r="E25" i="5"/>
  <c r="E62" i="7" s="1"/>
  <c r="G26" i="5"/>
  <c r="I27" i="5"/>
  <c r="E29" i="5"/>
  <c r="E100" i="6" s="1"/>
  <c r="G30" i="5"/>
  <c r="I31" i="5"/>
  <c r="E33" i="5"/>
  <c r="G34" i="5"/>
  <c r="I35" i="5"/>
  <c r="E37" i="5"/>
  <c r="E34" i="7" s="1"/>
  <c r="G38" i="5"/>
  <c r="I39" i="5"/>
  <c r="H6" i="5"/>
  <c r="H10" i="5"/>
  <c r="F13" i="5"/>
  <c r="H14" i="5"/>
  <c r="F17" i="5"/>
  <c r="H18" i="5"/>
  <c r="F21" i="5"/>
  <c r="H22" i="5"/>
  <c r="F25" i="5"/>
  <c r="H26" i="5"/>
  <c r="F29" i="5"/>
  <c r="H30" i="5"/>
  <c r="F33" i="5"/>
  <c r="H34" i="5"/>
  <c r="F37" i="5"/>
  <c r="H38" i="5"/>
  <c r="C11" i="6"/>
  <c r="C14" i="6"/>
  <c r="C21" i="6"/>
  <c r="C29" i="6"/>
  <c r="C37" i="6"/>
  <c r="C45" i="6"/>
  <c r="C53" i="6"/>
  <c r="C61" i="6"/>
  <c r="C69" i="6"/>
  <c r="C77" i="6"/>
  <c r="C85" i="6"/>
  <c r="C43" i="6"/>
  <c r="C51" i="6"/>
  <c r="C59" i="6"/>
  <c r="C67" i="6"/>
  <c r="C75" i="6"/>
  <c r="C83" i="6"/>
  <c r="C89" i="6"/>
  <c r="C94" i="6"/>
  <c r="C102" i="6"/>
  <c r="C110" i="6"/>
  <c r="C3" i="6"/>
  <c r="C4" i="6"/>
  <c r="C17" i="6"/>
  <c r="C26" i="6"/>
  <c r="C34" i="6"/>
  <c r="C42" i="6"/>
  <c r="C50" i="6"/>
  <c r="C58" i="6"/>
  <c r="C66" i="6"/>
  <c r="C74" i="6"/>
  <c r="C82" i="6"/>
  <c r="C88" i="6"/>
  <c r="C93" i="6"/>
  <c r="C98" i="6"/>
  <c r="D4" i="6"/>
  <c r="C6" i="6"/>
  <c r="C25" i="6"/>
  <c r="C33" i="6"/>
  <c r="C41" i="6"/>
  <c r="C49" i="6"/>
  <c r="C57" i="6"/>
  <c r="C65" i="6"/>
  <c r="C73" i="6"/>
  <c r="C81" i="6"/>
  <c r="C92" i="6"/>
  <c r="C109" i="6"/>
  <c r="C105" i="6"/>
  <c r="C101" i="6"/>
  <c r="C108" i="6"/>
  <c r="C104" i="6"/>
  <c r="C107" i="6"/>
  <c r="C103" i="6"/>
  <c r="C99" i="6"/>
  <c r="C95" i="6"/>
  <c r="C91" i="6"/>
  <c r="C87" i="6"/>
  <c r="C5" i="6"/>
  <c r="C8" i="6"/>
  <c r="C24" i="6"/>
  <c r="C32" i="6"/>
  <c r="C40" i="6"/>
  <c r="C48" i="6"/>
  <c r="C56" i="6"/>
  <c r="C64" i="6"/>
  <c r="C72" i="6"/>
  <c r="C80" i="6"/>
  <c r="C96" i="6"/>
  <c r="D92" i="6"/>
  <c r="D76" i="6"/>
  <c r="D39" i="6"/>
  <c r="D19" i="6"/>
  <c r="D90" i="6"/>
  <c r="D78" i="6"/>
  <c r="D54" i="6"/>
  <c r="D109" i="6"/>
  <c r="D17" i="6"/>
  <c r="C7" i="6"/>
  <c r="C10" i="6"/>
  <c r="C23" i="6"/>
  <c r="C31" i="6"/>
  <c r="C39" i="6"/>
  <c r="C47" i="6"/>
  <c r="C55" i="6"/>
  <c r="C63" i="6"/>
  <c r="C71" i="6"/>
  <c r="C79" i="6"/>
  <c r="C100" i="6"/>
  <c r="C106" i="6"/>
  <c r="C9" i="6"/>
  <c r="C12" i="6"/>
  <c r="C22" i="6"/>
  <c r="C30" i="6"/>
  <c r="C38" i="6"/>
  <c r="C46" i="6"/>
  <c r="C54" i="6"/>
  <c r="E55" i="6"/>
  <c r="C62" i="6"/>
  <c r="C70" i="6"/>
  <c r="C78" i="6"/>
  <c r="C86" i="6"/>
  <c r="Q1" i="7"/>
  <c r="V1" i="7"/>
  <c r="E61" i="7"/>
  <c r="E22" i="7"/>
  <c r="E57" i="7"/>
  <c r="D4" i="7"/>
  <c r="C21" i="7"/>
  <c r="C25" i="7"/>
  <c r="C29" i="7"/>
  <c r="C33" i="7"/>
  <c r="C37" i="7"/>
  <c r="C41" i="7"/>
  <c r="C45" i="7"/>
  <c r="C49" i="7"/>
  <c r="C53" i="7"/>
  <c r="C57" i="7"/>
  <c r="C68" i="7"/>
  <c r="C64" i="7"/>
  <c r="C69" i="7"/>
  <c r="C70" i="7"/>
  <c r="C22" i="7"/>
  <c r="C26" i="7"/>
  <c r="C30" i="7"/>
  <c r="C34" i="7"/>
  <c r="C38" i="7"/>
  <c r="C42" i="7"/>
  <c r="C46" i="7"/>
  <c r="C50" i="7"/>
  <c r="C54" i="7"/>
  <c r="C58" i="7"/>
  <c r="C60" i="7"/>
  <c r="D63" i="7"/>
  <c r="C65" i="7"/>
  <c r="C66" i="7"/>
  <c r="C76" i="7"/>
  <c r="D42" i="7"/>
  <c r="C61" i="7"/>
  <c r="C62" i="7"/>
  <c r="C77" i="7"/>
  <c r="C75" i="7"/>
  <c r="C71" i="7"/>
  <c r="C67" i="7"/>
  <c r="C63" i="7"/>
  <c r="C59" i="7"/>
  <c r="C3" i="7"/>
  <c r="C7" i="7"/>
  <c r="C11" i="7"/>
  <c r="C15" i="7"/>
  <c r="C19" i="7"/>
  <c r="C23" i="7"/>
  <c r="C27" i="7"/>
  <c r="C31" i="7"/>
  <c r="C35" i="7"/>
  <c r="C39" i="7"/>
  <c r="C43" i="7"/>
  <c r="C47" i="7"/>
  <c r="C51" i="7"/>
  <c r="C55" i="7"/>
  <c r="D75" i="7"/>
  <c r="D58" i="7"/>
  <c r="D19" i="7"/>
  <c r="D35" i="7"/>
  <c r="D39" i="7"/>
  <c r="C72" i="7"/>
  <c r="D3" i="7" l="1"/>
  <c r="D59" i="7"/>
  <c r="D33" i="6"/>
  <c r="D73" i="7"/>
  <c r="D33" i="7"/>
  <c r="D69" i="6"/>
  <c r="D51" i="6"/>
  <c r="D27" i="7"/>
  <c r="D53" i="7"/>
  <c r="D21" i="6"/>
  <c r="D3" i="6"/>
  <c r="D20" i="6"/>
  <c r="D64" i="6"/>
  <c r="D46" i="6"/>
  <c r="E66" i="7"/>
  <c r="D37" i="7"/>
  <c r="D68" i="7"/>
  <c r="D40" i="7"/>
  <c r="D16" i="7"/>
  <c r="D28" i="6"/>
  <c r="D5" i="7"/>
  <c r="D18" i="7"/>
  <c r="D5" i="6"/>
  <c r="D61" i="7"/>
  <c r="D24" i="7"/>
  <c r="D64" i="7"/>
  <c r="D61" i="6"/>
  <c r="E5" i="7"/>
  <c r="E94" i="6"/>
  <c r="D23" i="6"/>
  <c r="E31" i="7"/>
  <c r="D23" i="7"/>
  <c r="E33" i="7"/>
  <c r="D103" i="6"/>
  <c r="D82" i="6"/>
  <c r="D14" i="7"/>
  <c r="E28" i="7"/>
  <c r="E41" i="7"/>
  <c r="D93" i="6"/>
  <c r="D94" i="6"/>
  <c r="D87" i="6"/>
  <c r="D80" i="6"/>
  <c r="E61" i="6"/>
  <c r="D46" i="7"/>
  <c r="D21" i="7"/>
  <c r="D20" i="7"/>
  <c r="E71" i="7"/>
  <c r="E31" i="6"/>
  <c r="D106" i="6"/>
  <c r="D40" i="6"/>
  <c r="E75" i="6"/>
  <c r="D50" i="7"/>
  <c r="D12" i="6"/>
  <c r="D12" i="7"/>
  <c r="E11" i="7"/>
  <c r="D49" i="6"/>
  <c r="D55" i="6"/>
  <c r="D108" i="6"/>
  <c r="D16" i="6"/>
  <c r="D11" i="7"/>
  <c r="D10" i="7"/>
  <c r="E55" i="7"/>
  <c r="D53" i="6"/>
  <c r="D77" i="6"/>
  <c r="D22" i="6"/>
  <c r="D86" i="6"/>
  <c r="D59" i="6"/>
  <c r="D52" i="6"/>
  <c r="E68" i="6"/>
  <c r="D95" i="6"/>
  <c r="D55" i="7"/>
  <c r="D71" i="7"/>
  <c r="E16" i="7"/>
  <c r="E21" i="7"/>
  <c r="D71" i="6"/>
  <c r="E83" i="6"/>
  <c r="D91" i="6"/>
  <c r="E54" i="7"/>
  <c r="D58" i="6"/>
  <c r="E84" i="6"/>
  <c r="E6" i="7"/>
  <c r="D85" i="6"/>
  <c r="D67" i="6"/>
  <c r="E97" i="6"/>
  <c r="E105" i="6"/>
  <c r="E12" i="6"/>
  <c r="D70" i="7"/>
  <c r="D26" i="7"/>
  <c r="E52" i="7"/>
  <c r="D60" i="6"/>
  <c r="D38" i="7"/>
  <c r="D30" i="7"/>
  <c r="E62" i="6"/>
  <c r="E51" i="7"/>
  <c r="E101" i="6"/>
  <c r="E16" i="6"/>
  <c r="E85" i="6"/>
  <c r="E27" i="7"/>
  <c r="E9" i="6"/>
  <c r="E34" i="6"/>
  <c r="E46" i="6"/>
  <c r="D88" i="6"/>
  <c r="E41" i="6"/>
  <c r="E67" i="6"/>
  <c r="E30" i="7"/>
  <c r="E70" i="7"/>
  <c r="E19" i="7"/>
  <c r="D10" i="6"/>
  <c r="E35" i="6"/>
  <c r="E21" i="6"/>
  <c r="D62" i="6"/>
  <c r="E28" i="6"/>
  <c r="D31" i="6"/>
  <c r="D63" i="6"/>
  <c r="E63" i="7"/>
  <c r="E76" i="7"/>
  <c r="E47" i="7"/>
  <c r="E36" i="6"/>
  <c r="D65" i="7"/>
  <c r="E56" i="7"/>
  <c r="E17" i="7"/>
  <c r="E75" i="7"/>
  <c r="E47" i="6"/>
  <c r="E72" i="6"/>
  <c r="D105" i="6"/>
  <c r="D26" i="6"/>
  <c r="E96" i="6"/>
  <c r="E40" i="6"/>
  <c r="E15" i="6"/>
  <c r="E56" i="6"/>
  <c r="E58" i="6"/>
  <c r="D99" i="6"/>
  <c r="E42" i="7"/>
  <c r="E108" i="6"/>
  <c r="E60" i="6"/>
  <c r="E64" i="7"/>
  <c r="E30" i="6"/>
  <c r="E49" i="6"/>
  <c r="E49" i="7"/>
  <c r="E59" i="7"/>
  <c r="E32" i="6"/>
  <c r="E98" i="6"/>
  <c r="E4" i="6"/>
  <c r="E70" i="6"/>
  <c r="E74" i="7"/>
  <c r="E51" i="6"/>
  <c r="E24" i="7"/>
  <c r="E90" i="6"/>
  <c r="D57" i="7"/>
  <c r="D104" i="6"/>
  <c r="D38" i="6"/>
  <c r="E43" i="6"/>
  <c r="E81" i="6"/>
  <c r="E15" i="7"/>
  <c r="E14" i="6"/>
  <c r="E80" i="6"/>
  <c r="E25" i="6"/>
  <c r="E52" i="6"/>
  <c r="E5" i="6"/>
  <c r="E71" i="6"/>
  <c r="D69" i="7"/>
  <c r="D65" i="6"/>
  <c r="D9" i="7"/>
  <c r="D43" i="7"/>
  <c r="D25" i="6"/>
  <c r="E46" i="7"/>
  <c r="E53" i="7"/>
  <c r="E35" i="7"/>
  <c r="E102" i="6"/>
  <c r="W1" i="7"/>
  <c r="D29" i="6"/>
  <c r="E38" i="7"/>
  <c r="E104" i="6"/>
  <c r="D73" i="6"/>
  <c r="D7" i="7"/>
  <c r="E39" i="6"/>
  <c r="E44" i="7"/>
  <c r="D75" i="6"/>
  <c r="E44" i="6"/>
  <c r="D29" i="7"/>
  <c r="D9" i="6"/>
  <c r="D43" i="6"/>
  <c r="E38" i="6"/>
  <c r="D77" i="7"/>
  <c r="E39" i="7"/>
  <c r="E23" i="6"/>
  <c r="D31" i="7"/>
  <c r="D45" i="7"/>
  <c r="E72" i="7"/>
  <c r="E36" i="7"/>
  <c r="E45" i="7"/>
  <c r="E14" i="7"/>
  <c r="E50" i="7"/>
  <c r="D74" i="6"/>
  <c r="D68" i="6"/>
  <c r="E73" i="6"/>
  <c r="E59" i="6"/>
  <c r="E73" i="7"/>
  <c r="E18" i="7"/>
  <c r="E79" i="6"/>
  <c r="D97" i="6"/>
  <c r="D66" i="7"/>
  <c r="D8" i="6"/>
  <c r="D101" i="6"/>
  <c r="E65" i="6"/>
  <c r="E50" i="6"/>
  <c r="E18" i="6"/>
  <c r="E69" i="6"/>
  <c r="E13" i="7"/>
  <c r="E7" i="6"/>
  <c r="D36" i="6"/>
  <c r="E3" i="6"/>
  <c r="E69" i="7"/>
  <c r="E77" i="7"/>
  <c r="D48" i="7"/>
  <c r="D8" i="7"/>
  <c r="D79" i="6"/>
  <c r="D48" i="6"/>
  <c r="D13" i="7"/>
  <c r="D13" i="6"/>
  <c r="D102" i="6"/>
  <c r="D100" i="6"/>
  <c r="E91" i="6"/>
  <c r="D107" i="6"/>
  <c r="E42" i="6"/>
  <c r="D56" i="7"/>
  <c r="D41" i="6"/>
  <c r="D83" i="6"/>
  <c r="D56" i="6"/>
  <c r="D17" i="7"/>
  <c r="D49" i="7"/>
  <c r="D52" i="7"/>
  <c r="E95" i="6"/>
  <c r="E25" i="7"/>
  <c r="D98" i="6"/>
  <c r="E86" i="6"/>
  <c r="E20" i="7"/>
  <c r="E58" i="7"/>
  <c r="E29" i="7"/>
  <c r="D34" i="6"/>
  <c r="E82" i="6"/>
  <c r="E19" i="6"/>
  <c r="D15" i="7"/>
  <c r="D67" i="7"/>
  <c r="D32" i="6"/>
  <c r="D6" i="6"/>
  <c r="E76" i="6"/>
  <c r="D32" i="7"/>
  <c r="E37" i="7"/>
  <c r="E65" i="7"/>
  <c r="E26" i="7"/>
  <c r="D15" i="6"/>
  <c r="D72" i="6"/>
  <c r="E92" i="6"/>
  <c r="D76" i="7"/>
  <c r="D6" i="7"/>
  <c r="D81" i="6"/>
  <c r="D44" i="6"/>
  <c r="D62" i="7"/>
  <c r="D34" i="7"/>
  <c r="D110" i="6"/>
  <c r="E40" i="7"/>
  <c r="E106" i="6"/>
  <c r="E103" i="6"/>
  <c r="E10" i="7"/>
  <c r="E26" i="6"/>
  <c r="E48" i="7"/>
  <c r="E10" i="6"/>
  <c r="BB9" i="4"/>
  <c r="BC9" i="4" s="1"/>
  <c r="AN9" i="4"/>
  <c r="AR9" i="4" s="1"/>
  <c r="BB13" i="4"/>
  <c r="BC13" i="4" s="1"/>
  <c r="AN13" i="4"/>
  <c r="AR13" i="4" s="1"/>
  <c r="BB5" i="4"/>
  <c r="BC5" i="4" s="1"/>
  <c r="AN5" i="4"/>
  <c r="AR5" i="4" s="1"/>
  <c r="E23" i="7"/>
  <c r="E74" i="6"/>
  <c r="E89" i="6"/>
  <c r="AN17" i="4"/>
  <c r="AR17" i="4" s="1"/>
  <c r="BB17" i="4"/>
  <c r="BC17" i="4" s="1"/>
  <c r="E60" i="7"/>
  <c r="E57" i="6"/>
  <c r="AN6" i="4"/>
  <c r="AR6" i="4" s="1"/>
  <c r="AW6" i="4"/>
  <c r="BB6" i="4"/>
  <c r="BC6" i="4" s="1"/>
  <c r="BB16" i="4"/>
  <c r="BC16" i="4" s="1"/>
  <c r="AN16" i="4"/>
  <c r="AR16" i="4" s="1"/>
  <c r="AW16" i="4"/>
  <c r="E8" i="7"/>
  <c r="E64" i="6"/>
  <c r="AN7" i="4"/>
  <c r="AR7" i="4" s="1"/>
  <c r="AW7" i="4"/>
  <c r="BB7" i="4"/>
  <c r="BC7" i="4" s="1"/>
  <c r="AW17" i="4"/>
  <c r="AE1" i="4"/>
  <c r="AI3" i="4"/>
  <c r="E12" i="7"/>
  <c r="BB12" i="4"/>
  <c r="BC12" i="4" s="1"/>
  <c r="AN12" i="4"/>
  <c r="AR12" i="4" s="1"/>
  <c r="E8" i="6"/>
  <c r="E78" i="6"/>
  <c r="E77" i="6"/>
  <c r="E11" i="6"/>
  <c r="BB8" i="4"/>
  <c r="BC8" i="4" s="1"/>
  <c r="AN8" i="4"/>
  <c r="AR8" i="4" s="1"/>
  <c r="E67" i="7"/>
  <c r="E63" i="6"/>
  <c r="E33" i="6"/>
  <c r="E99" i="6"/>
  <c r="AN11" i="4"/>
  <c r="AR11" i="4" s="1"/>
  <c r="BB11" i="4"/>
  <c r="BC11" i="4" s="1"/>
  <c r="AW11" i="4"/>
  <c r="AN14" i="4"/>
  <c r="AR14" i="4" s="1"/>
  <c r="BB14" i="4"/>
  <c r="BC14" i="4" s="1"/>
  <c r="AW14" i="4"/>
  <c r="AN4" i="4"/>
  <c r="AR4" i="4" s="1"/>
  <c r="BB4" i="4"/>
  <c r="BC4" i="4" s="1"/>
  <c r="AN10" i="4"/>
  <c r="AR10" i="4" s="1"/>
  <c r="BB10" i="4"/>
  <c r="BC10" i="4" s="1"/>
  <c r="AW10" i="4"/>
  <c r="AN3" i="4" l="1"/>
  <c r="AR3" i="4" s="1"/>
  <c r="AL1" i="4"/>
  <c r="BB3" i="4"/>
  <c r="AW3" i="4"/>
  <c r="BB1" i="4" l="1"/>
  <c r="BC3" i="4"/>
  <c r="BC1" i="4" s="1"/>
</calcChain>
</file>

<file path=xl/sharedStrings.xml><?xml version="1.0" encoding="utf-8"?>
<sst xmlns="http://schemas.openxmlformats.org/spreadsheetml/2006/main" count="1885" uniqueCount="226">
  <si>
    <t>Sr No</t>
  </si>
  <si>
    <t>Particulars</t>
  </si>
  <si>
    <t>Each Region will have a unique Area Name, OLT ID &amp; Cluster ID.</t>
  </si>
  <si>
    <t>Every FAT/OLD/FDC/JC will have a unique ID.</t>
  </si>
  <si>
    <t>Each entity as mentioned in above pt, will have a separate row &amp; respective entry in the tracker</t>
  </si>
  <si>
    <t>Item Name</t>
  </si>
  <si>
    <t>Kindly refer Terminologies sheet for model understanding. Alternatively you can also use respective SLDs for the same</t>
  </si>
  <si>
    <t>FDC</t>
  </si>
  <si>
    <t>For filling the trackers, regional teams will have to fill cells where Headings are not highlighted.</t>
  </si>
  <si>
    <t>FAT Box</t>
  </si>
  <si>
    <t>Central Team will be filling data for cells where Headings are highlighted in Yellow</t>
  </si>
  <si>
    <t>Duct</t>
  </si>
  <si>
    <t>Kindly do not fill any cell where headings are highlighted in Green.</t>
  </si>
  <si>
    <t>Primary Splitter</t>
  </si>
  <si>
    <t>For all FAT/FDC there will be an entry of separate row in "Node Details" sheet.</t>
  </si>
  <si>
    <t>Any extension of current path,route will be treated as a new route.</t>
  </si>
  <si>
    <t>Any new branch getting deployed from same common FAT/FDC which is not part of existing route shall be treated as a New Route.</t>
  </si>
  <si>
    <t>Fiber Material &amp; Fiber Execution service details are to be entered in "Route Details" &amp; "Node Details" sheet only.</t>
  </si>
  <si>
    <t>Tracker has to be filled all routes that are RFS/Deployed irrespective of Sign-off.</t>
  </si>
  <si>
    <t>Billing start date will be HOTO date, when penetration % is &gt;=50%</t>
  </si>
  <si>
    <t>Secondary Splitter</t>
  </si>
  <si>
    <t>Kindly enter date in DD_MMM_YYYY format for all columns where date has to be entered.</t>
  </si>
  <si>
    <t>Pigtail</t>
  </si>
  <si>
    <t>Kindly do not alter format of the sheet, i.e add or delete rows/columns or do any formatting changes.</t>
  </si>
  <si>
    <t>Patch Cords</t>
  </si>
  <si>
    <t>Tiffin Box</t>
  </si>
  <si>
    <t>FMS</t>
  </si>
  <si>
    <t>Unique Route ID</t>
  </si>
  <si>
    <t>FDC/FAT Unique ID (Start Point)</t>
  </si>
  <si>
    <t>Start point Latlong</t>
  </si>
  <si>
    <t>FDC/FAT Unique ID (End Point)</t>
  </si>
  <si>
    <t>End point Latlong</t>
  </si>
  <si>
    <t>Customer</t>
  </si>
  <si>
    <t>Area Name</t>
  </si>
  <si>
    <t>City</t>
  </si>
  <si>
    <t>Telecom Circle</t>
  </si>
  <si>
    <t>State</t>
  </si>
  <si>
    <t>OLT ID</t>
  </si>
  <si>
    <t>Cluster ID</t>
  </si>
  <si>
    <t>Online AT Date (Delivered)</t>
  </si>
  <si>
    <t>Online AT Length (Delivered)</t>
  </si>
  <si>
    <t>HOTO Date</t>
  </si>
  <si>
    <t>HOTO Signoff Date</t>
  </si>
  <si>
    <t>Start Date (Date from which we can bill)</t>
  </si>
  <si>
    <t>Lock-in Period</t>
  </si>
  <si>
    <t>Surrender Date</t>
  </si>
  <si>
    <t>Fresh Delivery/Renewal</t>
  </si>
  <si>
    <t>Fiber Capacity</t>
  </si>
  <si>
    <t>OTDR length (in meters)</t>
  </si>
  <si>
    <t>Customer Billable length (in meters)</t>
  </si>
  <si>
    <t>Customer PO no</t>
  </si>
  <si>
    <t>PO length</t>
  </si>
  <si>
    <t>PO Date</t>
  </si>
  <si>
    <t>PO Rate</t>
  </si>
  <si>
    <t>Fiber length deployed/used (in meters)</t>
  </si>
  <si>
    <t>Fiber Type</t>
  </si>
  <si>
    <t>Fiber Rate per meter (incl Freight)</t>
  </si>
  <si>
    <t>Fiber Material Cost</t>
  </si>
  <si>
    <t>Execution Vendor Name</t>
  </si>
  <si>
    <t>Vendor Billable Length (Fiber laying)</t>
  </si>
  <si>
    <t>Fiber Laying Rate</t>
  </si>
  <si>
    <t>Fiber Laying/Execution Cost</t>
  </si>
  <si>
    <t>OTM Length</t>
  </si>
  <si>
    <t>OTM Execution Rate</t>
  </si>
  <si>
    <t>OTM Cost</t>
  </si>
  <si>
    <t>Total Vendor Cost</t>
  </si>
  <si>
    <t>Vendor PO No</t>
  </si>
  <si>
    <t>Vendor PO Date</t>
  </si>
  <si>
    <t>Vendor PO Rate</t>
  </si>
  <si>
    <t>Vendor PO Cost</t>
  </si>
  <si>
    <t>Vendor Invoice No</t>
  </si>
  <si>
    <t>Vendor Invoice Date</t>
  </si>
  <si>
    <t>Vendor Invoice Rate</t>
  </si>
  <si>
    <t>Vendor Invoiced length</t>
  </si>
  <si>
    <t>Invoice Amt</t>
  </si>
  <si>
    <t>24F</t>
  </si>
  <si>
    <t>12F</t>
  </si>
  <si>
    <t>Latlong</t>
  </si>
  <si>
    <t>Route ID (Route on which FAT/FDC is connected)</t>
  </si>
  <si>
    <t>Any Additional Fiber used for connectivity</t>
  </si>
  <si>
    <t>FDC/FAT Unique ID</t>
  </si>
  <si>
    <t>Qty used</t>
  </si>
  <si>
    <t>Rate Per Unit</t>
  </si>
  <si>
    <t>Total Cost</t>
  </si>
  <si>
    <t>Installation Date</t>
  </si>
  <si>
    <t>Circle</t>
  </si>
  <si>
    <t>Sr. no.</t>
  </si>
  <si>
    <t>Service Name</t>
  </si>
  <si>
    <t>Vendor name</t>
  </si>
  <si>
    <t>Sr No.</t>
  </si>
  <si>
    <t>PO No.</t>
  </si>
  <si>
    <t>PO Type (Fresh/Renewal)</t>
  </si>
  <si>
    <t>RSU</t>
  </si>
  <si>
    <t>RSU Name</t>
  </si>
  <si>
    <t>Lockin Period (Yrs)</t>
  </si>
  <si>
    <t>Fiber Rate   (Yr 1)</t>
  </si>
  <si>
    <t>Fiber Rate   (Yr 2)</t>
  </si>
  <si>
    <t>Fiber Rate   (Yr 3)</t>
  </si>
  <si>
    <t>Fiber Rate   (Yr 4)</t>
  </si>
  <si>
    <t>Fiber Rate   (Yr 5)</t>
  </si>
  <si>
    <t>Fiber Length (Mtrs)</t>
  </si>
  <si>
    <t>Hoto Length (Mtrs)</t>
  </si>
  <si>
    <t>FAT Box (nos)</t>
  </si>
  <si>
    <t>Fat Box Rate</t>
  </si>
  <si>
    <t>HP (nos)</t>
  </si>
  <si>
    <t>Pole (nos)</t>
  </si>
  <si>
    <t>Pole Rate</t>
  </si>
  <si>
    <t>Spiltter</t>
  </si>
  <si>
    <t>Spiltter Rate</t>
  </si>
  <si>
    <t>6F</t>
  </si>
  <si>
    <t>48F</t>
  </si>
  <si>
    <t>Lockin Period</t>
  </si>
  <si>
    <t>FAT Box Rate</t>
  </si>
  <si>
    <t>Pole</t>
  </si>
  <si>
    <t>Original HOTO</t>
  </si>
  <si>
    <t>1st Revised HOTO</t>
  </si>
  <si>
    <t>2nd Revised HOTO</t>
  </si>
  <si>
    <t>3rd Revised HOTO</t>
  </si>
  <si>
    <t>4th Revised HOTO</t>
  </si>
  <si>
    <t>5th Revised HOTO</t>
  </si>
  <si>
    <t>Fiber Length as per HOTO</t>
  </si>
  <si>
    <t>Planned FAT</t>
  </si>
  <si>
    <t>Actual Deployed FAT</t>
  </si>
  <si>
    <t>%Penetration FAT</t>
  </si>
  <si>
    <t>Planned HP</t>
  </si>
  <si>
    <t>Actual Home Pass</t>
  </si>
  <si>
    <t>%Penetration HP</t>
  </si>
  <si>
    <t>Max (HP/FAT) Penetration %</t>
  </si>
  <si>
    <t>Penetration Slab</t>
  </si>
  <si>
    <t>check Point</t>
  </si>
  <si>
    <t>Revised HOTO Signoff Received date</t>
  </si>
  <si>
    <t>Revised HOTO Date</t>
  </si>
  <si>
    <t>Revised HOTO Signoff date</t>
  </si>
  <si>
    <t>Chandigarh</t>
  </si>
  <si>
    <t>AXZ</t>
  </si>
  <si>
    <t>Cluster ID As per Master Tracker</t>
  </si>
  <si>
    <t>AXZ01</t>
  </si>
  <si>
    <t>AXZ010101</t>
  </si>
  <si>
    <t>AXZ010102</t>
  </si>
  <si>
    <t>AXZ010103</t>
  </si>
  <si>
    <t>AXZ010104</t>
  </si>
  <si>
    <t>AXZ010105</t>
  </si>
  <si>
    <t>AXZ010106</t>
  </si>
  <si>
    <t>AXZ010107</t>
  </si>
  <si>
    <t>AXZ010108</t>
  </si>
  <si>
    <t>AXZ010201</t>
  </si>
  <si>
    <t>AXZ010202</t>
  </si>
  <si>
    <t>AXZ02</t>
  </si>
  <si>
    <t>AXZ020101</t>
  </si>
  <si>
    <t>AXZ020102</t>
  </si>
  <si>
    <t>AXZ020103</t>
  </si>
  <si>
    <t>AXZ020104</t>
  </si>
  <si>
    <t>AXZ020105</t>
  </si>
  <si>
    <t>AXZ020106</t>
  </si>
  <si>
    <t>AXZ020107</t>
  </si>
  <si>
    <t>AXZ020108</t>
  </si>
  <si>
    <t>AXZ020201</t>
  </si>
  <si>
    <t>AXZ020202</t>
  </si>
  <si>
    <t>AXZ020203</t>
  </si>
  <si>
    <t>AXZ03</t>
  </si>
  <si>
    <t>AXZ030101</t>
  </si>
  <si>
    <t>AXZ030102</t>
  </si>
  <si>
    <t>AXZ030103</t>
  </si>
  <si>
    <t>AXZ030104</t>
  </si>
  <si>
    <t>AXZ030105</t>
  </si>
  <si>
    <t>AXZ030106</t>
  </si>
  <si>
    <t>AXZ030107</t>
  </si>
  <si>
    <t>AXZ030108</t>
  </si>
  <si>
    <t>AXZ030201</t>
  </si>
  <si>
    <t>AXZ030202</t>
  </si>
  <si>
    <t>AXZ030203</t>
  </si>
  <si>
    <t>AXZ030204</t>
  </si>
  <si>
    <t>AXZ030205</t>
  </si>
  <si>
    <t>No</t>
  </si>
  <si>
    <t>Route no</t>
  </si>
  <si>
    <t>Remark</t>
  </si>
  <si>
    <t>FY 2025-26 H2 Data</t>
  </si>
  <si>
    <t>Primary Splitter 2:8</t>
  </si>
  <si>
    <t>Secondary Splitter 1:16</t>
  </si>
  <si>
    <t>Secondary Splitter 1:8</t>
  </si>
  <si>
    <t>Pole Mount Jubilee Clamps</t>
  </si>
  <si>
    <t>Punjab</t>
  </si>
  <si>
    <t>FAT Box Installation</t>
  </si>
  <si>
    <t>FDC Installation</t>
  </si>
  <si>
    <t>FAT -Labelling &amp; AT clearance</t>
  </si>
  <si>
    <t xml:space="preserve">48F FMS Splicing </t>
  </si>
  <si>
    <t>ET-PO-PUN-2603-0010</t>
  </si>
  <si>
    <t>Invoice Awaited</t>
  </si>
  <si>
    <t>DROR Services Private Limited</t>
  </si>
  <si>
    <t>PLAN OF AXZ DARIA</t>
  </si>
  <si>
    <t>Airtel</t>
  </si>
  <si>
    <t>Extra Core Splicing</t>
  </si>
  <si>
    <t>R-1</t>
  </si>
  <si>
    <t>R-2</t>
  </si>
  <si>
    <t>R-3</t>
  </si>
  <si>
    <t>R-4</t>
  </si>
  <si>
    <t>R-5</t>
  </si>
  <si>
    <t>R-6</t>
  </si>
  <si>
    <t>R-7</t>
  </si>
  <si>
    <t>R-8</t>
  </si>
  <si>
    <t>R-9</t>
  </si>
  <si>
    <t>R-10</t>
  </si>
  <si>
    <t>R-11</t>
  </si>
  <si>
    <t>R-12</t>
  </si>
  <si>
    <t>R-13</t>
  </si>
  <si>
    <t>R-14</t>
  </si>
  <si>
    <t>R-15</t>
  </si>
  <si>
    <t xml:space="preserve">AXZ01 </t>
  </si>
  <si>
    <t>Fresh</t>
  </si>
  <si>
    <t xml:space="preserve">PO awaited </t>
  </si>
  <si>
    <t>UA</t>
  </si>
  <si>
    <t>AXZ030104-AXZ030106</t>
  </si>
  <si>
    <t>AXZ030201-AXZ030205</t>
  </si>
  <si>
    <t>000000AXZ-0000AXZ01</t>
  </si>
  <si>
    <t>0000AXZ01-AXZ010101</t>
  </si>
  <si>
    <t>0000AXZ01-AXZ010202</t>
  </si>
  <si>
    <t>0000AXZ02-AXZ020101</t>
  </si>
  <si>
    <t>0000AXZ02-AXZ020103</t>
  </si>
  <si>
    <t>0000AXZ02-AXZ020203</t>
  </si>
  <si>
    <t>0000AXZ03-AXZ030101</t>
  </si>
  <si>
    <t>0000AXZ03-AXZ030102</t>
  </si>
  <si>
    <t>0000AXZ03-AXZ030104</t>
  </si>
  <si>
    <t>0000AXZ03-AXZ030201</t>
  </si>
  <si>
    <t>0000AXZ01-AXZ010102</t>
  </si>
  <si>
    <t>0000AXZ01-AXZ010105</t>
  </si>
  <si>
    <t>000000AXZ-0000AXZ03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</si>
</sst>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[$-409]dd\-mmm\-yy;@"/>
    <numFmt numFmtId="165" formatCode="[$-C09]dd\-mmm\-yy;@"/>
    <numFmt numFmtId="166" formatCode="_ * #,##0_ ;_ * \-#,##0_ ;_ * &quot;-&quot;??_ ;_ @_ "/>
    <numFmt numFmtId="167" formatCode="_ * #,##0.0_ ;_ * \-#,##0.0_ ;_ * &quot;-&quot;??_ ;_ @_ "/>
    <numFmt numFmtId="168" formatCode="[$-409]d/mmm/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 Light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name val="Calibri"/>
      <family val="2"/>
    </font>
    <font>
      <sz val="9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2" fillId="0" borderId="0"/>
    <xf numFmtId="43" fontId="4" fillId="0" borderId="0"/>
    <xf numFmtId="43" fontId="4" fillId="0" borderId="0"/>
    <xf numFmtId="9" fontId="4" fillId="0" borderId="0"/>
    <xf numFmtId="43" fontId="4" fillId="0" borderId="0"/>
  </cellStyleXfs>
  <cellXfs count="128">
    <xf numFmtId="0" fontId="0" fillId="0" borderId="0" xfId="0"/>
    <xf numFmtId="0" fontId="0" fillId="0" borderId="1" xfId="0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15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5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64" fontId="0" fillId="0" borderId="0" xfId="0" applyNumberFormat="1"/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top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top" wrapText="1"/>
    </xf>
    <xf numFmtId="0" fontId="7" fillId="0" borderId="0" xfId="0" applyFont="1"/>
    <xf numFmtId="0" fontId="7" fillId="0" borderId="8" xfId="0" applyFont="1" applyBorder="1"/>
    <xf numFmtId="43" fontId="0" fillId="0" borderId="0" xfId="2" applyFont="1"/>
    <xf numFmtId="43" fontId="0" fillId="0" borderId="0" xfId="2" applyFont="1" applyAlignment="1">
      <alignment horizontal="left"/>
    </xf>
    <xf numFmtId="43" fontId="0" fillId="0" borderId="0" xfId="2" applyFont="1" applyAlignment="1">
      <alignment horizontal="left" vertical="center"/>
    </xf>
    <xf numFmtId="43" fontId="0" fillId="0" borderId="0" xfId="2" applyFont="1" applyAlignment="1">
      <alignment horizontal="center" vertical="center"/>
    </xf>
    <xf numFmtId="0" fontId="0" fillId="0" borderId="8" xfId="0" applyBorder="1"/>
    <xf numFmtId="0" fontId="5" fillId="4" borderId="8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 wrapText="1"/>
    </xf>
    <xf numFmtId="0" fontId="5" fillId="4" borderId="8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9" fontId="0" fillId="4" borderId="8" xfId="4" applyFont="1" applyFill="1" applyBorder="1"/>
    <xf numFmtId="9" fontId="0" fillId="4" borderId="8" xfId="4" applyFont="1" applyFill="1" applyBorder="1" applyAlignment="1">
      <alignment horizontal="center"/>
    </xf>
    <xf numFmtId="0" fontId="0" fillId="4" borderId="8" xfId="0" applyFill="1" applyBorder="1"/>
    <xf numFmtId="0" fontId="5" fillId="3" borderId="0" xfId="0" applyFont="1" applyFill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0" fontId="5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11" fillId="0" borderId="8" xfId="0" applyFont="1" applyBorder="1" applyAlignment="1">
      <alignment horizontal="center" vertical="center"/>
    </xf>
    <xf numFmtId="15" fontId="11" fillId="0" borderId="8" xfId="0" applyNumberFormat="1" applyFont="1" applyBorder="1" applyAlignment="1">
      <alignment horizontal="center" vertical="center"/>
    </xf>
    <xf numFmtId="166" fontId="4" fillId="0" borderId="8" xfId="5" applyNumberFormat="1" applyBorder="1"/>
    <xf numFmtId="0" fontId="11" fillId="0" borderId="8" xfId="0" applyFont="1" applyBorder="1" applyAlignment="1">
      <alignment horizontal="left"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6" fillId="0" borderId="0" xfId="0" applyFont="1" applyAlignment="1">
      <alignment horizontal="center" vertical="top" wrapText="1"/>
    </xf>
    <xf numFmtId="15" fontId="5" fillId="0" borderId="8" xfId="0" applyNumberFormat="1" applyFont="1" applyBorder="1" applyAlignment="1">
      <alignment horizontal="center" vertical="top" wrapText="1"/>
    </xf>
    <xf numFmtId="15" fontId="0" fillId="0" borderId="0" xfId="0" applyNumberFormat="1" applyAlignment="1">
      <alignment horizontal="centerContinuous" vertical="center"/>
    </xf>
    <xf numFmtId="9" fontId="4" fillId="0" borderId="0" xfId="4" applyAlignment="1">
      <alignment horizontal="centerContinuous" vertical="center"/>
    </xf>
    <xf numFmtId="9" fontId="0" fillId="0" borderId="0" xfId="4" applyFont="1" applyAlignment="1">
      <alignment horizont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7" fillId="4" borderId="8" xfId="0" applyFont="1" applyFill="1" applyBorder="1" applyAlignment="1">
      <alignment horizontal="center"/>
    </xf>
    <xf numFmtId="15" fontId="7" fillId="0" borderId="8" xfId="0" applyNumberFormat="1" applyFont="1" applyBorder="1"/>
    <xf numFmtId="9" fontId="7" fillId="4" borderId="8" xfId="4" applyFont="1" applyFill="1" applyBorder="1"/>
    <xf numFmtId="9" fontId="7" fillId="4" borderId="8" xfId="4" applyFont="1" applyFill="1" applyBorder="1" applyAlignment="1">
      <alignment horizontal="center"/>
    </xf>
    <xf numFmtId="9" fontId="7" fillId="0" borderId="0" xfId="4" applyFont="1" applyAlignment="1">
      <alignment horizontal="center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left" vertical="center" wrapText="1"/>
    </xf>
    <xf numFmtId="164" fontId="5" fillId="0" borderId="15" xfId="0" applyNumberFormat="1" applyFont="1" applyBorder="1" applyAlignment="1">
      <alignment horizontal="center" vertical="center" wrapText="1"/>
    </xf>
    <xf numFmtId="15" fontId="5" fillId="0" borderId="15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165" fontId="5" fillId="2" borderId="16" xfId="0" applyNumberFormat="1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166" fontId="5" fillId="3" borderId="15" xfId="2" applyNumberFormat="1" applyFont="1" applyFill="1" applyBorder="1" applyAlignment="1">
      <alignment horizontal="center" vertical="center" wrapText="1"/>
    </xf>
    <xf numFmtId="164" fontId="5" fillId="0" borderId="16" xfId="0" applyNumberFormat="1" applyFont="1" applyBorder="1" applyAlignment="1">
      <alignment horizontal="center" vertical="center" wrapText="1"/>
    </xf>
    <xf numFmtId="165" fontId="5" fillId="0" borderId="15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7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66" fontId="7" fillId="0" borderId="0" xfId="2" applyNumberFormat="1" applyFont="1" applyFill="1" applyBorder="1" applyAlignment="1">
      <alignment horizontal="center" vertical="center"/>
    </xf>
    <xf numFmtId="165" fontId="7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0" fontId="10" fillId="0" borderId="0" xfId="0" applyFont="1" applyFill="1" applyBorder="1" applyAlignment="1">
      <alignment horizontal="center" vertical="center"/>
    </xf>
    <xf numFmtId="165" fontId="10" fillId="0" borderId="0" xfId="0" applyNumberFormat="1" applyFont="1" applyFill="1" applyBorder="1"/>
    <xf numFmtId="43" fontId="7" fillId="0" borderId="0" xfId="2" applyFont="1" applyFill="1" applyBorder="1"/>
    <xf numFmtId="43" fontId="3" fillId="0" borderId="0" xfId="2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15" fontId="7" fillId="0" borderId="0" xfId="0" applyNumberFormat="1" applyFont="1" applyFill="1" applyBorder="1" applyAlignment="1">
      <alignment horizontal="center" vertical="center"/>
    </xf>
    <xf numFmtId="43" fontId="7" fillId="0" borderId="0" xfId="2" applyFont="1" applyFill="1" applyBorder="1" applyAlignment="1">
      <alignment horizontal="center" vertical="center"/>
    </xf>
    <xf numFmtId="0" fontId="0" fillId="0" borderId="0" xfId="0" applyFill="1" applyBorder="1"/>
    <xf numFmtId="0" fontId="3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vertical="center"/>
    </xf>
    <xf numFmtId="15" fontId="10" fillId="0" borderId="0" xfId="0" applyNumberFormat="1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 vertical="center"/>
    </xf>
    <xf numFmtId="166" fontId="3" fillId="0" borderId="0" xfId="2" applyNumberFormat="1" applyFont="1" applyFill="1" applyBorder="1" applyAlignment="1">
      <alignment horizontal="left" vertical="center"/>
    </xf>
    <xf numFmtId="168" fontId="3" fillId="0" borderId="0" xfId="2" applyNumberFormat="1" applyFont="1" applyFill="1" applyBorder="1" applyAlignment="1">
      <alignment horizontal="left" vertical="center"/>
    </xf>
    <xf numFmtId="0" fontId="10" fillId="0" borderId="0" xfId="0" applyFont="1" applyFill="1" applyBorder="1"/>
    <xf numFmtId="14" fontId="10" fillId="0" borderId="0" xfId="0" applyNumberFormat="1" applyFont="1" applyFill="1" applyBorder="1"/>
    <xf numFmtId="166" fontId="3" fillId="0" borderId="0" xfId="2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/>
    </xf>
    <xf numFmtId="0" fontId="5" fillId="2" borderId="16" xfId="0" applyFont="1" applyFill="1" applyBorder="1" applyAlignment="1">
      <alignment horizontal="center" vertical="center" wrapText="1"/>
    </xf>
    <xf numFmtId="15" fontId="5" fillId="0" borderId="16" xfId="0" applyNumberFormat="1" applyFont="1" applyBorder="1" applyAlignment="1">
      <alignment horizontal="center" vertical="center" wrapText="1"/>
    </xf>
    <xf numFmtId="166" fontId="7" fillId="0" borderId="0" xfId="2" applyNumberFormat="1" applyFont="1" applyFill="1" applyBorder="1" applyAlignment="1">
      <alignment horizontal="left" vertical="center"/>
    </xf>
    <xf numFmtId="167" fontId="3" fillId="0" borderId="0" xfId="2" applyNumberFormat="1" applyFont="1" applyFill="1" applyBorder="1" applyAlignment="1">
      <alignment horizontal="left" vertical="center"/>
    </xf>
    <xf numFmtId="15" fontId="10" fillId="0" borderId="0" xfId="0" applyNumberFormat="1" applyFont="1" applyFill="1" applyBorder="1"/>
    <xf numFmtId="0" fontId="9" fillId="0" borderId="0" xfId="0" applyFont="1" applyFill="1" applyBorder="1" applyAlignment="1">
      <alignment vertical="center"/>
    </xf>
    <xf numFmtId="167" fontId="7" fillId="0" borderId="0" xfId="2" applyNumberFormat="1" applyFont="1" applyFill="1" applyBorder="1" applyAlignment="1">
      <alignment horizontal="left"/>
    </xf>
    <xf numFmtId="167" fontId="7" fillId="0" borderId="0" xfId="2" applyNumberFormat="1" applyFont="1" applyFill="1" applyBorder="1" applyAlignment="1">
      <alignment horizontal="left" vertical="center"/>
    </xf>
    <xf numFmtId="167" fontId="7" fillId="0" borderId="0" xfId="2" applyNumberFormat="1" applyFont="1" applyFill="1" applyBorder="1"/>
    <xf numFmtId="2" fontId="0" fillId="0" borderId="0" xfId="2" applyNumberFormat="1" applyFont="1" applyAlignment="1">
      <alignment horizontal="left" vertical="center"/>
    </xf>
    <xf numFmtId="2" fontId="5" fillId="0" borderId="16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2" fontId="5" fillId="0" borderId="15" xfId="0" applyNumberFormat="1" applyFont="1" applyBorder="1" applyAlignment="1">
      <alignment horizontal="center" vertical="center" wrapText="1"/>
    </xf>
    <xf numFmtId="0" fontId="12" fillId="0" borderId="0" xfId="0" applyFont="1" applyFill="1" applyBorder="1" applyAlignment="1"/>
    <xf numFmtId="15" fontId="12" fillId="0" borderId="0" xfId="0" applyNumberFormat="1" applyFont="1" applyFill="1" applyBorder="1" applyAlignment="1">
      <alignment vertical="center"/>
    </xf>
    <xf numFmtId="166" fontId="11" fillId="0" borderId="0" xfId="2" applyNumberFormat="1" applyFont="1" applyFill="1" applyBorder="1" applyAlignment="1">
      <alignment vertical="center"/>
    </xf>
    <xf numFmtId="0" fontId="13" fillId="0" borderId="0" xfId="0" applyFont="1" applyFill="1" applyBorder="1" applyAlignment="1">
      <alignment vertical="center"/>
    </xf>
    <xf numFmtId="0" fontId="6" fillId="0" borderId="0" xfId="0" applyFont="1" applyFill="1" applyBorder="1" applyAlignment="1"/>
    <xf numFmtId="0" fontId="6" fillId="0" borderId="0" xfId="0" applyFont="1" applyFill="1" applyBorder="1" applyAlignment="1">
      <alignment vertical="center"/>
    </xf>
    <xf numFmtId="164" fontId="11" fillId="0" borderId="0" xfId="0" applyNumberFormat="1" applyFont="1" applyFill="1" applyBorder="1" applyAlignment="1">
      <alignment vertical="center"/>
    </xf>
    <xf numFmtId="168" fontId="11" fillId="0" borderId="0" xfId="2" applyNumberFormat="1" applyFont="1" applyFill="1" applyBorder="1" applyAlignment="1">
      <alignment vertical="center"/>
    </xf>
    <xf numFmtId="2" fontId="11" fillId="0" borderId="0" xfId="2" applyNumberFormat="1" applyFont="1" applyFill="1" applyBorder="1" applyAlignment="1">
      <alignment vertical="center"/>
    </xf>
    <xf numFmtId="14" fontId="6" fillId="0" borderId="0" xfId="0" applyNumberFormat="1" applyFont="1" applyFill="1" applyBorder="1" applyAlignment="1"/>
    <xf numFmtId="166" fontId="6" fillId="0" borderId="0" xfId="2" applyNumberFormat="1" applyFont="1" applyFill="1" applyBorder="1" applyAlignment="1">
      <alignment vertical="center"/>
    </xf>
  </cellXfs>
  <cellStyles count="6">
    <cellStyle name="Comma" xfId="2" builtinId="3"/>
    <cellStyle name="Comma 2" xfId="3" xr:uid="{00000000-0005-0000-0000-000003000000}"/>
    <cellStyle name="Comma 4" xfId="5" xr:uid="{55C32FD3-13B0-4C1B-A3DD-C4E498C21A7A}"/>
    <cellStyle name="Normal" xfId="0" builtinId="0"/>
    <cellStyle name="Normal 3 3" xfId="1" xr:uid="{00000000-0005-0000-0000-000001000000}"/>
    <cellStyle name="Percent" xfId="4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showGridLines="0" zoomScale="80" zoomScaleNormal="8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18"/>
  <sheetViews>
    <sheetView workbookViewId="0">
      <selection sqref="A1:B16"/>
    </sheetView>
  </sheetViews>
  <sheetFormatPr defaultRowHeight="15" x14ac:dyDescent="0.25"/>
  <cols>
    <col min="1" max="1" width="5.7109375" bestFit="1" customWidth="1"/>
    <col min="2" max="2" width="119.28515625" bestFit="1" customWidth="1"/>
  </cols>
  <sheetData>
    <row r="1" spans="1:18" ht="15.75" customHeight="1" thickBot="1" x14ac:dyDescent="0.3">
      <c r="A1" s="6" t="s">
        <v>0</v>
      </c>
      <c r="B1" s="7" t="s">
        <v>1</v>
      </c>
    </row>
    <row r="2" spans="1:18" x14ac:dyDescent="0.25">
      <c r="A2" s="41">
        <v>1</v>
      </c>
      <c r="B2" s="42" t="s">
        <v>2</v>
      </c>
    </row>
    <row r="3" spans="1:18" ht="15.75" customHeight="1" thickBot="1" x14ac:dyDescent="0.3">
      <c r="A3" s="2">
        <f t="shared" ref="A3:A16" si="0">A2+1</f>
        <v>2</v>
      </c>
      <c r="B3" s="3" t="s">
        <v>3</v>
      </c>
    </row>
    <row r="4" spans="1:18" ht="21.6" customHeight="1" thickBot="1" x14ac:dyDescent="0.3">
      <c r="A4" s="2">
        <f t="shared" si="0"/>
        <v>3</v>
      </c>
      <c r="B4" s="3" t="s">
        <v>4</v>
      </c>
      <c r="R4" s="1" t="s">
        <v>5</v>
      </c>
    </row>
    <row r="5" spans="1:18" x14ac:dyDescent="0.25">
      <c r="A5" s="2">
        <f t="shared" si="0"/>
        <v>4</v>
      </c>
      <c r="B5" s="3" t="s">
        <v>6</v>
      </c>
      <c r="R5" s="2" t="s">
        <v>7</v>
      </c>
    </row>
    <row r="6" spans="1:18" x14ac:dyDescent="0.25">
      <c r="A6" s="2">
        <f t="shared" si="0"/>
        <v>5</v>
      </c>
      <c r="B6" s="3" t="s">
        <v>8</v>
      </c>
      <c r="R6" s="2" t="s">
        <v>9</v>
      </c>
    </row>
    <row r="7" spans="1:18" x14ac:dyDescent="0.25">
      <c r="A7" s="2">
        <f t="shared" si="0"/>
        <v>6</v>
      </c>
      <c r="B7" s="3" t="s">
        <v>10</v>
      </c>
      <c r="R7" s="2" t="s">
        <v>11</v>
      </c>
    </row>
    <row r="8" spans="1:18" x14ac:dyDescent="0.25">
      <c r="A8" s="2">
        <f t="shared" si="0"/>
        <v>7</v>
      </c>
      <c r="B8" s="3" t="s">
        <v>12</v>
      </c>
      <c r="R8" s="2" t="s">
        <v>13</v>
      </c>
    </row>
    <row r="9" spans="1:18" x14ac:dyDescent="0.25">
      <c r="A9" s="2">
        <f t="shared" si="0"/>
        <v>8</v>
      </c>
      <c r="B9" s="3" t="s">
        <v>14</v>
      </c>
      <c r="R9" s="2"/>
    </row>
    <row r="10" spans="1:18" x14ac:dyDescent="0.25">
      <c r="A10" s="2">
        <f t="shared" si="0"/>
        <v>9</v>
      </c>
      <c r="B10" s="3" t="s">
        <v>15</v>
      </c>
      <c r="R10" s="2"/>
    </row>
    <row r="11" spans="1:18" x14ac:dyDescent="0.25">
      <c r="A11" s="2">
        <f t="shared" si="0"/>
        <v>10</v>
      </c>
      <c r="B11" s="3" t="s">
        <v>16</v>
      </c>
      <c r="R11" s="2"/>
    </row>
    <row r="12" spans="1:18" x14ac:dyDescent="0.25">
      <c r="A12" s="2">
        <f t="shared" si="0"/>
        <v>11</v>
      </c>
      <c r="B12" s="3" t="s">
        <v>17</v>
      </c>
      <c r="R12" s="2"/>
    </row>
    <row r="13" spans="1:18" x14ac:dyDescent="0.25">
      <c r="A13" s="2">
        <f t="shared" si="0"/>
        <v>12</v>
      </c>
      <c r="B13" s="3" t="s">
        <v>18</v>
      </c>
      <c r="R13" s="2"/>
    </row>
    <row r="14" spans="1:18" x14ac:dyDescent="0.25">
      <c r="A14" s="2">
        <f t="shared" si="0"/>
        <v>13</v>
      </c>
      <c r="B14" s="3" t="s">
        <v>19</v>
      </c>
      <c r="R14" s="2" t="s">
        <v>20</v>
      </c>
    </row>
    <row r="15" spans="1:18" ht="15.75" customHeight="1" x14ac:dyDescent="0.25">
      <c r="A15" s="2">
        <f t="shared" si="0"/>
        <v>14</v>
      </c>
      <c r="B15" s="3" t="s">
        <v>21</v>
      </c>
      <c r="R15" s="2" t="s">
        <v>22</v>
      </c>
    </row>
    <row r="16" spans="1:18" ht="15.75" thickBot="1" x14ac:dyDescent="0.3">
      <c r="A16" s="4">
        <f t="shared" si="0"/>
        <v>15</v>
      </c>
      <c r="B16" s="5" t="s">
        <v>23</v>
      </c>
      <c r="R16" s="2" t="s">
        <v>24</v>
      </c>
    </row>
    <row r="17" spans="18:18" x14ac:dyDescent="0.25">
      <c r="R17" s="2" t="s">
        <v>25</v>
      </c>
    </row>
    <row r="18" spans="18:18" x14ac:dyDescent="0.25">
      <c r="R18" s="2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G17"/>
  <sheetViews>
    <sheetView tabSelected="1" topLeftCell="AL1" zoomScaleNormal="100" workbookViewId="0">
      <pane ySplit="2" topLeftCell="A3" activePane="bottomLeft" state="frozen"/>
      <selection activeCell="D110" sqref="D110"/>
      <selection pane="bottomLeft" activeCell="AQ3" sqref="AQ3"/>
    </sheetView>
  </sheetViews>
  <sheetFormatPr defaultColWidth="8.7109375" defaultRowHeight="15" x14ac:dyDescent="0.25"/>
  <cols>
    <col min="1" max="1" width="7.5703125" style="9" bestFit="1" customWidth="1"/>
    <col min="2" max="2" width="23.85546875" style="10" customWidth="1"/>
    <col min="3" max="3" width="14.5703125" style="10" customWidth="1"/>
    <col min="4" max="4" width="21.42578125" style="10" bestFit="1" customWidth="1"/>
    <col min="5" max="5" width="22.5703125" style="10" bestFit="1" customWidth="1"/>
    <col min="6" max="6" width="21.42578125" style="10" customWidth="1"/>
    <col min="7" max="7" width="14.5703125" style="10" customWidth="1"/>
    <col min="8" max="8" width="18.42578125" style="10" customWidth="1"/>
    <col min="9" max="9" width="12.140625" style="10" customWidth="1"/>
    <col min="10" max="11" width="17.42578125" style="10" customWidth="1"/>
    <col min="12" max="13" width="14.5703125" style="10" customWidth="1"/>
    <col min="14" max="14" width="14.5703125" style="11" customWidth="1"/>
    <col min="15" max="15" width="14.5703125" style="10" customWidth="1"/>
    <col min="16" max="16" width="9.85546875" style="11" bestFit="1" customWidth="1"/>
    <col min="17" max="17" width="13.5703125" style="11" bestFit="1" customWidth="1"/>
    <col min="18" max="18" width="12" style="11" customWidth="1"/>
    <col min="19" max="19" width="8.7109375" style="10" customWidth="1"/>
    <col min="20" max="20" width="10" style="10" customWidth="1"/>
    <col min="21" max="23" width="8.7109375" style="10" customWidth="1"/>
    <col min="24" max="24" width="12.42578125" style="10" customWidth="1"/>
    <col min="25" max="25" width="1.7109375" style="10" customWidth="1"/>
    <col min="26" max="26" width="39.140625" style="10" bestFit="1" customWidth="1"/>
    <col min="27" max="27" width="8.7109375" style="10" customWidth="1"/>
    <col min="28" max="28" width="9.42578125" style="16" customWidth="1"/>
    <col min="29" max="29" width="8.7109375" style="115" customWidth="1"/>
    <col min="30" max="30" width="1.7109375" style="10" customWidth="1"/>
    <col min="31" max="31" width="14.5703125" style="10" customWidth="1"/>
    <col min="32" max="32" width="9.42578125" style="10" customWidth="1"/>
    <col min="33" max="33" width="8.7109375" style="10" customWidth="1"/>
    <col min="34" max="34" width="11.7109375" style="115" customWidth="1"/>
    <col min="35" max="35" width="8.7109375" style="10" customWidth="1"/>
    <col min="36" max="36" width="1.7109375" style="10" customWidth="1"/>
    <col min="37" max="37" width="30.140625" style="10" bestFit="1" customWidth="1"/>
    <col min="38" max="38" width="16.42578125" style="10" customWidth="1"/>
    <col min="39" max="44" width="8.7109375" style="10" customWidth="1"/>
    <col min="45" max="45" width="1.7109375" style="10" customWidth="1"/>
    <col min="46" max="46" width="25.85546875" style="10" bestFit="1" customWidth="1"/>
    <col min="47" max="47" width="13.140625" style="11" bestFit="1" customWidth="1"/>
    <col min="48" max="49" width="13.140625" style="10" bestFit="1" customWidth="1"/>
    <col min="50" max="50" width="1.7109375" style="10" customWidth="1"/>
    <col min="51" max="51" width="20" style="10" bestFit="1" customWidth="1"/>
    <col min="52" max="52" width="14.28515625" style="11" bestFit="1" customWidth="1"/>
    <col min="53" max="53" width="14.28515625" style="10" bestFit="1" customWidth="1"/>
    <col min="54" max="54" width="12.85546875" style="10" customWidth="1"/>
    <col min="55" max="55" width="11.5703125" style="10" bestFit="1" customWidth="1"/>
    <col min="56" max="56" width="1.7109375" style="10" customWidth="1"/>
    <col min="57" max="57" width="7.28515625" style="10" bestFit="1" customWidth="1"/>
    <col min="58" max="58" width="19.5703125" style="10" bestFit="1" customWidth="1"/>
    <col min="59" max="59" width="14.7109375" style="10" bestFit="1" customWidth="1"/>
    <col min="60" max="16384" width="8.7109375" style="10"/>
  </cols>
  <sheetData>
    <row r="1" spans="1:59" s="28" customFormat="1" ht="15.75" customHeight="1" thickBot="1" x14ac:dyDescent="0.3">
      <c r="A1" s="29"/>
      <c r="O1" s="28">
        <f>SUBTOTAL(9,O3:O1048576)</f>
        <v>2750</v>
      </c>
      <c r="W1" s="28">
        <f>SUBTOTAL(9,W3:W1048576)</f>
        <v>2750</v>
      </c>
      <c r="X1" s="28">
        <f>SUBTOTAL(9,X3:X1048576)</f>
        <v>2490</v>
      </c>
      <c r="AC1" s="113"/>
      <c r="AE1" s="28">
        <f>SUBTOTAL(9,AE3:AE1048576)</f>
        <v>2750</v>
      </c>
      <c r="AH1" s="113"/>
      <c r="AL1" s="28">
        <f>SUBTOTAL(9,AL3:AL1048576)</f>
        <v>2490</v>
      </c>
      <c r="BB1" s="28">
        <f>SUBTOTAL(9,BB3:BB1048576)</f>
        <v>2490</v>
      </c>
      <c r="BC1" s="28">
        <f>SUBTOTAL(9,BC3:BC1048576)</f>
        <v>39840</v>
      </c>
    </row>
    <row r="2" spans="1:59" s="19" customFormat="1" ht="41.1" customHeight="1" x14ac:dyDescent="0.25">
      <c r="A2" s="63" t="s">
        <v>0</v>
      </c>
      <c r="B2" s="64" t="s">
        <v>27</v>
      </c>
      <c r="C2" s="64" t="s">
        <v>28</v>
      </c>
      <c r="D2" s="64" t="s">
        <v>29</v>
      </c>
      <c r="E2" s="64" t="s">
        <v>30</v>
      </c>
      <c r="F2" s="64" t="s">
        <v>31</v>
      </c>
      <c r="G2" s="64" t="s">
        <v>32</v>
      </c>
      <c r="H2" s="64" t="s">
        <v>33</v>
      </c>
      <c r="I2" s="64" t="s">
        <v>34</v>
      </c>
      <c r="J2" s="64" t="s">
        <v>35</v>
      </c>
      <c r="K2" s="64" t="s">
        <v>36</v>
      </c>
      <c r="L2" s="64" t="s">
        <v>37</v>
      </c>
      <c r="M2" s="64" t="s">
        <v>38</v>
      </c>
      <c r="N2" s="67" t="s">
        <v>39</v>
      </c>
      <c r="O2" s="64" t="s">
        <v>40</v>
      </c>
      <c r="P2" s="67" t="s">
        <v>41</v>
      </c>
      <c r="Q2" s="67" t="s">
        <v>42</v>
      </c>
      <c r="R2" s="67" t="s">
        <v>43</v>
      </c>
      <c r="S2" s="64" t="s">
        <v>44</v>
      </c>
      <c r="T2" s="64" t="s">
        <v>45</v>
      </c>
      <c r="U2" s="64" t="s">
        <v>46</v>
      </c>
      <c r="V2" s="64" t="s">
        <v>47</v>
      </c>
      <c r="W2" s="64" t="s">
        <v>48</v>
      </c>
      <c r="X2" s="69" t="s">
        <v>49</v>
      </c>
      <c r="Y2" s="22"/>
      <c r="Z2" s="63" t="s">
        <v>50</v>
      </c>
      <c r="AA2" s="64" t="s">
        <v>51</v>
      </c>
      <c r="AB2" s="75" t="s">
        <v>52</v>
      </c>
      <c r="AC2" s="114" t="s">
        <v>53</v>
      </c>
      <c r="AD2" s="22"/>
      <c r="AE2" s="63" t="s">
        <v>54</v>
      </c>
      <c r="AF2" s="64" t="s">
        <v>55</v>
      </c>
      <c r="AG2" s="64" t="s">
        <v>47</v>
      </c>
      <c r="AH2" s="116" t="s">
        <v>56</v>
      </c>
      <c r="AI2" s="70" t="s">
        <v>57</v>
      </c>
      <c r="AJ2" s="22"/>
      <c r="AK2" s="63" t="s">
        <v>58</v>
      </c>
      <c r="AL2" s="64" t="s">
        <v>59</v>
      </c>
      <c r="AM2" s="64" t="s">
        <v>60</v>
      </c>
      <c r="AN2" s="65" t="s">
        <v>61</v>
      </c>
      <c r="AO2" s="64" t="s">
        <v>62</v>
      </c>
      <c r="AP2" s="64" t="s">
        <v>63</v>
      </c>
      <c r="AQ2" s="65" t="s">
        <v>64</v>
      </c>
      <c r="AR2" s="70" t="s">
        <v>65</v>
      </c>
      <c r="AS2" s="22"/>
      <c r="AT2" s="63" t="s">
        <v>66</v>
      </c>
      <c r="AU2" s="67" t="s">
        <v>67</v>
      </c>
      <c r="AV2" s="65" t="s">
        <v>68</v>
      </c>
      <c r="AW2" s="70" t="s">
        <v>69</v>
      </c>
      <c r="AX2" s="22"/>
      <c r="AY2" s="63" t="s">
        <v>70</v>
      </c>
      <c r="AZ2" s="67" t="s">
        <v>71</v>
      </c>
      <c r="BA2" s="65" t="s">
        <v>72</v>
      </c>
      <c r="BB2" s="65" t="s">
        <v>73</v>
      </c>
      <c r="BC2" s="70" t="s">
        <v>74</v>
      </c>
      <c r="BD2" s="21"/>
      <c r="BE2" s="19" t="s">
        <v>174</v>
      </c>
      <c r="BF2" s="64" t="s">
        <v>27</v>
      </c>
      <c r="BG2" s="19" t="s">
        <v>175</v>
      </c>
    </row>
    <row r="3" spans="1:59" s="127" customFormat="1" ht="15" customHeight="1" x14ac:dyDescent="0.2">
      <c r="A3" s="119">
        <v>1</v>
      </c>
      <c r="B3" s="120" t="s">
        <v>213</v>
      </c>
      <c r="C3" s="121" t="s">
        <v>134</v>
      </c>
      <c r="D3" s="119"/>
      <c r="E3" s="120" t="s">
        <v>136</v>
      </c>
      <c r="F3" s="119"/>
      <c r="G3" s="122" t="s">
        <v>190</v>
      </c>
      <c r="H3" s="119" t="s">
        <v>189</v>
      </c>
      <c r="I3" s="121" t="s">
        <v>133</v>
      </c>
      <c r="J3" s="121" t="s">
        <v>181</v>
      </c>
      <c r="K3" s="121" t="s">
        <v>133</v>
      </c>
      <c r="L3" s="120" t="s">
        <v>134</v>
      </c>
      <c r="M3" s="120" t="s">
        <v>134</v>
      </c>
      <c r="N3" s="123">
        <v>46110</v>
      </c>
      <c r="O3" s="121">
        <v>223</v>
      </c>
      <c r="P3" s="123">
        <v>46110</v>
      </c>
      <c r="Q3" s="123">
        <v>46119</v>
      </c>
      <c r="R3" s="123">
        <v>46110</v>
      </c>
      <c r="S3" s="119"/>
      <c r="T3" s="119"/>
      <c r="U3" s="119" t="s">
        <v>208</v>
      </c>
      <c r="V3" s="121" t="s">
        <v>75</v>
      </c>
      <c r="W3" s="121">
        <v>223</v>
      </c>
      <c r="X3" s="121">
        <v>172</v>
      </c>
      <c r="Y3" s="119"/>
      <c r="Z3" s="119" t="s">
        <v>209</v>
      </c>
      <c r="AA3" s="119"/>
      <c r="AB3" s="124"/>
      <c r="AC3" s="125">
        <v>30.5</v>
      </c>
      <c r="AD3" s="119"/>
      <c r="AE3" s="121">
        <v>223</v>
      </c>
      <c r="AF3" s="119" t="s">
        <v>210</v>
      </c>
      <c r="AG3" s="121" t="s">
        <v>75</v>
      </c>
      <c r="AH3" s="125">
        <v>24.5</v>
      </c>
      <c r="AI3" s="119">
        <f t="shared" ref="AI3:AI17" si="0">IF(AE3&lt;&gt;"",AH3*AE3,0)</f>
        <v>5463.5</v>
      </c>
      <c r="AJ3" s="119"/>
      <c r="AK3" s="122" t="s">
        <v>188</v>
      </c>
      <c r="AL3" s="121">
        <v>172</v>
      </c>
      <c r="AM3" s="119">
        <v>16</v>
      </c>
      <c r="AN3" s="119">
        <f t="shared" ref="AN3:AN17" si="1">IF(AL3&lt;&gt;"",AM3*AL3,0)</f>
        <v>2752</v>
      </c>
      <c r="AO3" s="119"/>
      <c r="AP3" s="119"/>
      <c r="AQ3" s="119">
        <f t="shared" ref="AQ3:AQ17" si="2">IF(AO3&lt;&gt;"",AP3*AO3,0)</f>
        <v>0</v>
      </c>
      <c r="AR3" s="119">
        <f t="shared" ref="AR3:AR17" si="3">AQ3+AN3</f>
        <v>2752</v>
      </c>
      <c r="AS3" s="119"/>
      <c r="AT3" s="117" t="s">
        <v>186</v>
      </c>
      <c r="AU3" s="118">
        <v>46094</v>
      </c>
      <c r="AV3" s="119">
        <f t="shared" ref="AV3:AV17" si="4">AM3</f>
        <v>16</v>
      </c>
      <c r="AW3" s="119">
        <f t="shared" ref="AW3:AW17" si="5">AV3*AL3</f>
        <v>2752</v>
      </c>
      <c r="AX3" s="119"/>
      <c r="AY3" s="121" t="s">
        <v>187</v>
      </c>
      <c r="AZ3" s="126"/>
      <c r="BA3" s="119">
        <f t="shared" ref="BA3:BA17" si="6">AM3</f>
        <v>16</v>
      </c>
      <c r="BB3" s="119">
        <f t="shared" ref="BB3:BB17" si="7">AL3</f>
        <v>172</v>
      </c>
      <c r="BC3" s="119">
        <f t="shared" ref="BC3:BC17" si="8">IF(BB3&lt;&gt;"",BB3*BA3,0)</f>
        <v>2752</v>
      </c>
      <c r="BD3" s="119"/>
      <c r="BE3" s="119" t="s">
        <v>192</v>
      </c>
      <c r="BF3" s="120" t="s">
        <v>213</v>
      </c>
      <c r="BG3" s="127" t="s">
        <v>176</v>
      </c>
    </row>
    <row r="4" spans="1:59" s="127" customFormat="1" ht="15" customHeight="1" x14ac:dyDescent="0.2">
      <c r="A4" s="119">
        <f>A3+1</f>
        <v>2</v>
      </c>
      <c r="B4" s="120" t="s">
        <v>225</v>
      </c>
      <c r="C4" s="120" t="s">
        <v>134</v>
      </c>
      <c r="D4" s="119"/>
      <c r="E4" s="120" t="s">
        <v>159</v>
      </c>
      <c r="F4" s="119"/>
      <c r="G4" s="122" t="s">
        <v>190</v>
      </c>
      <c r="H4" s="119" t="s">
        <v>189</v>
      </c>
      <c r="I4" s="121" t="s">
        <v>133</v>
      </c>
      <c r="J4" s="121" t="s">
        <v>181</v>
      </c>
      <c r="K4" s="121" t="s">
        <v>133</v>
      </c>
      <c r="L4" s="120" t="s">
        <v>134</v>
      </c>
      <c r="M4" s="120" t="s">
        <v>134</v>
      </c>
      <c r="N4" s="123">
        <v>46110</v>
      </c>
      <c r="O4" s="121">
        <v>362</v>
      </c>
      <c r="P4" s="123">
        <v>46110</v>
      </c>
      <c r="Q4" s="123">
        <v>46119</v>
      </c>
      <c r="R4" s="123">
        <v>46110</v>
      </c>
      <c r="S4" s="119"/>
      <c r="T4" s="119"/>
      <c r="U4" s="119" t="s">
        <v>208</v>
      </c>
      <c r="V4" s="121" t="s">
        <v>75</v>
      </c>
      <c r="W4" s="121">
        <v>362</v>
      </c>
      <c r="X4" s="121">
        <v>300</v>
      </c>
      <c r="Y4" s="119"/>
      <c r="Z4" s="119" t="s">
        <v>209</v>
      </c>
      <c r="AA4" s="119"/>
      <c r="AB4" s="124"/>
      <c r="AC4" s="125">
        <v>30.5</v>
      </c>
      <c r="AD4" s="119"/>
      <c r="AE4" s="121">
        <v>362</v>
      </c>
      <c r="AF4" s="119" t="s">
        <v>210</v>
      </c>
      <c r="AG4" s="121" t="s">
        <v>75</v>
      </c>
      <c r="AH4" s="125">
        <v>24.5</v>
      </c>
      <c r="AI4" s="119">
        <f t="shared" si="0"/>
        <v>8869</v>
      </c>
      <c r="AJ4" s="119"/>
      <c r="AK4" s="122" t="s">
        <v>188</v>
      </c>
      <c r="AL4" s="121">
        <v>300</v>
      </c>
      <c r="AM4" s="119">
        <v>16</v>
      </c>
      <c r="AN4" s="119">
        <f t="shared" si="1"/>
        <v>4800</v>
      </c>
      <c r="AO4" s="119"/>
      <c r="AP4" s="119"/>
      <c r="AQ4" s="119">
        <f t="shared" si="2"/>
        <v>0</v>
      </c>
      <c r="AR4" s="119">
        <f t="shared" si="3"/>
        <v>4800</v>
      </c>
      <c r="AS4" s="119"/>
      <c r="AT4" s="117" t="s">
        <v>186</v>
      </c>
      <c r="AU4" s="118">
        <v>46094</v>
      </c>
      <c r="AV4" s="119">
        <f t="shared" si="4"/>
        <v>16</v>
      </c>
      <c r="AW4" s="119">
        <f t="shared" si="5"/>
        <v>4800</v>
      </c>
      <c r="AX4" s="119"/>
      <c r="AY4" s="121" t="s">
        <v>187</v>
      </c>
      <c r="AZ4" s="126"/>
      <c r="BA4" s="119">
        <f t="shared" si="6"/>
        <v>16</v>
      </c>
      <c r="BB4" s="119">
        <f t="shared" si="7"/>
        <v>300</v>
      </c>
      <c r="BC4" s="119">
        <f t="shared" si="8"/>
        <v>4800</v>
      </c>
      <c r="BD4" s="119"/>
      <c r="BE4" s="119" t="s">
        <v>193</v>
      </c>
      <c r="BF4" s="120" t="s">
        <v>225</v>
      </c>
      <c r="BG4" s="127" t="s">
        <v>176</v>
      </c>
    </row>
    <row r="5" spans="1:59" s="127" customFormat="1" ht="15" customHeight="1" x14ac:dyDescent="0.2">
      <c r="A5" s="119">
        <f t="shared" ref="A5:A17" si="9">A4+1</f>
        <v>3</v>
      </c>
      <c r="B5" s="120" t="s">
        <v>214</v>
      </c>
      <c r="C5" s="121" t="s">
        <v>136</v>
      </c>
      <c r="D5" s="119"/>
      <c r="E5" s="121" t="s">
        <v>137</v>
      </c>
      <c r="F5" s="119"/>
      <c r="G5" s="122" t="s">
        <v>190</v>
      </c>
      <c r="H5" s="119" t="s">
        <v>189</v>
      </c>
      <c r="I5" s="121" t="s">
        <v>133</v>
      </c>
      <c r="J5" s="121" t="s">
        <v>181</v>
      </c>
      <c r="K5" s="121" t="s">
        <v>133</v>
      </c>
      <c r="L5" s="120" t="s">
        <v>134</v>
      </c>
      <c r="M5" s="120" t="s">
        <v>134</v>
      </c>
      <c r="N5" s="123">
        <v>46110</v>
      </c>
      <c r="O5" s="121">
        <v>10</v>
      </c>
      <c r="P5" s="123">
        <v>46110</v>
      </c>
      <c r="Q5" s="123">
        <v>46119</v>
      </c>
      <c r="R5" s="123">
        <v>46110</v>
      </c>
      <c r="S5" s="119"/>
      <c r="T5" s="119"/>
      <c r="U5" s="119" t="s">
        <v>208</v>
      </c>
      <c r="V5" s="121" t="s">
        <v>76</v>
      </c>
      <c r="W5" s="121">
        <v>10</v>
      </c>
      <c r="X5" s="121">
        <v>10</v>
      </c>
      <c r="Y5" s="119"/>
      <c r="Z5" s="119" t="s">
        <v>209</v>
      </c>
      <c r="AA5" s="119"/>
      <c r="AB5" s="124"/>
      <c r="AC5" s="125">
        <v>25.5</v>
      </c>
      <c r="AD5" s="119"/>
      <c r="AE5" s="121">
        <v>10</v>
      </c>
      <c r="AF5" s="119" t="s">
        <v>210</v>
      </c>
      <c r="AG5" s="121" t="s">
        <v>76</v>
      </c>
      <c r="AH5" s="125">
        <v>12.5</v>
      </c>
      <c r="AI5" s="119">
        <f t="shared" si="0"/>
        <v>125</v>
      </c>
      <c r="AJ5" s="119"/>
      <c r="AK5" s="122" t="s">
        <v>188</v>
      </c>
      <c r="AL5" s="121">
        <v>10</v>
      </c>
      <c r="AM5" s="119">
        <v>16</v>
      </c>
      <c r="AN5" s="119">
        <f t="shared" si="1"/>
        <v>160</v>
      </c>
      <c r="AO5" s="119"/>
      <c r="AP5" s="119"/>
      <c r="AQ5" s="119">
        <f t="shared" si="2"/>
        <v>0</v>
      </c>
      <c r="AR5" s="119">
        <f t="shared" si="3"/>
        <v>160</v>
      </c>
      <c r="AS5" s="119"/>
      <c r="AT5" s="117" t="s">
        <v>186</v>
      </c>
      <c r="AU5" s="118">
        <v>46094</v>
      </c>
      <c r="AV5" s="119">
        <f t="shared" si="4"/>
        <v>16</v>
      </c>
      <c r="AW5" s="119">
        <f t="shared" si="5"/>
        <v>160</v>
      </c>
      <c r="AX5" s="119"/>
      <c r="AY5" s="121" t="s">
        <v>187</v>
      </c>
      <c r="AZ5" s="126"/>
      <c r="BA5" s="119">
        <f t="shared" si="6"/>
        <v>16</v>
      </c>
      <c r="BB5" s="119">
        <f t="shared" si="7"/>
        <v>10</v>
      </c>
      <c r="BC5" s="119">
        <f t="shared" si="8"/>
        <v>160</v>
      </c>
      <c r="BD5" s="119"/>
      <c r="BE5" s="119" t="s">
        <v>194</v>
      </c>
      <c r="BF5" s="120" t="s">
        <v>214</v>
      </c>
      <c r="BG5" s="127" t="s">
        <v>176</v>
      </c>
    </row>
    <row r="6" spans="1:59" s="127" customFormat="1" ht="15" customHeight="1" x14ac:dyDescent="0.2">
      <c r="A6" s="119">
        <f t="shared" si="9"/>
        <v>4</v>
      </c>
      <c r="B6" s="120" t="s">
        <v>223</v>
      </c>
      <c r="C6" s="121" t="s">
        <v>207</v>
      </c>
      <c r="D6" s="119"/>
      <c r="E6" s="121" t="s">
        <v>138</v>
      </c>
      <c r="F6" s="119"/>
      <c r="G6" s="122" t="s">
        <v>190</v>
      </c>
      <c r="H6" s="119" t="s">
        <v>189</v>
      </c>
      <c r="I6" s="121" t="s">
        <v>133</v>
      </c>
      <c r="J6" s="121" t="s">
        <v>181</v>
      </c>
      <c r="K6" s="121" t="s">
        <v>133</v>
      </c>
      <c r="L6" s="120" t="s">
        <v>134</v>
      </c>
      <c r="M6" s="120" t="s">
        <v>134</v>
      </c>
      <c r="N6" s="123">
        <v>46110</v>
      </c>
      <c r="O6" s="121">
        <v>217</v>
      </c>
      <c r="P6" s="123">
        <v>46110</v>
      </c>
      <c r="Q6" s="123">
        <v>46119</v>
      </c>
      <c r="R6" s="123">
        <v>46110</v>
      </c>
      <c r="S6" s="119"/>
      <c r="T6" s="119"/>
      <c r="U6" s="119" t="s">
        <v>208</v>
      </c>
      <c r="V6" s="121" t="s">
        <v>76</v>
      </c>
      <c r="W6" s="121">
        <v>217</v>
      </c>
      <c r="X6" s="121">
        <v>214</v>
      </c>
      <c r="Y6" s="119"/>
      <c r="Z6" s="119" t="s">
        <v>209</v>
      </c>
      <c r="AA6" s="119"/>
      <c r="AB6" s="124"/>
      <c r="AC6" s="125">
        <v>25.5</v>
      </c>
      <c r="AD6" s="119"/>
      <c r="AE6" s="121">
        <v>217</v>
      </c>
      <c r="AF6" s="119" t="s">
        <v>210</v>
      </c>
      <c r="AG6" s="121" t="s">
        <v>76</v>
      </c>
      <c r="AH6" s="125">
        <v>12.5</v>
      </c>
      <c r="AI6" s="119">
        <f t="shared" si="0"/>
        <v>2712.5</v>
      </c>
      <c r="AJ6" s="119"/>
      <c r="AK6" s="122" t="s">
        <v>188</v>
      </c>
      <c r="AL6" s="121">
        <v>214</v>
      </c>
      <c r="AM6" s="119">
        <v>16</v>
      </c>
      <c r="AN6" s="119">
        <f t="shared" si="1"/>
        <v>3424</v>
      </c>
      <c r="AO6" s="119"/>
      <c r="AP6" s="119"/>
      <c r="AQ6" s="119">
        <f t="shared" si="2"/>
        <v>0</v>
      </c>
      <c r="AR6" s="119">
        <f t="shared" si="3"/>
        <v>3424</v>
      </c>
      <c r="AS6" s="119"/>
      <c r="AT6" s="117" t="s">
        <v>186</v>
      </c>
      <c r="AU6" s="118">
        <v>46094</v>
      </c>
      <c r="AV6" s="119">
        <f t="shared" si="4"/>
        <v>16</v>
      </c>
      <c r="AW6" s="119">
        <f t="shared" si="5"/>
        <v>3424</v>
      </c>
      <c r="AX6" s="119"/>
      <c r="AY6" s="121" t="s">
        <v>187</v>
      </c>
      <c r="AZ6" s="126"/>
      <c r="BA6" s="119">
        <f t="shared" si="6"/>
        <v>16</v>
      </c>
      <c r="BB6" s="119">
        <f t="shared" si="7"/>
        <v>214</v>
      </c>
      <c r="BC6" s="119">
        <f t="shared" si="8"/>
        <v>3424</v>
      </c>
      <c r="BD6" s="119"/>
      <c r="BE6" s="119" t="s">
        <v>195</v>
      </c>
      <c r="BF6" s="120" t="s">
        <v>223</v>
      </c>
      <c r="BG6" s="127" t="s">
        <v>176</v>
      </c>
    </row>
    <row r="7" spans="1:59" s="127" customFormat="1" ht="15" customHeight="1" x14ac:dyDescent="0.2">
      <c r="A7" s="119">
        <f t="shared" si="9"/>
        <v>5</v>
      </c>
      <c r="B7" s="120" t="s">
        <v>224</v>
      </c>
      <c r="C7" s="121" t="s">
        <v>207</v>
      </c>
      <c r="D7" s="119"/>
      <c r="E7" s="121" t="s">
        <v>141</v>
      </c>
      <c r="F7" s="119"/>
      <c r="G7" s="122" t="s">
        <v>190</v>
      </c>
      <c r="H7" s="119" t="s">
        <v>189</v>
      </c>
      <c r="I7" s="121" t="s">
        <v>133</v>
      </c>
      <c r="J7" s="121" t="s">
        <v>181</v>
      </c>
      <c r="K7" s="121" t="s">
        <v>133</v>
      </c>
      <c r="L7" s="120" t="s">
        <v>134</v>
      </c>
      <c r="M7" s="120" t="s">
        <v>134</v>
      </c>
      <c r="N7" s="123">
        <v>46110</v>
      </c>
      <c r="O7" s="121">
        <v>233</v>
      </c>
      <c r="P7" s="123">
        <v>46110</v>
      </c>
      <c r="Q7" s="123">
        <v>46119</v>
      </c>
      <c r="R7" s="123">
        <v>46110</v>
      </c>
      <c r="S7" s="119"/>
      <c r="T7" s="119"/>
      <c r="U7" s="119" t="s">
        <v>208</v>
      </c>
      <c r="V7" s="121" t="s">
        <v>76</v>
      </c>
      <c r="W7" s="121">
        <v>233</v>
      </c>
      <c r="X7" s="121">
        <v>224</v>
      </c>
      <c r="Y7" s="119"/>
      <c r="Z7" s="119" t="s">
        <v>209</v>
      </c>
      <c r="AA7" s="119"/>
      <c r="AB7" s="124"/>
      <c r="AC7" s="125">
        <v>25.5</v>
      </c>
      <c r="AD7" s="119"/>
      <c r="AE7" s="121">
        <v>233</v>
      </c>
      <c r="AF7" s="119" t="s">
        <v>210</v>
      </c>
      <c r="AG7" s="121" t="s">
        <v>76</v>
      </c>
      <c r="AH7" s="125">
        <v>12.5</v>
      </c>
      <c r="AI7" s="119">
        <f t="shared" si="0"/>
        <v>2912.5</v>
      </c>
      <c r="AJ7" s="119"/>
      <c r="AK7" s="122" t="s">
        <v>188</v>
      </c>
      <c r="AL7" s="121">
        <v>224</v>
      </c>
      <c r="AM7" s="119">
        <v>16</v>
      </c>
      <c r="AN7" s="119">
        <f t="shared" si="1"/>
        <v>3584</v>
      </c>
      <c r="AO7" s="119"/>
      <c r="AP7" s="119"/>
      <c r="AQ7" s="119">
        <f t="shared" si="2"/>
        <v>0</v>
      </c>
      <c r="AR7" s="119">
        <f t="shared" si="3"/>
        <v>3584</v>
      </c>
      <c r="AS7" s="119"/>
      <c r="AT7" s="117" t="s">
        <v>186</v>
      </c>
      <c r="AU7" s="118">
        <v>46094</v>
      </c>
      <c r="AV7" s="119">
        <f t="shared" si="4"/>
        <v>16</v>
      </c>
      <c r="AW7" s="119">
        <f t="shared" si="5"/>
        <v>3584</v>
      </c>
      <c r="AX7" s="119"/>
      <c r="AY7" s="121" t="s">
        <v>187</v>
      </c>
      <c r="AZ7" s="126"/>
      <c r="BA7" s="119">
        <f t="shared" si="6"/>
        <v>16</v>
      </c>
      <c r="BB7" s="119">
        <f t="shared" si="7"/>
        <v>224</v>
      </c>
      <c r="BC7" s="119">
        <f t="shared" si="8"/>
        <v>3584</v>
      </c>
      <c r="BD7" s="119"/>
      <c r="BE7" s="119" t="s">
        <v>196</v>
      </c>
      <c r="BF7" s="120" t="s">
        <v>224</v>
      </c>
      <c r="BG7" s="127" t="s">
        <v>176</v>
      </c>
    </row>
    <row r="8" spans="1:59" s="127" customFormat="1" ht="15" customHeight="1" x14ac:dyDescent="0.2">
      <c r="A8" s="119">
        <f t="shared" si="9"/>
        <v>6</v>
      </c>
      <c r="B8" s="120" t="s">
        <v>215</v>
      </c>
      <c r="C8" s="121" t="s">
        <v>136</v>
      </c>
      <c r="D8" s="119"/>
      <c r="E8" s="121" t="s">
        <v>146</v>
      </c>
      <c r="F8" s="119"/>
      <c r="G8" s="122" t="s">
        <v>190</v>
      </c>
      <c r="H8" s="119" t="s">
        <v>189</v>
      </c>
      <c r="I8" s="121" t="s">
        <v>133</v>
      </c>
      <c r="J8" s="121" t="s">
        <v>181</v>
      </c>
      <c r="K8" s="121" t="s">
        <v>133</v>
      </c>
      <c r="L8" s="120" t="s">
        <v>134</v>
      </c>
      <c r="M8" s="120" t="s">
        <v>134</v>
      </c>
      <c r="N8" s="123">
        <v>46110</v>
      </c>
      <c r="O8" s="121">
        <v>456</v>
      </c>
      <c r="P8" s="123">
        <v>46110</v>
      </c>
      <c r="Q8" s="123">
        <v>46119</v>
      </c>
      <c r="R8" s="123">
        <v>46110</v>
      </c>
      <c r="S8" s="119"/>
      <c r="T8" s="119"/>
      <c r="U8" s="119" t="s">
        <v>208</v>
      </c>
      <c r="V8" s="121" t="s">
        <v>76</v>
      </c>
      <c r="W8" s="121">
        <v>456</v>
      </c>
      <c r="X8" s="121">
        <v>441</v>
      </c>
      <c r="Y8" s="119"/>
      <c r="Z8" s="119" t="s">
        <v>209</v>
      </c>
      <c r="AA8" s="119"/>
      <c r="AB8" s="124"/>
      <c r="AC8" s="125">
        <v>25.5</v>
      </c>
      <c r="AD8" s="119"/>
      <c r="AE8" s="121">
        <v>456</v>
      </c>
      <c r="AF8" s="119" t="s">
        <v>210</v>
      </c>
      <c r="AG8" s="121" t="s">
        <v>76</v>
      </c>
      <c r="AH8" s="125">
        <v>12.5</v>
      </c>
      <c r="AI8" s="119">
        <f t="shared" si="0"/>
        <v>5700</v>
      </c>
      <c r="AJ8" s="119"/>
      <c r="AK8" s="122" t="s">
        <v>188</v>
      </c>
      <c r="AL8" s="121">
        <v>441</v>
      </c>
      <c r="AM8" s="119">
        <v>16</v>
      </c>
      <c r="AN8" s="119">
        <f t="shared" si="1"/>
        <v>7056</v>
      </c>
      <c r="AO8" s="119"/>
      <c r="AP8" s="119"/>
      <c r="AQ8" s="119">
        <f t="shared" si="2"/>
        <v>0</v>
      </c>
      <c r="AR8" s="119">
        <f t="shared" si="3"/>
        <v>7056</v>
      </c>
      <c r="AS8" s="119"/>
      <c r="AT8" s="117" t="s">
        <v>186</v>
      </c>
      <c r="AU8" s="118">
        <v>46094</v>
      </c>
      <c r="AV8" s="119">
        <f t="shared" si="4"/>
        <v>16</v>
      </c>
      <c r="AW8" s="119">
        <f t="shared" si="5"/>
        <v>7056</v>
      </c>
      <c r="AX8" s="119"/>
      <c r="AY8" s="121" t="s">
        <v>187</v>
      </c>
      <c r="AZ8" s="126"/>
      <c r="BA8" s="119">
        <f t="shared" si="6"/>
        <v>16</v>
      </c>
      <c r="BB8" s="119">
        <f t="shared" si="7"/>
        <v>441</v>
      </c>
      <c r="BC8" s="119">
        <f t="shared" si="8"/>
        <v>7056</v>
      </c>
      <c r="BD8" s="119"/>
      <c r="BE8" s="119" t="s">
        <v>197</v>
      </c>
      <c r="BF8" s="120" t="s">
        <v>215</v>
      </c>
      <c r="BG8" s="127" t="s">
        <v>176</v>
      </c>
    </row>
    <row r="9" spans="1:59" s="127" customFormat="1" ht="15" customHeight="1" x14ac:dyDescent="0.2">
      <c r="A9" s="119">
        <f t="shared" si="9"/>
        <v>7</v>
      </c>
      <c r="B9" s="120" t="s">
        <v>216</v>
      </c>
      <c r="C9" s="121" t="s">
        <v>147</v>
      </c>
      <c r="D9" s="119"/>
      <c r="E9" s="121" t="s">
        <v>148</v>
      </c>
      <c r="F9" s="119"/>
      <c r="G9" s="122" t="s">
        <v>190</v>
      </c>
      <c r="H9" s="119" t="s">
        <v>189</v>
      </c>
      <c r="I9" s="121" t="s">
        <v>133</v>
      </c>
      <c r="J9" s="121" t="s">
        <v>181</v>
      </c>
      <c r="K9" s="121" t="s">
        <v>133</v>
      </c>
      <c r="L9" s="120" t="s">
        <v>134</v>
      </c>
      <c r="M9" s="120" t="s">
        <v>134</v>
      </c>
      <c r="N9" s="123">
        <v>46110</v>
      </c>
      <c r="O9" s="121">
        <v>10</v>
      </c>
      <c r="P9" s="123">
        <v>46110</v>
      </c>
      <c r="Q9" s="123">
        <v>46119</v>
      </c>
      <c r="R9" s="123">
        <v>46110</v>
      </c>
      <c r="S9" s="119"/>
      <c r="T9" s="119"/>
      <c r="U9" s="119" t="s">
        <v>208</v>
      </c>
      <c r="V9" s="121" t="s">
        <v>76</v>
      </c>
      <c r="W9" s="121">
        <v>10</v>
      </c>
      <c r="X9" s="121">
        <v>10</v>
      </c>
      <c r="Y9" s="119"/>
      <c r="Z9" s="119" t="s">
        <v>209</v>
      </c>
      <c r="AA9" s="119"/>
      <c r="AB9" s="124"/>
      <c r="AC9" s="125">
        <v>25.5</v>
      </c>
      <c r="AD9" s="119"/>
      <c r="AE9" s="121">
        <v>10</v>
      </c>
      <c r="AF9" s="119" t="s">
        <v>210</v>
      </c>
      <c r="AG9" s="121" t="s">
        <v>76</v>
      </c>
      <c r="AH9" s="125">
        <v>12.5</v>
      </c>
      <c r="AI9" s="119">
        <f t="shared" si="0"/>
        <v>125</v>
      </c>
      <c r="AJ9" s="119"/>
      <c r="AK9" s="122" t="s">
        <v>188</v>
      </c>
      <c r="AL9" s="121">
        <v>10</v>
      </c>
      <c r="AM9" s="119">
        <v>16</v>
      </c>
      <c r="AN9" s="119">
        <f t="shared" si="1"/>
        <v>160</v>
      </c>
      <c r="AO9" s="119"/>
      <c r="AP9" s="119"/>
      <c r="AQ9" s="119">
        <f t="shared" si="2"/>
        <v>0</v>
      </c>
      <c r="AR9" s="119">
        <f t="shared" si="3"/>
        <v>160</v>
      </c>
      <c r="AS9" s="119"/>
      <c r="AT9" s="117" t="s">
        <v>186</v>
      </c>
      <c r="AU9" s="118">
        <v>46094</v>
      </c>
      <c r="AV9" s="119">
        <f t="shared" si="4"/>
        <v>16</v>
      </c>
      <c r="AW9" s="119">
        <f t="shared" si="5"/>
        <v>160</v>
      </c>
      <c r="AX9" s="119"/>
      <c r="AY9" s="121" t="s">
        <v>187</v>
      </c>
      <c r="AZ9" s="126"/>
      <c r="BA9" s="119">
        <f t="shared" si="6"/>
        <v>16</v>
      </c>
      <c r="BB9" s="119">
        <f t="shared" si="7"/>
        <v>10</v>
      </c>
      <c r="BC9" s="119">
        <f t="shared" si="8"/>
        <v>160</v>
      </c>
      <c r="BD9" s="119"/>
      <c r="BE9" s="119" t="s">
        <v>198</v>
      </c>
      <c r="BF9" s="120" t="s">
        <v>216</v>
      </c>
      <c r="BG9" s="127" t="s">
        <v>176</v>
      </c>
    </row>
    <row r="10" spans="1:59" s="127" customFormat="1" ht="15" customHeight="1" x14ac:dyDescent="0.2">
      <c r="A10" s="119">
        <f t="shared" si="9"/>
        <v>8</v>
      </c>
      <c r="B10" s="120" t="s">
        <v>217</v>
      </c>
      <c r="C10" s="121" t="s">
        <v>147</v>
      </c>
      <c r="D10" s="119"/>
      <c r="E10" s="121" t="s">
        <v>150</v>
      </c>
      <c r="F10" s="119"/>
      <c r="G10" s="122" t="s">
        <v>190</v>
      </c>
      <c r="H10" s="119" t="s">
        <v>189</v>
      </c>
      <c r="I10" s="121" t="s">
        <v>133</v>
      </c>
      <c r="J10" s="121" t="s">
        <v>181</v>
      </c>
      <c r="K10" s="121" t="s">
        <v>133</v>
      </c>
      <c r="L10" s="120" t="s">
        <v>134</v>
      </c>
      <c r="M10" s="120" t="s">
        <v>134</v>
      </c>
      <c r="N10" s="123">
        <v>46110</v>
      </c>
      <c r="O10" s="121">
        <v>84</v>
      </c>
      <c r="P10" s="123">
        <v>46110</v>
      </c>
      <c r="Q10" s="123">
        <v>46119</v>
      </c>
      <c r="R10" s="123">
        <v>46110</v>
      </c>
      <c r="S10" s="119"/>
      <c r="T10" s="119"/>
      <c r="U10" s="119" t="s">
        <v>208</v>
      </c>
      <c r="V10" s="121" t="s">
        <v>76</v>
      </c>
      <c r="W10" s="121">
        <v>84</v>
      </c>
      <c r="X10" s="121">
        <v>77</v>
      </c>
      <c r="Y10" s="119"/>
      <c r="Z10" s="119" t="s">
        <v>209</v>
      </c>
      <c r="AA10" s="119"/>
      <c r="AB10" s="124"/>
      <c r="AC10" s="125">
        <v>25.5</v>
      </c>
      <c r="AD10" s="119"/>
      <c r="AE10" s="121">
        <v>84</v>
      </c>
      <c r="AF10" s="119" t="s">
        <v>210</v>
      </c>
      <c r="AG10" s="121" t="s">
        <v>76</v>
      </c>
      <c r="AH10" s="125">
        <v>12.5</v>
      </c>
      <c r="AI10" s="119">
        <f t="shared" si="0"/>
        <v>1050</v>
      </c>
      <c r="AJ10" s="119"/>
      <c r="AK10" s="122" t="s">
        <v>188</v>
      </c>
      <c r="AL10" s="121">
        <v>77</v>
      </c>
      <c r="AM10" s="119">
        <v>16</v>
      </c>
      <c r="AN10" s="119">
        <f t="shared" si="1"/>
        <v>1232</v>
      </c>
      <c r="AO10" s="119"/>
      <c r="AP10" s="119"/>
      <c r="AQ10" s="119">
        <f t="shared" si="2"/>
        <v>0</v>
      </c>
      <c r="AR10" s="119">
        <f t="shared" si="3"/>
        <v>1232</v>
      </c>
      <c r="AS10" s="119"/>
      <c r="AT10" s="117" t="s">
        <v>186</v>
      </c>
      <c r="AU10" s="118">
        <v>46094</v>
      </c>
      <c r="AV10" s="119">
        <f t="shared" si="4"/>
        <v>16</v>
      </c>
      <c r="AW10" s="119">
        <f t="shared" si="5"/>
        <v>1232</v>
      </c>
      <c r="AX10" s="119"/>
      <c r="AY10" s="121" t="s">
        <v>187</v>
      </c>
      <c r="AZ10" s="126"/>
      <c r="BA10" s="119">
        <f t="shared" si="6"/>
        <v>16</v>
      </c>
      <c r="BB10" s="119">
        <f t="shared" si="7"/>
        <v>77</v>
      </c>
      <c r="BC10" s="119">
        <f t="shared" si="8"/>
        <v>1232</v>
      </c>
      <c r="BD10" s="119"/>
      <c r="BE10" s="119" t="s">
        <v>199</v>
      </c>
      <c r="BF10" s="120" t="s">
        <v>217</v>
      </c>
      <c r="BG10" s="127" t="s">
        <v>176</v>
      </c>
    </row>
    <row r="11" spans="1:59" s="127" customFormat="1" ht="15" customHeight="1" x14ac:dyDescent="0.2">
      <c r="A11" s="119">
        <f t="shared" si="9"/>
        <v>9</v>
      </c>
      <c r="B11" s="120" t="s">
        <v>218</v>
      </c>
      <c r="C11" s="121" t="s">
        <v>147</v>
      </c>
      <c r="D11" s="119"/>
      <c r="E11" s="121" t="s">
        <v>158</v>
      </c>
      <c r="F11" s="119"/>
      <c r="G11" s="122" t="s">
        <v>190</v>
      </c>
      <c r="H11" s="119" t="s">
        <v>189</v>
      </c>
      <c r="I11" s="121" t="s">
        <v>133</v>
      </c>
      <c r="J11" s="121" t="s">
        <v>181</v>
      </c>
      <c r="K11" s="121" t="s">
        <v>133</v>
      </c>
      <c r="L11" s="120" t="s">
        <v>134</v>
      </c>
      <c r="M11" s="120" t="s">
        <v>134</v>
      </c>
      <c r="N11" s="123">
        <v>46110</v>
      </c>
      <c r="O11" s="121">
        <v>445</v>
      </c>
      <c r="P11" s="123">
        <v>46110</v>
      </c>
      <c r="Q11" s="123">
        <v>46119</v>
      </c>
      <c r="R11" s="123">
        <v>46110</v>
      </c>
      <c r="S11" s="119"/>
      <c r="T11" s="119"/>
      <c r="U11" s="119" t="s">
        <v>208</v>
      </c>
      <c r="V11" s="121" t="s">
        <v>76</v>
      </c>
      <c r="W11" s="121">
        <v>445</v>
      </c>
      <c r="X11" s="121">
        <v>420</v>
      </c>
      <c r="Y11" s="119"/>
      <c r="Z11" s="119" t="s">
        <v>209</v>
      </c>
      <c r="AA11" s="119"/>
      <c r="AB11" s="124"/>
      <c r="AC11" s="125">
        <v>25.5</v>
      </c>
      <c r="AD11" s="119"/>
      <c r="AE11" s="121">
        <v>445</v>
      </c>
      <c r="AF11" s="119" t="s">
        <v>210</v>
      </c>
      <c r="AG11" s="121" t="s">
        <v>76</v>
      </c>
      <c r="AH11" s="125">
        <v>12.5</v>
      </c>
      <c r="AI11" s="119">
        <f t="shared" si="0"/>
        <v>5562.5</v>
      </c>
      <c r="AJ11" s="119"/>
      <c r="AK11" s="122" t="s">
        <v>188</v>
      </c>
      <c r="AL11" s="121">
        <v>420</v>
      </c>
      <c r="AM11" s="119">
        <v>16</v>
      </c>
      <c r="AN11" s="119">
        <f t="shared" si="1"/>
        <v>6720</v>
      </c>
      <c r="AO11" s="119"/>
      <c r="AP11" s="119"/>
      <c r="AQ11" s="119">
        <f t="shared" si="2"/>
        <v>0</v>
      </c>
      <c r="AR11" s="119">
        <f t="shared" si="3"/>
        <v>6720</v>
      </c>
      <c r="AS11" s="119"/>
      <c r="AT11" s="117" t="s">
        <v>186</v>
      </c>
      <c r="AU11" s="118">
        <v>46094</v>
      </c>
      <c r="AV11" s="119">
        <f t="shared" si="4"/>
        <v>16</v>
      </c>
      <c r="AW11" s="119">
        <f t="shared" si="5"/>
        <v>6720</v>
      </c>
      <c r="AX11" s="119"/>
      <c r="AY11" s="121" t="s">
        <v>187</v>
      </c>
      <c r="AZ11" s="126"/>
      <c r="BA11" s="119">
        <f t="shared" si="6"/>
        <v>16</v>
      </c>
      <c r="BB11" s="119">
        <f t="shared" si="7"/>
        <v>420</v>
      </c>
      <c r="BC11" s="119">
        <f t="shared" si="8"/>
        <v>6720</v>
      </c>
      <c r="BD11" s="119"/>
      <c r="BE11" s="119" t="s">
        <v>200</v>
      </c>
      <c r="BF11" s="120" t="s">
        <v>218</v>
      </c>
      <c r="BG11" s="127" t="s">
        <v>176</v>
      </c>
    </row>
    <row r="12" spans="1:59" s="127" customFormat="1" ht="15" customHeight="1" x14ac:dyDescent="0.2">
      <c r="A12" s="119">
        <f t="shared" si="9"/>
        <v>10</v>
      </c>
      <c r="B12" s="120" t="s">
        <v>219</v>
      </c>
      <c r="C12" s="121" t="s">
        <v>159</v>
      </c>
      <c r="D12" s="119"/>
      <c r="E12" s="121" t="s">
        <v>160</v>
      </c>
      <c r="F12" s="119"/>
      <c r="G12" s="122" t="s">
        <v>190</v>
      </c>
      <c r="H12" s="119" t="s">
        <v>189</v>
      </c>
      <c r="I12" s="121" t="s">
        <v>133</v>
      </c>
      <c r="J12" s="121" t="s">
        <v>181</v>
      </c>
      <c r="K12" s="121" t="s">
        <v>133</v>
      </c>
      <c r="L12" s="120" t="s">
        <v>134</v>
      </c>
      <c r="M12" s="120" t="s">
        <v>134</v>
      </c>
      <c r="N12" s="123">
        <v>46110</v>
      </c>
      <c r="O12" s="121">
        <v>10</v>
      </c>
      <c r="P12" s="123">
        <v>46110</v>
      </c>
      <c r="Q12" s="123">
        <v>46119</v>
      </c>
      <c r="R12" s="123">
        <v>46110</v>
      </c>
      <c r="S12" s="119"/>
      <c r="T12" s="119"/>
      <c r="U12" s="119" t="s">
        <v>208</v>
      </c>
      <c r="V12" s="121" t="s">
        <v>76</v>
      </c>
      <c r="W12" s="121">
        <v>10</v>
      </c>
      <c r="X12" s="121">
        <v>10</v>
      </c>
      <c r="Y12" s="119"/>
      <c r="Z12" s="119" t="s">
        <v>209</v>
      </c>
      <c r="AA12" s="119"/>
      <c r="AB12" s="124"/>
      <c r="AC12" s="125">
        <v>25.5</v>
      </c>
      <c r="AD12" s="119"/>
      <c r="AE12" s="121">
        <v>10</v>
      </c>
      <c r="AF12" s="119" t="s">
        <v>210</v>
      </c>
      <c r="AG12" s="121" t="s">
        <v>76</v>
      </c>
      <c r="AH12" s="125">
        <v>12.5</v>
      </c>
      <c r="AI12" s="119">
        <f t="shared" si="0"/>
        <v>125</v>
      </c>
      <c r="AJ12" s="119"/>
      <c r="AK12" s="122" t="s">
        <v>188</v>
      </c>
      <c r="AL12" s="121">
        <v>10</v>
      </c>
      <c r="AM12" s="119">
        <v>16</v>
      </c>
      <c r="AN12" s="119">
        <f t="shared" si="1"/>
        <v>160</v>
      </c>
      <c r="AO12" s="119"/>
      <c r="AP12" s="119"/>
      <c r="AQ12" s="119">
        <f t="shared" si="2"/>
        <v>0</v>
      </c>
      <c r="AR12" s="119">
        <f t="shared" si="3"/>
        <v>160</v>
      </c>
      <c r="AS12" s="119"/>
      <c r="AT12" s="117" t="s">
        <v>186</v>
      </c>
      <c r="AU12" s="118">
        <v>46094</v>
      </c>
      <c r="AV12" s="119">
        <f t="shared" si="4"/>
        <v>16</v>
      </c>
      <c r="AW12" s="119">
        <f t="shared" si="5"/>
        <v>160</v>
      </c>
      <c r="AX12" s="119"/>
      <c r="AY12" s="121" t="s">
        <v>187</v>
      </c>
      <c r="AZ12" s="126"/>
      <c r="BA12" s="119">
        <f t="shared" si="6"/>
        <v>16</v>
      </c>
      <c r="BB12" s="119">
        <f t="shared" si="7"/>
        <v>10</v>
      </c>
      <c r="BC12" s="119">
        <f t="shared" si="8"/>
        <v>160</v>
      </c>
      <c r="BD12" s="119"/>
      <c r="BE12" s="119" t="s">
        <v>201</v>
      </c>
      <c r="BF12" s="120" t="s">
        <v>219</v>
      </c>
      <c r="BG12" s="127" t="s">
        <v>176</v>
      </c>
    </row>
    <row r="13" spans="1:59" s="127" customFormat="1" ht="15" customHeight="1" x14ac:dyDescent="0.2">
      <c r="A13" s="119">
        <f t="shared" si="9"/>
        <v>11</v>
      </c>
      <c r="B13" s="120" t="s">
        <v>220</v>
      </c>
      <c r="C13" s="121" t="s">
        <v>159</v>
      </c>
      <c r="D13" s="119"/>
      <c r="E13" s="121" t="s">
        <v>161</v>
      </c>
      <c r="F13" s="119"/>
      <c r="G13" s="122" t="s">
        <v>190</v>
      </c>
      <c r="H13" s="119" t="s">
        <v>189</v>
      </c>
      <c r="I13" s="121" t="s">
        <v>133</v>
      </c>
      <c r="J13" s="121" t="s">
        <v>181</v>
      </c>
      <c r="K13" s="121" t="s">
        <v>133</v>
      </c>
      <c r="L13" s="120" t="s">
        <v>134</v>
      </c>
      <c r="M13" s="120" t="s">
        <v>134</v>
      </c>
      <c r="N13" s="123">
        <v>46110</v>
      </c>
      <c r="O13" s="121">
        <v>50</v>
      </c>
      <c r="P13" s="123">
        <v>46110</v>
      </c>
      <c r="Q13" s="123">
        <v>46119</v>
      </c>
      <c r="R13" s="123">
        <v>46110</v>
      </c>
      <c r="S13" s="119"/>
      <c r="T13" s="119"/>
      <c r="U13" s="119" t="s">
        <v>208</v>
      </c>
      <c r="V13" s="121" t="s">
        <v>75</v>
      </c>
      <c r="W13" s="121">
        <v>50</v>
      </c>
      <c r="X13" s="121">
        <v>39</v>
      </c>
      <c r="Y13" s="119"/>
      <c r="Z13" s="119" t="s">
        <v>209</v>
      </c>
      <c r="AA13" s="119"/>
      <c r="AB13" s="124"/>
      <c r="AC13" s="125">
        <v>30.5</v>
      </c>
      <c r="AD13" s="119"/>
      <c r="AE13" s="121">
        <v>50</v>
      </c>
      <c r="AF13" s="119" t="s">
        <v>210</v>
      </c>
      <c r="AG13" s="121" t="s">
        <v>75</v>
      </c>
      <c r="AH13" s="125">
        <v>24.5</v>
      </c>
      <c r="AI13" s="119">
        <f t="shared" si="0"/>
        <v>1225</v>
      </c>
      <c r="AJ13" s="119"/>
      <c r="AK13" s="122" t="s">
        <v>188</v>
      </c>
      <c r="AL13" s="121">
        <v>39</v>
      </c>
      <c r="AM13" s="119">
        <v>16</v>
      </c>
      <c r="AN13" s="119">
        <f t="shared" si="1"/>
        <v>624</v>
      </c>
      <c r="AO13" s="119"/>
      <c r="AP13" s="119"/>
      <c r="AQ13" s="119">
        <f t="shared" si="2"/>
        <v>0</v>
      </c>
      <c r="AR13" s="119">
        <f t="shared" si="3"/>
        <v>624</v>
      </c>
      <c r="AS13" s="119"/>
      <c r="AT13" s="117" t="s">
        <v>186</v>
      </c>
      <c r="AU13" s="118">
        <v>46094</v>
      </c>
      <c r="AV13" s="119">
        <f t="shared" si="4"/>
        <v>16</v>
      </c>
      <c r="AW13" s="119">
        <f t="shared" si="5"/>
        <v>624</v>
      </c>
      <c r="AX13" s="119"/>
      <c r="AY13" s="121" t="s">
        <v>187</v>
      </c>
      <c r="AZ13" s="126"/>
      <c r="BA13" s="119">
        <f t="shared" si="6"/>
        <v>16</v>
      </c>
      <c r="BB13" s="119">
        <f t="shared" si="7"/>
        <v>39</v>
      </c>
      <c r="BC13" s="119">
        <f t="shared" si="8"/>
        <v>624</v>
      </c>
      <c r="BD13" s="119"/>
      <c r="BE13" s="119" t="s">
        <v>202</v>
      </c>
      <c r="BF13" s="120" t="s">
        <v>220</v>
      </c>
      <c r="BG13" s="127" t="s">
        <v>176</v>
      </c>
    </row>
    <row r="14" spans="1:59" s="127" customFormat="1" ht="15" customHeight="1" x14ac:dyDescent="0.2">
      <c r="A14" s="119">
        <f t="shared" si="9"/>
        <v>12</v>
      </c>
      <c r="B14" s="120" t="s">
        <v>221</v>
      </c>
      <c r="C14" s="121" t="s">
        <v>159</v>
      </c>
      <c r="D14" s="119"/>
      <c r="E14" s="121" t="s">
        <v>163</v>
      </c>
      <c r="F14" s="119"/>
      <c r="G14" s="122" t="s">
        <v>190</v>
      </c>
      <c r="H14" s="119" t="s">
        <v>189</v>
      </c>
      <c r="I14" s="121" t="s">
        <v>133</v>
      </c>
      <c r="J14" s="121" t="s">
        <v>181</v>
      </c>
      <c r="K14" s="121" t="s">
        <v>133</v>
      </c>
      <c r="L14" s="120" t="s">
        <v>134</v>
      </c>
      <c r="M14" s="120" t="s">
        <v>134</v>
      </c>
      <c r="N14" s="123">
        <v>46110</v>
      </c>
      <c r="O14" s="121">
        <v>152</v>
      </c>
      <c r="P14" s="123">
        <v>46110</v>
      </c>
      <c r="Q14" s="123">
        <v>46119</v>
      </c>
      <c r="R14" s="123">
        <v>46110</v>
      </c>
      <c r="S14" s="119"/>
      <c r="T14" s="119"/>
      <c r="U14" s="119" t="s">
        <v>208</v>
      </c>
      <c r="V14" s="121" t="s">
        <v>75</v>
      </c>
      <c r="W14" s="121">
        <v>152</v>
      </c>
      <c r="X14" s="121">
        <v>130</v>
      </c>
      <c r="Y14" s="119"/>
      <c r="Z14" s="119" t="s">
        <v>209</v>
      </c>
      <c r="AA14" s="119"/>
      <c r="AB14" s="124"/>
      <c r="AC14" s="125">
        <v>30.5</v>
      </c>
      <c r="AD14" s="119"/>
      <c r="AE14" s="121">
        <v>152</v>
      </c>
      <c r="AF14" s="119" t="s">
        <v>210</v>
      </c>
      <c r="AG14" s="121" t="s">
        <v>75</v>
      </c>
      <c r="AH14" s="125">
        <v>24.5</v>
      </c>
      <c r="AI14" s="119">
        <f t="shared" si="0"/>
        <v>3724</v>
      </c>
      <c r="AJ14" s="119"/>
      <c r="AK14" s="122" t="s">
        <v>188</v>
      </c>
      <c r="AL14" s="121">
        <v>130</v>
      </c>
      <c r="AM14" s="119">
        <v>16</v>
      </c>
      <c r="AN14" s="119">
        <f t="shared" si="1"/>
        <v>2080</v>
      </c>
      <c r="AO14" s="119"/>
      <c r="AP14" s="119"/>
      <c r="AQ14" s="119">
        <f t="shared" si="2"/>
        <v>0</v>
      </c>
      <c r="AR14" s="119">
        <f t="shared" si="3"/>
        <v>2080</v>
      </c>
      <c r="AS14" s="119"/>
      <c r="AT14" s="117" t="s">
        <v>186</v>
      </c>
      <c r="AU14" s="118">
        <v>46094</v>
      </c>
      <c r="AV14" s="119">
        <f t="shared" si="4"/>
        <v>16</v>
      </c>
      <c r="AW14" s="119">
        <f t="shared" si="5"/>
        <v>2080</v>
      </c>
      <c r="AX14" s="119"/>
      <c r="AY14" s="121" t="s">
        <v>187</v>
      </c>
      <c r="AZ14" s="126"/>
      <c r="BA14" s="119">
        <f t="shared" si="6"/>
        <v>16</v>
      </c>
      <c r="BB14" s="119">
        <f t="shared" si="7"/>
        <v>130</v>
      </c>
      <c r="BC14" s="119">
        <f t="shared" si="8"/>
        <v>2080</v>
      </c>
      <c r="BD14" s="119"/>
      <c r="BE14" s="119" t="s">
        <v>203</v>
      </c>
      <c r="BF14" s="120" t="s">
        <v>221</v>
      </c>
      <c r="BG14" s="127" t="s">
        <v>176</v>
      </c>
    </row>
    <row r="15" spans="1:59" s="127" customFormat="1" ht="15" customHeight="1" x14ac:dyDescent="0.2">
      <c r="A15" s="119">
        <f t="shared" si="9"/>
        <v>13</v>
      </c>
      <c r="B15" s="120" t="s">
        <v>211</v>
      </c>
      <c r="C15" s="117" t="s">
        <v>163</v>
      </c>
      <c r="D15" s="119"/>
      <c r="E15" s="117" t="s">
        <v>165</v>
      </c>
      <c r="F15" s="119"/>
      <c r="G15" s="122" t="s">
        <v>190</v>
      </c>
      <c r="H15" s="119" t="s">
        <v>189</v>
      </c>
      <c r="I15" s="121" t="s">
        <v>133</v>
      </c>
      <c r="J15" s="121" t="s">
        <v>181</v>
      </c>
      <c r="K15" s="121" t="s">
        <v>133</v>
      </c>
      <c r="L15" s="120" t="s">
        <v>134</v>
      </c>
      <c r="M15" s="120" t="s">
        <v>134</v>
      </c>
      <c r="N15" s="123">
        <v>46110</v>
      </c>
      <c r="O15" s="121">
        <v>213</v>
      </c>
      <c r="P15" s="123">
        <v>46110</v>
      </c>
      <c r="Q15" s="123">
        <v>46119</v>
      </c>
      <c r="R15" s="123">
        <v>46110</v>
      </c>
      <c r="S15" s="119"/>
      <c r="T15" s="119"/>
      <c r="U15" s="119" t="s">
        <v>208</v>
      </c>
      <c r="V15" s="121" t="s">
        <v>75</v>
      </c>
      <c r="W15" s="121">
        <v>213</v>
      </c>
      <c r="X15" s="121">
        <v>176</v>
      </c>
      <c r="Y15" s="119"/>
      <c r="Z15" s="119" t="s">
        <v>209</v>
      </c>
      <c r="AA15" s="119"/>
      <c r="AB15" s="124"/>
      <c r="AC15" s="125">
        <v>30.5</v>
      </c>
      <c r="AD15" s="119"/>
      <c r="AE15" s="121">
        <v>213</v>
      </c>
      <c r="AF15" s="119" t="s">
        <v>210</v>
      </c>
      <c r="AG15" s="121" t="s">
        <v>75</v>
      </c>
      <c r="AH15" s="125">
        <v>24.5</v>
      </c>
      <c r="AI15" s="119"/>
      <c r="AJ15" s="119"/>
      <c r="AK15" s="122" t="s">
        <v>188</v>
      </c>
      <c r="AL15" s="121">
        <v>176</v>
      </c>
      <c r="AM15" s="119">
        <v>16</v>
      </c>
      <c r="AN15" s="119">
        <f t="shared" ref="AN15" si="10">IF(AL15&lt;&gt;"",AM15*AL15,0)</f>
        <v>2816</v>
      </c>
      <c r="AO15" s="119"/>
      <c r="AP15" s="119"/>
      <c r="AQ15" s="119">
        <f t="shared" ref="AQ15" si="11">IF(AO15&lt;&gt;"",AP15*AO15,0)</f>
        <v>0</v>
      </c>
      <c r="AR15" s="119">
        <f t="shared" ref="AR15" si="12">AQ15+AN15</f>
        <v>2816</v>
      </c>
      <c r="AS15" s="119"/>
      <c r="AT15" s="117" t="s">
        <v>186</v>
      </c>
      <c r="AU15" s="118">
        <v>46094</v>
      </c>
      <c r="AV15" s="119">
        <f t="shared" ref="AV15" si="13">AM15</f>
        <v>16</v>
      </c>
      <c r="AW15" s="119">
        <f t="shared" ref="AW15" si="14">AV15*AL15</f>
        <v>2816</v>
      </c>
      <c r="AX15" s="119"/>
      <c r="AY15" s="121" t="s">
        <v>187</v>
      </c>
      <c r="AZ15" s="126"/>
      <c r="BA15" s="119">
        <f t="shared" ref="BA15" si="15">AM15</f>
        <v>16</v>
      </c>
      <c r="BB15" s="119">
        <f t="shared" ref="BB15" si="16">AL15</f>
        <v>176</v>
      </c>
      <c r="BC15" s="119">
        <f t="shared" ref="BC15" si="17">IF(BB15&lt;&gt;"",BB15*BA15,0)</f>
        <v>2816</v>
      </c>
      <c r="BD15" s="119"/>
      <c r="BE15" s="119" t="s">
        <v>206</v>
      </c>
      <c r="BF15" s="120" t="s">
        <v>211</v>
      </c>
      <c r="BG15" s="127" t="s">
        <v>176</v>
      </c>
    </row>
    <row r="16" spans="1:59" s="127" customFormat="1" ht="15" customHeight="1" x14ac:dyDescent="0.2">
      <c r="A16" s="119">
        <f t="shared" si="9"/>
        <v>14</v>
      </c>
      <c r="B16" s="120" t="s">
        <v>222</v>
      </c>
      <c r="C16" s="121" t="s">
        <v>159</v>
      </c>
      <c r="D16" s="119"/>
      <c r="E16" s="121" t="s">
        <v>168</v>
      </c>
      <c r="F16" s="119"/>
      <c r="G16" s="122" t="s">
        <v>190</v>
      </c>
      <c r="H16" s="119" t="s">
        <v>189</v>
      </c>
      <c r="I16" s="121" t="s">
        <v>133</v>
      </c>
      <c r="J16" s="121" t="s">
        <v>181</v>
      </c>
      <c r="K16" s="121" t="s">
        <v>133</v>
      </c>
      <c r="L16" s="120" t="s">
        <v>134</v>
      </c>
      <c r="M16" s="120" t="s">
        <v>134</v>
      </c>
      <c r="N16" s="123">
        <v>46110</v>
      </c>
      <c r="O16" s="121">
        <v>197</v>
      </c>
      <c r="P16" s="123">
        <v>46110</v>
      </c>
      <c r="Q16" s="123">
        <v>46119</v>
      </c>
      <c r="R16" s="123">
        <v>46110</v>
      </c>
      <c r="S16" s="119"/>
      <c r="T16" s="119"/>
      <c r="U16" s="119" t="s">
        <v>208</v>
      </c>
      <c r="V16" s="121" t="s">
        <v>76</v>
      </c>
      <c r="W16" s="121">
        <v>197</v>
      </c>
      <c r="X16" s="121">
        <v>185</v>
      </c>
      <c r="Y16" s="119"/>
      <c r="Z16" s="119" t="s">
        <v>209</v>
      </c>
      <c r="AA16" s="119"/>
      <c r="AB16" s="124"/>
      <c r="AC16" s="125">
        <v>25.5</v>
      </c>
      <c r="AD16" s="119"/>
      <c r="AE16" s="121">
        <v>197</v>
      </c>
      <c r="AF16" s="119" t="s">
        <v>210</v>
      </c>
      <c r="AG16" s="121" t="s">
        <v>76</v>
      </c>
      <c r="AH16" s="125">
        <v>12.5</v>
      </c>
      <c r="AI16" s="119">
        <f t="shared" si="0"/>
        <v>2462.5</v>
      </c>
      <c r="AJ16" s="119"/>
      <c r="AK16" s="122" t="s">
        <v>188</v>
      </c>
      <c r="AL16" s="121">
        <v>185</v>
      </c>
      <c r="AM16" s="119">
        <v>16</v>
      </c>
      <c r="AN16" s="119">
        <f t="shared" si="1"/>
        <v>2960</v>
      </c>
      <c r="AO16" s="119"/>
      <c r="AP16" s="119"/>
      <c r="AQ16" s="119">
        <f t="shared" si="2"/>
        <v>0</v>
      </c>
      <c r="AR16" s="119">
        <f t="shared" si="3"/>
        <v>2960</v>
      </c>
      <c r="AS16" s="119"/>
      <c r="AT16" s="117" t="s">
        <v>186</v>
      </c>
      <c r="AU16" s="118">
        <v>46094</v>
      </c>
      <c r="AV16" s="119">
        <f t="shared" si="4"/>
        <v>16</v>
      </c>
      <c r="AW16" s="119">
        <f t="shared" si="5"/>
        <v>2960</v>
      </c>
      <c r="AX16" s="119"/>
      <c r="AY16" s="121" t="s">
        <v>187</v>
      </c>
      <c r="AZ16" s="126"/>
      <c r="BA16" s="119">
        <f t="shared" si="6"/>
        <v>16</v>
      </c>
      <c r="BB16" s="119">
        <f t="shared" si="7"/>
        <v>185</v>
      </c>
      <c r="BC16" s="119">
        <f t="shared" si="8"/>
        <v>2960</v>
      </c>
      <c r="BD16" s="119"/>
      <c r="BE16" s="119" t="s">
        <v>204</v>
      </c>
      <c r="BF16" s="120" t="s">
        <v>222</v>
      </c>
      <c r="BG16" s="127" t="s">
        <v>176</v>
      </c>
    </row>
    <row r="17" spans="1:59" s="127" customFormat="1" ht="15" customHeight="1" x14ac:dyDescent="0.2">
      <c r="A17" s="119">
        <f t="shared" si="9"/>
        <v>15</v>
      </c>
      <c r="B17" s="120" t="s">
        <v>212</v>
      </c>
      <c r="C17" s="121" t="s">
        <v>168</v>
      </c>
      <c r="D17" s="119"/>
      <c r="E17" s="121" t="s">
        <v>172</v>
      </c>
      <c r="F17" s="119"/>
      <c r="G17" s="122" t="s">
        <v>190</v>
      </c>
      <c r="H17" s="119" t="s">
        <v>189</v>
      </c>
      <c r="I17" s="121" t="s">
        <v>133</v>
      </c>
      <c r="J17" s="121" t="s">
        <v>181</v>
      </c>
      <c r="K17" s="121" t="s">
        <v>133</v>
      </c>
      <c r="L17" s="120" t="s">
        <v>134</v>
      </c>
      <c r="M17" s="120" t="s">
        <v>134</v>
      </c>
      <c r="N17" s="123">
        <v>46110</v>
      </c>
      <c r="O17" s="121">
        <v>88</v>
      </c>
      <c r="P17" s="123">
        <v>46110</v>
      </c>
      <c r="Q17" s="123">
        <v>46119</v>
      </c>
      <c r="R17" s="123">
        <v>46110</v>
      </c>
      <c r="S17" s="119"/>
      <c r="T17" s="119"/>
      <c r="U17" s="119" t="s">
        <v>208</v>
      </c>
      <c r="V17" s="121" t="s">
        <v>76</v>
      </c>
      <c r="W17" s="121">
        <v>88</v>
      </c>
      <c r="X17" s="121">
        <v>82</v>
      </c>
      <c r="Y17" s="119"/>
      <c r="Z17" s="119" t="s">
        <v>209</v>
      </c>
      <c r="AA17" s="119"/>
      <c r="AB17" s="124"/>
      <c r="AC17" s="125">
        <v>25.5</v>
      </c>
      <c r="AD17" s="119"/>
      <c r="AE17" s="121">
        <v>88</v>
      </c>
      <c r="AF17" s="119" t="s">
        <v>210</v>
      </c>
      <c r="AG17" s="121" t="s">
        <v>76</v>
      </c>
      <c r="AH17" s="125">
        <v>12.5</v>
      </c>
      <c r="AI17" s="119">
        <f t="shared" si="0"/>
        <v>1100</v>
      </c>
      <c r="AJ17" s="119"/>
      <c r="AK17" s="122" t="s">
        <v>188</v>
      </c>
      <c r="AL17" s="121">
        <v>82</v>
      </c>
      <c r="AM17" s="119">
        <v>16</v>
      </c>
      <c r="AN17" s="119">
        <f t="shared" si="1"/>
        <v>1312</v>
      </c>
      <c r="AO17" s="119"/>
      <c r="AP17" s="119"/>
      <c r="AQ17" s="119">
        <f t="shared" si="2"/>
        <v>0</v>
      </c>
      <c r="AR17" s="119">
        <f t="shared" si="3"/>
        <v>1312</v>
      </c>
      <c r="AS17" s="119"/>
      <c r="AT17" s="117" t="s">
        <v>186</v>
      </c>
      <c r="AU17" s="118">
        <v>46094</v>
      </c>
      <c r="AV17" s="119">
        <f t="shared" si="4"/>
        <v>16</v>
      </c>
      <c r="AW17" s="119">
        <f t="shared" si="5"/>
        <v>1312</v>
      </c>
      <c r="AX17" s="119"/>
      <c r="AY17" s="121" t="s">
        <v>187</v>
      </c>
      <c r="AZ17" s="126"/>
      <c r="BA17" s="119">
        <f t="shared" si="6"/>
        <v>16</v>
      </c>
      <c r="BB17" s="119">
        <f t="shared" si="7"/>
        <v>82</v>
      </c>
      <c r="BC17" s="119">
        <f t="shared" si="8"/>
        <v>1312</v>
      </c>
      <c r="BD17" s="119"/>
      <c r="BE17" s="119" t="s">
        <v>205</v>
      </c>
      <c r="BF17" s="120" t="s">
        <v>212</v>
      </c>
      <c r="BG17" s="127" t="s">
        <v>176</v>
      </c>
    </row>
  </sheetData>
  <autoFilter ref="A2:BD17" xr:uid="{00000000-0001-0000-0300-000000000000}"/>
  <phoneticPr fontId="3" type="noConversion"/>
  <conditionalFormatting sqref="E3">
    <cfRule type="duplicateValues" dxfId="35" priority="37"/>
    <cfRule type="duplicateValues" dxfId="34" priority="38"/>
  </conditionalFormatting>
  <conditionalFormatting sqref="E4">
    <cfRule type="duplicateValues" dxfId="33" priority="35"/>
    <cfRule type="duplicateValues" dxfId="32" priority="36"/>
  </conditionalFormatting>
  <conditionalFormatting sqref="E5">
    <cfRule type="duplicateValues" dxfId="31" priority="27"/>
  </conditionalFormatting>
  <conditionalFormatting sqref="E5">
    <cfRule type="duplicateValues" dxfId="30" priority="28"/>
  </conditionalFormatting>
  <conditionalFormatting sqref="E6">
    <cfRule type="duplicateValues" dxfId="29" priority="25"/>
  </conditionalFormatting>
  <conditionalFormatting sqref="E6">
    <cfRule type="duplicateValues" dxfId="28" priority="26"/>
  </conditionalFormatting>
  <conditionalFormatting sqref="E7">
    <cfRule type="duplicateValues" dxfId="27" priority="23"/>
  </conditionalFormatting>
  <conditionalFormatting sqref="E7">
    <cfRule type="duplicateValues" dxfId="26" priority="24"/>
  </conditionalFormatting>
  <conditionalFormatting sqref="E8">
    <cfRule type="duplicateValues" dxfId="25" priority="21"/>
  </conditionalFormatting>
  <conditionalFormatting sqref="E8">
    <cfRule type="duplicateValues" dxfId="24" priority="22"/>
  </conditionalFormatting>
  <conditionalFormatting sqref="E9">
    <cfRule type="duplicateValues" dxfId="23" priority="19"/>
  </conditionalFormatting>
  <conditionalFormatting sqref="E9">
    <cfRule type="duplicateValues" dxfId="22" priority="20"/>
  </conditionalFormatting>
  <conditionalFormatting sqref="E10">
    <cfRule type="duplicateValues" dxfId="21" priority="17"/>
  </conditionalFormatting>
  <conditionalFormatting sqref="E10">
    <cfRule type="duplicateValues" dxfId="20" priority="18"/>
  </conditionalFormatting>
  <conditionalFormatting sqref="E11">
    <cfRule type="duplicateValues" dxfId="19" priority="15"/>
  </conditionalFormatting>
  <conditionalFormatting sqref="E11">
    <cfRule type="duplicateValues" dxfId="18" priority="16"/>
  </conditionalFormatting>
  <conditionalFormatting sqref="E12">
    <cfRule type="duplicateValues" dxfId="17" priority="13"/>
  </conditionalFormatting>
  <conditionalFormatting sqref="E12">
    <cfRule type="duplicateValues" dxfId="16" priority="14"/>
  </conditionalFormatting>
  <conditionalFormatting sqref="E13">
    <cfRule type="duplicateValues" dxfId="15" priority="11"/>
  </conditionalFormatting>
  <conditionalFormatting sqref="E13">
    <cfRule type="duplicateValues" dxfId="14" priority="12"/>
  </conditionalFormatting>
  <conditionalFormatting sqref="E16">
    <cfRule type="duplicateValues" dxfId="13" priority="7"/>
  </conditionalFormatting>
  <conditionalFormatting sqref="E16">
    <cfRule type="duplicateValues" dxfId="12" priority="8"/>
  </conditionalFormatting>
  <conditionalFormatting sqref="E17">
    <cfRule type="duplicateValues" dxfId="11" priority="5"/>
  </conditionalFormatting>
  <conditionalFormatting sqref="E17">
    <cfRule type="duplicateValues" dxfId="10" priority="6"/>
  </conditionalFormatting>
  <conditionalFormatting sqref="E14">
    <cfRule type="duplicateValues" dxfId="9" priority="3"/>
  </conditionalFormatting>
  <conditionalFormatting sqref="E14">
    <cfRule type="duplicateValues" dxfId="8" priority="4"/>
  </conditionalFormatting>
  <conditionalFormatting sqref="E15">
    <cfRule type="duplicateValues" dxfId="7" priority="1"/>
  </conditionalFormatting>
  <conditionalFormatting sqref="E15">
    <cfRule type="duplicateValues" dxfId="6" priority="2"/>
  </conditionalFormatting>
  <dataValidations count="2">
    <dataValidation type="list" allowBlank="1" showInputMessage="1" showErrorMessage="1" sqref="AF3:AF17" xr:uid="{00000000-0002-0000-0300-000000000000}">
      <formula1>"ADSS, UA, A"</formula1>
    </dataValidation>
    <dataValidation type="list" allowBlank="1" showInputMessage="1" showErrorMessage="1" sqref="U3:U17" xr:uid="{00000000-0002-0000-0300-000002000000}">
      <formula1>"Fresh, Renewal"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C40"/>
  <sheetViews>
    <sheetView topLeftCell="E1" zoomScaleNormal="100" workbookViewId="0">
      <pane ySplit="2" topLeftCell="A16" activePane="bottomLeft" state="frozen"/>
      <selection activeCell="D110" sqref="D110"/>
      <selection pane="bottomLeft" activeCell="BC16" sqref="BC16"/>
    </sheetView>
  </sheetViews>
  <sheetFormatPr defaultRowHeight="15" x14ac:dyDescent="0.25"/>
  <cols>
    <col min="1" max="1" width="8.7109375" style="9" customWidth="1"/>
    <col min="2" max="2" width="14.5703125" customWidth="1"/>
    <col min="3" max="3" width="19.140625" bestFit="1" customWidth="1"/>
    <col min="4" max="4" width="34.140625" customWidth="1"/>
    <col min="5" max="5" width="13.5703125" bestFit="1" customWidth="1"/>
    <col min="6" max="6" width="17.140625" style="10" bestFit="1" customWidth="1"/>
    <col min="7" max="7" width="8.5703125" bestFit="1" customWidth="1"/>
    <col min="8" max="8" width="17.42578125" bestFit="1" customWidth="1"/>
    <col min="9" max="9" width="10.85546875" bestFit="1" customWidth="1"/>
    <col min="10" max="10" width="13.5703125" bestFit="1" customWidth="1"/>
    <col min="11" max="11" width="13.5703125" style="17" customWidth="1"/>
    <col min="12" max="12" width="10.42578125" style="8" bestFit="1" customWidth="1"/>
    <col min="13" max="13" width="15.5703125" style="8" bestFit="1" customWidth="1"/>
    <col min="14" max="14" width="12" style="8" customWidth="1"/>
    <col min="16" max="16" width="10" customWidth="1"/>
    <col min="17" max="17" width="13.28515625" customWidth="1"/>
    <col min="18" max="18" width="0" hidden="1" customWidth="1"/>
    <col min="19" max="19" width="15" hidden="1" customWidth="1"/>
    <col min="20" max="20" width="13.42578125" hidden="1" customWidth="1"/>
    <col min="21" max="21" width="16.42578125" hidden="1" customWidth="1"/>
    <col min="22" max="22" width="1.7109375" hidden="1" customWidth="1"/>
    <col min="23" max="23" width="14.42578125" hidden="1" customWidth="1"/>
    <col min="24" max="26" width="0" hidden="1" customWidth="1"/>
    <col min="27" max="27" width="1.7109375" hidden="1" customWidth="1"/>
    <col min="28" max="28" width="14.5703125" hidden="1" customWidth="1"/>
    <col min="29" max="29" width="9.42578125" hidden="1" customWidth="1"/>
    <col min="30" max="30" width="0" hidden="1" customWidth="1"/>
    <col min="31" max="31" width="11.7109375" hidden="1" customWidth="1"/>
    <col min="32" max="32" width="0" hidden="1" customWidth="1"/>
    <col min="33" max="33" width="1.7109375" hidden="1" customWidth="1"/>
    <col min="34" max="34" width="12.85546875" hidden="1" customWidth="1"/>
    <col min="35" max="35" width="16.42578125" hidden="1" customWidth="1"/>
    <col min="36" max="41" width="0" hidden="1" customWidth="1"/>
    <col min="42" max="42" width="1.7109375" hidden="1" customWidth="1"/>
    <col min="43" max="43" width="0" hidden="1" customWidth="1"/>
    <col min="44" max="44" width="10.42578125" hidden="1" customWidth="1"/>
    <col min="45" max="46" width="0" hidden="1" customWidth="1"/>
    <col min="47" max="47" width="1.7109375" hidden="1" customWidth="1"/>
    <col min="48" max="48" width="0" hidden="1" customWidth="1"/>
    <col min="49" max="49" width="10.42578125" hidden="1" customWidth="1"/>
    <col min="50" max="52" width="0" hidden="1" customWidth="1"/>
    <col min="53" max="53" width="1.28515625" customWidth="1"/>
  </cols>
  <sheetData>
    <row r="1" spans="1:55" s="26" customFormat="1" ht="15.75" customHeight="1" thickBot="1" x14ac:dyDescent="0.3">
      <c r="A1" s="29"/>
      <c r="E1" s="26">
        <f>MATCH(E2,'Route-Details'!$B$2:$X$2,0)</f>
        <v>6</v>
      </c>
      <c r="F1" s="28">
        <f>MATCH(F2,'Route-Details'!$B$2:$X$2,0)</f>
        <v>7</v>
      </c>
      <c r="G1" s="26">
        <f>MATCH(G2,'Route-Details'!$B$2:$X$2,0)</f>
        <v>8</v>
      </c>
      <c r="H1" s="26">
        <f>MATCH(H2,'Route-Details'!$B$2:$X$2,0)</f>
        <v>9</v>
      </c>
      <c r="I1" s="26">
        <f>MATCH(I2,'Route-Details'!$B$2:$X$2,0)</f>
        <v>11</v>
      </c>
      <c r="J1" s="26">
        <f>MATCH(J2,'Route-Details'!$B$2:$X$2,0)</f>
        <v>12</v>
      </c>
      <c r="S1" s="26">
        <f>SUBTOTAL(9,S3:S1048576)</f>
        <v>0</v>
      </c>
    </row>
    <row r="2" spans="1:55" s="19" customFormat="1" ht="33.950000000000003" customHeight="1" x14ac:dyDescent="0.25">
      <c r="A2" s="63" t="s">
        <v>0</v>
      </c>
      <c r="B2" s="64" t="s">
        <v>30</v>
      </c>
      <c r="C2" s="64" t="s">
        <v>77</v>
      </c>
      <c r="D2" s="64" t="s">
        <v>78</v>
      </c>
      <c r="E2" s="65" t="s">
        <v>32</v>
      </c>
      <c r="F2" s="66" t="s">
        <v>33</v>
      </c>
      <c r="G2" s="65" t="s">
        <v>34</v>
      </c>
      <c r="H2" s="65" t="s">
        <v>35</v>
      </c>
      <c r="I2" s="65" t="s">
        <v>37</v>
      </c>
      <c r="J2" s="65" t="s">
        <v>38</v>
      </c>
      <c r="K2" s="67" t="s">
        <v>39</v>
      </c>
      <c r="L2" s="68" t="s">
        <v>41</v>
      </c>
      <c r="M2" s="68" t="s">
        <v>42</v>
      </c>
      <c r="N2" s="68" t="s">
        <v>43</v>
      </c>
      <c r="O2" s="64" t="s">
        <v>44</v>
      </c>
      <c r="P2" s="64" t="s">
        <v>45</v>
      </c>
      <c r="Q2" s="64" t="s">
        <v>79</v>
      </c>
      <c r="R2" s="64" t="s">
        <v>47</v>
      </c>
      <c r="S2" s="64" t="s">
        <v>40</v>
      </c>
      <c r="T2" s="64" t="s">
        <v>48</v>
      </c>
      <c r="U2" s="69" t="s">
        <v>49</v>
      </c>
      <c r="V2" s="18"/>
      <c r="W2" s="63" t="s">
        <v>50</v>
      </c>
      <c r="X2" s="64" t="s">
        <v>51</v>
      </c>
      <c r="Y2" s="64" t="s">
        <v>52</v>
      </c>
      <c r="Z2" s="69" t="s">
        <v>53</v>
      </c>
      <c r="AA2" s="18"/>
      <c r="AB2" s="63" t="s">
        <v>54</v>
      </c>
      <c r="AC2" s="64" t="s">
        <v>55</v>
      </c>
      <c r="AD2" s="64" t="s">
        <v>47</v>
      </c>
      <c r="AE2" s="64" t="s">
        <v>56</v>
      </c>
      <c r="AF2" s="70" t="s">
        <v>57</v>
      </c>
      <c r="AG2" s="18"/>
      <c r="AH2" s="63" t="s">
        <v>58</v>
      </c>
      <c r="AI2" s="64" t="s">
        <v>59</v>
      </c>
      <c r="AJ2" s="64" t="s">
        <v>60</v>
      </c>
      <c r="AK2" s="65" t="s">
        <v>61</v>
      </c>
      <c r="AL2" s="64" t="s">
        <v>62</v>
      </c>
      <c r="AM2" s="64" t="s">
        <v>63</v>
      </c>
      <c r="AN2" s="65" t="s">
        <v>64</v>
      </c>
      <c r="AO2" s="70" t="s">
        <v>65</v>
      </c>
      <c r="AP2" s="18"/>
      <c r="AQ2" s="63" t="s">
        <v>66</v>
      </c>
      <c r="AR2" s="64" t="s">
        <v>67</v>
      </c>
      <c r="AS2" s="65" t="s">
        <v>68</v>
      </c>
      <c r="AT2" s="70" t="s">
        <v>69</v>
      </c>
      <c r="AU2" s="18"/>
      <c r="AV2" s="63" t="s">
        <v>70</v>
      </c>
      <c r="AW2" s="64" t="s">
        <v>71</v>
      </c>
      <c r="AX2" s="65" t="s">
        <v>72</v>
      </c>
      <c r="AY2" s="65" t="s">
        <v>73</v>
      </c>
      <c r="AZ2" s="70" t="s">
        <v>74</v>
      </c>
      <c r="BB2" s="19" t="s">
        <v>174</v>
      </c>
      <c r="BC2" s="19" t="s">
        <v>175</v>
      </c>
    </row>
    <row r="3" spans="1:55" s="103" customFormat="1" ht="15" customHeight="1" x14ac:dyDescent="0.2">
      <c r="A3" s="93">
        <v>1</v>
      </c>
      <c r="B3" s="79" t="s">
        <v>136</v>
      </c>
      <c r="C3" s="76"/>
      <c r="D3" s="80" t="s">
        <v>213</v>
      </c>
      <c r="E3" s="95" t="str">
        <f>_xlfn.IFNA(VLOOKUP($D3,'Route-Details'!$B$2:$X$1048576,'Node Details'!E$1,0),"")</f>
        <v>Airtel</v>
      </c>
      <c r="F3" s="95" t="str">
        <f>_xlfn.IFNA(VLOOKUP($D3,'Route-Details'!$B$2:$X$1048576,'Node Details'!F$1,0),"")</f>
        <v>PLAN OF AXZ DARIA</v>
      </c>
      <c r="G3" s="95" t="str">
        <f>_xlfn.IFNA(VLOOKUP($D3,'Route-Details'!$B$2:$X$1048576,'Node Details'!G$1,0),"")</f>
        <v>Chandigarh</v>
      </c>
      <c r="H3" s="95" t="str">
        <f>_xlfn.IFNA(VLOOKUP($D4,'Route-Details'!$B$2:$X$1048576,'Node Details'!H$1,0),"")</f>
        <v>Punjab</v>
      </c>
      <c r="I3" s="95" t="str">
        <f>_xlfn.IFNA(VLOOKUP($D3,'Route-Details'!$B$2:$X$1048576,'Node Details'!I$1,0),"")</f>
        <v>AXZ</v>
      </c>
      <c r="J3" s="95" t="str">
        <f>_xlfn.IFNA(VLOOKUP($D3,'Route-Details'!$B$2:$X$1048576,'Node Details'!J$1,0),"")</f>
        <v>AXZ</v>
      </c>
      <c r="K3" s="80">
        <v>46110</v>
      </c>
      <c r="L3" s="80">
        <v>46110</v>
      </c>
      <c r="M3" s="96">
        <v>46119</v>
      </c>
      <c r="N3" s="80">
        <v>46110</v>
      </c>
      <c r="O3" s="93"/>
      <c r="P3" s="93"/>
      <c r="Q3" s="93" t="s">
        <v>173</v>
      </c>
      <c r="R3" s="97"/>
      <c r="S3" s="94"/>
      <c r="T3" s="94"/>
      <c r="U3" s="94"/>
      <c r="V3" s="97"/>
      <c r="W3" s="98"/>
      <c r="X3" s="94"/>
      <c r="Y3" s="99"/>
      <c r="Z3" s="97"/>
      <c r="AA3" s="97"/>
      <c r="AB3" s="94"/>
      <c r="AC3" s="98"/>
      <c r="AD3" s="97"/>
      <c r="AE3" s="93"/>
      <c r="AF3" s="88">
        <f t="shared" ref="AF3:AF39" si="0">IF(AB3&lt;&gt;"",AE3*AB3,0)</f>
        <v>0</v>
      </c>
      <c r="AG3" s="93"/>
      <c r="AH3" s="100"/>
      <c r="AI3" s="94"/>
      <c r="AJ3" s="93"/>
      <c r="AK3" s="87">
        <f t="shared" ref="AK3:AK39" si="1">IF(AI3&lt;&gt;"",AJ3*AI3,0)</f>
        <v>0</v>
      </c>
      <c r="AL3" s="93"/>
      <c r="AM3" s="93"/>
      <c r="AN3" s="87">
        <f t="shared" ref="AN3:AN39" si="2">IF(AL3&lt;&gt;"",AM3*AL3,0)</f>
        <v>0</v>
      </c>
      <c r="AO3" s="87">
        <f t="shared" ref="AO3:AO39" si="3">AN3+AK3</f>
        <v>0</v>
      </c>
      <c r="AP3" s="93"/>
      <c r="AQ3" s="100"/>
      <c r="AR3" s="101"/>
      <c r="AS3" s="88">
        <f t="shared" ref="AS3:AS39" si="4">AJ3</f>
        <v>0</v>
      </c>
      <c r="AT3" s="88">
        <f t="shared" ref="AT3:AT39" si="5">AS3*AI3</f>
        <v>0</v>
      </c>
      <c r="AU3" s="93"/>
      <c r="AV3" s="100"/>
      <c r="AW3" s="101"/>
      <c r="AX3" s="102">
        <f t="shared" ref="AX3:AX39" si="6">AJ3</f>
        <v>0</v>
      </c>
      <c r="AY3" s="102">
        <f t="shared" ref="AY3:AY39" si="7">AI3</f>
        <v>0</v>
      </c>
      <c r="AZ3" s="102">
        <f t="shared" ref="AZ3:AZ39" si="8">IF(AY3&lt;&gt;"",AY3*AX3,0)</f>
        <v>0</v>
      </c>
      <c r="BB3" s="76" t="s">
        <v>192</v>
      </c>
      <c r="BC3" s="103" t="s">
        <v>176</v>
      </c>
    </row>
    <row r="4" spans="1:55" s="103" customFormat="1" ht="15" customHeight="1" x14ac:dyDescent="0.2">
      <c r="A4" s="93">
        <f>A3+1</f>
        <v>2</v>
      </c>
      <c r="B4" s="79" t="s">
        <v>137</v>
      </c>
      <c r="C4" s="76"/>
      <c r="D4" s="80" t="s">
        <v>214</v>
      </c>
      <c r="E4" s="95" t="str">
        <f>_xlfn.IFNA(VLOOKUP($D4,'Route-Details'!$B$2:$X$1048576,'Node Details'!E$1,0),"")</f>
        <v>Airtel</v>
      </c>
      <c r="F4" s="95" t="str">
        <f>_xlfn.IFNA(VLOOKUP($D4,'Route-Details'!$B$2:$X$1048576,'Node Details'!F$1,0),"")</f>
        <v>PLAN OF AXZ DARIA</v>
      </c>
      <c r="G4" s="95" t="str">
        <f>_xlfn.IFNA(VLOOKUP($D4,'Route-Details'!$B$2:$X$1048576,'Node Details'!G$1,0),"")</f>
        <v>Chandigarh</v>
      </c>
      <c r="H4" s="95" t="str">
        <f>_xlfn.IFNA(VLOOKUP($D5,'Route-Details'!$B$2:$X$1048576,'Node Details'!H$1,0),"")</f>
        <v>Punjab</v>
      </c>
      <c r="I4" s="95" t="str">
        <f>_xlfn.IFNA(VLOOKUP($D4,'Route-Details'!$B$2:$X$1048576,'Node Details'!I$1,0),"")</f>
        <v>AXZ</v>
      </c>
      <c r="J4" s="95" t="str">
        <f>_xlfn.IFNA(VLOOKUP($D4,'Route-Details'!$B$2:$X$1048576,'Node Details'!J$1,0),"")</f>
        <v>AXZ</v>
      </c>
      <c r="K4" s="80">
        <v>46110</v>
      </c>
      <c r="L4" s="80">
        <v>46110</v>
      </c>
      <c r="M4" s="96">
        <v>46119</v>
      </c>
      <c r="N4" s="80">
        <v>46110</v>
      </c>
      <c r="O4" s="93"/>
      <c r="P4" s="93"/>
      <c r="Q4" s="93" t="s">
        <v>173</v>
      </c>
      <c r="R4" s="97"/>
      <c r="S4" s="94"/>
      <c r="T4" s="94"/>
      <c r="U4" s="94"/>
      <c r="V4" s="97"/>
      <c r="W4" s="98"/>
      <c r="X4" s="94"/>
      <c r="Y4" s="99"/>
      <c r="Z4" s="97"/>
      <c r="AA4" s="97"/>
      <c r="AB4" s="94"/>
      <c r="AC4" s="98"/>
      <c r="AD4" s="97"/>
      <c r="AE4" s="93"/>
      <c r="AF4" s="88">
        <f t="shared" si="0"/>
        <v>0</v>
      </c>
      <c r="AG4" s="93"/>
      <c r="AH4" s="100"/>
      <c r="AI4" s="94"/>
      <c r="AJ4" s="93"/>
      <c r="AK4" s="87">
        <f t="shared" si="1"/>
        <v>0</v>
      </c>
      <c r="AL4" s="93"/>
      <c r="AM4" s="93"/>
      <c r="AN4" s="87">
        <f t="shared" si="2"/>
        <v>0</v>
      </c>
      <c r="AO4" s="87">
        <f t="shared" si="3"/>
        <v>0</v>
      </c>
      <c r="AP4" s="93"/>
      <c r="AQ4" s="100"/>
      <c r="AR4" s="101"/>
      <c r="AS4" s="88">
        <f t="shared" si="4"/>
        <v>0</v>
      </c>
      <c r="AT4" s="88">
        <f t="shared" si="5"/>
        <v>0</v>
      </c>
      <c r="AU4" s="93"/>
      <c r="AV4" s="100"/>
      <c r="AW4" s="101"/>
      <c r="AX4" s="102">
        <f t="shared" si="6"/>
        <v>0</v>
      </c>
      <c r="AY4" s="102">
        <f t="shared" si="7"/>
        <v>0</v>
      </c>
      <c r="AZ4" s="102">
        <f t="shared" si="8"/>
        <v>0</v>
      </c>
      <c r="BB4" s="76" t="s">
        <v>194</v>
      </c>
      <c r="BC4" s="103" t="s">
        <v>176</v>
      </c>
    </row>
    <row r="5" spans="1:55" s="103" customFormat="1" ht="15" customHeight="1" x14ac:dyDescent="0.2">
      <c r="A5" s="93">
        <f t="shared" ref="A5:A40" si="9">A4+1</f>
        <v>3</v>
      </c>
      <c r="B5" s="79" t="s">
        <v>138</v>
      </c>
      <c r="C5" s="76"/>
      <c r="D5" s="80" t="s">
        <v>223</v>
      </c>
      <c r="E5" s="95" t="str">
        <f>_xlfn.IFNA(VLOOKUP($D5,'Route-Details'!$B$2:$X$1048576,'Node Details'!E$1,0),"")</f>
        <v>Airtel</v>
      </c>
      <c r="F5" s="95" t="str">
        <f>_xlfn.IFNA(VLOOKUP($D5,'Route-Details'!$B$2:$X$1048576,'Node Details'!F$1,0),"")</f>
        <v>PLAN OF AXZ DARIA</v>
      </c>
      <c r="G5" s="95" t="str">
        <f>_xlfn.IFNA(VLOOKUP($D5,'Route-Details'!$B$2:$X$1048576,'Node Details'!G$1,0),"")</f>
        <v>Chandigarh</v>
      </c>
      <c r="H5" s="95" t="str">
        <f>_xlfn.IFNA(VLOOKUP($D6,'Route-Details'!$B$2:$X$1048576,'Node Details'!H$1,0),"")</f>
        <v>Punjab</v>
      </c>
      <c r="I5" s="95" t="str">
        <f>_xlfn.IFNA(VLOOKUP($D5,'Route-Details'!$B$2:$X$1048576,'Node Details'!I$1,0),"")</f>
        <v>AXZ</v>
      </c>
      <c r="J5" s="95" t="str">
        <f>_xlfn.IFNA(VLOOKUP($D5,'Route-Details'!$B$2:$X$1048576,'Node Details'!J$1,0),"")</f>
        <v>AXZ</v>
      </c>
      <c r="K5" s="80">
        <v>46110</v>
      </c>
      <c r="L5" s="80">
        <v>46110</v>
      </c>
      <c r="M5" s="96">
        <v>46119</v>
      </c>
      <c r="N5" s="80">
        <v>46110</v>
      </c>
      <c r="O5" s="93"/>
      <c r="P5" s="93"/>
      <c r="Q5" s="93" t="s">
        <v>173</v>
      </c>
      <c r="R5" s="97"/>
      <c r="S5" s="94"/>
      <c r="T5" s="94"/>
      <c r="U5" s="94"/>
      <c r="V5" s="97"/>
      <c r="W5" s="98"/>
      <c r="X5" s="94"/>
      <c r="Y5" s="99"/>
      <c r="Z5" s="97"/>
      <c r="AA5" s="97"/>
      <c r="AB5" s="94"/>
      <c r="AC5" s="98"/>
      <c r="AD5" s="97"/>
      <c r="AE5" s="93"/>
      <c r="AF5" s="88">
        <f t="shared" si="0"/>
        <v>0</v>
      </c>
      <c r="AG5" s="93"/>
      <c r="AH5" s="100"/>
      <c r="AI5" s="94"/>
      <c r="AJ5" s="93"/>
      <c r="AK5" s="87">
        <f t="shared" si="1"/>
        <v>0</v>
      </c>
      <c r="AL5" s="93"/>
      <c r="AM5" s="93"/>
      <c r="AN5" s="87">
        <f t="shared" si="2"/>
        <v>0</v>
      </c>
      <c r="AO5" s="87">
        <f t="shared" si="3"/>
        <v>0</v>
      </c>
      <c r="AP5" s="93"/>
      <c r="AQ5" s="100"/>
      <c r="AR5" s="101"/>
      <c r="AS5" s="88">
        <f t="shared" si="4"/>
        <v>0</v>
      </c>
      <c r="AT5" s="88">
        <f t="shared" si="5"/>
        <v>0</v>
      </c>
      <c r="AU5" s="93"/>
      <c r="AV5" s="100"/>
      <c r="AW5" s="101"/>
      <c r="AX5" s="102">
        <f t="shared" si="6"/>
        <v>0</v>
      </c>
      <c r="AY5" s="102">
        <f t="shared" si="7"/>
        <v>0</v>
      </c>
      <c r="AZ5" s="102">
        <f t="shared" si="8"/>
        <v>0</v>
      </c>
      <c r="BB5" s="76" t="s">
        <v>195</v>
      </c>
      <c r="BC5" s="103" t="s">
        <v>176</v>
      </c>
    </row>
    <row r="6" spans="1:55" s="103" customFormat="1" ht="15" customHeight="1" x14ac:dyDescent="0.2">
      <c r="A6" s="93">
        <f t="shared" si="9"/>
        <v>4</v>
      </c>
      <c r="B6" s="79" t="s">
        <v>139</v>
      </c>
      <c r="C6" s="76"/>
      <c r="D6" s="80" t="s">
        <v>224</v>
      </c>
      <c r="E6" s="95" t="str">
        <f>_xlfn.IFNA(VLOOKUP($D6,'Route-Details'!$B$2:$X$1048576,'Node Details'!E$1,0),"")</f>
        <v>Airtel</v>
      </c>
      <c r="F6" s="95" t="str">
        <f>_xlfn.IFNA(VLOOKUP($D6,'Route-Details'!$B$2:$X$1048576,'Node Details'!F$1,0),"")</f>
        <v>PLAN OF AXZ DARIA</v>
      </c>
      <c r="G6" s="95" t="str">
        <f>_xlfn.IFNA(VLOOKUP($D6,'Route-Details'!$B$2:$X$1048576,'Node Details'!G$1,0),"")</f>
        <v>Chandigarh</v>
      </c>
      <c r="H6" s="95" t="str">
        <f>_xlfn.IFNA(VLOOKUP($D7,'Route-Details'!$B$2:$X$1048576,'Node Details'!H$1,0),"")</f>
        <v>Punjab</v>
      </c>
      <c r="I6" s="95" t="str">
        <f>_xlfn.IFNA(VLOOKUP($D6,'Route-Details'!$B$2:$X$1048576,'Node Details'!I$1,0),"")</f>
        <v>AXZ</v>
      </c>
      <c r="J6" s="95" t="str">
        <f>_xlfn.IFNA(VLOOKUP($D6,'Route-Details'!$B$2:$X$1048576,'Node Details'!J$1,0),"")</f>
        <v>AXZ</v>
      </c>
      <c r="K6" s="80">
        <v>46110</v>
      </c>
      <c r="L6" s="80">
        <v>46110</v>
      </c>
      <c r="M6" s="96">
        <v>46119</v>
      </c>
      <c r="N6" s="80">
        <v>46110</v>
      </c>
      <c r="O6" s="93"/>
      <c r="P6" s="93"/>
      <c r="Q6" s="93" t="s">
        <v>173</v>
      </c>
      <c r="R6" s="97"/>
      <c r="S6" s="94"/>
      <c r="T6" s="94"/>
      <c r="U6" s="94"/>
      <c r="V6" s="97"/>
      <c r="W6" s="98"/>
      <c r="X6" s="94"/>
      <c r="Y6" s="99"/>
      <c r="Z6" s="97"/>
      <c r="AA6" s="97"/>
      <c r="AB6" s="94"/>
      <c r="AC6" s="98"/>
      <c r="AD6" s="97"/>
      <c r="AE6" s="93"/>
      <c r="AF6" s="88">
        <f t="shared" si="0"/>
        <v>0</v>
      </c>
      <c r="AG6" s="93"/>
      <c r="AH6" s="100"/>
      <c r="AI6" s="94"/>
      <c r="AJ6" s="93"/>
      <c r="AK6" s="87">
        <f t="shared" si="1"/>
        <v>0</v>
      </c>
      <c r="AL6" s="93"/>
      <c r="AM6" s="93"/>
      <c r="AN6" s="87">
        <f t="shared" si="2"/>
        <v>0</v>
      </c>
      <c r="AO6" s="87">
        <f t="shared" si="3"/>
        <v>0</v>
      </c>
      <c r="AP6" s="93"/>
      <c r="AQ6" s="100"/>
      <c r="AR6" s="101"/>
      <c r="AS6" s="88">
        <f t="shared" si="4"/>
        <v>0</v>
      </c>
      <c r="AT6" s="88">
        <f t="shared" si="5"/>
        <v>0</v>
      </c>
      <c r="AU6" s="93"/>
      <c r="AV6" s="100"/>
      <c r="AW6" s="101"/>
      <c r="AX6" s="102">
        <f t="shared" si="6"/>
        <v>0</v>
      </c>
      <c r="AY6" s="102">
        <f t="shared" si="7"/>
        <v>0</v>
      </c>
      <c r="AZ6" s="102">
        <f t="shared" si="8"/>
        <v>0</v>
      </c>
      <c r="BB6" s="76" t="s">
        <v>196</v>
      </c>
      <c r="BC6" s="103" t="s">
        <v>176</v>
      </c>
    </row>
    <row r="7" spans="1:55" s="103" customFormat="1" ht="15" customHeight="1" x14ac:dyDescent="0.2">
      <c r="A7" s="93">
        <f t="shared" si="9"/>
        <v>5</v>
      </c>
      <c r="B7" s="79" t="s">
        <v>140</v>
      </c>
      <c r="C7" s="76"/>
      <c r="D7" s="80" t="s">
        <v>224</v>
      </c>
      <c r="E7" s="95" t="str">
        <f>_xlfn.IFNA(VLOOKUP($D7,'Route-Details'!$B$2:$X$1048576,'Node Details'!E$1,0),"")</f>
        <v>Airtel</v>
      </c>
      <c r="F7" s="95" t="str">
        <f>_xlfn.IFNA(VLOOKUP($D7,'Route-Details'!$B$2:$X$1048576,'Node Details'!F$1,0),"")</f>
        <v>PLAN OF AXZ DARIA</v>
      </c>
      <c r="G7" s="95" t="str">
        <f>_xlfn.IFNA(VLOOKUP($D7,'Route-Details'!$B$2:$X$1048576,'Node Details'!G$1,0),"")</f>
        <v>Chandigarh</v>
      </c>
      <c r="H7" s="95" t="str">
        <f>_xlfn.IFNA(VLOOKUP($D8,'Route-Details'!$B$2:$X$1048576,'Node Details'!H$1,0),"")</f>
        <v>Punjab</v>
      </c>
      <c r="I7" s="95" t="str">
        <f>_xlfn.IFNA(VLOOKUP($D7,'Route-Details'!$B$2:$X$1048576,'Node Details'!I$1,0),"")</f>
        <v>AXZ</v>
      </c>
      <c r="J7" s="95" t="str">
        <f>_xlfn.IFNA(VLOOKUP($D7,'Route-Details'!$B$2:$X$1048576,'Node Details'!J$1,0),"")</f>
        <v>AXZ</v>
      </c>
      <c r="K7" s="80">
        <v>46110</v>
      </c>
      <c r="L7" s="80">
        <v>46110</v>
      </c>
      <c r="M7" s="96">
        <v>46119</v>
      </c>
      <c r="N7" s="80">
        <v>46110</v>
      </c>
      <c r="O7" s="93"/>
      <c r="P7" s="93"/>
      <c r="Q7" s="93" t="s">
        <v>173</v>
      </c>
      <c r="R7" s="97"/>
      <c r="S7" s="94"/>
      <c r="T7" s="94"/>
      <c r="U7" s="94"/>
      <c r="V7" s="97"/>
      <c r="W7" s="98"/>
      <c r="X7" s="94"/>
      <c r="Y7" s="99"/>
      <c r="Z7" s="97"/>
      <c r="AA7" s="97"/>
      <c r="AB7" s="94"/>
      <c r="AC7" s="98"/>
      <c r="AD7" s="97"/>
      <c r="AE7" s="93"/>
      <c r="AF7" s="88">
        <f t="shared" si="0"/>
        <v>0</v>
      </c>
      <c r="AG7" s="93"/>
      <c r="AH7" s="100"/>
      <c r="AI7" s="94"/>
      <c r="AJ7" s="93"/>
      <c r="AK7" s="87">
        <f t="shared" si="1"/>
        <v>0</v>
      </c>
      <c r="AL7" s="93"/>
      <c r="AM7" s="93"/>
      <c r="AN7" s="87">
        <f t="shared" si="2"/>
        <v>0</v>
      </c>
      <c r="AO7" s="87">
        <f t="shared" si="3"/>
        <v>0</v>
      </c>
      <c r="AP7" s="93"/>
      <c r="AQ7" s="100"/>
      <c r="AR7" s="101"/>
      <c r="AS7" s="88">
        <f t="shared" si="4"/>
        <v>0</v>
      </c>
      <c r="AT7" s="88">
        <f t="shared" si="5"/>
        <v>0</v>
      </c>
      <c r="AU7" s="93"/>
      <c r="AV7" s="100"/>
      <c r="AW7" s="101"/>
      <c r="AX7" s="102">
        <f t="shared" si="6"/>
        <v>0</v>
      </c>
      <c r="AY7" s="102">
        <f t="shared" si="7"/>
        <v>0</v>
      </c>
      <c r="AZ7" s="102">
        <f t="shared" si="8"/>
        <v>0</v>
      </c>
      <c r="BB7" s="76" t="s">
        <v>196</v>
      </c>
      <c r="BC7" s="103" t="s">
        <v>176</v>
      </c>
    </row>
    <row r="8" spans="1:55" s="103" customFormat="1" ht="15" customHeight="1" x14ac:dyDescent="0.2">
      <c r="A8" s="93">
        <f t="shared" si="9"/>
        <v>6</v>
      </c>
      <c r="B8" s="79" t="s">
        <v>141</v>
      </c>
      <c r="C8" s="76"/>
      <c r="D8" s="80" t="s">
        <v>224</v>
      </c>
      <c r="E8" s="95" t="str">
        <f>_xlfn.IFNA(VLOOKUP($D8,'Route-Details'!$B$2:$X$1048576,'Node Details'!E$1,0),"")</f>
        <v>Airtel</v>
      </c>
      <c r="F8" s="95" t="str">
        <f>_xlfn.IFNA(VLOOKUP($D8,'Route-Details'!$B$2:$X$1048576,'Node Details'!F$1,0),"")</f>
        <v>PLAN OF AXZ DARIA</v>
      </c>
      <c r="G8" s="95" t="str">
        <f>_xlfn.IFNA(VLOOKUP($D8,'Route-Details'!$B$2:$X$1048576,'Node Details'!G$1,0),"")</f>
        <v>Chandigarh</v>
      </c>
      <c r="H8" s="95" t="str">
        <f>_xlfn.IFNA(VLOOKUP($D9,'Route-Details'!$B$2:$X$1048576,'Node Details'!H$1,0),"")</f>
        <v>Punjab</v>
      </c>
      <c r="I8" s="95" t="str">
        <f>_xlfn.IFNA(VLOOKUP($D8,'Route-Details'!$B$2:$X$1048576,'Node Details'!I$1,0),"")</f>
        <v>AXZ</v>
      </c>
      <c r="J8" s="95" t="str">
        <f>_xlfn.IFNA(VLOOKUP($D8,'Route-Details'!$B$2:$X$1048576,'Node Details'!J$1,0),"")</f>
        <v>AXZ</v>
      </c>
      <c r="K8" s="80">
        <v>46110</v>
      </c>
      <c r="L8" s="80">
        <v>46110</v>
      </c>
      <c r="M8" s="96">
        <v>46119</v>
      </c>
      <c r="N8" s="80">
        <v>46110</v>
      </c>
      <c r="O8" s="93"/>
      <c r="P8" s="93"/>
      <c r="Q8" s="93" t="s">
        <v>173</v>
      </c>
      <c r="R8" s="97"/>
      <c r="S8" s="94"/>
      <c r="T8" s="94"/>
      <c r="U8" s="94"/>
      <c r="V8" s="97"/>
      <c r="W8" s="98"/>
      <c r="X8" s="94"/>
      <c r="Y8" s="99"/>
      <c r="Z8" s="97"/>
      <c r="AA8" s="97"/>
      <c r="AB8" s="94"/>
      <c r="AC8" s="98"/>
      <c r="AD8" s="97"/>
      <c r="AE8" s="93"/>
      <c r="AF8" s="88">
        <f t="shared" si="0"/>
        <v>0</v>
      </c>
      <c r="AG8" s="93"/>
      <c r="AH8" s="100"/>
      <c r="AI8" s="94"/>
      <c r="AJ8" s="93"/>
      <c r="AK8" s="87">
        <f t="shared" si="1"/>
        <v>0</v>
      </c>
      <c r="AL8" s="93"/>
      <c r="AM8" s="93"/>
      <c r="AN8" s="87">
        <f t="shared" si="2"/>
        <v>0</v>
      </c>
      <c r="AO8" s="87">
        <f t="shared" si="3"/>
        <v>0</v>
      </c>
      <c r="AP8" s="93"/>
      <c r="AQ8" s="100"/>
      <c r="AR8" s="101"/>
      <c r="AS8" s="88">
        <f t="shared" si="4"/>
        <v>0</v>
      </c>
      <c r="AT8" s="88">
        <f t="shared" si="5"/>
        <v>0</v>
      </c>
      <c r="AU8" s="93"/>
      <c r="AV8" s="100"/>
      <c r="AW8" s="101"/>
      <c r="AX8" s="102">
        <f t="shared" si="6"/>
        <v>0</v>
      </c>
      <c r="AY8" s="102">
        <f t="shared" si="7"/>
        <v>0</v>
      </c>
      <c r="AZ8" s="102">
        <f t="shared" si="8"/>
        <v>0</v>
      </c>
      <c r="BB8" s="76" t="s">
        <v>196</v>
      </c>
      <c r="BC8" s="103" t="s">
        <v>176</v>
      </c>
    </row>
    <row r="9" spans="1:55" s="103" customFormat="1" ht="15" customHeight="1" x14ac:dyDescent="0.2">
      <c r="A9" s="93">
        <f t="shared" si="9"/>
        <v>7</v>
      </c>
      <c r="B9" s="79" t="s">
        <v>142</v>
      </c>
      <c r="C9" s="76"/>
      <c r="D9" s="80" t="s">
        <v>215</v>
      </c>
      <c r="E9" s="95" t="str">
        <f>_xlfn.IFNA(VLOOKUP($D9,'Route-Details'!$B$2:$X$1048576,'Node Details'!E$1,0),"")</f>
        <v>Airtel</v>
      </c>
      <c r="F9" s="95" t="str">
        <f>_xlfn.IFNA(VLOOKUP($D9,'Route-Details'!$B$2:$X$1048576,'Node Details'!F$1,0),"")</f>
        <v>PLAN OF AXZ DARIA</v>
      </c>
      <c r="G9" s="95" t="str">
        <f>_xlfn.IFNA(VLOOKUP($D9,'Route-Details'!$B$2:$X$1048576,'Node Details'!G$1,0),"")</f>
        <v>Chandigarh</v>
      </c>
      <c r="H9" s="95" t="str">
        <f>_xlfn.IFNA(VLOOKUP($D10,'Route-Details'!$B$2:$X$1048576,'Node Details'!H$1,0),"")</f>
        <v>Punjab</v>
      </c>
      <c r="I9" s="95" t="str">
        <f>_xlfn.IFNA(VLOOKUP($D9,'Route-Details'!$B$2:$X$1048576,'Node Details'!I$1,0),"")</f>
        <v>AXZ</v>
      </c>
      <c r="J9" s="95" t="str">
        <f>_xlfn.IFNA(VLOOKUP($D9,'Route-Details'!$B$2:$X$1048576,'Node Details'!J$1,0),"")</f>
        <v>AXZ</v>
      </c>
      <c r="K9" s="80">
        <v>46110</v>
      </c>
      <c r="L9" s="80">
        <v>46110</v>
      </c>
      <c r="M9" s="96">
        <v>46119</v>
      </c>
      <c r="N9" s="80">
        <v>46110</v>
      </c>
      <c r="O9" s="93"/>
      <c r="P9" s="93"/>
      <c r="Q9" s="93" t="s">
        <v>173</v>
      </c>
      <c r="R9" s="97"/>
      <c r="S9" s="94"/>
      <c r="T9" s="94"/>
      <c r="U9" s="94"/>
      <c r="V9" s="97"/>
      <c r="W9" s="98"/>
      <c r="X9" s="94"/>
      <c r="Y9" s="99"/>
      <c r="Z9" s="97"/>
      <c r="AA9" s="97"/>
      <c r="AB9" s="94"/>
      <c r="AC9" s="98"/>
      <c r="AD9" s="97"/>
      <c r="AE9" s="93"/>
      <c r="AF9" s="88">
        <f t="shared" si="0"/>
        <v>0</v>
      </c>
      <c r="AG9" s="93"/>
      <c r="AH9" s="100"/>
      <c r="AI9" s="94"/>
      <c r="AJ9" s="93"/>
      <c r="AK9" s="87">
        <f t="shared" si="1"/>
        <v>0</v>
      </c>
      <c r="AL9" s="93"/>
      <c r="AM9" s="93"/>
      <c r="AN9" s="87">
        <f t="shared" si="2"/>
        <v>0</v>
      </c>
      <c r="AO9" s="87">
        <f t="shared" si="3"/>
        <v>0</v>
      </c>
      <c r="AP9" s="93"/>
      <c r="AQ9" s="100"/>
      <c r="AR9" s="101"/>
      <c r="AS9" s="88">
        <f t="shared" si="4"/>
        <v>0</v>
      </c>
      <c r="AT9" s="88">
        <f t="shared" si="5"/>
        <v>0</v>
      </c>
      <c r="AU9" s="93"/>
      <c r="AV9" s="100"/>
      <c r="AW9" s="101"/>
      <c r="AX9" s="102">
        <f t="shared" si="6"/>
        <v>0</v>
      </c>
      <c r="AY9" s="102">
        <f t="shared" si="7"/>
        <v>0</v>
      </c>
      <c r="AZ9" s="102">
        <f t="shared" si="8"/>
        <v>0</v>
      </c>
      <c r="BB9" s="76" t="s">
        <v>197</v>
      </c>
      <c r="BC9" s="103" t="s">
        <v>176</v>
      </c>
    </row>
    <row r="10" spans="1:55" s="103" customFormat="1" ht="15" customHeight="1" x14ac:dyDescent="0.2">
      <c r="A10" s="93">
        <f t="shared" si="9"/>
        <v>8</v>
      </c>
      <c r="B10" s="79" t="s">
        <v>143</v>
      </c>
      <c r="C10" s="76"/>
      <c r="D10" s="80" t="s">
        <v>215</v>
      </c>
      <c r="E10" s="95" t="str">
        <f>_xlfn.IFNA(VLOOKUP($D10,'Route-Details'!$B$2:$X$1048576,'Node Details'!E$1,0),"")</f>
        <v>Airtel</v>
      </c>
      <c r="F10" s="95" t="str">
        <f>_xlfn.IFNA(VLOOKUP($D10,'Route-Details'!$B$2:$X$1048576,'Node Details'!F$1,0),"")</f>
        <v>PLAN OF AXZ DARIA</v>
      </c>
      <c r="G10" s="95" t="str">
        <f>_xlfn.IFNA(VLOOKUP($D10,'Route-Details'!$B$2:$X$1048576,'Node Details'!G$1,0),"")</f>
        <v>Chandigarh</v>
      </c>
      <c r="H10" s="95" t="str">
        <f>_xlfn.IFNA(VLOOKUP($D11,'Route-Details'!$B$2:$X$1048576,'Node Details'!H$1,0),"")</f>
        <v>Punjab</v>
      </c>
      <c r="I10" s="95" t="str">
        <f>_xlfn.IFNA(VLOOKUP($D10,'Route-Details'!$B$2:$X$1048576,'Node Details'!I$1,0),"")</f>
        <v>AXZ</v>
      </c>
      <c r="J10" s="95" t="str">
        <f>_xlfn.IFNA(VLOOKUP($D10,'Route-Details'!$B$2:$X$1048576,'Node Details'!J$1,0),"")</f>
        <v>AXZ</v>
      </c>
      <c r="K10" s="80">
        <v>46110</v>
      </c>
      <c r="L10" s="80">
        <v>46110</v>
      </c>
      <c r="M10" s="96">
        <v>46119</v>
      </c>
      <c r="N10" s="80">
        <v>46110</v>
      </c>
      <c r="O10" s="93"/>
      <c r="P10" s="93"/>
      <c r="Q10" s="93" t="s">
        <v>173</v>
      </c>
      <c r="R10" s="97"/>
      <c r="S10" s="94"/>
      <c r="T10" s="94"/>
      <c r="U10" s="94"/>
      <c r="V10" s="97"/>
      <c r="W10" s="98"/>
      <c r="X10" s="94"/>
      <c r="Y10" s="99"/>
      <c r="Z10" s="97"/>
      <c r="AA10" s="97"/>
      <c r="AB10" s="94"/>
      <c r="AC10" s="98"/>
      <c r="AD10" s="97"/>
      <c r="AE10" s="93"/>
      <c r="AF10" s="88">
        <f t="shared" si="0"/>
        <v>0</v>
      </c>
      <c r="AG10" s="93"/>
      <c r="AH10" s="100"/>
      <c r="AI10" s="94"/>
      <c r="AJ10" s="93"/>
      <c r="AK10" s="87">
        <f t="shared" si="1"/>
        <v>0</v>
      </c>
      <c r="AL10" s="93"/>
      <c r="AM10" s="93"/>
      <c r="AN10" s="87">
        <f t="shared" si="2"/>
        <v>0</v>
      </c>
      <c r="AO10" s="87">
        <f t="shared" si="3"/>
        <v>0</v>
      </c>
      <c r="AP10" s="93"/>
      <c r="AQ10" s="100"/>
      <c r="AR10" s="101"/>
      <c r="AS10" s="88">
        <f t="shared" si="4"/>
        <v>0</v>
      </c>
      <c r="AT10" s="88">
        <f t="shared" si="5"/>
        <v>0</v>
      </c>
      <c r="AU10" s="93"/>
      <c r="AV10" s="100"/>
      <c r="AW10" s="101"/>
      <c r="AX10" s="102">
        <f t="shared" si="6"/>
        <v>0</v>
      </c>
      <c r="AY10" s="102">
        <f t="shared" si="7"/>
        <v>0</v>
      </c>
      <c r="AZ10" s="102">
        <f t="shared" si="8"/>
        <v>0</v>
      </c>
      <c r="BB10" s="76" t="s">
        <v>197</v>
      </c>
      <c r="BC10" s="103" t="s">
        <v>176</v>
      </c>
    </row>
    <row r="11" spans="1:55" s="103" customFormat="1" ht="15" customHeight="1" x14ac:dyDescent="0.2">
      <c r="A11" s="93">
        <f t="shared" si="9"/>
        <v>9</v>
      </c>
      <c r="B11" s="79" t="s">
        <v>144</v>
      </c>
      <c r="C11" s="76"/>
      <c r="D11" s="80" t="s">
        <v>215</v>
      </c>
      <c r="E11" s="95" t="str">
        <f>_xlfn.IFNA(VLOOKUP($D11,'Route-Details'!$B$2:$X$1048576,'Node Details'!E$1,0),"")</f>
        <v>Airtel</v>
      </c>
      <c r="F11" s="95" t="str">
        <f>_xlfn.IFNA(VLOOKUP($D11,'Route-Details'!$B$2:$X$1048576,'Node Details'!F$1,0),"")</f>
        <v>PLAN OF AXZ DARIA</v>
      </c>
      <c r="G11" s="95" t="str">
        <f>_xlfn.IFNA(VLOOKUP($D11,'Route-Details'!$B$2:$X$1048576,'Node Details'!G$1,0),"")</f>
        <v>Chandigarh</v>
      </c>
      <c r="H11" s="95" t="str">
        <f>_xlfn.IFNA(VLOOKUP($D12,'Route-Details'!$B$2:$X$1048576,'Node Details'!H$1,0),"")</f>
        <v>Punjab</v>
      </c>
      <c r="I11" s="95" t="str">
        <f>_xlfn.IFNA(VLOOKUP($D11,'Route-Details'!$B$2:$X$1048576,'Node Details'!I$1,0),"")</f>
        <v>AXZ</v>
      </c>
      <c r="J11" s="95" t="str">
        <f>_xlfn.IFNA(VLOOKUP($D11,'Route-Details'!$B$2:$X$1048576,'Node Details'!J$1,0),"")</f>
        <v>AXZ</v>
      </c>
      <c r="K11" s="80">
        <v>46110</v>
      </c>
      <c r="L11" s="80">
        <v>46110</v>
      </c>
      <c r="M11" s="96">
        <v>46119</v>
      </c>
      <c r="N11" s="80">
        <v>46110</v>
      </c>
      <c r="O11" s="93"/>
      <c r="P11" s="93"/>
      <c r="Q11" s="93" t="s">
        <v>173</v>
      </c>
      <c r="R11" s="97"/>
      <c r="S11" s="94"/>
      <c r="T11" s="94"/>
      <c r="U11" s="94"/>
      <c r="V11" s="97"/>
      <c r="W11" s="98"/>
      <c r="X11" s="94"/>
      <c r="Y11" s="99"/>
      <c r="Z11" s="97"/>
      <c r="AA11" s="97"/>
      <c r="AB11" s="94"/>
      <c r="AC11" s="98"/>
      <c r="AD11" s="97"/>
      <c r="AE11" s="93"/>
      <c r="AF11" s="88">
        <f t="shared" si="0"/>
        <v>0</v>
      </c>
      <c r="AG11" s="93"/>
      <c r="AH11" s="100"/>
      <c r="AI11" s="94"/>
      <c r="AJ11" s="93"/>
      <c r="AK11" s="87">
        <f t="shared" si="1"/>
        <v>0</v>
      </c>
      <c r="AL11" s="93"/>
      <c r="AM11" s="93"/>
      <c r="AN11" s="87">
        <f t="shared" si="2"/>
        <v>0</v>
      </c>
      <c r="AO11" s="87">
        <f t="shared" si="3"/>
        <v>0</v>
      </c>
      <c r="AP11" s="93"/>
      <c r="AQ11" s="100"/>
      <c r="AR11" s="101"/>
      <c r="AS11" s="88">
        <f t="shared" si="4"/>
        <v>0</v>
      </c>
      <c r="AT11" s="88">
        <f t="shared" si="5"/>
        <v>0</v>
      </c>
      <c r="AU11" s="93"/>
      <c r="AV11" s="100"/>
      <c r="AW11" s="101"/>
      <c r="AX11" s="102">
        <f t="shared" si="6"/>
        <v>0</v>
      </c>
      <c r="AY11" s="102">
        <f t="shared" si="7"/>
        <v>0</v>
      </c>
      <c r="AZ11" s="102">
        <f t="shared" si="8"/>
        <v>0</v>
      </c>
      <c r="BB11" s="76" t="s">
        <v>197</v>
      </c>
      <c r="BC11" s="103" t="s">
        <v>176</v>
      </c>
    </row>
    <row r="12" spans="1:55" s="103" customFormat="1" ht="15" customHeight="1" x14ac:dyDescent="0.2">
      <c r="A12" s="93">
        <f t="shared" si="9"/>
        <v>10</v>
      </c>
      <c r="B12" s="79" t="s">
        <v>145</v>
      </c>
      <c r="C12" s="76"/>
      <c r="D12" s="80" t="s">
        <v>215</v>
      </c>
      <c r="E12" s="95" t="str">
        <f>_xlfn.IFNA(VLOOKUP($D12,'Route-Details'!$B$2:$X$1048576,'Node Details'!E$1,0),"")</f>
        <v>Airtel</v>
      </c>
      <c r="F12" s="95" t="str">
        <f>_xlfn.IFNA(VLOOKUP($D12,'Route-Details'!$B$2:$X$1048576,'Node Details'!F$1,0),"")</f>
        <v>PLAN OF AXZ DARIA</v>
      </c>
      <c r="G12" s="95" t="str">
        <f>_xlfn.IFNA(VLOOKUP($D12,'Route-Details'!$B$2:$X$1048576,'Node Details'!G$1,0),"")</f>
        <v>Chandigarh</v>
      </c>
      <c r="H12" s="95" t="str">
        <f>_xlfn.IFNA(VLOOKUP($D13,'Route-Details'!$B$2:$X$1048576,'Node Details'!H$1,0),"")</f>
        <v>Punjab</v>
      </c>
      <c r="I12" s="95" t="str">
        <f>_xlfn.IFNA(VLOOKUP($D12,'Route-Details'!$B$2:$X$1048576,'Node Details'!I$1,0),"")</f>
        <v>AXZ</v>
      </c>
      <c r="J12" s="95" t="str">
        <f>_xlfn.IFNA(VLOOKUP($D12,'Route-Details'!$B$2:$X$1048576,'Node Details'!J$1,0),"")</f>
        <v>AXZ</v>
      </c>
      <c r="K12" s="80">
        <v>46110</v>
      </c>
      <c r="L12" s="80">
        <v>46110</v>
      </c>
      <c r="M12" s="96">
        <v>46119</v>
      </c>
      <c r="N12" s="80">
        <v>46110</v>
      </c>
      <c r="O12" s="93"/>
      <c r="P12" s="93"/>
      <c r="Q12" s="93" t="s">
        <v>173</v>
      </c>
      <c r="R12" s="97"/>
      <c r="S12" s="94"/>
      <c r="T12" s="94"/>
      <c r="U12" s="94"/>
      <c r="V12" s="97"/>
      <c r="W12" s="98"/>
      <c r="X12" s="94"/>
      <c r="Y12" s="99"/>
      <c r="Z12" s="97"/>
      <c r="AA12" s="97"/>
      <c r="AB12" s="94"/>
      <c r="AC12" s="98"/>
      <c r="AD12" s="97"/>
      <c r="AE12" s="93"/>
      <c r="AF12" s="88">
        <f t="shared" si="0"/>
        <v>0</v>
      </c>
      <c r="AG12" s="93"/>
      <c r="AH12" s="100"/>
      <c r="AI12" s="94"/>
      <c r="AJ12" s="93"/>
      <c r="AK12" s="87">
        <f t="shared" si="1"/>
        <v>0</v>
      </c>
      <c r="AL12" s="93"/>
      <c r="AM12" s="93"/>
      <c r="AN12" s="87">
        <f t="shared" si="2"/>
        <v>0</v>
      </c>
      <c r="AO12" s="87">
        <f t="shared" si="3"/>
        <v>0</v>
      </c>
      <c r="AP12" s="93"/>
      <c r="AQ12" s="100"/>
      <c r="AR12" s="101"/>
      <c r="AS12" s="88">
        <f t="shared" si="4"/>
        <v>0</v>
      </c>
      <c r="AT12" s="88">
        <f t="shared" si="5"/>
        <v>0</v>
      </c>
      <c r="AU12" s="93"/>
      <c r="AV12" s="100"/>
      <c r="AW12" s="101"/>
      <c r="AX12" s="102">
        <f t="shared" si="6"/>
        <v>0</v>
      </c>
      <c r="AY12" s="102">
        <f t="shared" si="7"/>
        <v>0</v>
      </c>
      <c r="AZ12" s="102">
        <f t="shared" si="8"/>
        <v>0</v>
      </c>
      <c r="BB12" s="76" t="s">
        <v>197</v>
      </c>
      <c r="BC12" s="103" t="s">
        <v>176</v>
      </c>
    </row>
    <row r="13" spans="1:55" s="103" customFormat="1" ht="15" customHeight="1" x14ac:dyDescent="0.2">
      <c r="A13" s="93">
        <f t="shared" si="9"/>
        <v>11</v>
      </c>
      <c r="B13" s="79" t="s">
        <v>146</v>
      </c>
      <c r="C13" s="76"/>
      <c r="D13" s="80" t="s">
        <v>215</v>
      </c>
      <c r="E13" s="95" t="str">
        <f>_xlfn.IFNA(VLOOKUP($D13,'Route-Details'!$B$2:$X$1048576,'Node Details'!E$1,0),"")</f>
        <v>Airtel</v>
      </c>
      <c r="F13" s="95" t="str">
        <f>_xlfn.IFNA(VLOOKUP($D13,'Route-Details'!$B$2:$X$1048576,'Node Details'!F$1,0),"")</f>
        <v>PLAN OF AXZ DARIA</v>
      </c>
      <c r="G13" s="95" t="str">
        <f>_xlfn.IFNA(VLOOKUP($D13,'Route-Details'!$B$2:$X$1048576,'Node Details'!G$1,0),"")</f>
        <v>Chandigarh</v>
      </c>
      <c r="H13" s="95" t="str">
        <f>_xlfn.IFNA(VLOOKUP($D14,'Route-Details'!$B$2:$X$1048576,'Node Details'!H$1,0),"")</f>
        <v>Punjab</v>
      </c>
      <c r="I13" s="95" t="str">
        <f>_xlfn.IFNA(VLOOKUP($D13,'Route-Details'!$B$2:$X$1048576,'Node Details'!I$1,0),"")</f>
        <v>AXZ</v>
      </c>
      <c r="J13" s="95" t="str">
        <f>_xlfn.IFNA(VLOOKUP($D13,'Route-Details'!$B$2:$X$1048576,'Node Details'!J$1,0),"")</f>
        <v>AXZ</v>
      </c>
      <c r="K13" s="80">
        <v>46110</v>
      </c>
      <c r="L13" s="80">
        <v>46110</v>
      </c>
      <c r="M13" s="96">
        <v>46119</v>
      </c>
      <c r="N13" s="80">
        <v>46110</v>
      </c>
      <c r="O13" s="93"/>
      <c r="P13" s="93"/>
      <c r="Q13" s="93" t="s">
        <v>173</v>
      </c>
      <c r="R13" s="97"/>
      <c r="S13" s="94"/>
      <c r="T13" s="94"/>
      <c r="U13" s="94"/>
      <c r="V13" s="97"/>
      <c r="W13" s="98"/>
      <c r="X13" s="94"/>
      <c r="Y13" s="99"/>
      <c r="Z13" s="97"/>
      <c r="AA13" s="97"/>
      <c r="AB13" s="94"/>
      <c r="AC13" s="98"/>
      <c r="AD13" s="97"/>
      <c r="AE13" s="93"/>
      <c r="AF13" s="88">
        <f t="shared" si="0"/>
        <v>0</v>
      </c>
      <c r="AG13" s="93"/>
      <c r="AH13" s="100"/>
      <c r="AI13" s="94"/>
      <c r="AJ13" s="93"/>
      <c r="AK13" s="87">
        <f t="shared" si="1"/>
        <v>0</v>
      </c>
      <c r="AL13" s="93"/>
      <c r="AM13" s="93"/>
      <c r="AN13" s="87">
        <f t="shared" si="2"/>
        <v>0</v>
      </c>
      <c r="AO13" s="87">
        <f t="shared" si="3"/>
        <v>0</v>
      </c>
      <c r="AP13" s="93"/>
      <c r="AQ13" s="100"/>
      <c r="AR13" s="101"/>
      <c r="AS13" s="88">
        <f t="shared" si="4"/>
        <v>0</v>
      </c>
      <c r="AT13" s="88">
        <f t="shared" si="5"/>
        <v>0</v>
      </c>
      <c r="AU13" s="93"/>
      <c r="AV13" s="100"/>
      <c r="AW13" s="101"/>
      <c r="AX13" s="102">
        <f t="shared" si="6"/>
        <v>0</v>
      </c>
      <c r="AY13" s="102">
        <f t="shared" si="7"/>
        <v>0</v>
      </c>
      <c r="AZ13" s="102">
        <f t="shared" si="8"/>
        <v>0</v>
      </c>
      <c r="BB13" s="76" t="s">
        <v>197</v>
      </c>
      <c r="BC13" s="103" t="s">
        <v>176</v>
      </c>
    </row>
    <row r="14" spans="1:55" s="103" customFormat="1" ht="15" customHeight="1" x14ac:dyDescent="0.2">
      <c r="A14" s="93">
        <f t="shared" si="9"/>
        <v>12</v>
      </c>
      <c r="B14" s="79" t="s">
        <v>147</v>
      </c>
      <c r="C14" s="76"/>
      <c r="D14" s="80" t="s">
        <v>225</v>
      </c>
      <c r="E14" s="95" t="str">
        <f>_xlfn.IFNA(VLOOKUP($D14,'Route-Details'!$B$2:$X$1048576,'Node Details'!E$1,0),"")</f>
        <v>Airtel</v>
      </c>
      <c r="F14" s="95" t="str">
        <f>_xlfn.IFNA(VLOOKUP($D14,'Route-Details'!$B$2:$X$1048576,'Node Details'!F$1,0),"")</f>
        <v>PLAN OF AXZ DARIA</v>
      </c>
      <c r="G14" s="95" t="str">
        <f>_xlfn.IFNA(VLOOKUP($D14,'Route-Details'!$B$2:$X$1048576,'Node Details'!G$1,0),"")</f>
        <v>Chandigarh</v>
      </c>
      <c r="H14" s="95" t="str">
        <f>_xlfn.IFNA(VLOOKUP($D15,'Route-Details'!$B$2:$X$1048576,'Node Details'!H$1,0),"")</f>
        <v>Punjab</v>
      </c>
      <c r="I14" s="95" t="str">
        <f>_xlfn.IFNA(VLOOKUP($D14,'Route-Details'!$B$2:$X$1048576,'Node Details'!I$1,0),"")</f>
        <v>AXZ</v>
      </c>
      <c r="J14" s="95" t="str">
        <f>_xlfn.IFNA(VLOOKUP($D14,'Route-Details'!$B$2:$X$1048576,'Node Details'!J$1,0),"")</f>
        <v>AXZ</v>
      </c>
      <c r="K14" s="80">
        <v>46110</v>
      </c>
      <c r="L14" s="80">
        <v>46110</v>
      </c>
      <c r="M14" s="96">
        <v>46119</v>
      </c>
      <c r="N14" s="80">
        <v>46110</v>
      </c>
      <c r="O14" s="93"/>
      <c r="P14" s="93"/>
      <c r="Q14" s="93" t="s">
        <v>173</v>
      </c>
      <c r="R14" s="97"/>
      <c r="S14" s="94"/>
      <c r="T14" s="94"/>
      <c r="U14" s="94"/>
      <c r="V14" s="97"/>
      <c r="W14" s="98"/>
      <c r="X14" s="94"/>
      <c r="Y14" s="99"/>
      <c r="Z14" s="97"/>
      <c r="AA14" s="97"/>
      <c r="AB14" s="94"/>
      <c r="AC14" s="98"/>
      <c r="AD14" s="97"/>
      <c r="AE14" s="93"/>
      <c r="AF14" s="88">
        <f t="shared" si="0"/>
        <v>0</v>
      </c>
      <c r="AG14" s="93"/>
      <c r="AH14" s="100"/>
      <c r="AI14" s="94"/>
      <c r="AJ14" s="93"/>
      <c r="AK14" s="87">
        <f t="shared" si="1"/>
        <v>0</v>
      </c>
      <c r="AL14" s="93"/>
      <c r="AM14" s="93"/>
      <c r="AN14" s="87">
        <f t="shared" si="2"/>
        <v>0</v>
      </c>
      <c r="AO14" s="87">
        <f t="shared" si="3"/>
        <v>0</v>
      </c>
      <c r="AP14" s="93"/>
      <c r="AQ14" s="100"/>
      <c r="AR14" s="101"/>
      <c r="AS14" s="88">
        <f t="shared" si="4"/>
        <v>0</v>
      </c>
      <c r="AT14" s="88">
        <f t="shared" si="5"/>
        <v>0</v>
      </c>
      <c r="AU14" s="93"/>
      <c r="AV14" s="100"/>
      <c r="AW14" s="101"/>
      <c r="AX14" s="102">
        <f t="shared" si="6"/>
        <v>0</v>
      </c>
      <c r="AY14" s="102">
        <f t="shared" si="7"/>
        <v>0</v>
      </c>
      <c r="AZ14" s="102">
        <f t="shared" si="8"/>
        <v>0</v>
      </c>
      <c r="BB14" s="76" t="s">
        <v>193</v>
      </c>
      <c r="BC14" s="103" t="s">
        <v>176</v>
      </c>
    </row>
    <row r="15" spans="1:55" s="103" customFormat="1" ht="15" customHeight="1" x14ac:dyDescent="0.2">
      <c r="A15" s="93">
        <f t="shared" si="9"/>
        <v>13</v>
      </c>
      <c r="B15" s="79" t="s">
        <v>148</v>
      </c>
      <c r="C15" s="76"/>
      <c r="D15" s="80" t="s">
        <v>216</v>
      </c>
      <c r="E15" s="95" t="str">
        <f>_xlfn.IFNA(VLOOKUP($D15,'Route-Details'!$B$2:$X$1048576,'Node Details'!E$1,0),"")</f>
        <v>Airtel</v>
      </c>
      <c r="F15" s="95" t="str">
        <f>_xlfn.IFNA(VLOOKUP($D15,'Route-Details'!$B$2:$X$1048576,'Node Details'!F$1,0),"")</f>
        <v>PLAN OF AXZ DARIA</v>
      </c>
      <c r="G15" s="95" t="str">
        <f>_xlfn.IFNA(VLOOKUP($D15,'Route-Details'!$B$2:$X$1048576,'Node Details'!G$1,0),"")</f>
        <v>Chandigarh</v>
      </c>
      <c r="H15" s="95" t="str">
        <f>_xlfn.IFNA(VLOOKUP($D16,'Route-Details'!$B$2:$X$1048576,'Node Details'!H$1,0),"")</f>
        <v>Punjab</v>
      </c>
      <c r="I15" s="95" t="str">
        <f>_xlfn.IFNA(VLOOKUP($D15,'Route-Details'!$B$2:$X$1048576,'Node Details'!I$1,0),"")</f>
        <v>AXZ</v>
      </c>
      <c r="J15" s="95" t="str">
        <f>_xlfn.IFNA(VLOOKUP($D15,'Route-Details'!$B$2:$X$1048576,'Node Details'!J$1,0),"")</f>
        <v>AXZ</v>
      </c>
      <c r="K15" s="80">
        <v>46110</v>
      </c>
      <c r="L15" s="80">
        <v>46110</v>
      </c>
      <c r="M15" s="96">
        <v>46119</v>
      </c>
      <c r="N15" s="80">
        <v>46110</v>
      </c>
      <c r="O15" s="93"/>
      <c r="P15" s="93"/>
      <c r="Q15" s="93" t="s">
        <v>173</v>
      </c>
      <c r="R15" s="97"/>
      <c r="S15" s="94"/>
      <c r="T15" s="94"/>
      <c r="U15" s="94"/>
      <c r="V15" s="97"/>
      <c r="W15" s="98"/>
      <c r="X15" s="94"/>
      <c r="Y15" s="99"/>
      <c r="Z15" s="97"/>
      <c r="AA15" s="97"/>
      <c r="AB15" s="94"/>
      <c r="AC15" s="98"/>
      <c r="AD15" s="97"/>
      <c r="AE15" s="93"/>
      <c r="AF15" s="88">
        <f t="shared" si="0"/>
        <v>0</v>
      </c>
      <c r="AG15" s="93"/>
      <c r="AH15" s="100"/>
      <c r="AI15" s="94"/>
      <c r="AJ15" s="93"/>
      <c r="AK15" s="87">
        <f t="shared" si="1"/>
        <v>0</v>
      </c>
      <c r="AL15" s="93"/>
      <c r="AM15" s="93"/>
      <c r="AN15" s="87">
        <f t="shared" si="2"/>
        <v>0</v>
      </c>
      <c r="AO15" s="87">
        <f t="shared" si="3"/>
        <v>0</v>
      </c>
      <c r="AP15" s="93"/>
      <c r="AQ15" s="100"/>
      <c r="AR15" s="101"/>
      <c r="AS15" s="88">
        <f t="shared" si="4"/>
        <v>0</v>
      </c>
      <c r="AT15" s="88">
        <f t="shared" si="5"/>
        <v>0</v>
      </c>
      <c r="AU15" s="93"/>
      <c r="AV15" s="100"/>
      <c r="AW15" s="101"/>
      <c r="AX15" s="102">
        <f t="shared" si="6"/>
        <v>0</v>
      </c>
      <c r="AY15" s="102">
        <f t="shared" si="7"/>
        <v>0</v>
      </c>
      <c r="AZ15" s="102">
        <f t="shared" si="8"/>
        <v>0</v>
      </c>
      <c r="BB15" s="76" t="s">
        <v>198</v>
      </c>
      <c r="BC15" s="103" t="s">
        <v>176</v>
      </c>
    </row>
    <row r="16" spans="1:55" s="103" customFormat="1" ht="15" customHeight="1" x14ac:dyDescent="0.2">
      <c r="A16" s="93">
        <f t="shared" si="9"/>
        <v>14</v>
      </c>
      <c r="B16" s="79" t="s">
        <v>149</v>
      </c>
      <c r="C16" s="76"/>
      <c r="D16" s="80" t="s">
        <v>217</v>
      </c>
      <c r="E16" s="95" t="str">
        <f>_xlfn.IFNA(VLOOKUP($D16,'Route-Details'!$B$2:$X$1048576,'Node Details'!E$1,0),"")</f>
        <v>Airtel</v>
      </c>
      <c r="F16" s="95" t="str">
        <f>_xlfn.IFNA(VLOOKUP($D16,'Route-Details'!$B$2:$X$1048576,'Node Details'!F$1,0),"")</f>
        <v>PLAN OF AXZ DARIA</v>
      </c>
      <c r="G16" s="95" t="str">
        <f>_xlfn.IFNA(VLOOKUP($D16,'Route-Details'!$B$2:$X$1048576,'Node Details'!G$1,0),"")</f>
        <v>Chandigarh</v>
      </c>
      <c r="H16" s="95" t="str">
        <f>_xlfn.IFNA(VLOOKUP($D17,'Route-Details'!$B$2:$X$1048576,'Node Details'!H$1,0),"")</f>
        <v>Punjab</v>
      </c>
      <c r="I16" s="95" t="str">
        <f>_xlfn.IFNA(VLOOKUP($D16,'Route-Details'!$B$2:$X$1048576,'Node Details'!I$1,0),"")</f>
        <v>AXZ</v>
      </c>
      <c r="J16" s="95" t="str">
        <f>_xlfn.IFNA(VLOOKUP($D16,'Route-Details'!$B$2:$X$1048576,'Node Details'!J$1,0),"")</f>
        <v>AXZ</v>
      </c>
      <c r="K16" s="80">
        <v>46110</v>
      </c>
      <c r="L16" s="80">
        <v>46110</v>
      </c>
      <c r="M16" s="96">
        <v>46119</v>
      </c>
      <c r="N16" s="80">
        <v>46110</v>
      </c>
      <c r="O16" s="93"/>
      <c r="P16" s="93"/>
      <c r="Q16" s="93" t="s">
        <v>173</v>
      </c>
      <c r="R16" s="97"/>
      <c r="S16" s="94"/>
      <c r="T16" s="94"/>
      <c r="U16" s="94"/>
      <c r="V16" s="97"/>
      <c r="W16" s="98"/>
      <c r="X16" s="94"/>
      <c r="Y16" s="99"/>
      <c r="Z16" s="97"/>
      <c r="AA16" s="97"/>
      <c r="AB16" s="94"/>
      <c r="AC16" s="98"/>
      <c r="AD16" s="97"/>
      <c r="AE16" s="93"/>
      <c r="AF16" s="88">
        <f t="shared" si="0"/>
        <v>0</v>
      </c>
      <c r="AG16" s="93"/>
      <c r="AH16" s="100"/>
      <c r="AI16" s="94"/>
      <c r="AJ16" s="93"/>
      <c r="AK16" s="87">
        <f t="shared" si="1"/>
        <v>0</v>
      </c>
      <c r="AL16" s="93"/>
      <c r="AM16" s="93"/>
      <c r="AN16" s="87">
        <f t="shared" si="2"/>
        <v>0</v>
      </c>
      <c r="AO16" s="87">
        <f t="shared" si="3"/>
        <v>0</v>
      </c>
      <c r="AP16" s="93"/>
      <c r="AQ16" s="100"/>
      <c r="AR16" s="101"/>
      <c r="AS16" s="88">
        <f t="shared" si="4"/>
        <v>0</v>
      </c>
      <c r="AT16" s="88">
        <f t="shared" si="5"/>
        <v>0</v>
      </c>
      <c r="AU16" s="93"/>
      <c r="AV16" s="100"/>
      <c r="AW16" s="101"/>
      <c r="AX16" s="102">
        <f t="shared" si="6"/>
        <v>0</v>
      </c>
      <c r="AY16" s="102">
        <f t="shared" si="7"/>
        <v>0</v>
      </c>
      <c r="AZ16" s="102">
        <f t="shared" si="8"/>
        <v>0</v>
      </c>
      <c r="BB16" s="76" t="s">
        <v>199</v>
      </c>
      <c r="BC16" s="103" t="s">
        <v>176</v>
      </c>
    </row>
    <row r="17" spans="1:55" s="103" customFormat="1" ht="15" customHeight="1" x14ac:dyDescent="0.2">
      <c r="A17" s="93">
        <f t="shared" si="9"/>
        <v>15</v>
      </c>
      <c r="B17" s="79" t="s">
        <v>150</v>
      </c>
      <c r="C17" s="76"/>
      <c r="D17" s="80" t="s">
        <v>217</v>
      </c>
      <c r="E17" s="95" t="str">
        <f>_xlfn.IFNA(VLOOKUP($D17,'Route-Details'!$B$2:$X$1048576,'Node Details'!E$1,0),"")</f>
        <v>Airtel</v>
      </c>
      <c r="F17" s="95" t="str">
        <f>_xlfn.IFNA(VLOOKUP($D17,'Route-Details'!$B$2:$X$1048576,'Node Details'!F$1,0),"")</f>
        <v>PLAN OF AXZ DARIA</v>
      </c>
      <c r="G17" s="95" t="str">
        <f>_xlfn.IFNA(VLOOKUP($D17,'Route-Details'!$B$2:$X$1048576,'Node Details'!G$1,0),"")</f>
        <v>Chandigarh</v>
      </c>
      <c r="H17" s="95" t="str">
        <f>_xlfn.IFNA(VLOOKUP($D18,'Route-Details'!$B$2:$X$1048576,'Node Details'!H$1,0),"")</f>
        <v>Punjab</v>
      </c>
      <c r="I17" s="95" t="str">
        <f>_xlfn.IFNA(VLOOKUP($D17,'Route-Details'!$B$2:$X$1048576,'Node Details'!I$1,0),"")</f>
        <v>AXZ</v>
      </c>
      <c r="J17" s="95" t="str">
        <f>_xlfn.IFNA(VLOOKUP($D17,'Route-Details'!$B$2:$X$1048576,'Node Details'!J$1,0),"")</f>
        <v>AXZ</v>
      </c>
      <c r="K17" s="80">
        <v>46110</v>
      </c>
      <c r="L17" s="80">
        <v>46110</v>
      </c>
      <c r="M17" s="96">
        <v>46119</v>
      </c>
      <c r="N17" s="80">
        <v>46110</v>
      </c>
      <c r="O17" s="93"/>
      <c r="P17" s="93"/>
      <c r="Q17" s="93" t="s">
        <v>173</v>
      </c>
      <c r="R17" s="97"/>
      <c r="S17" s="94"/>
      <c r="T17" s="94"/>
      <c r="U17" s="94"/>
      <c r="V17" s="97"/>
      <c r="W17" s="98"/>
      <c r="X17" s="94"/>
      <c r="Y17" s="99"/>
      <c r="Z17" s="97"/>
      <c r="AA17" s="97"/>
      <c r="AB17" s="94"/>
      <c r="AC17" s="98"/>
      <c r="AD17" s="97"/>
      <c r="AE17" s="93"/>
      <c r="AF17" s="88">
        <f t="shared" si="0"/>
        <v>0</v>
      </c>
      <c r="AG17" s="93"/>
      <c r="AH17" s="100"/>
      <c r="AI17" s="94"/>
      <c r="AJ17" s="93"/>
      <c r="AK17" s="87">
        <f t="shared" si="1"/>
        <v>0</v>
      </c>
      <c r="AL17" s="93"/>
      <c r="AM17" s="93"/>
      <c r="AN17" s="87">
        <f t="shared" si="2"/>
        <v>0</v>
      </c>
      <c r="AO17" s="87">
        <f t="shared" si="3"/>
        <v>0</v>
      </c>
      <c r="AP17" s="93"/>
      <c r="AQ17" s="100"/>
      <c r="AR17" s="101"/>
      <c r="AS17" s="88">
        <f t="shared" si="4"/>
        <v>0</v>
      </c>
      <c r="AT17" s="88">
        <f t="shared" si="5"/>
        <v>0</v>
      </c>
      <c r="AU17" s="93"/>
      <c r="AV17" s="100"/>
      <c r="AW17" s="101"/>
      <c r="AX17" s="102">
        <f t="shared" si="6"/>
        <v>0</v>
      </c>
      <c r="AY17" s="102">
        <f t="shared" si="7"/>
        <v>0</v>
      </c>
      <c r="AZ17" s="102">
        <f t="shared" si="8"/>
        <v>0</v>
      </c>
      <c r="BB17" s="76" t="s">
        <v>199</v>
      </c>
      <c r="BC17" s="103" t="s">
        <v>176</v>
      </c>
    </row>
    <row r="18" spans="1:55" s="103" customFormat="1" ht="15" customHeight="1" x14ac:dyDescent="0.2">
      <c r="A18" s="93">
        <f t="shared" si="9"/>
        <v>16</v>
      </c>
      <c r="B18" s="79" t="s">
        <v>151</v>
      </c>
      <c r="C18" s="76"/>
      <c r="D18" s="80" t="s">
        <v>218</v>
      </c>
      <c r="E18" s="95" t="str">
        <f>_xlfn.IFNA(VLOOKUP($D18,'Route-Details'!$B$2:$X$1048576,'Node Details'!E$1,0),"")</f>
        <v>Airtel</v>
      </c>
      <c r="F18" s="95" t="str">
        <f>_xlfn.IFNA(VLOOKUP($D18,'Route-Details'!$B$2:$X$1048576,'Node Details'!F$1,0),"")</f>
        <v>PLAN OF AXZ DARIA</v>
      </c>
      <c r="G18" s="95" t="str">
        <f>_xlfn.IFNA(VLOOKUP($D18,'Route-Details'!$B$2:$X$1048576,'Node Details'!G$1,0),"")</f>
        <v>Chandigarh</v>
      </c>
      <c r="H18" s="95" t="str">
        <f>_xlfn.IFNA(VLOOKUP($D19,'Route-Details'!$B$2:$X$1048576,'Node Details'!H$1,0),"")</f>
        <v>Punjab</v>
      </c>
      <c r="I18" s="95" t="str">
        <f>_xlfn.IFNA(VLOOKUP($D18,'Route-Details'!$B$2:$X$1048576,'Node Details'!I$1,0),"")</f>
        <v>AXZ</v>
      </c>
      <c r="J18" s="95" t="str">
        <f>_xlfn.IFNA(VLOOKUP($D18,'Route-Details'!$B$2:$X$1048576,'Node Details'!J$1,0),"")</f>
        <v>AXZ</v>
      </c>
      <c r="K18" s="80">
        <v>46110</v>
      </c>
      <c r="L18" s="80">
        <v>46110</v>
      </c>
      <c r="M18" s="96">
        <v>46119</v>
      </c>
      <c r="N18" s="80">
        <v>46110</v>
      </c>
      <c r="O18" s="93"/>
      <c r="P18" s="93"/>
      <c r="Q18" s="93" t="s">
        <v>173</v>
      </c>
      <c r="R18" s="97"/>
      <c r="S18" s="94"/>
      <c r="T18" s="94"/>
      <c r="U18" s="94"/>
      <c r="V18" s="97"/>
      <c r="W18" s="98"/>
      <c r="X18" s="94"/>
      <c r="Y18" s="99"/>
      <c r="Z18" s="97"/>
      <c r="AA18" s="97"/>
      <c r="AB18" s="94"/>
      <c r="AC18" s="98"/>
      <c r="AD18" s="97"/>
      <c r="AE18" s="93"/>
      <c r="AF18" s="88">
        <f t="shared" si="0"/>
        <v>0</v>
      </c>
      <c r="AG18" s="93"/>
      <c r="AH18" s="100"/>
      <c r="AI18" s="94"/>
      <c r="AJ18" s="93"/>
      <c r="AK18" s="87">
        <f t="shared" si="1"/>
        <v>0</v>
      </c>
      <c r="AL18" s="93"/>
      <c r="AM18" s="93"/>
      <c r="AN18" s="87">
        <f t="shared" si="2"/>
        <v>0</v>
      </c>
      <c r="AO18" s="87">
        <f t="shared" si="3"/>
        <v>0</v>
      </c>
      <c r="AP18" s="93"/>
      <c r="AQ18" s="100"/>
      <c r="AR18" s="101"/>
      <c r="AS18" s="88">
        <f t="shared" si="4"/>
        <v>0</v>
      </c>
      <c r="AT18" s="88">
        <f t="shared" si="5"/>
        <v>0</v>
      </c>
      <c r="AU18" s="93"/>
      <c r="AV18" s="100"/>
      <c r="AW18" s="101"/>
      <c r="AX18" s="102">
        <f t="shared" si="6"/>
        <v>0</v>
      </c>
      <c r="AY18" s="102">
        <f t="shared" si="7"/>
        <v>0</v>
      </c>
      <c r="AZ18" s="102">
        <f t="shared" si="8"/>
        <v>0</v>
      </c>
      <c r="BB18" s="76" t="s">
        <v>200</v>
      </c>
      <c r="BC18" s="103" t="s">
        <v>176</v>
      </c>
    </row>
    <row r="19" spans="1:55" s="103" customFormat="1" ht="15" customHeight="1" x14ac:dyDescent="0.2">
      <c r="A19" s="93">
        <f t="shared" si="9"/>
        <v>17</v>
      </c>
      <c r="B19" s="79" t="s">
        <v>152</v>
      </c>
      <c r="C19" s="76"/>
      <c r="D19" s="80" t="s">
        <v>218</v>
      </c>
      <c r="E19" s="95" t="str">
        <f>_xlfn.IFNA(VLOOKUP($D19,'Route-Details'!$B$2:$X$1048576,'Node Details'!E$1,0),"")</f>
        <v>Airtel</v>
      </c>
      <c r="F19" s="95" t="str">
        <f>_xlfn.IFNA(VLOOKUP($D19,'Route-Details'!$B$2:$X$1048576,'Node Details'!F$1,0),"")</f>
        <v>PLAN OF AXZ DARIA</v>
      </c>
      <c r="G19" s="95" t="str">
        <f>_xlfn.IFNA(VLOOKUP($D19,'Route-Details'!$B$2:$X$1048576,'Node Details'!G$1,0),"")</f>
        <v>Chandigarh</v>
      </c>
      <c r="H19" s="95" t="str">
        <f>_xlfn.IFNA(VLOOKUP($D20,'Route-Details'!$B$2:$X$1048576,'Node Details'!H$1,0),"")</f>
        <v>Punjab</v>
      </c>
      <c r="I19" s="95" t="str">
        <f>_xlfn.IFNA(VLOOKUP($D19,'Route-Details'!$B$2:$X$1048576,'Node Details'!I$1,0),"")</f>
        <v>AXZ</v>
      </c>
      <c r="J19" s="95" t="str">
        <f>_xlfn.IFNA(VLOOKUP($D19,'Route-Details'!$B$2:$X$1048576,'Node Details'!J$1,0),"")</f>
        <v>AXZ</v>
      </c>
      <c r="K19" s="80">
        <v>46110</v>
      </c>
      <c r="L19" s="80">
        <v>46110</v>
      </c>
      <c r="M19" s="96">
        <v>46119</v>
      </c>
      <c r="N19" s="80">
        <v>46110</v>
      </c>
      <c r="O19" s="93"/>
      <c r="P19" s="93"/>
      <c r="Q19" s="93" t="s">
        <v>173</v>
      </c>
      <c r="R19" s="97"/>
      <c r="S19" s="94"/>
      <c r="T19" s="94"/>
      <c r="U19" s="94"/>
      <c r="V19" s="97"/>
      <c r="W19" s="98"/>
      <c r="X19" s="94"/>
      <c r="Y19" s="99"/>
      <c r="Z19" s="97"/>
      <c r="AA19" s="97"/>
      <c r="AB19" s="94"/>
      <c r="AC19" s="98"/>
      <c r="AD19" s="97"/>
      <c r="AE19" s="93"/>
      <c r="AF19" s="88">
        <f t="shared" si="0"/>
        <v>0</v>
      </c>
      <c r="AG19" s="93"/>
      <c r="AH19" s="100"/>
      <c r="AI19" s="94"/>
      <c r="AJ19" s="93"/>
      <c r="AK19" s="87">
        <f t="shared" si="1"/>
        <v>0</v>
      </c>
      <c r="AL19" s="93"/>
      <c r="AM19" s="93"/>
      <c r="AN19" s="87">
        <f t="shared" si="2"/>
        <v>0</v>
      </c>
      <c r="AO19" s="87">
        <f t="shared" si="3"/>
        <v>0</v>
      </c>
      <c r="AP19" s="93"/>
      <c r="AQ19" s="100"/>
      <c r="AR19" s="101"/>
      <c r="AS19" s="88">
        <f t="shared" si="4"/>
        <v>0</v>
      </c>
      <c r="AT19" s="88">
        <f t="shared" si="5"/>
        <v>0</v>
      </c>
      <c r="AU19" s="93"/>
      <c r="AV19" s="100"/>
      <c r="AW19" s="101"/>
      <c r="AX19" s="102">
        <f t="shared" si="6"/>
        <v>0</v>
      </c>
      <c r="AY19" s="102">
        <f t="shared" si="7"/>
        <v>0</v>
      </c>
      <c r="AZ19" s="102">
        <f t="shared" si="8"/>
        <v>0</v>
      </c>
      <c r="BB19" s="76" t="s">
        <v>200</v>
      </c>
      <c r="BC19" s="103" t="s">
        <v>176</v>
      </c>
    </row>
    <row r="20" spans="1:55" s="103" customFormat="1" ht="15" customHeight="1" x14ac:dyDescent="0.2">
      <c r="A20" s="93">
        <f t="shared" si="9"/>
        <v>18</v>
      </c>
      <c r="B20" s="79" t="s">
        <v>153</v>
      </c>
      <c r="C20" s="76"/>
      <c r="D20" s="80" t="s">
        <v>218</v>
      </c>
      <c r="E20" s="95" t="str">
        <f>_xlfn.IFNA(VLOOKUP($D20,'Route-Details'!$B$2:$X$1048576,'Node Details'!E$1,0),"")</f>
        <v>Airtel</v>
      </c>
      <c r="F20" s="95" t="str">
        <f>_xlfn.IFNA(VLOOKUP($D20,'Route-Details'!$B$2:$X$1048576,'Node Details'!F$1,0),"")</f>
        <v>PLAN OF AXZ DARIA</v>
      </c>
      <c r="G20" s="95" t="str">
        <f>_xlfn.IFNA(VLOOKUP($D20,'Route-Details'!$B$2:$X$1048576,'Node Details'!G$1,0),"")</f>
        <v>Chandigarh</v>
      </c>
      <c r="H20" s="95" t="str">
        <f>_xlfn.IFNA(VLOOKUP($D21,'Route-Details'!$B$2:$X$1048576,'Node Details'!H$1,0),"")</f>
        <v>Punjab</v>
      </c>
      <c r="I20" s="95" t="str">
        <f>_xlfn.IFNA(VLOOKUP($D20,'Route-Details'!$B$2:$X$1048576,'Node Details'!I$1,0),"")</f>
        <v>AXZ</v>
      </c>
      <c r="J20" s="95" t="str">
        <f>_xlfn.IFNA(VLOOKUP($D20,'Route-Details'!$B$2:$X$1048576,'Node Details'!J$1,0),"")</f>
        <v>AXZ</v>
      </c>
      <c r="K20" s="80">
        <v>46110</v>
      </c>
      <c r="L20" s="80">
        <v>46110</v>
      </c>
      <c r="M20" s="96">
        <v>46119</v>
      </c>
      <c r="N20" s="80">
        <v>46110</v>
      </c>
      <c r="O20" s="93"/>
      <c r="P20" s="93"/>
      <c r="Q20" s="93" t="s">
        <v>173</v>
      </c>
      <c r="R20" s="97"/>
      <c r="S20" s="85"/>
      <c r="T20" s="85"/>
      <c r="U20" s="85"/>
      <c r="V20" s="97"/>
      <c r="W20" s="98"/>
      <c r="X20" s="94"/>
      <c r="Y20" s="99"/>
      <c r="Z20" s="97"/>
      <c r="AA20" s="97"/>
      <c r="AB20" s="85"/>
      <c r="AC20" s="98"/>
      <c r="AD20" s="97"/>
      <c r="AE20" s="93"/>
      <c r="AF20" s="88">
        <f t="shared" si="0"/>
        <v>0</v>
      </c>
      <c r="AG20" s="93"/>
      <c r="AH20" s="100"/>
      <c r="AI20" s="85"/>
      <c r="AJ20" s="93"/>
      <c r="AK20" s="87">
        <f t="shared" si="1"/>
        <v>0</v>
      </c>
      <c r="AL20" s="93"/>
      <c r="AM20" s="93"/>
      <c r="AN20" s="87">
        <f t="shared" si="2"/>
        <v>0</v>
      </c>
      <c r="AO20" s="87">
        <f t="shared" si="3"/>
        <v>0</v>
      </c>
      <c r="AP20" s="93"/>
      <c r="AQ20" s="100"/>
      <c r="AR20" s="101"/>
      <c r="AS20" s="88">
        <f t="shared" si="4"/>
        <v>0</v>
      </c>
      <c r="AT20" s="88">
        <f t="shared" si="5"/>
        <v>0</v>
      </c>
      <c r="AU20" s="93"/>
      <c r="AV20" s="100"/>
      <c r="AW20" s="101"/>
      <c r="AX20" s="102">
        <f t="shared" si="6"/>
        <v>0</v>
      </c>
      <c r="AY20" s="102">
        <f t="shared" si="7"/>
        <v>0</v>
      </c>
      <c r="AZ20" s="102">
        <f t="shared" si="8"/>
        <v>0</v>
      </c>
      <c r="BB20" s="76" t="s">
        <v>200</v>
      </c>
      <c r="BC20" s="103" t="s">
        <v>176</v>
      </c>
    </row>
    <row r="21" spans="1:55" s="103" customFormat="1" ht="15" customHeight="1" x14ac:dyDescent="0.2">
      <c r="A21" s="93">
        <f t="shared" si="9"/>
        <v>19</v>
      </c>
      <c r="B21" s="79" t="s">
        <v>154</v>
      </c>
      <c r="C21" s="76"/>
      <c r="D21" s="80" t="s">
        <v>218</v>
      </c>
      <c r="E21" s="95" t="str">
        <f>_xlfn.IFNA(VLOOKUP($D21,'Route-Details'!$B$2:$X$1048576,'Node Details'!E$1,0),"")</f>
        <v>Airtel</v>
      </c>
      <c r="F21" s="95" t="str">
        <f>_xlfn.IFNA(VLOOKUP($D21,'Route-Details'!$B$2:$X$1048576,'Node Details'!F$1,0),"")</f>
        <v>PLAN OF AXZ DARIA</v>
      </c>
      <c r="G21" s="95" t="str">
        <f>_xlfn.IFNA(VLOOKUP($D21,'Route-Details'!$B$2:$X$1048576,'Node Details'!G$1,0),"")</f>
        <v>Chandigarh</v>
      </c>
      <c r="H21" s="95" t="str">
        <f>_xlfn.IFNA(VLOOKUP($D22,'Route-Details'!$B$2:$X$1048576,'Node Details'!H$1,0),"")</f>
        <v>Punjab</v>
      </c>
      <c r="I21" s="95" t="str">
        <f>_xlfn.IFNA(VLOOKUP($D21,'Route-Details'!$B$2:$X$1048576,'Node Details'!I$1,0),"")</f>
        <v>AXZ</v>
      </c>
      <c r="J21" s="95" t="str">
        <f>_xlfn.IFNA(VLOOKUP($D21,'Route-Details'!$B$2:$X$1048576,'Node Details'!J$1,0),"")</f>
        <v>AXZ</v>
      </c>
      <c r="K21" s="80">
        <v>46110</v>
      </c>
      <c r="L21" s="80">
        <v>46110</v>
      </c>
      <c r="M21" s="96">
        <v>46119</v>
      </c>
      <c r="N21" s="80">
        <v>46110</v>
      </c>
      <c r="O21" s="93"/>
      <c r="P21" s="93"/>
      <c r="Q21" s="93" t="s">
        <v>173</v>
      </c>
      <c r="R21" s="97"/>
      <c r="S21" s="94"/>
      <c r="T21" s="94"/>
      <c r="U21" s="94"/>
      <c r="V21" s="97"/>
      <c r="W21" s="98"/>
      <c r="X21" s="94"/>
      <c r="Y21" s="99"/>
      <c r="Z21" s="97"/>
      <c r="AA21" s="97"/>
      <c r="AB21" s="94"/>
      <c r="AC21" s="98"/>
      <c r="AD21" s="97"/>
      <c r="AE21" s="93"/>
      <c r="AF21" s="88">
        <f t="shared" si="0"/>
        <v>0</v>
      </c>
      <c r="AG21" s="93"/>
      <c r="AH21" s="100"/>
      <c r="AI21" s="94"/>
      <c r="AJ21" s="93"/>
      <c r="AK21" s="87">
        <f t="shared" si="1"/>
        <v>0</v>
      </c>
      <c r="AL21" s="93"/>
      <c r="AM21" s="93"/>
      <c r="AN21" s="87">
        <f t="shared" si="2"/>
        <v>0</v>
      </c>
      <c r="AO21" s="87">
        <f t="shared" si="3"/>
        <v>0</v>
      </c>
      <c r="AP21" s="93"/>
      <c r="AQ21" s="100"/>
      <c r="AR21" s="101"/>
      <c r="AS21" s="88">
        <f t="shared" si="4"/>
        <v>0</v>
      </c>
      <c r="AT21" s="88">
        <f t="shared" si="5"/>
        <v>0</v>
      </c>
      <c r="AU21" s="93"/>
      <c r="AV21" s="100"/>
      <c r="AW21" s="101"/>
      <c r="AX21" s="102">
        <f t="shared" si="6"/>
        <v>0</v>
      </c>
      <c r="AY21" s="102">
        <f t="shared" si="7"/>
        <v>0</v>
      </c>
      <c r="AZ21" s="102">
        <f t="shared" si="8"/>
        <v>0</v>
      </c>
      <c r="BB21" s="76" t="s">
        <v>200</v>
      </c>
      <c r="BC21" s="103" t="s">
        <v>176</v>
      </c>
    </row>
    <row r="22" spans="1:55" s="103" customFormat="1" ht="15" customHeight="1" x14ac:dyDescent="0.2">
      <c r="A22" s="93">
        <f t="shared" si="9"/>
        <v>20</v>
      </c>
      <c r="B22" s="79" t="s">
        <v>155</v>
      </c>
      <c r="C22" s="76"/>
      <c r="D22" s="80" t="s">
        <v>218</v>
      </c>
      <c r="E22" s="95" t="str">
        <f>_xlfn.IFNA(VLOOKUP($D22,'Route-Details'!$B$2:$X$1048576,'Node Details'!E$1,0),"")</f>
        <v>Airtel</v>
      </c>
      <c r="F22" s="95" t="str">
        <f>_xlfn.IFNA(VLOOKUP($D22,'Route-Details'!$B$2:$X$1048576,'Node Details'!F$1,0),"")</f>
        <v>PLAN OF AXZ DARIA</v>
      </c>
      <c r="G22" s="95" t="str">
        <f>_xlfn.IFNA(VLOOKUP($D22,'Route-Details'!$B$2:$X$1048576,'Node Details'!G$1,0),"")</f>
        <v>Chandigarh</v>
      </c>
      <c r="H22" s="95" t="str">
        <f>_xlfn.IFNA(VLOOKUP($D23,'Route-Details'!$B$2:$X$1048576,'Node Details'!H$1,0),"")</f>
        <v>Punjab</v>
      </c>
      <c r="I22" s="95" t="str">
        <f>_xlfn.IFNA(VLOOKUP($D22,'Route-Details'!$B$2:$X$1048576,'Node Details'!I$1,0),"")</f>
        <v>AXZ</v>
      </c>
      <c r="J22" s="95" t="str">
        <f>_xlfn.IFNA(VLOOKUP($D22,'Route-Details'!$B$2:$X$1048576,'Node Details'!J$1,0),"")</f>
        <v>AXZ</v>
      </c>
      <c r="K22" s="80">
        <v>46110</v>
      </c>
      <c r="L22" s="80">
        <v>46110</v>
      </c>
      <c r="M22" s="96">
        <v>46119</v>
      </c>
      <c r="N22" s="80">
        <v>46110</v>
      </c>
      <c r="O22" s="93"/>
      <c r="P22" s="93"/>
      <c r="Q22" s="93" t="s">
        <v>173</v>
      </c>
      <c r="R22" s="97"/>
      <c r="S22" s="94"/>
      <c r="T22" s="94"/>
      <c r="U22" s="94"/>
      <c r="V22" s="97"/>
      <c r="W22" s="98"/>
      <c r="X22" s="94"/>
      <c r="Y22" s="99"/>
      <c r="Z22" s="97"/>
      <c r="AA22" s="97"/>
      <c r="AB22" s="94"/>
      <c r="AC22" s="98"/>
      <c r="AD22" s="97"/>
      <c r="AE22" s="93"/>
      <c r="AF22" s="88">
        <f t="shared" si="0"/>
        <v>0</v>
      </c>
      <c r="AG22" s="93"/>
      <c r="AH22" s="100"/>
      <c r="AI22" s="94"/>
      <c r="AJ22" s="93"/>
      <c r="AK22" s="87">
        <f t="shared" si="1"/>
        <v>0</v>
      </c>
      <c r="AL22" s="93"/>
      <c r="AM22" s="93"/>
      <c r="AN22" s="87">
        <f t="shared" si="2"/>
        <v>0</v>
      </c>
      <c r="AO22" s="87">
        <f t="shared" si="3"/>
        <v>0</v>
      </c>
      <c r="AP22" s="93"/>
      <c r="AQ22" s="100"/>
      <c r="AR22" s="101"/>
      <c r="AS22" s="88">
        <f t="shared" si="4"/>
        <v>0</v>
      </c>
      <c r="AT22" s="88">
        <f t="shared" si="5"/>
        <v>0</v>
      </c>
      <c r="AU22" s="93"/>
      <c r="AV22" s="100"/>
      <c r="AW22" s="101"/>
      <c r="AX22" s="102">
        <f t="shared" si="6"/>
        <v>0</v>
      </c>
      <c r="AY22" s="102">
        <f t="shared" si="7"/>
        <v>0</v>
      </c>
      <c r="AZ22" s="102">
        <f t="shared" si="8"/>
        <v>0</v>
      </c>
      <c r="BB22" s="76" t="s">
        <v>200</v>
      </c>
      <c r="BC22" s="103" t="s">
        <v>176</v>
      </c>
    </row>
    <row r="23" spans="1:55" s="103" customFormat="1" ht="15" customHeight="1" x14ac:dyDescent="0.2">
      <c r="A23" s="93">
        <f t="shared" si="9"/>
        <v>21</v>
      </c>
      <c r="B23" s="79" t="s">
        <v>156</v>
      </c>
      <c r="C23" s="76"/>
      <c r="D23" s="80" t="s">
        <v>218</v>
      </c>
      <c r="E23" s="95" t="str">
        <f>_xlfn.IFNA(VLOOKUP($D23,'Route-Details'!$B$2:$X$1048576,'Node Details'!E$1,0),"")</f>
        <v>Airtel</v>
      </c>
      <c r="F23" s="95" t="str">
        <f>_xlfn.IFNA(VLOOKUP($D23,'Route-Details'!$B$2:$X$1048576,'Node Details'!F$1,0),"")</f>
        <v>PLAN OF AXZ DARIA</v>
      </c>
      <c r="G23" s="95" t="str">
        <f>_xlfn.IFNA(VLOOKUP($D23,'Route-Details'!$B$2:$X$1048576,'Node Details'!G$1,0),"")</f>
        <v>Chandigarh</v>
      </c>
      <c r="H23" s="95" t="str">
        <f>_xlfn.IFNA(VLOOKUP($D24,'Route-Details'!$B$2:$X$1048576,'Node Details'!H$1,0),"")</f>
        <v>Punjab</v>
      </c>
      <c r="I23" s="95" t="str">
        <f>_xlfn.IFNA(VLOOKUP($D23,'Route-Details'!$B$2:$X$1048576,'Node Details'!I$1,0),"")</f>
        <v>AXZ</v>
      </c>
      <c r="J23" s="95" t="str">
        <f>_xlfn.IFNA(VLOOKUP($D23,'Route-Details'!$B$2:$X$1048576,'Node Details'!J$1,0),"")</f>
        <v>AXZ</v>
      </c>
      <c r="K23" s="80">
        <v>46110</v>
      </c>
      <c r="L23" s="80">
        <v>46110</v>
      </c>
      <c r="M23" s="96">
        <v>46119</v>
      </c>
      <c r="N23" s="80">
        <v>46110</v>
      </c>
      <c r="O23" s="93"/>
      <c r="P23" s="93"/>
      <c r="Q23" s="93" t="s">
        <v>173</v>
      </c>
      <c r="R23" s="97"/>
      <c r="S23" s="94"/>
      <c r="T23" s="94"/>
      <c r="U23" s="94"/>
      <c r="V23" s="97"/>
      <c r="W23" s="98"/>
      <c r="X23" s="94"/>
      <c r="Y23" s="99"/>
      <c r="Z23" s="97"/>
      <c r="AA23" s="97"/>
      <c r="AB23" s="94"/>
      <c r="AC23" s="98"/>
      <c r="AD23" s="97"/>
      <c r="AE23" s="93"/>
      <c r="AF23" s="88">
        <f t="shared" si="0"/>
        <v>0</v>
      </c>
      <c r="AG23" s="93"/>
      <c r="AH23" s="100"/>
      <c r="AI23" s="94"/>
      <c r="AJ23" s="93"/>
      <c r="AK23" s="87">
        <f t="shared" si="1"/>
        <v>0</v>
      </c>
      <c r="AL23" s="93"/>
      <c r="AM23" s="93"/>
      <c r="AN23" s="87">
        <f t="shared" si="2"/>
        <v>0</v>
      </c>
      <c r="AO23" s="87">
        <f t="shared" si="3"/>
        <v>0</v>
      </c>
      <c r="AP23" s="93"/>
      <c r="AQ23" s="100"/>
      <c r="AR23" s="101"/>
      <c r="AS23" s="88">
        <f t="shared" si="4"/>
        <v>0</v>
      </c>
      <c r="AT23" s="88">
        <f t="shared" si="5"/>
        <v>0</v>
      </c>
      <c r="AU23" s="93"/>
      <c r="AV23" s="100"/>
      <c r="AW23" s="101"/>
      <c r="AX23" s="102">
        <f t="shared" si="6"/>
        <v>0</v>
      </c>
      <c r="AY23" s="102">
        <f t="shared" si="7"/>
        <v>0</v>
      </c>
      <c r="AZ23" s="102">
        <f t="shared" si="8"/>
        <v>0</v>
      </c>
      <c r="BB23" s="76" t="s">
        <v>200</v>
      </c>
      <c r="BC23" s="103" t="s">
        <v>176</v>
      </c>
    </row>
    <row r="24" spans="1:55" s="103" customFormat="1" ht="15" customHeight="1" x14ac:dyDescent="0.2">
      <c r="A24" s="93">
        <f t="shared" si="9"/>
        <v>22</v>
      </c>
      <c r="B24" s="79" t="s">
        <v>157</v>
      </c>
      <c r="C24" s="76"/>
      <c r="D24" s="80" t="s">
        <v>218</v>
      </c>
      <c r="E24" s="95" t="str">
        <f>_xlfn.IFNA(VLOOKUP($D24,'Route-Details'!$B$2:$X$1048576,'Node Details'!E$1,0),"")</f>
        <v>Airtel</v>
      </c>
      <c r="F24" s="95" t="str">
        <f>_xlfn.IFNA(VLOOKUP($D24,'Route-Details'!$B$2:$X$1048576,'Node Details'!F$1,0),"")</f>
        <v>PLAN OF AXZ DARIA</v>
      </c>
      <c r="G24" s="95" t="str">
        <f>_xlfn.IFNA(VLOOKUP($D24,'Route-Details'!$B$2:$X$1048576,'Node Details'!G$1,0),"")</f>
        <v>Chandigarh</v>
      </c>
      <c r="H24" s="95" t="str">
        <f>_xlfn.IFNA(VLOOKUP($D25,'Route-Details'!$B$2:$X$1048576,'Node Details'!H$1,0),"")</f>
        <v>Punjab</v>
      </c>
      <c r="I24" s="95" t="str">
        <f>_xlfn.IFNA(VLOOKUP($D24,'Route-Details'!$B$2:$X$1048576,'Node Details'!I$1,0),"")</f>
        <v>AXZ</v>
      </c>
      <c r="J24" s="95" t="str">
        <f>_xlfn.IFNA(VLOOKUP($D24,'Route-Details'!$B$2:$X$1048576,'Node Details'!J$1,0),"")</f>
        <v>AXZ</v>
      </c>
      <c r="K24" s="80">
        <v>46110</v>
      </c>
      <c r="L24" s="80">
        <v>46110</v>
      </c>
      <c r="M24" s="96">
        <v>46119</v>
      </c>
      <c r="N24" s="80">
        <v>46110</v>
      </c>
      <c r="O24" s="93"/>
      <c r="P24" s="93"/>
      <c r="Q24" s="93" t="s">
        <v>173</v>
      </c>
      <c r="R24" s="97"/>
      <c r="S24" s="94"/>
      <c r="T24" s="94"/>
      <c r="U24" s="94"/>
      <c r="V24" s="97"/>
      <c r="W24" s="98"/>
      <c r="X24" s="94"/>
      <c r="Y24" s="99"/>
      <c r="Z24" s="97"/>
      <c r="AA24" s="97"/>
      <c r="AB24" s="94"/>
      <c r="AC24" s="98"/>
      <c r="AD24" s="97"/>
      <c r="AE24" s="93"/>
      <c r="AF24" s="88">
        <f t="shared" si="0"/>
        <v>0</v>
      </c>
      <c r="AG24" s="93"/>
      <c r="AH24" s="100"/>
      <c r="AI24" s="94"/>
      <c r="AJ24" s="93"/>
      <c r="AK24" s="87">
        <f t="shared" si="1"/>
        <v>0</v>
      </c>
      <c r="AL24" s="93"/>
      <c r="AM24" s="93"/>
      <c r="AN24" s="87">
        <f t="shared" si="2"/>
        <v>0</v>
      </c>
      <c r="AO24" s="87">
        <f t="shared" si="3"/>
        <v>0</v>
      </c>
      <c r="AP24" s="93"/>
      <c r="AQ24" s="100"/>
      <c r="AR24" s="101"/>
      <c r="AS24" s="88">
        <f t="shared" si="4"/>
        <v>0</v>
      </c>
      <c r="AT24" s="88">
        <f t="shared" si="5"/>
        <v>0</v>
      </c>
      <c r="AU24" s="93"/>
      <c r="AV24" s="100"/>
      <c r="AW24" s="101"/>
      <c r="AX24" s="102">
        <f t="shared" si="6"/>
        <v>0</v>
      </c>
      <c r="AY24" s="102">
        <f t="shared" si="7"/>
        <v>0</v>
      </c>
      <c r="AZ24" s="102">
        <f t="shared" si="8"/>
        <v>0</v>
      </c>
      <c r="BB24" s="76" t="s">
        <v>200</v>
      </c>
      <c r="BC24" s="103" t="s">
        <v>176</v>
      </c>
    </row>
    <row r="25" spans="1:55" s="103" customFormat="1" ht="15" customHeight="1" x14ac:dyDescent="0.2">
      <c r="A25" s="93">
        <f t="shared" si="9"/>
        <v>23</v>
      </c>
      <c r="B25" s="79" t="s">
        <v>158</v>
      </c>
      <c r="C25" s="76"/>
      <c r="D25" s="80" t="s">
        <v>218</v>
      </c>
      <c r="E25" s="95" t="str">
        <f>_xlfn.IFNA(VLOOKUP($D25,'Route-Details'!$B$2:$X$1048576,'Node Details'!E$1,0),"")</f>
        <v>Airtel</v>
      </c>
      <c r="F25" s="95" t="str">
        <f>_xlfn.IFNA(VLOOKUP($D25,'Route-Details'!$B$2:$X$1048576,'Node Details'!F$1,0),"")</f>
        <v>PLAN OF AXZ DARIA</v>
      </c>
      <c r="G25" s="95" t="str">
        <f>_xlfn.IFNA(VLOOKUP($D25,'Route-Details'!$B$2:$X$1048576,'Node Details'!G$1,0),"")</f>
        <v>Chandigarh</v>
      </c>
      <c r="H25" s="95" t="str">
        <f>_xlfn.IFNA(VLOOKUP($D26,'Route-Details'!$B$2:$X$1048576,'Node Details'!H$1,0),"")</f>
        <v>Punjab</v>
      </c>
      <c r="I25" s="95" t="str">
        <f>_xlfn.IFNA(VLOOKUP($D25,'Route-Details'!$B$2:$X$1048576,'Node Details'!I$1,0),"")</f>
        <v>AXZ</v>
      </c>
      <c r="J25" s="95" t="str">
        <f>_xlfn.IFNA(VLOOKUP($D25,'Route-Details'!$B$2:$X$1048576,'Node Details'!J$1,0),"")</f>
        <v>AXZ</v>
      </c>
      <c r="K25" s="80">
        <v>46110</v>
      </c>
      <c r="L25" s="80">
        <v>46110</v>
      </c>
      <c r="M25" s="96">
        <v>46119</v>
      </c>
      <c r="N25" s="80">
        <v>46110</v>
      </c>
      <c r="O25" s="93"/>
      <c r="P25" s="93"/>
      <c r="Q25" s="93" t="s">
        <v>173</v>
      </c>
      <c r="R25" s="97"/>
      <c r="S25" s="94"/>
      <c r="T25" s="94"/>
      <c r="U25" s="94"/>
      <c r="V25" s="97"/>
      <c r="W25" s="98"/>
      <c r="X25" s="94"/>
      <c r="Y25" s="99"/>
      <c r="Z25" s="97"/>
      <c r="AA25" s="97"/>
      <c r="AB25" s="94"/>
      <c r="AC25" s="98"/>
      <c r="AD25" s="97"/>
      <c r="AE25" s="93"/>
      <c r="AF25" s="88">
        <f t="shared" si="0"/>
        <v>0</v>
      </c>
      <c r="AG25" s="93"/>
      <c r="AH25" s="100"/>
      <c r="AI25" s="94"/>
      <c r="AJ25" s="93"/>
      <c r="AK25" s="87">
        <f t="shared" si="1"/>
        <v>0</v>
      </c>
      <c r="AL25" s="93"/>
      <c r="AM25" s="93"/>
      <c r="AN25" s="87">
        <f t="shared" si="2"/>
        <v>0</v>
      </c>
      <c r="AO25" s="87">
        <f t="shared" si="3"/>
        <v>0</v>
      </c>
      <c r="AP25" s="93"/>
      <c r="AQ25" s="100"/>
      <c r="AR25" s="101"/>
      <c r="AS25" s="88">
        <f t="shared" si="4"/>
        <v>0</v>
      </c>
      <c r="AT25" s="88">
        <f t="shared" si="5"/>
        <v>0</v>
      </c>
      <c r="AU25" s="93"/>
      <c r="AV25" s="100"/>
      <c r="AW25" s="101"/>
      <c r="AX25" s="102">
        <f t="shared" si="6"/>
        <v>0</v>
      </c>
      <c r="AY25" s="102">
        <f t="shared" si="7"/>
        <v>0</v>
      </c>
      <c r="AZ25" s="102">
        <f t="shared" si="8"/>
        <v>0</v>
      </c>
      <c r="BB25" s="76" t="s">
        <v>200</v>
      </c>
      <c r="BC25" s="103" t="s">
        <v>176</v>
      </c>
    </row>
    <row r="26" spans="1:55" s="103" customFormat="1" ht="15" customHeight="1" x14ac:dyDescent="0.2">
      <c r="A26" s="93">
        <f t="shared" si="9"/>
        <v>24</v>
      </c>
      <c r="B26" s="79" t="s">
        <v>159</v>
      </c>
      <c r="C26" s="76"/>
      <c r="D26" s="80" t="s">
        <v>225</v>
      </c>
      <c r="E26" s="95" t="str">
        <f>_xlfn.IFNA(VLOOKUP($D26,'Route-Details'!$B$2:$X$1048576,'Node Details'!E$1,0),"")</f>
        <v>Airtel</v>
      </c>
      <c r="F26" s="95" t="str">
        <f>_xlfn.IFNA(VLOOKUP($D26,'Route-Details'!$B$2:$X$1048576,'Node Details'!F$1,0),"")</f>
        <v>PLAN OF AXZ DARIA</v>
      </c>
      <c r="G26" s="95" t="str">
        <f>_xlfn.IFNA(VLOOKUP($D26,'Route-Details'!$B$2:$X$1048576,'Node Details'!G$1,0),"")</f>
        <v>Chandigarh</v>
      </c>
      <c r="H26" s="95" t="str">
        <f>_xlfn.IFNA(VLOOKUP($D27,'Route-Details'!$B$2:$X$1048576,'Node Details'!H$1,0),"")</f>
        <v>Punjab</v>
      </c>
      <c r="I26" s="95" t="str">
        <f>_xlfn.IFNA(VLOOKUP($D26,'Route-Details'!$B$2:$X$1048576,'Node Details'!I$1,0),"")</f>
        <v>AXZ</v>
      </c>
      <c r="J26" s="95" t="str">
        <f>_xlfn.IFNA(VLOOKUP($D26,'Route-Details'!$B$2:$X$1048576,'Node Details'!J$1,0),"")</f>
        <v>AXZ</v>
      </c>
      <c r="K26" s="80">
        <v>46110</v>
      </c>
      <c r="L26" s="80">
        <v>46110</v>
      </c>
      <c r="M26" s="96">
        <v>46119</v>
      </c>
      <c r="N26" s="80">
        <v>46110</v>
      </c>
      <c r="O26" s="93"/>
      <c r="P26" s="93"/>
      <c r="Q26" s="93" t="s">
        <v>173</v>
      </c>
      <c r="R26" s="97"/>
      <c r="S26" s="94"/>
      <c r="T26" s="94"/>
      <c r="U26" s="94"/>
      <c r="V26" s="97"/>
      <c r="W26" s="98"/>
      <c r="X26" s="94"/>
      <c r="Y26" s="99"/>
      <c r="Z26" s="97"/>
      <c r="AA26" s="97"/>
      <c r="AB26" s="94"/>
      <c r="AC26" s="98"/>
      <c r="AD26" s="97"/>
      <c r="AE26" s="93"/>
      <c r="AF26" s="88">
        <f t="shared" si="0"/>
        <v>0</v>
      </c>
      <c r="AG26" s="93"/>
      <c r="AH26" s="100"/>
      <c r="AI26" s="94"/>
      <c r="AJ26" s="93"/>
      <c r="AK26" s="87">
        <f t="shared" si="1"/>
        <v>0</v>
      </c>
      <c r="AL26" s="93"/>
      <c r="AM26" s="93"/>
      <c r="AN26" s="87">
        <f t="shared" si="2"/>
        <v>0</v>
      </c>
      <c r="AO26" s="87">
        <f t="shared" si="3"/>
        <v>0</v>
      </c>
      <c r="AP26" s="93"/>
      <c r="AQ26" s="100"/>
      <c r="AR26" s="101"/>
      <c r="AS26" s="88">
        <f t="shared" si="4"/>
        <v>0</v>
      </c>
      <c r="AT26" s="88">
        <f t="shared" si="5"/>
        <v>0</v>
      </c>
      <c r="AU26" s="93"/>
      <c r="AV26" s="100"/>
      <c r="AW26" s="101"/>
      <c r="AX26" s="102">
        <f t="shared" si="6"/>
        <v>0</v>
      </c>
      <c r="AY26" s="102">
        <f t="shared" si="7"/>
        <v>0</v>
      </c>
      <c r="AZ26" s="102">
        <f t="shared" si="8"/>
        <v>0</v>
      </c>
      <c r="BB26" s="76" t="s">
        <v>193</v>
      </c>
      <c r="BC26" s="103" t="s">
        <v>176</v>
      </c>
    </row>
    <row r="27" spans="1:55" s="103" customFormat="1" ht="15" customHeight="1" x14ac:dyDescent="0.2">
      <c r="A27" s="93">
        <f t="shared" si="9"/>
        <v>25</v>
      </c>
      <c r="B27" s="79" t="s">
        <v>160</v>
      </c>
      <c r="C27" s="76"/>
      <c r="D27" s="80" t="s">
        <v>219</v>
      </c>
      <c r="E27" s="95" t="str">
        <f>_xlfn.IFNA(VLOOKUP($D27,'Route-Details'!$B$2:$X$1048576,'Node Details'!E$1,0),"")</f>
        <v>Airtel</v>
      </c>
      <c r="F27" s="95" t="str">
        <f>_xlfn.IFNA(VLOOKUP($D27,'Route-Details'!$B$2:$X$1048576,'Node Details'!F$1,0),"")</f>
        <v>PLAN OF AXZ DARIA</v>
      </c>
      <c r="G27" s="95" t="str">
        <f>_xlfn.IFNA(VLOOKUP($D27,'Route-Details'!$B$2:$X$1048576,'Node Details'!G$1,0),"")</f>
        <v>Chandigarh</v>
      </c>
      <c r="H27" s="95" t="str">
        <f>_xlfn.IFNA(VLOOKUP($D28,'Route-Details'!$B$2:$X$1048576,'Node Details'!H$1,0),"")</f>
        <v>Punjab</v>
      </c>
      <c r="I27" s="95" t="str">
        <f>_xlfn.IFNA(VLOOKUP($D27,'Route-Details'!$B$2:$X$1048576,'Node Details'!I$1,0),"")</f>
        <v>AXZ</v>
      </c>
      <c r="J27" s="95" t="str">
        <f>_xlfn.IFNA(VLOOKUP($D27,'Route-Details'!$B$2:$X$1048576,'Node Details'!J$1,0),"")</f>
        <v>AXZ</v>
      </c>
      <c r="K27" s="80">
        <v>46110</v>
      </c>
      <c r="L27" s="80">
        <v>46110</v>
      </c>
      <c r="M27" s="96">
        <v>46119</v>
      </c>
      <c r="N27" s="80">
        <v>46110</v>
      </c>
      <c r="O27" s="93"/>
      <c r="P27" s="93"/>
      <c r="Q27" s="93" t="s">
        <v>173</v>
      </c>
      <c r="R27" s="97"/>
      <c r="S27" s="94"/>
      <c r="T27" s="94"/>
      <c r="U27" s="94"/>
      <c r="V27" s="97"/>
      <c r="W27" s="98"/>
      <c r="X27" s="94"/>
      <c r="Y27" s="99"/>
      <c r="Z27" s="97"/>
      <c r="AA27" s="97"/>
      <c r="AB27" s="94"/>
      <c r="AC27" s="98"/>
      <c r="AD27" s="97"/>
      <c r="AE27" s="93"/>
      <c r="AF27" s="88">
        <f t="shared" si="0"/>
        <v>0</v>
      </c>
      <c r="AG27" s="93"/>
      <c r="AH27" s="100"/>
      <c r="AI27" s="94"/>
      <c r="AJ27" s="93"/>
      <c r="AK27" s="87">
        <f t="shared" si="1"/>
        <v>0</v>
      </c>
      <c r="AL27" s="93"/>
      <c r="AM27" s="93"/>
      <c r="AN27" s="87">
        <f t="shared" si="2"/>
        <v>0</v>
      </c>
      <c r="AO27" s="87">
        <f t="shared" si="3"/>
        <v>0</v>
      </c>
      <c r="AP27" s="93"/>
      <c r="AQ27" s="100"/>
      <c r="AR27" s="101"/>
      <c r="AS27" s="88">
        <f t="shared" si="4"/>
        <v>0</v>
      </c>
      <c r="AT27" s="88">
        <f t="shared" si="5"/>
        <v>0</v>
      </c>
      <c r="AU27" s="93"/>
      <c r="AV27" s="100"/>
      <c r="AW27" s="101"/>
      <c r="AX27" s="102">
        <f t="shared" si="6"/>
        <v>0</v>
      </c>
      <c r="AY27" s="102">
        <f t="shared" si="7"/>
        <v>0</v>
      </c>
      <c r="AZ27" s="102">
        <f t="shared" si="8"/>
        <v>0</v>
      </c>
      <c r="BB27" s="76" t="s">
        <v>201</v>
      </c>
      <c r="BC27" s="103" t="s">
        <v>176</v>
      </c>
    </row>
    <row r="28" spans="1:55" s="103" customFormat="1" ht="15" customHeight="1" x14ac:dyDescent="0.2">
      <c r="A28" s="93">
        <f t="shared" si="9"/>
        <v>26</v>
      </c>
      <c r="B28" s="79" t="s">
        <v>161</v>
      </c>
      <c r="C28" s="76"/>
      <c r="D28" s="80" t="s">
        <v>220</v>
      </c>
      <c r="E28" s="95" t="str">
        <f>_xlfn.IFNA(VLOOKUP($D28,'Route-Details'!$B$2:$X$1048576,'Node Details'!E$1,0),"")</f>
        <v>Airtel</v>
      </c>
      <c r="F28" s="95" t="str">
        <f>_xlfn.IFNA(VLOOKUP($D28,'Route-Details'!$B$2:$X$1048576,'Node Details'!F$1,0),"")</f>
        <v>PLAN OF AXZ DARIA</v>
      </c>
      <c r="G28" s="95" t="str">
        <f>_xlfn.IFNA(VLOOKUP($D28,'Route-Details'!$B$2:$X$1048576,'Node Details'!G$1,0),"")</f>
        <v>Chandigarh</v>
      </c>
      <c r="H28" s="95" t="str">
        <f>_xlfn.IFNA(VLOOKUP($D29,'Route-Details'!$B$2:$X$1048576,'Node Details'!H$1,0),"")</f>
        <v>Punjab</v>
      </c>
      <c r="I28" s="95" t="str">
        <f>_xlfn.IFNA(VLOOKUP($D28,'Route-Details'!$B$2:$X$1048576,'Node Details'!I$1,0),"")</f>
        <v>AXZ</v>
      </c>
      <c r="J28" s="95" t="str">
        <f>_xlfn.IFNA(VLOOKUP($D28,'Route-Details'!$B$2:$X$1048576,'Node Details'!J$1,0),"")</f>
        <v>AXZ</v>
      </c>
      <c r="K28" s="80">
        <v>46110</v>
      </c>
      <c r="L28" s="80">
        <v>46110</v>
      </c>
      <c r="M28" s="96">
        <v>46119</v>
      </c>
      <c r="N28" s="80">
        <v>46110</v>
      </c>
      <c r="O28" s="93"/>
      <c r="P28" s="93"/>
      <c r="Q28" s="93" t="s">
        <v>173</v>
      </c>
      <c r="R28" s="97"/>
      <c r="S28" s="94"/>
      <c r="T28" s="94"/>
      <c r="U28" s="94"/>
      <c r="V28" s="97"/>
      <c r="W28" s="98"/>
      <c r="X28" s="94"/>
      <c r="Y28" s="99"/>
      <c r="Z28" s="97"/>
      <c r="AA28" s="97"/>
      <c r="AB28" s="94"/>
      <c r="AC28" s="98"/>
      <c r="AD28" s="97"/>
      <c r="AE28" s="93"/>
      <c r="AF28" s="88">
        <f t="shared" si="0"/>
        <v>0</v>
      </c>
      <c r="AG28" s="93"/>
      <c r="AH28" s="100"/>
      <c r="AI28" s="94"/>
      <c r="AJ28" s="93"/>
      <c r="AK28" s="87">
        <f t="shared" si="1"/>
        <v>0</v>
      </c>
      <c r="AL28" s="93"/>
      <c r="AM28" s="93"/>
      <c r="AN28" s="87">
        <f t="shared" si="2"/>
        <v>0</v>
      </c>
      <c r="AO28" s="87">
        <f t="shared" si="3"/>
        <v>0</v>
      </c>
      <c r="AP28" s="93"/>
      <c r="AQ28" s="100"/>
      <c r="AR28" s="101"/>
      <c r="AS28" s="88">
        <f t="shared" si="4"/>
        <v>0</v>
      </c>
      <c r="AT28" s="88">
        <f t="shared" si="5"/>
        <v>0</v>
      </c>
      <c r="AU28" s="93"/>
      <c r="AV28" s="100"/>
      <c r="AW28" s="101"/>
      <c r="AX28" s="102">
        <f t="shared" si="6"/>
        <v>0</v>
      </c>
      <c r="AY28" s="102">
        <f t="shared" si="7"/>
        <v>0</v>
      </c>
      <c r="AZ28" s="102">
        <f t="shared" si="8"/>
        <v>0</v>
      </c>
      <c r="BB28" s="76" t="s">
        <v>202</v>
      </c>
      <c r="BC28" s="103" t="s">
        <v>176</v>
      </c>
    </row>
    <row r="29" spans="1:55" s="84" customFormat="1" ht="15" customHeight="1" x14ac:dyDescent="0.2">
      <c r="A29" s="93">
        <f t="shared" si="9"/>
        <v>27</v>
      </c>
      <c r="B29" s="79" t="s">
        <v>162</v>
      </c>
      <c r="C29" s="76"/>
      <c r="D29" s="80" t="s">
        <v>221</v>
      </c>
      <c r="E29" s="95" t="str">
        <f>_xlfn.IFNA(VLOOKUP($D29,'Route-Details'!$B$2:$X$1048576,'Node Details'!E$1,0),"")</f>
        <v>Airtel</v>
      </c>
      <c r="F29" s="95" t="str">
        <f>_xlfn.IFNA(VLOOKUP($D29,'Route-Details'!$B$2:$X$1048576,'Node Details'!F$1,0),"")</f>
        <v>PLAN OF AXZ DARIA</v>
      </c>
      <c r="G29" s="95" t="str">
        <f>_xlfn.IFNA(VLOOKUP($D29,'Route-Details'!$B$2:$X$1048576,'Node Details'!G$1,0),"")</f>
        <v>Chandigarh</v>
      </c>
      <c r="H29" s="95" t="str">
        <f>_xlfn.IFNA(VLOOKUP($D30,'Route-Details'!$B$2:$X$1048576,'Node Details'!H$1,0),"")</f>
        <v>Punjab</v>
      </c>
      <c r="I29" s="95" t="str">
        <f>_xlfn.IFNA(VLOOKUP($D29,'Route-Details'!$B$2:$X$1048576,'Node Details'!I$1,0),"")</f>
        <v>AXZ</v>
      </c>
      <c r="J29" s="95" t="str">
        <f>_xlfn.IFNA(VLOOKUP($D29,'Route-Details'!$B$2:$X$1048576,'Node Details'!J$1,0),"")</f>
        <v>AXZ</v>
      </c>
      <c r="K29" s="80">
        <v>46110</v>
      </c>
      <c r="L29" s="80">
        <v>46110</v>
      </c>
      <c r="M29" s="96">
        <v>46119</v>
      </c>
      <c r="N29" s="80">
        <v>46110</v>
      </c>
      <c r="Q29" s="93" t="s">
        <v>173</v>
      </c>
      <c r="R29" s="97"/>
      <c r="S29" s="94"/>
      <c r="T29" s="94"/>
      <c r="U29" s="94"/>
      <c r="V29" s="100"/>
      <c r="W29" s="98"/>
      <c r="X29" s="94"/>
      <c r="Y29" s="99"/>
      <c r="Z29" s="97"/>
      <c r="AA29" s="100"/>
      <c r="AB29" s="94"/>
      <c r="AC29" s="98"/>
      <c r="AD29" s="97"/>
      <c r="AE29" s="93"/>
      <c r="AF29" s="88">
        <f t="shared" si="0"/>
        <v>0</v>
      </c>
      <c r="AH29" s="100"/>
      <c r="AI29" s="94"/>
      <c r="AJ29" s="93"/>
      <c r="AK29" s="87">
        <f t="shared" si="1"/>
        <v>0</v>
      </c>
      <c r="AN29" s="87">
        <f t="shared" si="2"/>
        <v>0</v>
      </c>
      <c r="AO29" s="87">
        <f t="shared" si="3"/>
        <v>0</v>
      </c>
      <c r="AQ29" s="100"/>
      <c r="AR29" s="101"/>
      <c r="AS29" s="88">
        <f t="shared" si="4"/>
        <v>0</v>
      </c>
      <c r="AT29" s="88">
        <f t="shared" si="5"/>
        <v>0</v>
      </c>
      <c r="AV29" s="100"/>
      <c r="AW29" s="101"/>
      <c r="AX29" s="102">
        <f t="shared" si="6"/>
        <v>0</v>
      </c>
      <c r="AY29" s="102">
        <f t="shared" si="7"/>
        <v>0</v>
      </c>
      <c r="AZ29" s="102">
        <f t="shared" si="8"/>
        <v>0</v>
      </c>
      <c r="BB29" s="76" t="s">
        <v>203</v>
      </c>
      <c r="BC29" s="103" t="s">
        <v>176</v>
      </c>
    </row>
    <row r="30" spans="1:55" s="84" customFormat="1" ht="15" customHeight="1" x14ac:dyDescent="0.2">
      <c r="A30" s="93">
        <f t="shared" si="9"/>
        <v>28</v>
      </c>
      <c r="B30" s="79" t="s">
        <v>163</v>
      </c>
      <c r="C30" s="76"/>
      <c r="D30" s="80" t="s">
        <v>221</v>
      </c>
      <c r="E30" s="95" t="str">
        <f>_xlfn.IFNA(VLOOKUP($D30,'Route-Details'!$B$2:$X$1048576,'Node Details'!E$1,0),"")</f>
        <v>Airtel</v>
      </c>
      <c r="F30" s="95" t="str">
        <f>_xlfn.IFNA(VLOOKUP($D30,'Route-Details'!$B$2:$X$1048576,'Node Details'!F$1,0),"")</f>
        <v>PLAN OF AXZ DARIA</v>
      </c>
      <c r="G30" s="95" t="str">
        <f>_xlfn.IFNA(VLOOKUP($D30,'Route-Details'!$B$2:$X$1048576,'Node Details'!G$1,0),"")</f>
        <v>Chandigarh</v>
      </c>
      <c r="H30" s="95" t="str">
        <f>_xlfn.IFNA(VLOOKUP($D31,'Route-Details'!$B$2:$X$1048576,'Node Details'!H$1,0),"")</f>
        <v>Punjab</v>
      </c>
      <c r="I30" s="95" t="str">
        <f>_xlfn.IFNA(VLOOKUP($D30,'Route-Details'!$B$2:$X$1048576,'Node Details'!I$1,0),"")</f>
        <v>AXZ</v>
      </c>
      <c r="J30" s="95" t="str">
        <f>_xlfn.IFNA(VLOOKUP($D30,'Route-Details'!$B$2:$X$1048576,'Node Details'!J$1,0),"")</f>
        <v>AXZ</v>
      </c>
      <c r="K30" s="80">
        <v>46110</v>
      </c>
      <c r="L30" s="80">
        <v>46110</v>
      </c>
      <c r="M30" s="96">
        <v>46119</v>
      </c>
      <c r="N30" s="80">
        <v>46110</v>
      </c>
      <c r="Q30" s="93" t="s">
        <v>173</v>
      </c>
      <c r="R30" s="97"/>
      <c r="S30" s="94"/>
      <c r="T30" s="94"/>
      <c r="U30" s="94"/>
      <c r="V30" s="100"/>
      <c r="W30" s="98"/>
      <c r="X30" s="94"/>
      <c r="Y30" s="99"/>
      <c r="Z30" s="97"/>
      <c r="AA30" s="100"/>
      <c r="AB30" s="94"/>
      <c r="AC30" s="98"/>
      <c r="AD30" s="97"/>
      <c r="AE30" s="93"/>
      <c r="AF30" s="88">
        <f t="shared" si="0"/>
        <v>0</v>
      </c>
      <c r="AH30" s="100"/>
      <c r="AI30" s="94"/>
      <c r="AJ30" s="93"/>
      <c r="AK30" s="87">
        <f t="shared" si="1"/>
        <v>0</v>
      </c>
      <c r="AN30" s="87">
        <f t="shared" si="2"/>
        <v>0</v>
      </c>
      <c r="AO30" s="87">
        <f t="shared" si="3"/>
        <v>0</v>
      </c>
      <c r="AQ30" s="100"/>
      <c r="AR30" s="101"/>
      <c r="AS30" s="88">
        <f t="shared" si="4"/>
        <v>0</v>
      </c>
      <c r="AT30" s="88">
        <f t="shared" si="5"/>
        <v>0</v>
      </c>
      <c r="AV30" s="100"/>
      <c r="AW30" s="101"/>
      <c r="AX30" s="102">
        <f t="shared" si="6"/>
        <v>0</v>
      </c>
      <c r="AY30" s="102">
        <f t="shared" si="7"/>
        <v>0</v>
      </c>
      <c r="AZ30" s="102">
        <f t="shared" si="8"/>
        <v>0</v>
      </c>
      <c r="BB30" s="76" t="s">
        <v>203</v>
      </c>
      <c r="BC30" s="103" t="s">
        <v>176</v>
      </c>
    </row>
    <row r="31" spans="1:55" s="84" customFormat="1" ht="15" customHeight="1" x14ac:dyDescent="0.2">
      <c r="A31" s="93">
        <f t="shared" si="9"/>
        <v>29</v>
      </c>
      <c r="B31" s="79" t="s">
        <v>164</v>
      </c>
      <c r="C31" s="76"/>
      <c r="D31" s="80" t="s">
        <v>211</v>
      </c>
      <c r="E31" s="95" t="str">
        <f>_xlfn.IFNA(VLOOKUP($D31,'Route-Details'!$B$2:$X$1048576,'Node Details'!E$1,0),"")</f>
        <v>Airtel</v>
      </c>
      <c r="F31" s="95" t="str">
        <f>_xlfn.IFNA(VLOOKUP($D31,'Route-Details'!$B$2:$X$1048576,'Node Details'!F$1,0),"")</f>
        <v>PLAN OF AXZ DARIA</v>
      </c>
      <c r="G31" s="95" t="str">
        <f>_xlfn.IFNA(VLOOKUP($D31,'Route-Details'!$B$2:$X$1048576,'Node Details'!G$1,0),"")</f>
        <v>Chandigarh</v>
      </c>
      <c r="H31" s="95" t="str">
        <f>_xlfn.IFNA(VLOOKUP($D32,'Route-Details'!$B$2:$X$1048576,'Node Details'!H$1,0),"")</f>
        <v>Punjab</v>
      </c>
      <c r="I31" s="95" t="str">
        <f>_xlfn.IFNA(VLOOKUP($D31,'Route-Details'!$B$2:$X$1048576,'Node Details'!I$1,0),"")</f>
        <v>AXZ</v>
      </c>
      <c r="J31" s="95" t="str">
        <f>_xlfn.IFNA(VLOOKUP($D31,'Route-Details'!$B$2:$X$1048576,'Node Details'!J$1,0),"")</f>
        <v>AXZ</v>
      </c>
      <c r="K31" s="80">
        <v>46110</v>
      </c>
      <c r="L31" s="80">
        <v>46110</v>
      </c>
      <c r="M31" s="96">
        <v>46119</v>
      </c>
      <c r="N31" s="80">
        <v>46110</v>
      </c>
      <c r="Q31" s="93" t="s">
        <v>173</v>
      </c>
      <c r="R31" s="97"/>
      <c r="S31" s="94"/>
      <c r="T31" s="94"/>
      <c r="U31" s="94"/>
      <c r="V31" s="100"/>
      <c r="W31" s="98"/>
      <c r="X31" s="94"/>
      <c r="Y31" s="99"/>
      <c r="Z31" s="97"/>
      <c r="AA31" s="100"/>
      <c r="AB31" s="94"/>
      <c r="AC31" s="98"/>
      <c r="AD31" s="97"/>
      <c r="AE31" s="93"/>
      <c r="AF31" s="88">
        <f t="shared" si="0"/>
        <v>0</v>
      </c>
      <c r="AH31" s="100"/>
      <c r="AI31" s="94"/>
      <c r="AJ31" s="93"/>
      <c r="AK31" s="87">
        <f t="shared" si="1"/>
        <v>0</v>
      </c>
      <c r="AN31" s="87">
        <f t="shared" si="2"/>
        <v>0</v>
      </c>
      <c r="AO31" s="87">
        <f t="shared" si="3"/>
        <v>0</v>
      </c>
      <c r="AQ31" s="100"/>
      <c r="AR31" s="101"/>
      <c r="AS31" s="88">
        <f t="shared" si="4"/>
        <v>0</v>
      </c>
      <c r="AT31" s="88">
        <f t="shared" si="5"/>
        <v>0</v>
      </c>
      <c r="AV31" s="100"/>
      <c r="AW31" s="101"/>
      <c r="AX31" s="102">
        <f t="shared" si="6"/>
        <v>0</v>
      </c>
      <c r="AY31" s="102">
        <f t="shared" si="7"/>
        <v>0</v>
      </c>
      <c r="AZ31" s="102">
        <f t="shared" si="8"/>
        <v>0</v>
      </c>
      <c r="BB31" s="76" t="s">
        <v>206</v>
      </c>
      <c r="BC31" s="103" t="s">
        <v>176</v>
      </c>
    </row>
    <row r="32" spans="1:55" s="84" customFormat="1" ht="15" customHeight="1" x14ac:dyDescent="0.2">
      <c r="A32" s="93">
        <f t="shared" si="9"/>
        <v>30</v>
      </c>
      <c r="B32" s="79" t="s">
        <v>165</v>
      </c>
      <c r="C32" s="76"/>
      <c r="D32" s="80" t="s">
        <v>211</v>
      </c>
      <c r="E32" s="95" t="str">
        <f>_xlfn.IFNA(VLOOKUP($D32,'Route-Details'!$B$2:$X$1048576,'Node Details'!E$1,0),"")</f>
        <v>Airtel</v>
      </c>
      <c r="F32" s="95" t="str">
        <f>_xlfn.IFNA(VLOOKUP($D32,'Route-Details'!$B$2:$X$1048576,'Node Details'!F$1,0),"")</f>
        <v>PLAN OF AXZ DARIA</v>
      </c>
      <c r="G32" s="95" t="str">
        <f>_xlfn.IFNA(VLOOKUP($D32,'Route-Details'!$B$2:$X$1048576,'Node Details'!G$1,0),"")</f>
        <v>Chandigarh</v>
      </c>
      <c r="H32" s="95" t="str">
        <f>_xlfn.IFNA(VLOOKUP($D33,'Route-Details'!$B$2:$X$1048576,'Node Details'!H$1,0),"")</f>
        <v>Punjab</v>
      </c>
      <c r="I32" s="95" t="str">
        <f>_xlfn.IFNA(VLOOKUP($D32,'Route-Details'!$B$2:$X$1048576,'Node Details'!I$1,0),"")</f>
        <v>AXZ</v>
      </c>
      <c r="J32" s="95" t="str">
        <f>_xlfn.IFNA(VLOOKUP($D32,'Route-Details'!$B$2:$X$1048576,'Node Details'!J$1,0),"")</f>
        <v>AXZ</v>
      </c>
      <c r="K32" s="80">
        <v>46110</v>
      </c>
      <c r="L32" s="80">
        <v>46110</v>
      </c>
      <c r="M32" s="96">
        <v>46119</v>
      </c>
      <c r="N32" s="80">
        <v>46110</v>
      </c>
      <c r="Q32" s="93" t="s">
        <v>173</v>
      </c>
      <c r="R32" s="97"/>
      <c r="S32" s="94"/>
      <c r="T32" s="94"/>
      <c r="U32" s="94"/>
      <c r="V32" s="100"/>
      <c r="W32" s="98"/>
      <c r="X32" s="94"/>
      <c r="Y32" s="99"/>
      <c r="Z32" s="97"/>
      <c r="AA32" s="100"/>
      <c r="AB32" s="94"/>
      <c r="AC32" s="98"/>
      <c r="AD32" s="97"/>
      <c r="AE32" s="93"/>
      <c r="AF32" s="88">
        <f t="shared" si="0"/>
        <v>0</v>
      </c>
      <c r="AH32" s="100"/>
      <c r="AI32" s="94"/>
      <c r="AJ32" s="93"/>
      <c r="AK32" s="87">
        <f t="shared" si="1"/>
        <v>0</v>
      </c>
      <c r="AN32" s="87">
        <f t="shared" si="2"/>
        <v>0</v>
      </c>
      <c r="AO32" s="87">
        <f t="shared" si="3"/>
        <v>0</v>
      </c>
      <c r="AQ32" s="100"/>
      <c r="AR32" s="101"/>
      <c r="AS32" s="88">
        <f t="shared" si="4"/>
        <v>0</v>
      </c>
      <c r="AT32" s="88">
        <f t="shared" si="5"/>
        <v>0</v>
      </c>
      <c r="AV32" s="100"/>
      <c r="AW32" s="101"/>
      <c r="AX32" s="102">
        <f t="shared" si="6"/>
        <v>0</v>
      </c>
      <c r="AY32" s="102">
        <f t="shared" si="7"/>
        <v>0</v>
      </c>
      <c r="AZ32" s="102">
        <f t="shared" si="8"/>
        <v>0</v>
      </c>
      <c r="BB32" s="76" t="s">
        <v>206</v>
      </c>
      <c r="BC32" s="103" t="s">
        <v>176</v>
      </c>
    </row>
    <row r="33" spans="1:55" s="84" customFormat="1" ht="15" customHeight="1" x14ac:dyDescent="0.2">
      <c r="A33" s="93">
        <f t="shared" si="9"/>
        <v>31</v>
      </c>
      <c r="B33" s="79" t="s">
        <v>166</v>
      </c>
      <c r="C33" s="76"/>
      <c r="D33" s="80" t="s">
        <v>222</v>
      </c>
      <c r="E33" s="95" t="str">
        <f>_xlfn.IFNA(VLOOKUP($D33,'Route-Details'!$B$2:$X$1048576,'Node Details'!E$1,0),"")</f>
        <v>Airtel</v>
      </c>
      <c r="F33" s="95" t="str">
        <f>_xlfn.IFNA(VLOOKUP($D33,'Route-Details'!$B$2:$X$1048576,'Node Details'!F$1,0),"")</f>
        <v>PLAN OF AXZ DARIA</v>
      </c>
      <c r="G33" s="95" t="str">
        <f>_xlfn.IFNA(VLOOKUP($D33,'Route-Details'!$B$2:$X$1048576,'Node Details'!G$1,0),"")</f>
        <v>Chandigarh</v>
      </c>
      <c r="H33" s="95" t="str">
        <f>_xlfn.IFNA(VLOOKUP($D34,'Route-Details'!$B$2:$X$1048576,'Node Details'!H$1,0),"")</f>
        <v>Punjab</v>
      </c>
      <c r="I33" s="95" t="str">
        <f>_xlfn.IFNA(VLOOKUP($D33,'Route-Details'!$B$2:$X$1048576,'Node Details'!I$1,0),"")</f>
        <v>AXZ</v>
      </c>
      <c r="J33" s="95" t="str">
        <f>_xlfn.IFNA(VLOOKUP($D33,'Route-Details'!$B$2:$X$1048576,'Node Details'!J$1,0),"")</f>
        <v>AXZ</v>
      </c>
      <c r="K33" s="80">
        <v>46110</v>
      </c>
      <c r="L33" s="80">
        <v>46110</v>
      </c>
      <c r="M33" s="96">
        <v>46119</v>
      </c>
      <c r="N33" s="80">
        <v>46110</v>
      </c>
      <c r="Q33" s="93" t="s">
        <v>173</v>
      </c>
      <c r="R33" s="97"/>
      <c r="S33" s="94"/>
      <c r="T33" s="94"/>
      <c r="U33" s="94"/>
      <c r="V33" s="100"/>
      <c r="W33" s="98"/>
      <c r="X33" s="94"/>
      <c r="Y33" s="99"/>
      <c r="Z33" s="97"/>
      <c r="AA33" s="100"/>
      <c r="AB33" s="94"/>
      <c r="AC33" s="98"/>
      <c r="AD33" s="97"/>
      <c r="AE33" s="93"/>
      <c r="AF33" s="88">
        <f t="shared" si="0"/>
        <v>0</v>
      </c>
      <c r="AH33" s="100"/>
      <c r="AI33" s="94"/>
      <c r="AJ33" s="93"/>
      <c r="AK33" s="87">
        <f t="shared" si="1"/>
        <v>0</v>
      </c>
      <c r="AN33" s="87">
        <f t="shared" si="2"/>
        <v>0</v>
      </c>
      <c r="AO33" s="87">
        <f t="shared" si="3"/>
        <v>0</v>
      </c>
      <c r="AQ33" s="100"/>
      <c r="AR33" s="101"/>
      <c r="AS33" s="88">
        <f t="shared" si="4"/>
        <v>0</v>
      </c>
      <c r="AT33" s="88">
        <f t="shared" si="5"/>
        <v>0</v>
      </c>
      <c r="AV33" s="100"/>
      <c r="AW33" s="101"/>
      <c r="AX33" s="102">
        <f t="shared" si="6"/>
        <v>0</v>
      </c>
      <c r="AY33" s="102">
        <f t="shared" si="7"/>
        <v>0</v>
      </c>
      <c r="AZ33" s="102">
        <f t="shared" si="8"/>
        <v>0</v>
      </c>
      <c r="BB33" s="76" t="s">
        <v>204</v>
      </c>
      <c r="BC33" s="103" t="s">
        <v>176</v>
      </c>
    </row>
    <row r="34" spans="1:55" s="84" customFormat="1" ht="15" customHeight="1" x14ac:dyDescent="0.2">
      <c r="A34" s="93">
        <f t="shared" si="9"/>
        <v>32</v>
      </c>
      <c r="B34" s="79" t="s">
        <v>167</v>
      </c>
      <c r="C34" s="76"/>
      <c r="D34" s="80" t="s">
        <v>222</v>
      </c>
      <c r="E34" s="95" t="str">
        <f>_xlfn.IFNA(VLOOKUP($D34,'Route-Details'!$B$2:$X$1048576,'Node Details'!E$1,0),"")</f>
        <v>Airtel</v>
      </c>
      <c r="F34" s="95" t="str">
        <f>_xlfn.IFNA(VLOOKUP($D34,'Route-Details'!$B$2:$X$1048576,'Node Details'!F$1,0),"")</f>
        <v>PLAN OF AXZ DARIA</v>
      </c>
      <c r="G34" s="95" t="str">
        <f>_xlfn.IFNA(VLOOKUP($D34,'Route-Details'!$B$2:$X$1048576,'Node Details'!G$1,0),"")</f>
        <v>Chandigarh</v>
      </c>
      <c r="H34" s="95" t="str">
        <f>_xlfn.IFNA(VLOOKUP($D35,'Route-Details'!$B$2:$X$1048576,'Node Details'!H$1,0),"")</f>
        <v>Punjab</v>
      </c>
      <c r="I34" s="95" t="str">
        <f>_xlfn.IFNA(VLOOKUP($D34,'Route-Details'!$B$2:$X$1048576,'Node Details'!I$1,0),"")</f>
        <v>AXZ</v>
      </c>
      <c r="J34" s="95" t="str">
        <f>_xlfn.IFNA(VLOOKUP($D34,'Route-Details'!$B$2:$X$1048576,'Node Details'!J$1,0),"")</f>
        <v>AXZ</v>
      </c>
      <c r="K34" s="80">
        <v>46110</v>
      </c>
      <c r="L34" s="80">
        <v>46110</v>
      </c>
      <c r="M34" s="96">
        <v>46119</v>
      </c>
      <c r="N34" s="80">
        <v>46110</v>
      </c>
      <c r="Q34" s="93" t="s">
        <v>173</v>
      </c>
      <c r="R34" s="97"/>
      <c r="S34" s="94"/>
      <c r="T34" s="94"/>
      <c r="U34" s="94"/>
      <c r="V34" s="100"/>
      <c r="W34" s="98"/>
      <c r="X34" s="94"/>
      <c r="Y34" s="99"/>
      <c r="Z34" s="97"/>
      <c r="AA34" s="100"/>
      <c r="AB34" s="94"/>
      <c r="AC34" s="98"/>
      <c r="AD34" s="97"/>
      <c r="AE34" s="93"/>
      <c r="AF34" s="88">
        <f t="shared" si="0"/>
        <v>0</v>
      </c>
      <c r="AH34" s="100"/>
      <c r="AI34" s="94"/>
      <c r="AJ34" s="93"/>
      <c r="AK34" s="87">
        <f t="shared" si="1"/>
        <v>0</v>
      </c>
      <c r="AN34" s="87">
        <f t="shared" si="2"/>
        <v>0</v>
      </c>
      <c r="AO34" s="87">
        <f t="shared" si="3"/>
        <v>0</v>
      </c>
      <c r="AQ34" s="100"/>
      <c r="AR34" s="101"/>
      <c r="AS34" s="88">
        <f t="shared" si="4"/>
        <v>0</v>
      </c>
      <c r="AT34" s="88">
        <f t="shared" si="5"/>
        <v>0</v>
      </c>
      <c r="AV34" s="100"/>
      <c r="AW34" s="101"/>
      <c r="AX34" s="102">
        <f t="shared" si="6"/>
        <v>0</v>
      </c>
      <c r="AY34" s="102">
        <f t="shared" si="7"/>
        <v>0</v>
      </c>
      <c r="AZ34" s="102">
        <f t="shared" si="8"/>
        <v>0</v>
      </c>
      <c r="BB34" s="76" t="s">
        <v>204</v>
      </c>
      <c r="BC34" s="103" t="s">
        <v>176</v>
      </c>
    </row>
    <row r="35" spans="1:55" s="84" customFormat="1" ht="15" customHeight="1" x14ac:dyDescent="0.2">
      <c r="A35" s="93">
        <f t="shared" si="9"/>
        <v>33</v>
      </c>
      <c r="B35" s="79" t="s">
        <v>168</v>
      </c>
      <c r="C35" s="76"/>
      <c r="D35" s="80" t="s">
        <v>222</v>
      </c>
      <c r="E35" s="95" t="str">
        <f>_xlfn.IFNA(VLOOKUP($D35,'Route-Details'!$B$2:$X$1048576,'Node Details'!E$1,0),"")</f>
        <v>Airtel</v>
      </c>
      <c r="F35" s="95" t="str">
        <f>_xlfn.IFNA(VLOOKUP($D35,'Route-Details'!$B$2:$X$1048576,'Node Details'!F$1,0),"")</f>
        <v>PLAN OF AXZ DARIA</v>
      </c>
      <c r="G35" s="95" t="str">
        <f>_xlfn.IFNA(VLOOKUP($D35,'Route-Details'!$B$2:$X$1048576,'Node Details'!G$1,0),"")</f>
        <v>Chandigarh</v>
      </c>
      <c r="H35" s="95" t="str">
        <f>_xlfn.IFNA(VLOOKUP($D36,'Route-Details'!$B$2:$X$1048576,'Node Details'!H$1,0),"")</f>
        <v>Punjab</v>
      </c>
      <c r="I35" s="95" t="str">
        <f>_xlfn.IFNA(VLOOKUP($D35,'Route-Details'!$B$2:$X$1048576,'Node Details'!I$1,0),"")</f>
        <v>AXZ</v>
      </c>
      <c r="J35" s="95" t="str">
        <f>_xlfn.IFNA(VLOOKUP($D35,'Route-Details'!$B$2:$X$1048576,'Node Details'!J$1,0),"")</f>
        <v>AXZ</v>
      </c>
      <c r="K35" s="80">
        <v>46110</v>
      </c>
      <c r="L35" s="80">
        <v>46110</v>
      </c>
      <c r="M35" s="96">
        <v>46119</v>
      </c>
      <c r="N35" s="80">
        <v>46110</v>
      </c>
      <c r="Q35" s="93" t="s">
        <v>173</v>
      </c>
      <c r="R35" s="97"/>
      <c r="S35" s="94"/>
      <c r="T35" s="94"/>
      <c r="U35" s="94"/>
      <c r="V35" s="100"/>
      <c r="W35" s="98"/>
      <c r="X35" s="94"/>
      <c r="Y35" s="99"/>
      <c r="Z35" s="97"/>
      <c r="AA35" s="100"/>
      <c r="AB35" s="94"/>
      <c r="AC35" s="98"/>
      <c r="AD35" s="97"/>
      <c r="AE35" s="93"/>
      <c r="AF35" s="88">
        <f t="shared" si="0"/>
        <v>0</v>
      </c>
      <c r="AH35" s="100"/>
      <c r="AI35" s="94"/>
      <c r="AJ35" s="93"/>
      <c r="AK35" s="87">
        <f t="shared" si="1"/>
        <v>0</v>
      </c>
      <c r="AN35" s="87">
        <f t="shared" si="2"/>
        <v>0</v>
      </c>
      <c r="AO35" s="87">
        <f t="shared" si="3"/>
        <v>0</v>
      </c>
      <c r="AQ35" s="100"/>
      <c r="AR35" s="101"/>
      <c r="AS35" s="88">
        <f t="shared" si="4"/>
        <v>0</v>
      </c>
      <c r="AT35" s="88">
        <f t="shared" si="5"/>
        <v>0</v>
      </c>
      <c r="AV35" s="100"/>
      <c r="AW35" s="101"/>
      <c r="AX35" s="102">
        <f t="shared" si="6"/>
        <v>0</v>
      </c>
      <c r="AY35" s="102">
        <f t="shared" si="7"/>
        <v>0</v>
      </c>
      <c r="AZ35" s="102">
        <f t="shared" si="8"/>
        <v>0</v>
      </c>
      <c r="BB35" s="76" t="s">
        <v>204</v>
      </c>
      <c r="BC35" s="103" t="s">
        <v>176</v>
      </c>
    </row>
    <row r="36" spans="1:55" s="84" customFormat="1" ht="15" customHeight="1" x14ac:dyDescent="0.2">
      <c r="A36" s="93">
        <f t="shared" si="9"/>
        <v>34</v>
      </c>
      <c r="B36" s="79" t="s">
        <v>169</v>
      </c>
      <c r="C36" s="76"/>
      <c r="D36" s="80" t="s">
        <v>212</v>
      </c>
      <c r="E36" s="95" t="str">
        <f>_xlfn.IFNA(VLOOKUP($D36,'Route-Details'!$B$2:$X$1048576,'Node Details'!E$1,0),"")</f>
        <v>Airtel</v>
      </c>
      <c r="F36" s="95" t="str">
        <f>_xlfn.IFNA(VLOOKUP($D36,'Route-Details'!$B$2:$X$1048576,'Node Details'!F$1,0),"")</f>
        <v>PLAN OF AXZ DARIA</v>
      </c>
      <c r="G36" s="95" t="str">
        <f>_xlfn.IFNA(VLOOKUP($D36,'Route-Details'!$B$2:$X$1048576,'Node Details'!G$1,0),"")</f>
        <v>Chandigarh</v>
      </c>
      <c r="H36" s="95" t="str">
        <f>_xlfn.IFNA(VLOOKUP($D37,'Route-Details'!$B$2:$X$1048576,'Node Details'!H$1,0),"")</f>
        <v>Punjab</v>
      </c>
      <c r="I36" s="95" t="str">
        <f>_xlfn.IFNA(VLOOKUP($D36,'Route-Details'!$B$2:$X$1048576,'Node Details'!I$1,0),"")</f>
        <v>AXZ</v>
      </c>
      <c r="J36" s="95" t="str">
        <f>_xlfn.IFNA(VLOOKUP($D36,'Route-Details'!$B$2:$X$1048576,'Node Details'!J$1,0),"")</f>
        <v>AXZ</v>
      </c>
      <c r="K36" s="80">
        <v>46110</v>
      </c>
      <c r="L36" s="80">
        <v>46110</v>
      </c>
      <c r="M36" s="96">
        <v>46119</v>
      </c>
      <c r="N36" s="80">
        <v>46110</v>
      </c>
      <c r="Q36" s="93" t="s">
        <v>173</v>
      </c>
      <c r="R36" s="97"/>
      <c r="S36" s="94"/>
      <c r="T36" s="94"/>
      <c r="U36" s="94"/>
      <c r="V36" s="100"/>
      <c r="W36" s="98"/>
      <c r="X36" s="94"/>
      <c r="Y36" s="99"/>
      <c r="Z36" s="97"/>
      <c r="AA36" s="100"/>
      <c r="AB36" s="94"/>
      <c r="AC36" s="98"/>
      <c r="AD36" s="97"/>
      <c r="AE36" s="93"/>
      <c r="AF36" s="88">
        <f t="shared" si="0"/>
        <v>0</v>
      </c>
      <c r="AH36" s="100"/>
      <c r="AI36" s="94"/>
      <c r="AJ36" s="93"/>
      <c r="AK36" s="87">
        <f t="shared" si="1"/>
        <v>0</v>
      </c>
      <c r="AN36" s="87">
        <f t="shared" si="2"/>
        <v>0</v>
      </c>
      <c r="AO36" s="87">
        <f t="shared" si="3"/>
        <v>0</v>
      </c>
      <c r="AQ36" s="100"/>
      <c r="AR36" s="101"/>
      <c r="AS36" s="88">
        <f t="shared" si="4"/>
        <v>0</v>
      </c>
      <c r="AT36" s="88">
        <f t="shared" si="5"/>
        <v>0</v>
      </c>
      <c r="AV36" s="100"/>
      <c r="AW36" s="101"/>
      <c r="AX36" s="102">
        <f t="shared" si="6"/>
        <v>0</v>
      </c>
      <c r="AY36" s="102">
        <f t="shared" si="7"/>
        <v>0</v>
      </c>
      <c r="AZ36" s="102">
        <f t="shared" si="8"/>
        <v>0</v>
      </c>
      <c r="BB36" s="76" t="s">
        <v>205</v>
      </c>
      <c r="BC36" s="103" t="s">
        <v>176</v>
      </c>
    </row>
    <row r="37" spans="1:55" s="84" customFormat="1" ht="15" customHeight="1" x14ac:dyDescent="0.2">
      <c r="A37" s="93">
        <f t="shared" si="9"/>
        <v>35</v>
      </c>
      <c r="B37" s="79" t="s">
        <v>170</v>
      </c>
      <c r="C37" s="76"/>
      <c r="D37" s="80" t="s">
        <v>212</v>
      </c>
      <c r="E37" s="95" t="str">
        <f>_xlfn.IFNA(VLOOKUP($D37,'Route-Details'!$B$2:$X$1048576,'Node Details'!E$1,0),"")</f>
        <v>Airtel</v>
      </c>
      <c r="F37" s="95" t="str">
        <f>_xlfn.IFNA(VLOOKUP($D37,'Route-Details'!$B$2:$X$1048576,'Node Details'!F$1,0),"")</f>
        <v>PLAN OF AXZ DARIA</v>
      </c>
      <c r="G37" s="95" t="str">
        <f>_xlfn.IFNA(VLOOKUP($D37,'Route-Details'!$B$2:$X$1048576,'Node Details'!G$1,0),"")</f>
        <v>Chandigarh</v>
      </c>
      <c r="H37" s="95" t="str">
        <f>_xlfn.IFNA(VLOOKUP($D38,'Route-Details'!$B$2:$X$1048576,'Node Details'!H$1,0),"")</f>
        <v>Punjab</v>
      </c>
      <c r="I37" s="95" t="str">
        <f>_xlfn.IFNA(VLOOKUP($D37,'Route-Details'!$B$2:$X$1048576,'Node Details'!I$1,0),"")</f>
        <v>AXZ</v>
      </c>
      <c r="J37" s="95" t="str">
        <f>_xlfn.IFNA(VLOOKUP($D37,'Route-Details'!$B$2:$X$1048576,'Node Details'!J$1,0),"")</f>
        <v>AXZ</v>
      </c>
      <c r="K37" s="80">
        <v>46110</v>
      </c>
      <c r="L37" s="80">
        <v>46110</v>
      </c>
      <c r="M37" s="96">
        <v>46119</v>
      </c>
      <c r="N37" s="80">
        <v>46110</v>
      </c>
      <c r="Q37" s="93" t="s">
        <v>173</v>
      </c>
      <c r="R37" s="97"/>
      <c r="S37" s="94"/>
      <c r="T37" s="94"/>
      <c r="U37" s="94"/>
      <c r="V37" s="100"/>
      <c r="W37" s="98"/>
      <c r="X37" s="94"/>
      <c r="Y37" s="99"/>
      <c r="Z37" s="97"/>
      <c r="AA37" s="100"/>
      <c r="AB37" s="94"/>
      <c r="AC37" s="98"/>
      <c r="AD37" s="97"/>
      <c r="AE37" s="93"/>
      <c r="AF37" s="88">
        <f t="shared" si="0"/>
        <v>0</v>
      </c>
      <c r="AH37" s="100"/>
      <c r="AI37" s="94"/>
      <c r="AJ37" s="93"/>
      <c r="AK37" s="87">
        <f t="shared" si="1"/>
        <v>0</v>
      </c>
      <c r="AN37" s="87">
        <f t="shared" si="2"/>
        <v>0</v>
      </c>
      <c r="AO37" s="87">
        <f t="shared" si="3"/>
        <v>0</v>
      </c>
      <c r="AQ37" s="100"/>
      <c r="AR37" s="101"/>
      <c r="AS37" s="88">
        <f t="shared" si="4"/>
        <v>0</v>
      </c>
      <c r="AT37" s="88">
        <f t="shared" si="5"/>
        <v>0</v>
      </c>
      <c r="AV37" s="100"/>
      <c r="AW37" s="101"/>
      <c r="AX37" s="102">
        <f t="shared" si="6"/>
        <v>0</v>
      </c>
      <c r="AY37" s="102">
        <f t="shared" si="7"/>
        <v>0</v>
      </c>
      <c r="AZ37" s="102">
        <f t="shared" si="8"/>
        <v>0</v>
      </c>
      <c r="BB37" s="76" t="s">
        <v>205</v>
      </c>
      <c r="BC37" s="103" t="s">
        <v>176</v>
      </c>
    </row>
    <row r="38" spans="1:55" s="84" customFormat="1" ht="15" customHeight="1" x14ac:dyDescent="0.2">
      <c r="A38" s="93">
        <f t="shared" si="9"/>
        <v>36</v>
      </c>
      <c r="B38" s="79" t="s">
        <v>171</v>
      </c>
      <c r="C38" s="76"/>
      <c r="D38" s="80" t="s">
        <v>212</v>
      </c>
      <c r="E38" s="95" t="str">
        <f>_xlfn.IFNA(VLOOKUP($D38,'Route-Details'!$B$2:$X$1048576,'Node Details'!E$1,0),"")</f>
        <v>Airtel</v>
      </c>
      <c r="F38" s="95" t="str">
        <f>_xlfn.IFNA(VLOOKUP($D38,'Route-Details'!$B$2:$X$1048576,'Node Details'!F$1,0),"")</f>
        <v>PLAN OF AXZ DARIA</v>
      </c>
      <c r="G38" s="95" t="str">
        <f>_xlfn.IFNA(VLOOKUP($D38,'Route-Details'!$B$2:$X$1048576,'Node Details'!G$1,0),"")</f>
        <v>Chandigarh</v>
      </c>
      <c r="H38" s="95" t="str">
        <f>_xlfn.IFNA(VLOOKUP($D39,'Route-Details'!$B$2:$X$1048576,'Node Details'!H$1,0),"")</f>
        <v>Punjab</v>
      </c>
      <c r="I38" s="95" t="str">
        <f>_xlfn.IFNA(VLOOKUP($D38,'Route-Details'!$B$2:$X$1048576,'Node Details'!I$1,0),"")</f>
        <v>AXZ</v>
      </c>
      <c r="J38" s="95" t="str">
        <f>_xlfn.IFNA(VLOOKUP($D38,'Route-Details'!$B$2:$X$1048576,'Node Details'!J$1,0),"")</f>
        <v>AXZ</v>
      </c>
      <c r="K38" s="80">
        <v>46110</v>
      </c>
      <c r="L38" s="80">
        <v>46110</v>
      </c>
      <c r="M38" s="96">
        <v>46119</v>
      </c>
      <c r="N38" s="80">
        <v>46110</v>
      </c>
      <c r="Q38" s="93" t="s">
        <v>173</v>
      </c>
      <c r="R38" s="97"/>
      <c r="S38" s="94"/>
      <c r="T38" s="94"/>
      <c r="U38" s="94"/>
      <c r="V38" s="100"/>
      <c r="W38" s="98"/>
      <c r="X38" s="94"/>
      <c r="Y38" s="99"/>
      <c r="Z38" s="97"/>
      <c r="AA38" s="100"/>
      <c r="AB38" s="94"/>
      <c r="AC38" s="98"/>
      <c r="AD38" s="97"/>
      <c r="AE38" s="93"/>
      <c r="AF38" s="88">
        <f t="shared" si="0"/>
        <v>0</v>
      </c>
      <c r="AH38" s="100"/>
      <c r="AI38" s="94"/>
      <c r="AJ38" s="93"/>
      <c r="AK38" s="87">
        <f t="shared" si="1"/>
        <v>0</v>
      </c>
      <c r="AN38" s="87">
        <f t="shared" si="2"/>
        <v>0</v>
      </c>
      <c r="AO38" s="87">
        <f t="shared" si="3"/>
        <v>0</v>
      </c>
      <c r="AQ38" s="100"/>
      <c r="AR38" s="101"/>
      <c r="AS38" s="88">
        <f t="shared" si="4"/>
        <v>0</v>
      </c>
      <c r="AT38" s="88">
        <f t="shared" si="5"/>
        <v>0</v>
      </c>
      <c r="AV38" s="100"/>
      <c r="AW38" s="101"/>
      <c r="AX38" s="102">
        <f t="shared" si="6"/>
        <v>0</v>
      </c>
      <c r="AY38" s="102">
        <f t="shared" si="7"/>
        <v>0</v>
      </c>
      <c r="AZ38" s="102">
        <f t="shared" si="8"/>
        <v>0</v>
      </c>
      <c r="BB38" s="76" t="s">
        <v>205</v>
      </c>
      <c r="BC38" s="103" t="s">
        <v>176</v>
      </c>
    </row>
    <row r="39" spans="1:55" s="84" customFormat="1" ht="15" customHeight="1" x14ac:dyDescent="0.2">
      <c r="A39" s="93">
        <f t="shared" si="9"/>
        <v>37</v>
      </c>
      <c r="B39" s="79" t="s">
        <v>172</v>
      </c>
      <c r="C39" s="76"/>
      <c r="D39" s="80" t="s">
        <v>212</v>
      </c>
      <c r="E39" s="95" t="str">
        <f>_xlfn.IFNA(VLOOKUP($D39,'Route-Details'!$B$2:$X$1048576,'Node Details'!E$1,0),"")</f>
        <v>Airtel</v>
      </c>
      <c r="F39" s="95" t="str">
        <f>_xlfn.IFNA(VLOOKUP($D39,'Route-Details'!$B$2:$X$1048576,'Node Details'!F$1,0),"")</f>
        <v>PLAN OF AXZ DARIA</v>
      </c>
      <c r="G39" s="95" t="str">
        <f>_xlfn.IFNA(VLOOKUP($D39,'Route-Details'!$B$2:$X$1048576,'Node Details'!G$1,0),"")</f>
        <v>Chandigarh</v>
      </c>
      <c r="H39" s="95" t="str">
        <f>_xlfn.IFNA(VLOOKUP($D40,'Route-Details'!$B$2:$X$1048576,'Node Details'!H$1,0),"")</f>
        <v>Punjab</v>
      </c>
      <c r="I39" s="95" t="str">
        <f>_xlfn.IFNA(VLOOKUP($D39,'Route-Details'!$B$2:$X$1048576,'Node Details'!I$1,0),"")</f>
        <v>AXZ</v>
      </c>
      <c r="J39" s="95" t="str">
        <f>_xlfn.IFNA(VLOOKUP($D39,'Route-Details'!$B$2:$X$1048576,'Node Details'!J$1,0),"")</f>
        <v>AXZ</v>
      </c>
      <c r="K39" s="80">
        <v>46110</v>
      </c>
      <c r="L39" s="80">
        <v>46110</v>
      </c>
      <c r="M39" s="96">
        <v>46119</v>
      </c>
      <c r="N39" s="80">
        <v>46110</v>
      </c>
      <c r="Q39" s="93" t="s">
        <v>173</v>
      </c>
      <c r="R39" s="97"/>
      <c r="S39" s="94"/>
      <c r="T39" s="94"/>
      <c r="U39" s="94"/>
      <c r="V39" s="100"/>
      <c r="W39" s="98"/>
      <c r="X39" s="94"/>
      <c r="Y39" s="99"/>
      <c r="Z39" s="97"/>
      <c r="AA39" s="100"/>
      <c r="AB39" s="94"/>
      <c r="AC39" s="98"/>
      <c r="AD39" s="97"/>
      <c r="AE39" s="93"/>
      <c r="AF39" s="88">
        <f t="shared" si="0"/>
        <v>0</v>
      </c>
      <c r="AH39" s="100"/>
      <c r="AI39" s="94"/>
      <c r="AJ39" s="93"/>
      <c r="AK39" s="87">
        <f t="shared" si="1"/>
        <v>0</v>
      </c>
      <c r="AN39" s="87">
        <f t="shared" si="2"/>
        <v>0</v>
      </c>
      <c r="AO39" s="87">
        <f t="shared" si="3"/>
        <v>0</v>
      </c>
      <c r="AQ39" s="100"/>
      <c r="AR39" s="101"/>
      <c r="AS39" s="88">
        <f t="shared" si="4"/>
        <v>0</v>
      </c>
      <c r="AT39" s="88">
        <f t="shared" si="5"/>
        <v>0</v>
      </c>
      <c r="AV39" s="100"/>
      <c r="AW39" s="101"/>
      <c r="AX39" s="102">
        <f t="shared" si="6"/>
        <v>0</v>
      </c>
      <c r="AY39" s="102">
        <f t="shared" si="7"/>
        <v>0</v>
      </c>
      <c r="AZ39" s="102">
        <f t="shared" si="8"/>
        <v>0</v>
      </c>
      <c r="BB39" s="76" t="s">
        <v>205</v>
      </c>
      <c r="BC39" s="103" t="s">
        <v>176</v>
      </c>
    </row>
    <row r="40" spans="1:55" s="77" customFormat="1" ht="15" customHeight="1" x14ac:dyDescent="0.25">
      <c r="A40" s="93">
        <f t="shared" si="9"/>
        <v>38</v>
      </c>
      <c r="B40" s="79" t="s">
        <v>134</v>
      </c>
      <c r="C40" s="81"/>
      <c r="D40" s="80" t="s">
        <v>213</v>
      </c>
      <c r="E40" s="95" t="str">
        <f>_xlfn.IFNA(VLOOKUP($D40,'Route-Details'!$B$2:$X$1048576,'Node Details'!E$1,0),"")</f>
        <v>Airtel</v>
      </c>
      <c r="F40" s="95" t="str">
        <f>_xlfn.IFNA(VLOOKUP($D40,'Route-Details'!$B$2:$X$1048576,'Node Details'!F$1,0),"")</f>
        <v>PLAN OF AXZ DARIA</v>
      </c>
      <c r="G40" s="95" t="str">
        <f>_xlfn.IFNA(VLOOKUP($D40,'Route-Details'!$B$2:$X$1048576,'Node Details'!G$1,0),"")</f>
        <v>Chandigarh</v>
      </c>
      <c r="H40" s="95" t="str">
        <f>_xlfn.IFNA(VLOOKUP($D41,'Route-Details'!$B$2:$X$1048576,'Node Details'!H$1,0),"")</f>
        <v/>
      </c>
      <c r="I40" s="95" t="str">
        <f>_xlfn.IFNA(VLOOKUP($D40,'Route-Details'!$B$2:$X$1048576,'Node Details'!I$1,0),"")</f>
        <v>AXZ</v>
      </c>
      <c r="J40" s="95" t="str">
        <f>_xlfn.IFNA(VLOOKUP($D40,'Route-Details'!$B$2:$X$1048576,'Node Details'!J$1,0),"")</f>
        <v>AXZ</v>
      </c>
      <c r="K40" s="80">
        <v>46110</v>
      </c>
      <c r="L40" s="80">
        <v>46110</v>
      </c>
      <c r="M40" s="96">
        <v>46119</v>
      </c>
      <c r="N40" s="80">
        <v>46110</v>
      </c>
      <c r="Q40" s="93" t="s">
        <v>173</v>
      </c>
      <c r="R40" s="97"/>
      <c r="S40" s="94"/>
      <c r="T40" s="94"/>
      <c r="U40" s="94"/>
      <c r="V40" s="100"/>
      <c r="W40" s="98"/>
      <c r="X40" s="94"/>
      <c r="Y40" s="99"/>
      <c r="Z40" s="97"/>
      <c r="AA40" s="100"/>
      <c r="AB40" s="94"/>
      <c r="AC40" s="98"/>
      <c r="AD40" s="97"/>
      <c r="AE40" s="93"/>
      <c r="AF40" s="88">
        <f t="shared" ref="AF40" si="10">IF(AB40&lt;&gt;"",AE40*AB40,0)</f>
        <v>0</v>
      </c>
      <c r="AG40" s="84"/>
      <c r="AH40" s="100"/>
      <c r="AI40" s="94"/>
      <c r="AJ40" s="93"/>
      <c r="AK40" s="87">
        <f t="shared" ref="AK40" si="11">IF(AI40&lt;&gt;"",AJ40*AI40,0)</f>
        <v>0</v>
      </c>
      <c r="AL40" s="84"/>
      <c r="AM40" s="84"/>
      <c r="AN40" s="87">
        <f t="shared" ref="AN40" si="12">IF(AL40&lt;&gt;"",AM40*AL40,0)</f>
        <v>0</v>
      </c>
      <c r="AO40" s="87">
        <f t="shared" ref="AO40" si="13">AN40+AK40</f>
        <v>0</v>
      </c>
      <c r="AP40" s="84"/>
      <c r="AQ40" s="100"/>
      <c r="AR40" s="101"/>
      <c r="AS40" s="88">
        <f t="shared" ref="AS40" si="14">AJ40</f>
        <v>0</v>
      </c>
      <c r="AT40" s="88">
        <f t="shared" ref="AT40" si="15">AS40*AI40</f>
        <v>0</v>
      </c>
      <c r="AU40" s="84"/>
      <c r="AV40" s="100"/>
      <c r="AW40" s="101"/>
      <c r="AX40" s="102">
        <f t="shared" ref="AX40" si="16">AJ40</f>
        <v>0</v>
      </c>
      <c r="AY40" s="102">
        <f t="shared" ref="AY40" si="17">AI40</f>
        <v>0</v>
      </c>
      <c r="AZ40" s="102">
        <f t="shared" ref="AZ40" si="18">IF(AY40&lt;&gt;"",AY40*AX40,0)</f>
        <v>0</v>
      </c>
      <c r="BA40" s="84"/>
      <c r="BB40" s="81" t="s">
        <v>192</v>
      </c>
      <c r="BC40" s="103" t="s">
        <v>176</v>
      </c>
    </row>
  </sheetData>
  <conditionalFormatting sqref="B3:B40">
    <cfRule type="duplicateValues" dxfId="5" priority="631"/>
    <cfRule type="duplicateValues" dxfId="4" priority="632"/>
  </conditionalFormatting>
  <dataValidations count="3">
    <dataValidation type="list" allowBlank="1" showInputMessage="1" showErrorMessage="1" sqref="AD3:AD14 R3:R14" xr:uid="{00000000-0002-0000-0400-000000000000}">
      <formula1>"6F,12F,24F,48F"</formula1>
    </dataValidation>
    <dataValidation type="list" allowBlank="1" showInputMessage="1" showErrorMessage="1" sqref="Q3:Q40" xr:uid="{00000000-0002-0000-0400-000001000000}">
      <formula1>"Yes,No"</formula1>
    </dataValidation>
    <dataValidation type="list" allowBlank="1" showInputMessage="1" showErrorMessage="1" sqref="AC3:AC40" xr:uid="{00000000-0002-0000-0400-000002000000}">
      <formula1>"ADSS, UA, A"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Y110"/>
  <sheetViews>
    <sheetView zoomScaleNormal="100" workbookViewId="0">
      <pane ySplit="2" topLeftCell="A41" activePane="bottomLeft" state="frozen"/>
      <selection pane="bottomLeft" activeCell="Y3" sqref="Y3"/>
    </sheetView>
  </sheetViews>
  <sheetFormatPr defaultRowHeight="15" x14ac:dyDescent="0.25"/>
  <cols>
    <col min="1" max="1" width="7.5703125" style="9" bestFit="1" customWidth="1"/>
    <col min="2" max="2" width="12.85546875" style="9" customWidth="1"/>
    <col min="3" max="3" width="20.85546875" style="9" bestFit="1" customWidth="1"/>
    <col min="4" max="4" width="9.140625" style="9" bestFit="1" customWidth="1"/>
    <col min="5" max="5" width="9.28515625" style="9" bestFit="1" customWidth="1"/>
    <col min="6" max="6" width="10.42578125" style="15" bestFit="1" customWidth="1"/>
    <col min="7" max="7" width="1.7109375" style="9" customWidth="1"/>
    <col min="8" max="8" width="21.42578125" style="9" bestFit="1" customWidth="1"/>
    <col min="9" max="10" width="8.7109375" style="9" customWidth="1"/>
    <col min="11" max="11" width="11.5703125" style="9" bestFit="1" customWidth="1"/>
    <col min="12" max="12" width="11.5703125" style="14" customWidth="1"/>
    <col min="13" max="13" width="1.7109375" customWidth="1"/>
    <col min="14" max="14" width="25.85546875" bestFit="1" customWidth="1"/>
    <col min="15" max="15" width="9.85546875" style="12" bestFit="1" customWidth="1"/>
    <col min="16" max="16" width="7.85546875" bestFit="1" customWidth="1"/>
    <col min="17" max="17" width="13" bestFit="1" customWidth="1"/>
    <col min="18" max="18" width="1.7109375" customWidth="1"/>
    <col min="19" max="19" width="16" bestFit="1" customWidth="1"/>
    <col min="20" max="20" width="9.85546875" style="12" bestFit="1" customWidth="1"/>
    <col min="21" max="21" width="7.42578125" bestFit="1" customWidth="1"/>
    <col min="22" max="22" width="8.42578125" bestFit="1" customWidth="1"/>
    <col min="23" max="23" width="7.28515625" bestFit="1" customWidth="1"/>
    <col min="24" max="24" width="7.28515625" customWidth="1"/>
  </cols>
  <sheetData>
    <row r="1" spans="1:25" s="26" customFormat="1" ht="15.75" customHeight="1" thickBot="1" x14ac:dyDescent="0.3">
      <c r="A1" s="29"/>
      <c r="B1" s="29"/>
      <c r="C1" s="29">
        <v>3</v>
      </c>
      <c r="D1" s="29">
        <f>MATCH(D2,'Node Details'!$B$2:$U$2,0)</f>
        <v>9</v>
      </c>
      <c r="E1" s="29">
        <f>MATCH(E2,'Node Details'!$B$2:$U$2,0)</f>
        <v>4</v>
      </c>
      <c r="F1" s="29"/>
      <c r="G1" s="29"/>
      <c r="H1" s="29"/>
      <c r="I1" s="29">
        <f>SUBTOTAL(9,I3:I1048576)</f>
        <v>182</v>
      </c>
      <c r="J1" s="29"/>
      <c r="K1" s="29">
        <f>SUBTOTAL(9,K3:K1048576)</f>
        <v>34631</v>
      </c>
      <c r="L1" s="29"/>
      <c r="Q1" s="29">
        <f>SUBTOTAL(9,Q3:Q1048576)</f>
        <v>34631</v>
      </c>
    </row>
    <row r="2" spans="1:25" s="20" customFormat="1" ht="36" customHeight="1" x14ac:dyDescent="0.25">
      <c r="A2" s="63" t="s">
        <v>0</v>
      </c>
      <c r="B2" s="64" t="s">
        <v>80</v>
      </c>
      <c r="C2" s="65" t="s">
        <v>78</v>
      </c>
      <c r="D2" s="65" t="s">
        <v>38</v>
      </c>
      <c r="E2" s="65" t="s">
        <v>32</v>
      </c>
      <c r="F2" s="71" t="s">
        <v>41</v>
      </c>
      <c r="G2" s="22"/>
      <c r="H2" s="72" t="s">
        <v>5</v>
      </c>
      <c r="I2" s="64" t="s">
        <v>81</v>
      </c>
      <c r="J2" s="64" t="s">
        <v>82</v>
      </c>
      <c r="K2" s="73" t="s">
        <v>83</v>
      </c>
      <c r="L2" s="74" t="s">
        <v>84</v>
      </c>
      <c r="M2" s="23"/>
      <c r="N2" s="63" t="s">
        <v>66</v>
      </c>
      <c r="O2" s="75" t="s">
        <v>67</v>
      </c>
      <c r="P2" s="65" t="s">
        <v>68</v>
      </c>
      <c r="Q2" s="70" t="s">
        <v>69</v>
      </c>
      <c r="R2" s="22"/>
      <c r="S2" s="63" t="s">
        <v>70</v>
      </c>
      <c r="T2" s="75" t="s">
        <v>71</v>
      </c>
      <c r="U2" s="65" t="s">
        <v>72</v>
      </c>
      <c r="V2" s="65" t="s">
        <v>73</v>
      </c>
      <c r="W2" s="70" t="s">
        <v>74</v>
      </c>
      <c r="X2" s="39" t="s">
        <v>85</v>
      </c>
      <c r="Y2" s="20" t="s">
        <v>175</v>
      </c>
    </row>
    <row r="3" spans="1:25" s="84" customFormat="1" ht="11.1" customHeight="1" x14ac:dyDescent="0.2">
      <c r="A3" s="78">
        <v>1</v>
      </c>
      <c r="B3" s="79" t="s">
        <v>137</v>
      </c>
      <c r="C3" s="78" t="str">
        <f>IF($B3&lt;&gt;"",_xlfn.IFNA(VLOOKUP($B3,'Node Details'!$B:$U,C$1,0),"Check"),"")</f>
        <v>0000AXZ01-AXZ010101</v>
      </c>
      <c r="D3" s="78" t="str">
        <f>IF($B3&lt;&gt;"",_xlfn.IFNA(VLOOKUP($B3,'Node Details'!$B:$U,D$1,0),"Check"),"")</f>
        <v>AXZ</v>
      </c>
      <c r="E3" s="78" t="str">
        <f>IF($B3&lt;&gt;"",_xlfn.IFNA(VLOOKUP($B3,'Node Details'!$B:$U,E$1,0),"Check"),"")</f>
        <v>Airtel</v>
      </c>
      <c r="F3" s="80">
        <v>46110</v>
      </c>
      <c r="G3" s="78"/>
      <c r="H3" s="81" t="s">
        <v>22</v>
      </c>
      <c r="I3" s="81">
        <v>2</v>
      </c>
      <c r="J3" s="81">
        <v>42</v>
      </c>
      <c r="K3" s="82">
        <f t="shared" ref="K3:K66" si="0">IF(I3&lt;&gt;"",J3*I3,0)</f>
        <v>84</v>
      </c>
      <c r="L3" s="83"/>
      <c r="N3" s="85"/>
      <c r="O3" s="86"/>
      <c r="P3" s="87">
        <f t="shared" ref="P3:P66" si="1">J3</f>
        <v>42</v>
      </c>
      <c r="Q3" s="87">
        <f t="shared" ref="Q3:Q66" si="2">P3*I3</f>
        <v>84</v>
      </c>
      <c r="R3" s="87"/>
      <c r="S3" s="85"/>
      <c r="T3" s="86"/>
      <c r="U3" s="87">
        <f t="shared" ref="U3:U66" si="3">J3</f>
        <v>42</v>
      </c>
      <c r="V3" s="87">
        <f t="shared" ref="V3:V66" si="4">I3</f>
        <v>2</v>
      </c>
      <c r="W3" s="88">
        <f t="shared" ref="W3:W66" si="5">IF(V3&lt;&gt;"",V3*U3,0)</f>
        <v>84</v>
      </c>
      <c r="X3" s="88" t="s">
        <v>181</v>
      </c>
      <c r="Y3" s="84" t="s">
        <v>176</v>
      </c>
    </row>
    <row r="4" spans="1:25" s="84" customFormat="1" ht="11.1" customHeight="1" x14ac:dyDescent="0.2">
      <c r="A4" s="78">
        <f t="shared" ref="A4:A67" si="6">A3+1</f>
        <v>2</v>
      </c>
      <c r="B4" s="79" t="s">
        <v>138</v>
      </c>
      <c r="C4" s="78" t="str">
        <f>IF($B4&lt;&gt;"",_xlfn.IFNA(VLOOKUP($B4,'Node Details'!$B:$U,C$1,0),"Check"),"")</f>
        <v>0000AXZ01-AXZ010102</v>
      </c>
      <c r="D4" s="78" t="str">
        <f>IF($B4&lt;&gt;"",_xlfn.IFNA(VLOOKUP($B4,'Node Details'!$B:$U,D$1,0),"Check"),"")</f>
        <v>AXZ</v>
      </c>
      <c r="E4" s="78" t="str">
        <f>IF($B4&lt;&gt;"",_xlfn.IFNA(VLOOKUP($B4,'Node Details'!$B:$U,E$1,0),"Check"),"")</f>
        <v>Airtel</v>
      </c>
      <c r="F4" s="80">
        <v>46110</v>
      </c>
      <c r="G4" s="78"/>
      <c r="H4" s="81" t="s">
        <v>22</v>
      </c>
      <c r="I4" s="81">
        <v>2</v>
      </c>
      <c r="J4" s="81">
        <v>42</v>
      </c>
      <c r="K4" s="82">
        <f t="shared" si="0"/>
        <v>84</v>
      </c>
      <c r="L4" s="83"/>
      <c r="N4" s="85"/>
      <c r="O4" s="86"/>
      <c r="P4" s="87">
        <f t="shared" si="1"/>
        <v>42</v>
      </c>
      <c r="Q4" s="87">
        <f t="shared" si="2"/>
        <v>84</v>
      </c>
      <c r="R4" s="87"/>
      <c r="S4" s="85"/>
      <c r="T4" s="86"/>
      <c r="U4" s="87">
        <f t="shared" si="3"/>
        <v>42</v>
      </c>
      <c r="V4" s="87">
        <f t="shared" si="4"/>
        <v>2</v>
      </c>
      <c r="W4" s="88">
        <f t="shared" si="5"/>
        <v>84</v>
      </c>
      <c r="X4" s="88" t="s">
        <v>181</v>
      </c>
      <c r="Y4" s="84" t="s">
        <v>176</v>
      </c>
    </row>
    <row r="5" spans="1:25" s="84" customFormat="1" ht="11.1" customHeight="1" x14ac:dyDescent="0.2">
      <c r="A5" s="78">
        <f t="shared" si="6"/>
        <v>3</v>
      </c>
      <c r="B5" s="79" t="s">
        <v>139</v>
      </c>
      <c r="C5" s="78" t="str">
        <f>IF($B5&lt;&gt;"",_xlfn.IFNA(VLOOKUP($B5,'Node Details'!$B:$U,C$1,0),"Check"),"")</f>
        <v>0000AXZ01-AXZ010105</v>
      </c>
      <c r="D5" s="78" t="str">
        <f>IF($B5&lt;&gt;"",_xlfn.IFNA(VLOOKUP($B5,'Node Details'!$B:$U,D$1,0),"Check"),"")</f>
        <v>AXZ</v>
      </c>
      <c r="E5" s="78" t="str">
        <f>IF($B5&lt;&gt;"",_xlfn.IFNA(VLOOKUP($B5,'Node Details'!$B:$U,E$1,0),"Check"),"")</f>
        <v>Airtel</v>
      </c>
      <c r="F5" s="80">
        <v>46110</v>
      </c>
      <c r="G5" s="78"/>
      <c r="H5" s="81" t="s">
        <v>22</v>
      </c>
      <c r="I5" s="81">
        <v>2</v>
      </c>
      <c r="J5" s="81">
        <v>42</v>
      </c>
      <c r="K5" s="82">
        <f t="shared" si="0"/>
        <v>84</v>
      </c>
      <c r="L5" s="83"/>
      <c r="N5" s="85"/>
      <c r="O5" s="86"/>
      <c r="P5" s="87">
        <f t="shared" si="1"/>
        <v>42</v>
      </c>
      <c r="Q5" s="87">
        <f t="shared" si="2"/>
        <v>84</v>
      </c>
      <c r="R5" s="87"/>
      <c r="S5" s="85"/>
      <c r="T5" s="86"/>
      <c r="U5" s="87">
        <f t="shared" si="3"/>
        <v>42</v>
      </c>
      <c r="V5" s="87">
        <f t="shared" si="4"/>
        <v>2</v>
      </c>
      <c r="W5" s="88">
        <f t="shared" si="5"/>
        <v>84</v>
      </c>
      <c r="X5" s="88" t="s">
        <v>181</v>
      </c>
      <c r="Y5" s="84" t="s">
        <v>176</v>
      </c>
    </row>
    <row r="6" spans="1:25" s="84" customFormat="1" ht="11.1" customHeight="1" x14ac:dyDescent="0.2">
      <c r="A6" s="78">
        <f t="shared" si="6"/>
        <v>4</v>
      </c>
      <c r="B6" s="79" t="s">
        <v>140</v>
      </c>
      <c r="C6" s="78" t="str">
        <f>IF($B6&lt;&gt;"",_xlfn.IFNA(VLOOKUP($B6,'Node Details'!$B:$U,C$1,0),"Check"),"")</f>
        <v>0000AXZ01-AXZ010105</v>
      </c>
      <c r="D6" s="78" t="str">
        <f>IF($B6&lt;&gt;"",_xlfn.IFNA(VLOOKUP($B6,'Node Details'!$B:$U,D$1,0),"Check"),"")</f>
        <v>AXZ</v>
      </c>
      <c r="E6" s="78" t="str">
        <f>IF($B6&lt;&gt;"",_xlfn.IFNA(VLOOKUP($B6,'Node Details'!$B:$U,E$1,0),"Check"),"")</f>
        <v>Airtel</v>
      </c>
      <c r="F6" s="80">
        <v>46110</v>
      </c>
      <c r="G6" s="78"/>
      <c r="H6" s="81" t="s">
        <v>22</v>
      </c>
      <c r="I6" s="81">
        <v>2</v>
      </c>
      <c r="J6" s="81">
        <v>42</v>
      </c>
      <c r="K6" s="82">
        <f t="shared" si="0"/>
        <v>84</v>
      </c>
      <c r="L6" s="83"/>
      <c r="N6" s="85"/>
      <c r="O6" s="86"/>
      <c r="P6" s="87">
        <f t="shared" si="1"/>
        <v>42</v>
      </c>
      <c r="Q6" s="87">
        <f t="shared" si="2"/>
        <v>84</v>
      </c>
      <c r="R6" s="87"/>
      <c r="S6" s="85"/>
      <c r="T6" s="86"/>
      <c r="U6" s="87">
        <f t="shared" si="3"/>
        <v>42</v>
      </c>
      <c r="V6" s="87">
        <f t="shared" si="4"/>
        <v>2</v>
      </c>
      <c r="W6" s="88">
        <f t="shared" si="5"/>
        <v>84</v>
      </c>
      <c r="X6" s="88" t="s">
        <v>181</v>
      </c>
      <c r="Y6" s="84" t="s">
        <v>176</v>
      </c>
    </row>
    <row r="7" spans="1:25" s="84" customFormat="1" ht="11.1" customHeight="1" x14ac:dyDescent="0.2">
      <c r="A7" s="78">
        <f t="shared" si="6"/>
        <v>5</v>
      </c>
      <c r="B7" s="79" t="s">
        <v>141</v>
      </c>
      <c r="C7" s="78" t="str">
        <f>IF($B7&lt;&gt;"",_xlfn.IFNA(VLOOKUP($B7,'Node Details'!$B:$U,C$1,0),"Check"),"")</f>
        <v>0000AXZ01-AXZ010105</v>
      </c>
      <c r="D7" s="78" t="str">
        <f>IF($B7&lt;&gt;"",_xlfn.IFNA(VLOOKUP($B7,'Node Details'!$B:$U,D$1,0),"Check"),"")</f>
        <v>AXZ</v>
      </c>
      <c r="E7" s="78" t="str">
        <f>IF($B7&lt;&gt;"",_xlfn.IFNA(VLOOKUP($B7,'Node Details'!$B:$U,E$1,0),"Check"),"")</f>
        <v>Airtel</v>
      </c>
      <c r="F7" s="80">
        <v>46110</v>
      </c>
      <c r="G7" s="78"/>
      <c r="H7" s="81" t="s">
        <v>22</v>
      </c>
      <c r="I7" s="81">
        <v>2</v>
      </c>
      <c r="J7" s="81">
        <v>42</v>
      </c>
      <c r="K7" s="82">
        <f t="shared" si="0"/>
        <v>84</v>
      </c>
      <c r="L7" s="83"/>
      <c r="N7" s="85"/>
      <c r="O7" s="86"/>
      <c r="P7" s="87">
        <f t="shared" si="1"/>
        <v>42</v>
      </c>
      <c r="Q7" s="87">
        <f t="shared" si="2"/>
        <v>84</v>
      </c>
      <c r="R7" s="87"/>
      <c r="S7" s="85"/>
      <c r="T7" s="86"/>
      <c r="U7" s="87">
        <f t="shared" si="3"/>
        <v>42</v>
      </c>
      <c r="V7" s="87">
        <f t="shared" si="4"/>
        <v>2</v>
      </c>
      <c r="W7" s="88">
        <f t="shared" si="5"/>
        <v>84</v>
      </c>
      <c r="X7" s="88" t="s">
        <v>181</v>
      </c>
      <c r="Y7" s="84" t="s">
        <v>176</v>
      </c>
    </row>
    <row r="8" spans="1:25" s="84" customFormat="1" ht="11.1" customHeight="1" x14ac:dyDescent="0.2">
      <c r="A8" s="78">
        <f t="shared" si="6"/>
        <v>6</v>
      </c>
      <c r="B8" s="79" t="s">
        <v>142</v>
      </c>
      <c r="C8" s="78" t="str">
        <f>IF($B8&lt;&gt;"",_xlfn.IFNA(VLOOKUP($B8,'Node Details'!$B:$U,C$1,0),"Check"),"")</f>
        <v>0000AXZ01-AXZ010202</v>
      </c>
      <c r="D8" s="78" t="str">
        <f>IF($B8&lt;&gt;"",_xlfn.IFNA(VLOOKUP($B8,'Node Details'!$B:$U,D$1,0),"Check"),"")</f>
        <v>AXZ</v>
      </c>
      <c r="E8" s="78" t="str">
        <f>IF($B8&lt;&gt;"",_xlfn.IFNA(VLOOKUP($B8,'Node Details'!$B:$U,E$1,0),"Check"),"")</f>
        <v>Airtel</v>
      </c>
      <c r="F8" s="80">
        <v>46110</v>
      </c>
      <c r="G8" s="78"/>
      <c r="H8" s="81" t="s">
        <v>22</v>
      </c>
      <c r="I8" s="81">
        <v>2</v>
      </c>
      <c r="J8" s="81">
        <v>42</v>
      </c>
      <c r="K8" s="82">
        <f t="shared" si="0"/>
        <v>84</v>
      </c>
      <c r="L8" s="83"/>
      <c r="N8" s="85"/>
      <c r="O8" s="86"/>
      <c r="P8" s="87">
        <f t="shared" si="1"/>
        <v>42</v>
      </c>
      <c r="Q8" s="87">
        <f t="shared" si="2"/>
        <v>84</v>
      </c>
      <c r="R8" s="87"/>
      <c r="S8" s="85"/>
      <c r="T8" s="86"/>
      <c r="U8" s="87">
        <f t="shared" si="3"/>
        <v>42</v>
      </c>
      <c r="V8" s="87">
        <f t="shared" si="4"/>
        <v>2</v>
      </c>
      <c r="W8" s="88">
        <f t="shared" si="5"/>
        <v>84</v>
      </c>
      <c r="X8" s="88" t="s">
        <v>181</v>
      </c>
      <c r="Y8" s="84" t="s">
        <v>176</v>
      </c>
    </row>
    <row r="9" spans="1:25" s="84" customFormat="1" ht="11.1" customHeight="1" x14ac:dyDescent="0.2">
      <c r="A9" s="78">
        <f t="shared" si="6"/>
        <v>7</v>
      </c>
      <c r="B9" s="79" t="s">
        <v>143</v>
      </c>
      <c r="C9" s="78" t="str">
        <f>IF($B9&lt;&gt;"",_xlfn.IFNA(VLOOKUP($B9,'Node Details'!$B:$U,C$1,0),"Check"),"")</f>
        <v>0000AXZ01-AXZ010202</v>
      </c>
      <c r="D9" s="78" t="str">
        <f>IF($B9&lt;&gt;"",_xlfn.IFNA(VLOOKUP($B9,'Node Details'!$B:$U,D$1,0),"Check"),"")</f>
        <v>AXZ</v>
      </c>
      <c r="E9" s="78" t="str">
        <f>IF($B9&lt;&gt;"",_xlfn.IFNA(VLOOKUP($B9,'Node Details'!$B:$U,E$1,0),"Check"),"")</f>
        <v>Airtel</v>
      </c>
      <c r="F9" s="80">
        <v>46110</v>
      </c>
      <c r="G9" s="78"/>
      <c r="H9" s="81" t="s">
        <v>22</v>
      </c>
      <c r="I9" s="81">
        <v>2</v>
      </c>
      <c r="J9" s="81">
        <v>42</v>
      </c>
      <c r="K9" s="82">
        <f t="shared" si="0"/>
        <v>84</v>
      </c>
      <c r="L9" s="83"/>
      <c r="N9" s="85"/>
      <c r="O9" s="86"/>
      <c r="P9" s="87">
        <f t="shared" si="1"/>
        <v>42</v>
      </c>
      <c r="Q9" s="87">
        <f t="shared" si="2"/>
        <v>84</v>
      </c>
      <c r="R9" s="87"/>
      <c r="S9" s="85"/>
      <c r="T9" s="86"/>
      <c r="U9" s="87">
        <f t="shared" si="3"/>
        <v>42</v>
      </c>
      <c r="V9" s="87">
        <f t="shared" si="4"/>
        <v>2</v>
      </c>
      <c r="W9" s="88">
        <f t="shared" si="5"/>
        <v>84</v>
      </c>
      <c r="X9" s="88" t="s">
        <v>181</v>
      </c>
      <c r="Y9" s="84" t="s">
        <v>176</v>
      </c>
    </row>
    <row r="10" spans="1:25" s="84" customFormat="1" ht="11.1" customHeight="1" x14ac:dyDescent="0.2">
      <c r="A10" s="78">
        <f t="shared" si="6"/>
        <v>8</v>
      </c>
      <c r="B10" s="79" t="s">
        <v>144</v>
      </c>
      <c r="C10" s="78" t="str">
        <f>IF($B10&lt;&gt;"",_xlfn.IFNA(VLOOKUP($B10,'Node Details'!$B:$U,C$1,0),"Check"),"")</f>
        <v>0000AXZ01-AXZ010202</v>
      </c>
      <c r="D10" s="78" t="str">
        <f>IF($B10&lt;&gt;"",_xlfn.IFNA(VLOOKUP($B10,'Node Details'!$B:$U,D$1,0),"Check"),"")</f>
        <v>AXZ</v>
      </c>
      <c r="E10" s="78" t="str">
        <f>IF($B10&lt;&gt;"",_xlfn.IFNA(VLOOKUP($B10,'Node Details'!$B:$U,E$1,0),"Check"),"")</f>
        <v>Airtel</v>
      </c>
      <c r="F10" s="80">
        <v>46110</v>
      </c>
      <c r="G10" s="78"/>
      <c r="H10" s="81" t="s">
        <v>22</v>
      </c>
      <c r="I10" s="81">
        <v>2</v>
      </c>
      <c r="J10" s="81">
        <v>42</v>
      </c>
      <c r="K10" s="82">
        <f t="shared" si="0"/>
        <v>84</v>
      </c>
      <c r="L10" s="83"/>
      <c r="N10" s="85"/>
      <c r="O10" s="86"/>
      <c r="P10" s="87">
        <f t="shared" si="1"/>
        <v>42</v>
      </c>
      <c r="Q10" s="87">
        <f t="shared" si="2"/>
        <v>84</v>
      </c>
      <c r="R10" s="87"/>
      <c r="S10" s="85"/>
      <c r="T10" s="86"/>
      <c r="U10" s="87">
        <f t="shared" si="3"/>
        <v>42</v>
      </c>
      <c r="V10" s="87">
        <f t="shared" si="4"/>
        <v>2</v>
      </c>
      <c r="W10" s="88">
        <f t="shared" si="5"/>
        <v>84</v>
      </c>
      <c r="X10" s="88" t="s">
        <v>181</v>
      </c>
      <c r="Y10" s="84" t="s">
        <v>176</v>
      </c>
    </row>
    <row r="11" spans="1:25" s="84" customFormat="1" ht="11.1" customHeight="1" x14ac:dyDescent="0.2">
      <c r="A11" s="78">
        <f t="shared" si="6"/>
        <v>9</v>
      </c>
      <c r="B11" s="79" t="s">
        <v>145</v>
      </c>
      <c r="C11" s="78" t="str">
        <f>IF($B11&lt;&gt;"",_xlfn.IFNA(VLOOKUP($B11,'Node Details'!$B:$U,C$1,0),"Check"),"")</f>
        <v>0000AXZ01-AXZ010202</v>
      </c>
      <c r="D11" s="78" t="str">
        <f>IF($B11&lt;&gt;"",_xlfn.IFNA(VLOOKUP($B11,'Node Details'!$B:$U,D$1,0),"Check"),"")</f>
        <v>AXZ</v>
      </c>
      <c r="E11" s="78" t="str">
        <f>IF($B11&lt;&gt;"",_xlfn.IFNA(VLOOKUP($B11,'Node Details'!$B:$U,E$1,0),"Check"),"")</f>
        <v>Airtel</v>
      </c>
      <c r="F11" s="80">
        <v>46110</v>
      </c>
      <c r="G11" s="78"/>
      <c r="H11" s="81" t="s">
        <v>22</v>
      </c>
      <c r="I11" s="81">
        <v>2</v>
      </c>
      <c r="J11" s="81">
        <v>42</v>
      </c>
      <c r="K11" s="82">
        <f t="shared" si="0"/>
        <v>84</v>
      </c>
      <c r="L11" s="83"/>
      <c r="N11" s="85"/>
      <c r="O11" s="86"/>
      <c r="P11" s="87">
        <f t="shared" si="1"/>
        <v>42</v>
      </c>
      <c r="Q11" s="87">
        <f t="shared" si="2"/>
        <v>84</v>
      </c>
      <c r="R11" s="87"/>
      <c r="S11" s="85"/>
      <c r="T11" s="86"/>
      <c r="U11" s="87">
        <f t="shared" si="3"/>
        <v>42</v>
      </c>
      <c r="V11" s="87">
        <f t="shared" si="4"/>
        <v>2</v>
      </c>
      <c r="W11" s="88">
        <f t="shared" si="5"/>
        <v>84</v>
      </c>
      <c r="X11" s="88" t="s">
        <v>181</v>
      </c>
      <c r="Y11" s="84" t="s">
        <v>176</v>
      </c>
    </row>
    <row r="12" spans="1:25" s="84" customFormat="1" ht="11.1" customHeight="1" x14ac:dyDescent="0.2">
      <c r="A12" s="78">
        <f t="shared" si="6"/>
        <v>10</v>
      </c>
      <c r="B12" s="79" t="s">
        <v>146</v>
      </c>
      <c r="C12" s="78" t="str">
        <f>IF($B12&lt;&gt;"",_xlfn.IFNA(VLOOKUP($B12,'Node Details'!$B:$U,C$1,0),"Check"),"")</f>
        <v>0000AXZ01-AXZ010202</v>
      </c>
      <c r="D12" s="78" t="str">
        <f>IF($B12&lt;&gt;"",_xlfn.IFNA(VLOOKUP($B12,'Node Details'!$B:$U,D$1,0),"Check"),"")</f>
        <v>AXZ</v>
      </c>
      <c r="E12" s="78" t="str">
        <f>IF($B12&lt;&gt;"",_xlfn.IFNA(VLOOKUP($B12,'Node Details'!$B:$U,E$1,0),"Check"),"")</f>
        <v>Airtel</v>
      </c>
      <c r="F12" s="80">
        <v>46110</v>
      </c>
      <c r="G12" s="78"/>
      <c r="H12" s="81" t="s">
        <v>22</v>
      </c>
      <c r="I12" s="81">
        <v>2</v>
      </c>
      <c r="J12" s="81">
        <v>42</v>
      </c>
      <c r="K12" s="82">
        <f t="shared" si="0"/>
        <v>84</v>
      </c>
      <c r="L12" s="83"/>
      <c r="N12" s="85"/>
      <c r="O12" s="86"/>
      <c r="P12" s="87">
        <f t="shared" si="1"/>
        <v>42</v>
      </c>
      <c r="Q12" s="87">
        <f t="shared" si="2"/>
        <v>84</v>
      </c>
      <c r="R12" s="87"/>
      <c r="S12" s="85"/>
      <c r="T12" s="86"/>
      <c r="U12" s="87">
        <f t="shared" si="3"/>
        <v>42</v>
      </c>
      <c r="V12" s="87">
        <f t="shared" si="4"/>
        <v>2</v>
      </c>
      <c r="W12" s="88">
        <f t="shared" si="5"/>
        <v>84</v>
      </c>
      <c r="X12" s="88" t="s">
        <v>181</v>
      </c>
      <c r="Y12" s="84" t="s">
        <v>176</v>
      </c>
    </row>
    <row r="13" spans="1:25" s="84" customFormat="1" ht="11.1" customHeight="1" x14ac:dyDescent="0.2">
      <c r="A13" s="78">
        <f t="shared" si="6"/>
        <v>11</v>
      </c>
      <c r="B13" s="79" t="s">
        <v>148</v>
      </c>
      <c r="C13" s="78" t="str">
        <f>IF($B13&lt;&gt;"",_xlfn.IFNA(VLOOKUP($B13,'Node Details'!$B:$U,C$1,0),"Check"),"")</f>
        <v>0000AXZ02-AXZ020101</v>
      </c>
      <c r="D13" s="78" t="str">
        <f>IF($B13&lt;&gt;"",_xlfn.IFNA(VLOOKUP($B13,'Node Details'!$B:$U,D$1,0),"Check"),"")</f>
        <v>AXZ</v>
      </c>
      <c r="E13" s="78" t="str">
        <f>IF($B13&lt;&gt;"",_xlfn.IFNA(VLOOKUP($B13,'Node Details'!$B:$U,E$1,0),"Check"),"")</f>
        <v>Airtel</v>
      </c>
      <c r="F13" s="80">
        <v>46110</v>
      </c>
      <c r="G13" s="78"/>
      <c r="H13" s="81" t="s">
        <v>22</v>
      </c>
      <c r="I13" s="81">
        <v>2</v>
      </c>
      <c r="J13" s="81">
        <v>42</v>
      </c>
      <c r="K13" s="82">
        <f t="shared" si="0"/>
        <v>84</v>
      </c>
      <c r="L13" s="83"/>
      <c r="N13" s="85"/>
      <c r="O13" s="86"/>
      <c r="P13" s="87">
        <f t="shared" si="1"/>
        <v>42</v>
      </c>
      <c r="Q13" s="87">
        <f t="shared" si="2"/>
        <v>84</v>
      </c>
      <c r="R13" s="87"/>
      <c r="S13" s="85"/>
      <c r="T13" s="86"/>
      <c r="U13" s="87">
        <f t="shared" si="3"/>
        <v>42</v>
      </c>
      <c r="V13" s="87">
        <f t="shared" si="4"/>
        <v>2</v>
      </c>
      <c r="W13" s="88">
        <f t="shared" si="5"/>
        <v>84</v>
      </c>
      <c r="X13" s="88" t="s">
        <v>181</v>
      </c>
      <c r="Y13" s="84" t="s">
        <v>176</v>
      </c>
    </row>
    <row r="14" spans="1:25" s="84" customFormat="1" ht="11.1" customHeight="1" x14ac:dyDescent="0.2">
      <c r="A14" s="78">
        <f t="shared" si="6"/>
        <v>12</v>
      </c>
      <c r="B14" s="79" t="s">
        <v>149</v>
      </c>
      <c r="C14" s="78" t="str">
        <f>IF($B14&lt;&gt;"",_xlfn.IFNA(VLOOKUP($B14,'Node Details'!$B:$U,C$1,0),"Check"),"")</f>
        <v>0000AXZ02-AXZ020103</v>
      </c>
      <c r="D14" s="78" t="str">
        <f>IF($B14&lt;&gt;"",_xlfn.IFNA(VLOOKUP($B14,'Node Details'!$B:$U,D$1,0),"Check"),"")</f>
        <v>AXZ</v>
      </c>
      <c r="E14" s="78" t="str">
        <f>IF($B14&lt;&gt;"",_xlfn.IFNA(VLOOKUP($B14,'Node Details'!$B:$U,E$1,0),"Check"),"")</f>
        <v>Airtel</v>
      </c>
      <c r="F14" s="80">
        <v>46110</v>
      </c>
      <c r="G14" s="78"/>
      <c r="H14" s="81" t="s">
        <v>22</v>
      </c>
      <c r="I14" s="81">
        <v>2</v>
      </c>
      <c r="J14" s="81">
        <v>42</v>
      </c>
      <c r="K14" s="82">
        <f t="shared" si="0"/>
        <v>84</v>
      </c>
      <c r="L14" s="83"/>
      <c r="N14" s="85"/>
      <c r="O14" s="86"/>
      <c r="P14" s="87">
        <f t="shared" si="1"/>
        <v>42</v>
      </c>
      <c r="Q14" s="87">
        <f t="shared" si="2"/>
        <v>84</v>
      </c>
      <c r="R14" s="87"/>
      <c r="S14" s="85"/>
      <c r="T14" s="86"/>
      <c r="U14" s="87">
        <f t="shared" si="3"/>
        <v>42</v>
      </c>
      <c r="V14" s="87">
        <f t="shared" si="4"/>
        <v>2</v>
      </c>
      <c r="W14" s="88">
        <f t="shared" si="5"/>
        <v>84</v>
      </c>
      <c r="X14" s="88" t="s">
        <v>181</v>
      </c>
      <c r="Y14" s="84" t="s">
        <v>176</v>
      </c>
    </row>
    <row r="15" spans="1:25" s="84" customFormat="1" ht="11.1" customHeight="1" x14ac:dyDescent="0.2">
      <c r="A15" s="78">
        <f t="shared" si="6"/>
        <v>13</v>
      </c>
      <c r="B15" s="79" t="s">
        <v>150</v>
      </c>
      <c r="C15" s="78" t="str">
        <f>IF($B15&lt;&gt;"",_xlfn.IFNA(VLOOKUP($B15,'Node Details'!$B:$U,C$1,0),"Check"),"")</f>
        <v>0000AXZ02-AXZ020103</v>
      </c>
      <c r="D15" s="78" t="str">
        <f>IF($B15&lt;&gt;"",_xlfn.IFNA(VLOOKUP($B15,'Node Details'!$B:$U,D$1,0),"Check"),"")</f>
        <v>AXZ</v>
      </c>
      <c r="E15" s="78" t="str">
        <f>IF($B15&lt;&gt;"",_xlfn.IFNA(VLOOKUP($B15,'Node Details'!$B:$U,E$1,0),"Check"),"")</f>
        <v>Airtel</v>
      </c>
      <c r="F15" s="80">
        <v>46110</v>
      </c>
      <c r="G15" s="78"/>
      <c r="H15" s="81" t="s">
        <v>22</v>
      </c>
      <c r="I15" s="81">
        <v>2</v>
      </c>
      <c r="J15" s="81">
        <v>42</v>
      </c>
      <c r="K15" s="82">
        <f t="shared" si="0"/>
        <v>84</v>
      </c>
      <c r="L15" s="83"/>
      <c r="N15" s="89"/>
      <c r="O15" s="90"/>
      <c r="P15" s="87">
        <f t="shared" si="1"/>
        <v>42</v>
      </c>
      <c r="Q15" s="87">
        <f t="shared" si="2"/>
        <v>84</v>
      </c>
      <c r="R15" s="87"/>
      <c r="S15" s="87"/>
      <c r="T15" s="91"/>
      <c r="U15" s="87">
        <f t="shared" si="3"/>
        <v>42</v>
      </c>
      <c r="V15" s="87">
        <f t="shared" si="4"/>
        <v>2</v>
      </c>
      <c r="W15" s="88">
        <f t="shared" si="5"/>
        <v>84</v>
      </c>
      <c r="X15" s="88" t="s">
        <v>181</v>
      </c>
      <c r="Y15" s="84" t="s">
        <v>176</v>
      </c>
    </row>
    <row r="16" spans="1:25" s="84" customFormat="1" ht="11.1" customHeight="1" x14ac:dyDescent="0.2">
      <c r="A16" s="78">
        <f t="shared" si="6"/>
        <v>14</v>
      </c>
      <c r="B16" s="79" t="s">
        <v>151</v>
      </c>
      <c r="C16" s="78" t="str">
        <f>IF($B16&lt;&gt;"",_xlfn.IFNA(VLOOKUP($B16,'Node Details'!$B:$U,C$1,0),"Check"),"")</f>
        <v>0000AXZ02-AXZ020203</v>
      </c>
      <c r="D16" s="78" t="str">
        <f>IF($B16&lt;&gt;"",_xlfn.IFNA(VLOOKUP($B16,'Node Details'!$B:$U,D$1,0),"Check"),"")</f>
        <v>AXZ</v>
      </c>
      <c r="E16" s="78" t="str">
        <f>IF($B16&lt;&gt;"",_xlfn.IFNA(VLOOKUP($B16,'Node Details'!$B:$U,E$1,0),"Check"),"")</f>
        <v>Airtel</v>
      </c>
      <c r="F16" s="80">
        <v>46110</v>
      </c>
      <c r="G16" s="78"/>
      <c r="H16" s="81" t="s">
        <v>22</v>
      </c>
      <c r="I16" s="81">
        <v>2</v>
      </c>
      <c r="J16" s="81">
        <v>42</v>
      </c>
      <c r="K16" s="82">
        <f t="shared" si="0"/>
        <v>84</v>
      </c>
      <c r="L16" s="83"/>
      <c r="N16" s="89"/>
      <c r="O16" s="90"/>
      <c r="P16" s="87">
        <f t="shared" si="1"/>
        <v>42</v>
      </c>
      <c r="Q16" s="87">
        <f t="shared" si="2"/>
        <v>84</v>
      </c>
      <c r="R16" s="87"/>
      <c r="S16" s="87"/>
      <c r="T16" s="91"/>
      <c r="U16" s="87">
        <f t="shared" si="3"/>
        <v>42</v>
      </c>
      <c r="V16" s="87">
        <f t="shared" si="4"/>
        <v>2</v>
      </c>
      <c r="W16" s="88">
        <f t="shared" si="5"/>
        <v>84</v>
      </c>
      <c r="X16" s="88" t="s">
        <v>181</v>
      </c>
      <c r="Y16" s="84" t="s">
        <v>176</v>
      </c>
    </row>
    <row r="17" spans="1:25" s="84" customFormat="1" ht="11.1" customHeight="1" x14ac:dyDescent="0.2">
      <c r="A17" s="78">
        <f t="shared" si="6"/>
        <v>15</v>
      </c>
      <c r="B17" s="79" t="s">
        <v>152</v>
      </c>
      <c r="C17" s="78" t="str">
        <f>IF($B17&lt;&gt;"",_xlfn.IFNA(VLOOKUP($B17,'Node Details'!$B:$U,C$1,0),"Check"),"")</f>
        <v>0000AXZ02-AXZ020203</v>
      </c>
      <c r="D17" s="78" t="str">
        <f>IF($B17&lt;&gt;"",_xlfn.IFNA(VLOOKUP($B17,'Node Details'!$B:$U,D$1,0),"Check"),"")</f>
        <v>AXZ</v>
      </c>
      <c r="E17" s="78" t="str">
        <f>IF($B17&lt;&gt;"",_xlfn.IFNA(VLOOKUP($B17,'Node Details'!$B:$U,E$1,0),"Check"),"")</f>
        <v>Airtel</v>
      </c>
      <c r="F17" s="80">
        <v>46110</v>
      </c>
      <c r="G17" s="78"/>
      <c r="H17" s="81" t="s">
        <v>22</v>
      </c>
      <c r="I17" s="81">
        <v>2</v>
      </c>
      <c r="J17" s="81">
        <v>42</v>
      </c>
      <c r="K17" s="82">
        <f t="shared" si="0"/>
        <v>84</v>
      </c>
      <c r="L17" s="83"/>
      <c r="N17" s="89"/>
      <c r="O17" s="90"/>
      <c r="P17" s="87">
        <f t="shared" si="1"/>
        <v>42</v>
      </c>
      <c r="Q17" s="87">
        <f t="shared" si="2"/>
        <v>84</v>
      </c>
      <c r="R17" s="87"/>
      <c r="S17" s="87"/>
      <c r="T17" s="91"/>
      <c r="U17" s="87">
        <f t="shared" si="3"/>
        <v>42</v>
      </c>
      <c r="V17" s="87">
        <f t="shared" si="4"/>
        <v>2</v>
      </c>
      <c r="W17" s="88">
        <f t="shared" si="5"/>
        <v>84</v>
      </c>
      <c r="X17" s="88" t="s">
        <v>181</v>
      </c>
      <c r="Y17" s="84" t="s">
        <v>176</v>
      </c>
    </row>
    <row r="18" spans="1:25" s="84" customFormat="1" ht="11.1" customHeight="1" x14ac:dyDescent="0.2">
      <c r="A18" s="78">
        <f t="shared" si="6"/>
        <v>16</v>
      </c>
      <c r="B18" s="79" t="s">
        <v>153</v>
      </c>
      <c r="C18" s="78" t="str">
        <f>IF($B18&lt;&gt;"",_xlfn.IFNA(VLOOKUP($B18,'Node Details'!$B:$U,C$1,0),"Check"),"")</f>
        <v>0000AXZ02-AXZ020203</v>
      </c>
      <c r="D18" s="78" t="str">
        <f>IF($B18&lt;&gt;"",_xlfn.IFNA(VLOOKUP($B18,'Node Details'!$B:$U,D$1,0),"Check"),"")</f>
        <v>AXZ</v>
      </c>
      <c r="E18" s="78" t="str">
        <f>IF($B18&lt;&gt;"",_xlfn.IFNA(VLOOKUP($B18,'Node Details'!$B:$U,E$1,0),"Check"),"")</f>
        <v>Airtel</v>
      </c>
      <c r="F18" s="80">
        <v>46110</v>
      </c>
      <c r="G18" s="78"/>
      <c r="H18" s="81" t="s">
        <v>22</v>
      </c>
      <c r="I18" s="81">
        <v>2</v>
      </c>
      <c r="J18" s="81">
        <v>42</v>
      </c>
      <c r="K18" s="82">
        <f t="shared" si="0"/>
        <v>84</v>
      </c>
      <c r="L18" s="83"/>
      <c r="N18" s="89"/>
      <c r="O18" s="90"/>
      <c r="P18" s="87">
        <f t="shared" si="1"/>
        <v>42</v>
      </c>
      <c r="Q18" s="87">
        <f t="shared" si="2"/>
        <v>84</v>
      </c>
      <c r="R18" s="87"/>
      <c r="S18" s="87"/>
      <c r="T18" s="91"/>
      <c r="U18" s="87">
        <f t="shared" si="3"/>
        <v>42</v>
      </c>
      <c r="V18" s="87">
        <f t="shared" si="4"/>
        <v>2</v>
      </c>
      <c r="W18" s="88">
        <f t="shared" si="5"/>
        <v>84</v>
      </c>
      <c r="X18" s="88" t="s">
        <v>181</v>
      </c>
      <c r="Y18" s="84" t="s">
        <v>176</v>
      </c>
    </row>
    <row r="19" spans="1:25" s="84" customFormat="1" ht="11.1" customHeight="1" x14ac:dyDescent="0.2">
      <c r="A19" s="78">
        <f t="shared" si="6"/>
        <v>17</v>
      </c>
      <c r="B19" s="79" t="s">
        <v>154</v>
      </c>
      <c r="C19" s="78" t="str">
        <f>IF($B19&lt;&gt;"",_xlfn.IFNA(VLOOKUP($B19,'Node Details'!$B:$U,C$1,0),"Check"),"")</f>
        <v>0000AXZ02-AXZ020203</v>
      </c>
      <c r="D19" s="78" t="str">
        <f>IF($B19&lt;&gt;"",_xlfn.IFNA(VLOOKUP($B19,'Node Details'!$B:$U,D$1,0),"Check"),"")</f>
        <v>AXZ</v>
      </c>
      <c r="E19" s="78" t="str">
        <f>IF($B19&lt;&gt;"",_xlfn.IFNA(VLOOKUP($B19,'Node Details'!$B:$U,E$1,0),"Check"),"")</f>
        <v>Airtel</v>
      </c>
      <c r="F19" s="80">
        <v>46110</v>
      </c>
      <c r="G19" s="78"/>
      <c r="H19" s="81" t="s">
        <v>22</v>
      </c>
      <c r="I19" s="81">
        <v>2</v>
      </c>
      <c r="J19" s="81">
        <v>42</v>
      </c>
      <c r="K19" s="82">
        <f t="shared" si="0"/>
        <v>84</v>
      </c>
      <c r="L19" s="83"/>
      <c r="N19" s="89"/>
      <c r="O19" s="90"/>
      <c r="P19" s="87">
        <f t="shared" si="1"/>
        <v>42</v>
      </c>
      <c r="Q19" s="87">
        <f t="shared" si="2"/>
        <v>84</v>
      </c>
      <c r="R19" s="87"/>
      <c r="S19" s="87"/>
      <c r="T19" s="91"/>
      <c r="U19" s="87">
        <f t="shared" si="3"/>
        <v>42</v>
      </c>
      <c r="V19" s="87">
        <f t="shared" si="4"/>
        <v>2</v>
      </c>
      <c r="W19" s="88">
        <f t="shared" si="5"/>
        <v>84</v>
      </c>
      <c r="X19" s="88" t="s">
        <v>181</v>
      </c>
      <c r="Y19" s="84" t="s">
        <v>176</v>
      </c>
    </row>
    <row r="20" spans="1:25" s="84" customFormat="1" ht="11.1" customHeight="1" x14ac:dyDescent="0.2">
      <c r="A20" s="78">
        <f t="shared" si="6"/>
        <v>18</v>
      </c>
      <c r="B20" s="79" t="s">
        <v>155</v>
      </c>
      <c r="C20" s="78" t="str">
        <f>IF($B20&lt;&gt;"",_xlfn.IFNA(VLOOKUP($B20,'Node Details'!$B:$U,C$1,0),"Check"),"")</f>
        <v>0000AXZ02-AXZ020203</v>
      </c>
      <c r="D20" s="78" t="str">
        <f>IF($B20&lt;&gt;"",_xlfn.IFNA(VLOOKUP($B20,'Node Details'!$B:$U,D$1,0),"Check"),"")</f>
        <v>AXZ</v>
      </c>
      <c r="E20" s="78" t="str">
        <f>IF($B20&lt;&gt;"",_xlfn.IFNA(VLOOKUP($B20,'Node Details'!$B:$U,E$1,0),"Check"),"")</f>
        <v>Airtel</v>
      </c>
      <c r="F20" s="80">
        <v>46110</v>
      </c>
      <c r="G20" s="78"/>
      <c r="H20" s="81" t="s">
        <v>22</v>
      </c>
      <c r="I20" s="81">
        <v>2</v>
      </c>
      <c r="J20" s="81">
        <v>42</v>
      </c>
      <c r="K20" s="82">
        <f t="shared" si="0"/>
        <v>84</v>
      </c>
      <c r="L20" s="83"/>
      <c r="N20" s="89"/>
      <c r="O20" s="90"/>
      <c r="P20" s="87">
        <f t="shared" si="1"/>
        <v>42</v>
      </c>
      <c r="Q20" s="87">
        <f t="shared" si="2"/>
        <v>84</v>
      </c>
      <c r="R20" s="87"/>
      <c r="S20" s="87"/>
      <c r="T20" s="91"/>
      <c r="U20" s="87">
        <f t="shared" si="3"/>
        <v>42</v>
      </c>
      <c r="V20" s="87">
        <f t="shared" si="4"/>
        <v>2</v>
      </c>
      <c r="W20" s="88">
        <f t="shared" si="5"/>
        <v>84</v>
      </c>
      <c r="X20" s="88" t="s">
        <v>181</v>
      </c>
      <c r="Y20" s="84" t="s">
        <v>176</v>
      </c>
    </row>
    <row r="21" spans="1:25" s="84" customFormat="1" ht="11.1" customHeight="1" x14ac:dyDescent="0.2">
      <c r="A21" s="78">
        <f t="shared" si="6"/>
        <v>19</v>
      </c>
      <c r="B21" s="79" t="s">
        <v>156</v>
      </c>
      <c r="C21" s="78" t="str">
        <f>IF($B21&lt;&gt;"",_xlfn.IFNA(VLOOKUP($B21,'Node Details'!$B:$U,C$1,0),"Check"),"")</f>
        <v>0000AXZ02-AXZ020203</v>
      </c>
      <c r="D21" s="78" t="str">
        <f>IF($B21&lt;&gt;"",_xlfn.IFNA(VLOOKUP($B21,'Node Details'!$B:$U,D$1,0),"Check"),"")</f>
        <v>AXZ</v>
      </c>
      <c r="E21" s="78" t="str">
        <f>IF($B21&lt;&gt;"",_xlfn.IFNA(VLOOKUP($B21,'Node Details'!$B:$U,E$1,0),"Check"),"")</f>
        <v>Airtel</v>
      </c>
      <c r="F21" s="80">
        <v>46110</v>
      </c>
      <c r="G21" s="78"/>
      <c r="H21" s="81" t="s">
        <v>22</v>
      </c>
      <c r="I21" s="81">
        <v>2</v>
      </c>
      <c r="J21" s="81">
        <v>42</v>
      </c>
      <c r="K21" s="82">
        <f t="shared" si="0"/>
        <v>84</v>
      </c>
      <c r="L21" s="83"/>
      <c r="N21" s="89"/>
      <c r="O21" s="90"/>
      <c r="P21" s="87">
        <f t="shared" si="1"/>
        <v>42</v>
      </c>
      <c r="Q21" s="87">
        <f t="shared" si="2"/>
        <v>84</v>
      </c>
      <c r="R21" s="87"/>
      <c r="S21" s="87"/>
      <c r="T21" s="91"/>
      <c r="U21" s="87">
        <f t="shared" si="3"/>
        <v>42</v>
      </c>
      <c r="V21" s="87">
        <f t="shared" si="4"/>
        <v>2</v>
      </c>
      <c r="W21" s="88">
        <f t="shared" si="5"/>
        <v>84</v>
      </c>
      <c r="X21" s="88" t="s">
        <v>181</v>
      </c>
      <c r="Y21" s="84" t="s">
        <v>176</v>
      </c>
    </row>
    <row r="22" spans="1:25" s="84" customFormat="1" ht="11.1" customHeight="1" x14ac:dyDescent="0.2">
      <c r="A22" s="78">
        <f t="shared" si="6"/>
        <v>20</v>
      </c>
      <c r="B22" s="79" t="s">
        <v>157</v>
      </c>
      <c r="C22" s="78" t="str">
        <f>IF($B22&lt;&gt;"",_xlfn.IFNA(VLOOKUP($B22,'Node Details'!$B:$U,C$1,0),"Check"),"")</f>
        <v>0000AXZ02-AXZ020203</v>
      </c>
      <c r="D22" s="78" t="str">
        <f>IF($B22&lt;&gt;"",_xlfn.IFNA(VLOOKUP($B22,'Node Details'!$B:$U,D$1,0),"Check"),"")</f>
        <v>AXZ</v>
      </c>
      <c r="E22" s="78" t="str">
        <f>IF($B22&lt;&gt;"",_xlfn.IFNA(VLOOKUP($B22,'Node Details'!$B:$U,E$1,0),"Check"),"")</f>
        <v>Airtel</v>
      </c>
      <c r="F22" s="80">
        <v>46110</v>
      </c>
      <c r="G22" s="78"/>
      <c r="H22" s="81" t="s">
        <v>22</v>
      </c>
      <c r="I22" s="81">
        <v>2</v>
      </c>
      <c r="J22" s="81">
        <v>42</v>
      </c>
      <c r="K22" s="82">
        <f t="shared" si="0"/>
        <v>84</v>
      </c>
      <c r="L22" s="83"/>
      <c r="N22" s="89"/>
      <c r="O22" s="90"/>
      <c r="P22" s="87">
        <f t="shared" si="1"/>
        <v>42</v>
      </c>
      <c r="Q22" s="87">
        <f t="shared" si="2"/>
        <v>84</v>
      </c>
      <c r="R22" s="87"/>
      <c r="S22" s="87"/>
      <c r="T22" s="91"/>
      <c r="U22" s="87">
        <f t="shared" si="3"/>
        <v>42</v>
      </c>
      <c r="V22" s="87">
        <f t="shared" si="4"/>
        <v>2</v>
      </c>
      <c r="W22" s="88">
        <f t="shared" si="5"/>
        <v>84</v>
      </c>
      <c r="X22" s="88" t="s">
        <v>181</v>
      </c>
      <c r="Y22" s="84" t="s">
        <v>176</v>
      </c>
    </row>
    <row r="23" spans="1:25" s="84" customFormat="1" ht="11.1" customHeight="1" x14ac:dyDescent="0.2">
      <c r="A23" s="78">
        <f t="shared" si="6"/>
        <v>21</v>
      </c>
      <c r="B23" s="79" t="s">
        <v>158</v>
      </c>
      <c r="C23" s="78" t="str">
        <f>IF($B23&lt;&gt;"",_xlfn.IFNA(VLOOKUP($B23,'Node Details'!$B:$U,C$1,0),"Check"),"")</f>
        <v>0000AXZ02-AXZ020203</v>
      </c>
      <c r="D23" s="78" t="str">
        <f>IF($B23&lt;&gt;"",_xlfn.IFNA(VLOOKUP($B23,'Node Details'!$B:$U,D$1,0),"Check"),"")</f>
        <v>AXZ</v>
      </c>
      <c r="E23" s="78" t="str">
        <f>IF($B23&lt;&gt;"",_xlfn.IFNA(VLOOKUP($B23,'Node Details'!$B:$U,E$1,0),"Check"),"")</f>
        <v>Airtel</v>
      </c>
      <c r="F23" s="80">
        <v>46110</v>
      </c>
      <c r="G23" s="78"/>
      <c r="H23" s="81" t="s">
        <v>22</v>
      </c>
      <c r="I23" s="81">
        <v>2</v>
      </c>
      <c r="J23" s="81">
        <v>42</v>
      </c>
      <c r="K23" s="82">
        <f t="shared" si="0"/>
        <v>84</v>
      </c>
      <c r="L23" s="83"/>
      <c r="N23" s="89"/>
      <c r="O23" s="90"/>
      <c r="P23" s="87">
        <f t="shared" si="1"/>
        <v>42</v>
      </c>
      <c r="Q23" s="87">
        <f t="shared" si="2"/>
        <v>84</v>
      </c>
      <c r="R23" s="87"/>
      <c r="S23" s="87"/>
      <c r="T23" s="91"/>
      <c r="U23" s="87">
        <f t="shared" si="3"/>
        <v>42</v>
      </c>
      <c r="V23" s="87">
        <f t="shared" si="4"/>
        <v>2</v>
      </c>
      <c r="W23" s="88">
        <f t="shared" si="5"/>
        <v>84</v>
      </c>
      <c r="X23" s="88" t="s">
        <v>181</v>
      </c>
      <c r="Y23" s="84" t="s">
        <v>176</v>
      </c>
    </row>
    <row r="24" spans="1:25" s="84" customFormat="1" ht="11.1" customHeight="1" x14ac:dyDescent="0.2">
      <c r="A24" s="78">
        <f t="shared" si="6"/>
        <v>22</v>
      </c>
      <c r="B24" s="79" t="s">
        <v>160</v>
      </c>
      <c r="C24" s="78" t="str">
        <f>IF($B24&lt;&gt;"",_xlfn.IFNA(VLOOKUP($B24,'Node Details'!$B:$U,C$1,0),"Check"),"")</f>
        <v>0000AXZ03-AXZ030101</v>
      </c>
      <c r="D24" s="78" t="str">
        <f>IF($B24&lt;&gt;"",_xlfn.IFNA(VLOOKUP($B24,'Node Details'!$B:$U,D$1,0),"Check"),"")</f>
        <v>AXZ</v>
      </c>
      <c r="E24" s="78" t="str">
        <f>IF($B24&lt;&gt;"",_xlfn.IFNA(VLOOKUP($B24,'Node Details'!$B:$U,E$1,0),"Check"),"")</f>
        <v>Airtel</v>
      </c>
      <c r="F24" s="80">
        <v>46110</v>
      </c>
      <c r="G24" s="78"/>
      <c r="H24" s="81" t="s">
        <v>22</v>
      </c>
      <c r="I24" s="81">
        <v>2</v>
      </c>
      <c r="J24" s="81">
        <v>42</v>
      </c>
      <c r="K24" s="82">
        <f t="shared" si="0"/>
        <v>84</v>
      </c>
      <c r="L24" s="83"/>
      <c r="N24" s="89"/>
      <c r="O24" s="90"/>
      <c r="P24" s="87">
        <f t="shared" si="1"/>
        <v>42</v>
      </c>
      <c r="Q24" s="87">
        <f t="shared" si="2"/>
        <v>84</v>
      </c>
      <c r="R24" s="87"/>
      <c r="S24" s="87"/>
      <c r="T24" s="91"/>
      <c r="U24" s="87">
        <f t="shared" si="3"/>
        <v>42</v>
      </c>
      <c r="V24" s="87">
        <f t="shared" si="4"/>
        <v>2</v>
      </c>
      <c r="W24" s="88">
        <f t="shared" si="5"/>
        <v>84</v>
      </c>
      <c r="X24" s="88" t="s">
        <v>181</v>
      </c>
      <c r="Y24" s="84" t="s">
        <v>176</v>
      </c>
    </row>
    <row r="25" spans="1:25" s="84" customFormat="1" ht="11.1" customHeight="1" x14ac:dyDescent="0.2">
      <c r="A25" s="78">
        <f t="shared" si="6"/>
        <v>23</v>
      </c>
      <c r="B25" s="79" t="s">
        <v>161</v>
      </c>
      <c r="C25" s="78" t="str">
        <f>IF($B25&lt;&gt;"",_xlfn.IFNA(VLOOKUP($B25,'Node Details'!$B:$U,C$1,0),"Check"),"")</f>
        <v>0000AXZ03-AXZ030102</v>
      </c>
      <c r="D25" s="78" t="str">
        <f>IF($B25&lt;&gt;"",_xlfn.IFNA(VLOOKUP($B25,'Node Details'!$B:$U,D$1,0),"Check"),"")</f>
        <v>AXZ</v>
      </c>
      <c r="E25" s="78" t="str">
        <f>IF($B25&lt;&gt;"",_xlfn.IFNA(VLOOKUP($B25,'Node Details'!$B:$U,E$1,0),"Check"),"")</f>
        <v>Airtel</v>
      </c>
      <c r="F25" s="80">
        <v>46110</v>
      </c>
      <c r="G25" s="78"/>
      <c r="H25" s="81" t="s">
        <v>22</v>
      </c>
      <c r="I25" s="81">
        <v>2</v>
      </c>
      <c r="J25" s="81">
        <v>42</v>
      </c>
      <c r="K25" s="82">
        <f t="shared" si="0"/>
        <v>84</v>
      </c>
      <c r="L25" s="83"/>
      <c r="N25" s="89"/>
      <c r="O25" s="90"/>
      <c r="P25" s="87">
        <f t="shared" si="1"/>
        <v>42</v>
      </c>
      <c r="Q25" s="87">
        <f t="shared" si="2"/>
        <v>84</v>
      </c>
      <c r="R25" s="87"/>
      <c r="S25" s="87"/>
      <c r="T25" s="91"/>
      <c r="U25" s="87">
        <f t="shared" si="3"/>
        <v>42</v>
      </c>
      <c r="V25" s="87">
        <f t="shared" si="4"/>
        <v>2</v>
      </c>
      <c r="W25" s="88">
        <f t="shared" si="5"/>
        <v>84</v>
      </c>
      <c r="X25" s="88" t="s">
        <v>181</v>
      </c>
      <c r="Y25" s="84" t="s">
        <v>176</v>
      </c>
    </row>
    <row r="26" spans="1:25" s="84" customFormat="1" ht="11.1" customHeight="1" x14ac:dyDescent="0.2">
      <c r="A26" s="78">
        <f t="shared" si="6"/>
        <v>24</v>
      </c>
      <c r="B26" s="79" t="s">
        <v>162</v>
      </c>
      <c r="C26" s="78" t="str">
        <f>IF($B26&lt;&gt;"",_xlfn.IFNA(VLOOKUP($B26,'Node Details'!$B:$U,C$1,0),"Check"),"")</f>
        <v>0000AXZ03-AXZ030104</v>
      </c>
      <c r="D26" s="78" t="str">
        <f>IF($B26&lt;&gt;"",_xlfn.IFNA(VLOOKUP($B26,'Node Details'!$B:$U,D$1,0),"Check"),"")</f>
        <v>AXZ</v>
      </c>
      <c r="E26" s="78" t="str">
        <f>IF($B26&lt;&gt;"",_xlfn.IFNA(VLOOKUP($B26,'Node Details'!$B:$U,E$1,0),"Check"),"")</f>
        <v>Airtel</v>
      </c>
      <c r="F26" s="80">
        <v>46110</v>
      </c>
      <c r="G26" s="78"/>
      <c r="H26" s="81" t="s">
        <v>22</v>
      </c>
      <c r="I26" s="81">
        <v>2</v>
      </c>
      <c r="J26" s="81">
        <v>42</v>
      </c>
      <c r="K26" s="82">
        <f t="shared" si="0"/>
        <v>84</v>
      </c>
      <c r="L26" s="83"/>
      <c r="N26" s="89"/>
      <c r="O26" s="90"/>
      <c r="P26" s="87">
        <f t="shared" si="1"/>
        <v>42</v>
      </c>
      <c r="Q26" s="87">
        <f t="shared" si="2"/>
        <v>84</v>
      </c>
      <c r="R26" s="87"/>
      <c r="S26" s="87"/>
      <c r="T26" s="91"/>
      <c r="U26" s="87">
        <f t="shared" si="3"/>
        <v>42</v>
      </c>
      <c r="V26" s="87">
        <f t="shared" si="4"/>
        <v>2</v>
      </c>
      <c r="W26" s="88">
        <f t="shared" si="5"/>
        <v>84</v>
      </c>
      <c r="X26" s="88" t="s">
        <v>181</v>
      </c>
      <c r="Y26" s="84" t="s">
        <v>176</v>
      </c>
    </row>
    <row r="27" spans="1:25" s="84" customFormat="1" ht="11.1" customHeight="1" x14ac:dyDescent="0.2">
      <c r="A27" s="78">
        <f t="shared" si="6"/>
        <v>25</v>
      </c>
      <c r="B27" s="79" t="s">
        <v>163</v>
      </c>
      <c r="C27" s="78" t="str">
        <f>IF($B27&lt;&gt;"",_xlfn.IFNA(VLOOKUP($B27,'Node Details'!$B:$U,C$1,0),"Check"),"")</f>
        <v>0000AXZ03-AXZ030104</v>
      </c>
      <c r="D27" s="78" t="str">
        <f>IF($B27&lt;&gt;"",_xlfn.IFNA(VLOOKUP($B27,'Node Details'!$B:$U,D$1,0),"Check"),"")</f>
        <v>AXZ</v>
      </c>
      <c r="E27" s="78" t="str">
        <f>IF($B27&lt;&gt;"",_xlfn.IFNA(VLOOKUP($B27,'Node Details'!$B:$U,E$1,0),"Check"),"")</f>
        <v>Airtel</v>
      </c>
      <c r="F27" s="80">
        <v>46110</v>
      </c>
      <c r="G27" s="78"/>
      <c r="H27" s="81" t="s">
        <v>22</v>
      </c>
      <c r="I27" s="81">
        <v>2</v>
      </c>
      <c r="J27" s="81">
        <v>42</v>
      </c>
      <c r="K27" s="82">
        <f t="shared" si="0"/>
        <v>84</v>
      </c>
      <c r="L27" s="83"/>
      <c r="N27" s="89"/>
      <c r="O27" s="90"/>
      <c r="P27" s="87">
        <f t="shared" si="1"/>
        <v>42</v>
      </c>
      <c r="Q27" s="87">
        <f t="shared" si="2"/>
        <v>84</v>
      </c>
      <c r="R27" s="87"/>
      <c r="S27" s="87"/>
      <c r="T27" s="91"/>
      <c r="U27" s="87">
        <f t="shared" si="3"/>
        <v>42</v>
      </c>
      <c r="V27" s="87">
        <f t="shared" si="4"/>
        <v>2</v>
      </c>
      <c r="W27" s="88">
        <f t="shared" si="5"/>
        <v>84</v>
      </c>
      <c r="X27" s="88" t="s">
        <v>181</v>
      </c>
      <c r="Y27" s="84" t="s">
        <v>176</v>
      </c>
    </row>
    <row r="28" spans="1:25" s="84" customFormat="1" ht="11.1" customHeight="1" x14ac:dyDescent="0.2">
      <c r="A28" s="78">
        <f t="shared" si="6"/>
        <v>26</v>
      </c>
      <c r="B28" s="79" t="s">
        <v>164</v>
      </c>
      <c r="C28" s="78" t="str">
        <f>IF($B28&lt;&gt;"",_xlfn.IFNA(VLOOKUP($B28,'Node Details'!$B:$U,C$1,0),"Check"),"")</f>
        <v>AXZ030104-AXZ030106</v>
      </c>
      <c r="D28" s="78" t="str">
        <f>IF($B28&lt;&gt;"",_xlfn.IFNA(VLOOKUP($B28,'Node Details'!$B:$U,D$1,0),"Check"),"")</f>
        <v>AXZ</v>
      </c>
      <c r="E28" s="78" t="str">
        <f>IF($B28&lt;&gt;"",_xlfn.IFNA(VLOOKUP($B28,'Node Details'!$B:$U,E$1,0),"Check"),"")</f>
        <v>Airtel</v>
      </c>
      <c r="F28" s="80">
        <v>46110</v>
      </c>
      <c r="G28" s="78"/>
      <c r="H28" s="81" t="s">
        <v>22</v>
      </c>
      <c r="I28" s="81">
        <v>2</v>
      </c>
      <c r="J28" s="81">
        <v>42</v>
      </c>
      <c r="K28" s="82">
        <f t="shared" si="0"/>
        <v>84</v>
      </c>
      <c r="L28" s="83"/>
      <c r="N28" s="89"/>
      <c r="O28" s="90"/>
      <c r="P28" s="87">
        <f t="shared" si="1"/>
        <v>42</v>
      </c>
      <c r="Q28" s="87">
        <f t="shared" si="2"/>
        <v>84</v>
      </c>
      <c r="R28" s="87"/>
      <c r="S28" s="87"/>
      <c r="T28" s="91"/>
      <c r="U28" s="87">
        <f t="shared" si="3"/>
        <v>42</v>
      </c>
      <c r="V28" s="87">
        <f t="shared" si="4"/>
        <v>2</v>
      </c>
      <c r="W28" s="88">
        <f t="shared" si="5"/>
        <v>84</v>
      </c>
      <c r="X28" s="88" t="s">
        <v>181</v>
      </c>
      <c r="Y28" s="84" t="s">
        <v>176</v>
      </c>
    </row>
    <row r="29" spans="1:25" s="84" customFormat="1" ht="11.1" customHeight="1" x14ac:dyDescent="0.2">
      <c r="A29" s="78">
        <f t="shared" si="6"/>
        <v>27</v>
      </c>
      <c r="B29" s="79" t="s">
        <v>165</v>
      </c>
      <c r="C29" s="78" t="str">
        <f>IF($B29&lt;&gt;"",_xlfn.IFNA(VLOOKUP($B29,'Node Details'!$B:$U,C$1,0),"Check"),"")</f>
        <v>AXZ030104-AXZ030106</v>
      </c>
      <c r="D29" s="78" t="str">
        <f>IF($B29&lt;&gt;"",_xlfn.IFNA(VLOOKUP($B29,'Node Details'!$B:$U,D$1,0),"Check"),"")</f>
        <v>AXZ</v>
      </c>
      <c r="E29" s="78" t="str">
        <f>IF($B29&lt;&gt;"",_xlfn.IFNA(VLOOKUP($B29,'Node Details'!$B:$U,E$1,0),"Check"),"")</f>
        <v>Airtel</v>
      </c>
      <c r="F29" s="80">
        <v>46110</v>
      </c>
      <c r="G29" s="78"/>
      <c r="H29" s="81" t="s">
        <v>22</v>
      </c>
      <c r="I29" s="81">
        <v>2</v>
      </c>
      <c r="J29" s="81">
        <v>42</v>
      </c>
      <c r="K29" s="82">
        <f t="shared" si="0"/>
        <v>84</v>
      </c>
      <c r="L29" s="83"/>
      <c r="N29" s="89"/>
      <c r="O29" s="90"/>
      <c r="P29" s="87">
        <f t="shared" si="1"/>
        <v>42</v>
      </c>
      <c r="Q29" s="87">
        <f t="shared" si="2"/>
        <v>84</v>
      </c>
      <c r="R29" s="87"/>
      <c r="S29" s="87"/>
      <c r="T29" s="91"/>
      <c r="U29" s="87">
        <f t="shared" si="3"/>
        <v>42</v>
      </c>
      <c r="V29" s="87">
        <f t="shared" si="4"/>
        <v>2</v>
      </c>
      <c r="W29" s="88">
        <f t="shared" si="5"/>
        <v>84</v>
      </c>
      <c r="X29" s="88" t="s">
        <v>181</v>
      </c>
      <c r="Y29" s="84" t="s">
        <v>176</v>
      </c>
    </row>
    <row r="30" spans="1:25" s="84" customFormat="1" ht="11.1" customHeight="1" x14ac:dyDescent="0.2">
      <c r="A30" s="78">
        <f t="shared" si="6"/>
        <v>28</v>
      </c>
      <c r="B30" s="79" t="s">
        <v>166</v>
      </c>
      <c r="C30" s="78" t="str">
        <f>IF($B30&lt;&gt;"",_xlfn.IFNA(VLOOKUP($B30,'Node Details'!$B:$U,C$1,0),"Check"),"")</f>
        <v>0000AXZ03-AXZ030201</v>
      </c>
      <c r="D30" s="78" t="str">
        <f>IF($B30&lt;&gt;"",_xlfn.IFNA(VLOOKUP($B30,'Node Details'!$B:$U,D$1,0),"Check"),"")</f>
        <v>AXZ</v>
      </c>
      <c r="E30" s="78" t="str">
        <f>IF($B30&lt;&gt;"",_xlfn.IFNA(VLOOKUP($B30,'Node Details'!$B:$U,E$1,0),"Check"),"")</f>
        <v>Airtel</v>
      </c>
      <c r="F30" s="80">
        <v>46110</v>
      </c>
      <c r="G30" s="78"/>
      <c r="H30" s="81" t="s">
        <v>22</v>
      </c>
      <c r="I30" s="81">
        <v>2</v>
      </c>
      <c r="J30" s="81">
        <v>42</v>
      </c>
      <c r="K30" s="82">
        <f t="shared" si="0"/>
        <v>84</v>
      </c>
      <c r="L30" s="83"/>
      <c r="N30" s="89"/>
      <c r="O30" s="90"/>
      <c r="P30" s="87">
        <f t="shared" si="1"/>
        <v>42</v>
      </c>
      <c r="Q30" s="87">
        <f t="shared" si="2"/>
        <v>84</v>
      </c>
      <c r="R30" s="87"/>
      <c r="S30" s="87"/>
      <c r="T30" s="91"/>
      <c r="U30" s="87">
        <f t="shared" si="3"/>
        <v>42</v>
      </c>
      <c r="V30" s="87">
        <f t="shared" si="4"/>
        <v>2</v>
      </c>
      <c r="W30" s="88">
        <f t="shared" si="5"/>
        <v>84</v>
      </c>
      <c r="X30" s="88" t="s">
        <v>181</v>
      </c>
      <c r="Y30" s="84" t="s">
        <v>176</v>
      </c>
    </row>
    <row r="31" spans="1:25" s="84" customFormat="1" ht="11.1" customHeight="1" x14ac:dyDescent="0.2">
      <c r="A31" s="78">
        <f t="shared" si="6"/>
        <v>29</v>
      </c>
      <c r="B31" s="79" t="s">
        <v>167</v>
      </c>
      <c r="C31" s="78" t="str">
        <f>IF($B31&lt;&gt;"",_xlfn.IFNA(VLOOKUP($B31,'Node Details'!$B:$U,C$1,0),"Check"),"")</f>
        <v>0000AXZ03-AXZ030201</v>
      </c>
      <c r="D31" s="78" t="str">
        <f>IF($B31&lt;&gt;"",_xlfn.IFNA(VLOOKUP($B31,'Node Details'!$B:$U,D$1,0),"Check"),"")</f>
        <v>AXZ</v>
      </c>
      <c r="E31" s="78" t="str">
        <f>IF($B31&lt;&gt;"",_xlfn.IFNA(VLOOKUP($B31,'Node Details'!$B:$U,E$1,0),"Check"),"")</f>
        <v>Airtel</v>
      </c>
      <c r="F31" s="80">
        <v>46110</v>
      </c>
      <c r="G31" s="78"/>
      <c r="H31" s="81" t="s">
        <v>22</v>
      </c>
      <c r="I31" s="81">
        <v>2</v>
      </c>
      <c r="J31" s="81">
        <v>42</v>
      </c>
      <c r="K31" s="82">
        <f t="shared" si="0"/>
        <v>84</v>
      </c>
      <c r="L31" s="83"/>
      <c r="N31" s="89"/>
      <c r="O31" s="90"/>
      <c r="P31" s="87">
        <f t="shared" si="1"/>
        <v>42</v>
      </c>
      <c r="Q31" s="87">
        <f t="shared" si="2"/>
        <v>84</v>
      </c>
      <c r="R31" s="87"/>
      <c r="S31" s="87"/>
      <c r="T31" s="91"/>
      <c r="U31" s="87">
        <f t="shared" si="3"/>
        <v>42</v>
      </c>
      <c r="V31" s="87">
        <f t="shared" si="4"/>
        <v>2</v>
      </c>
      <c r="W31" s="88">
        <f t="shared" si="5"/>
        <v>84</v>
      </c>
      <c r="X31" s="88" t="s">
        <v>181</v>
      </c>
      <c r="Y31" s="84" t="s">
        <v>176</v>
      </c>
    </row>
    <row r="32" spans="1:25" s="84" customFormat="1" ht="11.1" customHeight="1" x14ac:dyDescent="0.2">
      <c r="A32" s="78">
        <f t="shared" si="6"/>
        <v>30</v>
      </c>
      <c r="B32" s="79" t="s">
        <v>168</v>
      </c>
      <c r="C32" s="78" t="str">
        <f>IF($B32&lt;&gt;"",_xlfn.IFNA(VLOOKUP($B32,'Node Details'!$B:$U,C$1,0),"Check"),"")</f>
        <v>0000AXZ03-AXZ030201</v>
      </c>
      <c r="D32" s="78" t="str">
        <f>IF($B32&lt;&gt;"",_xlfn.IFNA(VLOOKUP($B32,'Node Details'!$B:$U,D$1,0),"Check"),"")</f>
        <v>AXZ</v>
      </c>
      <c r="E32" s="78" t="str">
        <f>IF($B32&lt;&gt;"",_xlfn.IFNA(VLOOKUP($B32,'Node Details'!$B:$U,E$1,0),"Check"),"")</f>
        <v>Airtel</v>
      </c>
      <c r="F32" s="80">
        <v>46110</v>
      </c>
      <c r="G32" s="78"/>
      <c r="H32" s="81" t="s">
        <v>22</v>
      </c>
      <c r="I32" s="81">
        <v>2</v>
      </c>
      <c r="J32" s="81">
        <v>42</v>
      </c>
      <c r="K32" s="82">
        <f t="shared" si="0"/>
        <v>84</v>
      </c>
      <c r="L32" s="83"/>
      <c r="N32" s="89"/>
      <c r="O32" s="90"/>
      <c r="P32" s="87">
        <f t="shared" si="1"/>
        <v>42</v>
      </c>
      <c r="Q32" s="87">
        <f t="shared" si="2"/>
        <v>84</v>
      </c>
      <c r="R32" s="87"/>
      <c r="S32" s="87"/>
      <c r="T32" s="91"/>
      <c r="U32" s="87">
        <f t="shared" si="3"/>
        <v>42</v>
      </c>
      <c r="V32" s="87">
        <f t="shared" si="4"/>
        <v>2</v>
      </c>
      <c r="W32" s="88">
        <f t="shared" si="5"/>
        <v>84</v>
      </c>
      <c r="X32" s="88" t="s">
        <v>181</v>
      </c>
      <c r="Y32" s="84" t="s">
        <v>176</v>
      </c>
    </row>
    <row r="33" spans="1:25" s="84" customFormat="1" ht="11.1" customHeight="1" x14ac:dyDescent="0.2">
      <c r="A33" s="78">
        <f t="shared" si="6"/>
        <v>31</v>
      </c>
      <c r="B33" s="79" t="s">
        <v>169</v>
      </c>
      <c r="C33" s="78" t="str">
        <f>IF($B33&lt;&gt;"",_xlfn.IFNA(VLOOKUP($B33,'Node Details'!$B:$U,C$1,0),"Check"),"")</f>
        <v>AXZ030201-AXZ030205</v>
      </c>
      <c r="D33" s="78" t="str">
        <f>IF($B33&lt;&gt;"",_xlfn.IFNA(VLOOKUP($B33,'Node Details'!$B:$U,D$1,0),"Check"),"")</f>
        <v>AXZ</v>
      </c>
      <c r="E33" s="78" t="str">
        <f>IF($B33&lt;&gt;"",_xlfn.IFNA(VLOOKUP($B33,'Node Details'!$B:$U,E$1,0),"Check"),"")</f>
        <v>Airtel</v>
      </c>
      <c r="F33" s="80">
        <v>46110</v>
      </c>
      <c r="G33" s="78"/>
      <c r="H33" s="81" t="s">
        <v>22</v>
      </c>
      <c r="I33" s="81">
        <v>2</v>
      </c>
      <c r="J33" s="81">
        <v>42</v>
      </c>
      <c r="K33" s="82">
        <f t="shared" si="0"/>
        <v>84</v>
      </c>
      <c r="L33" s="83"/>
      <c r="N33" s="89"/>
      <c r="O33" s="90"/>
      <c r="P33" s="87">
        <f t="shared" si="1"/>
        <v>42</v>
      </c>
      <c r="Q33" s="87">
        <f t="shared" si="2"/>
        <v>84</v>
      </c>
      <c r="R33" s="87"/>
      <c r="S33" s="87"/>
      <c r="T33" s="91"/>
      <c r="U33" s="87">
        <f t="shared" si="3"/>
        <v>42</v>
      </c>
      <c r="V33" s="87">
        <f t="shared" si="4"/>
        <v>2</v>
      </c>
      <c r="W33" s="88">
        <f t="shared" si="5"/>
        <v>84</v>
      </c>
      <c r="X33" s="88" t="s">
        <v>181</v>
      </c>
      <c r="Y33" s="84" t="s">
        <v>176</v>
      </c>
    </row>
    <row r="34" spans="1:25" s="84" customFormat="1" ht="11.1" customHeight="1" x14ac:dyDescent="0.2">
      <c r="A34" s="78">
        <f t="shared" si="6"/>
        <v>32</v>
      </c>
      <c r="B34" s="79" t="s">
        <v>170</v>
      </c>
      <c r="C34" s="78" t="str">
        <f>IF($B34&lt;&gt;"",_xlfn.IFNA(VLOOKUP($B34,'Node Details'!$B:$U,C$1,0),"Check"),"")</f>
        <v>AXZ030201-AXZ030205</v>
      </c>
      <c r="D34" s="78" t="str">
        <f>IF($B34&lt;&gt;"",_xlfn.IFNA(VLOOKUP($B34,'Node Details'!$B:$U,D$1,0),"Check"),"")</f>
        <v>AXZ</v>
      </c>
      <c r="E34" s="78" t="str">
        <f>IF($B34&lt;&gt;"",_xlfn.IFNA(VLOOKUP($B34,'Node Details'!$B:$U,E$1,0),"Check"),"")</f>
        <v>Airtel</v>
      </c>
      <c r="F34" s="80">
        <v>46110</v>
      </c>
      <c r="G34" s="78"/>
      <c r="H34" s="81" t="s">
        <v>22</v>
      </c>
      <c r="I34" s="81">
        <v>2</v>
      </c>
      <c r="J34" s="81">
        <v>42</v>
      </c>
      <c r="K34" s="82">
        <f t="shared" si="0"/>
        <v>84</v>
      </c>
      <c r="L34" s="83"/>
      <c r="N34" s="89"/>
      <c r="O34" s="90"/>
      <c r="P34" s="87">
        <f t="shared" si="1"/>
        <v>42</v>
      </c>
      <c r="Q34" s="87">
        <f t="shared" si="2"/>
        <v>84</v>
      </c>
      <c r="R34" s="87"/>
      <c r="S34" s="87"/>
      <c r="T34" s="91"/>
      <c r="U34" s="87">
        <f t="shared" si="3"/>
        <v>42</v>
      </c>
      <c r="V34" s="87">
        <f t="shared" si="4"/>
        <v>2</v>
      </c>
      <c r="W34" s="88">
        <f t="shared" si="5"/>
        <v>84</v>
      </c>
      <c r="X34" s="88" t="s">
        <v>181</v>
      </c>
      <c r="Y34" s="84" t="s">
        <v>176</v>
      </c>
    </row>
    <row r="35" spans="1:25" s="84" customFormat="1" ht="11.1" customHeight="1" x14ac:dyDescent="0.2">
      <c r="A35" s="78">
        <f t="shared" si="6"/>
        <v>33</v>
      </c>
      <c r="B35" s="79" t="s">
        <v>171</v>
      </c>
      <c r="C35" s="78" t="str">
        <f>IF($B35&lt;&gt;"",_xlfn.IFNA(VLOOKUP($B35,'Node Details'!$B:$U,C$1,0),"Check"),"")</f>
        <v>AXZ030201-AXZ030205</v>
      </c>
      <c r="D35" s="78" t="str">
        <f>IF($B35&lt;&gt;"",_xlfn.IFNA(VLOOKUP($B35,'Node Details'!$B:$U,D$1,0),"Check"),"")</f>
        <v>AXZ</v>
      </c>
      <c r="E35" s="78" t="str">
        <f>IF($B35&lt;&gt;"",_xlfn.IFNA(VLOOKUP($B35,'Node Details'!$B:$U,E$1,0),"Check"),"")</f>
        <v>Airtel</v>
      </c>
      <c r="F35" s="80">
        <v>46110</v>
      </c>
      <c r="G35" s="78"/>
      <c r="H35" s="81" t="s">
        <v>22</v>
      </c>
      <c r="I35" s="81">
        <v>2</v>
      </c>
      <c r="J35" s="81">
        <v>42</v>
      </c>
      <c r="K35" s="82">
        <f t="shared" si="0"/>
        <v>84</v>
      </c>
      <c r="L35" s="83"/>
      <c r="N35" s="89"/>
      <c r="O35" s="90"/>
      <c r="P35" s="87">
        <f t="shared" si="1"/>
        <v>42</v>
      </c>
      <c r="Q35" s="87">
        <f t="shared" si="2"/>
        <v>84</v>
      </c>
      <c r="R35" s="87"/>
      <c r="S35" s="87"/>
      <c r="T35" s="91"/>
      <c r="U35" s="87">
        <f t="shared" si="3"/>
        <v>42</v>
      </c>
      <c r="V35" s="87">
        <f t="shared" si="4"/>
        <v>2</v>
      </c>
      <c r="W35" s="88">
        <f t="shared" si="5"/>
        <v>84</v>
      </c>
      <c r="X35" s="88" t="s">
        <v>181</v>
      </c>
      <c r="Y35" s="84" t="s">
        <v>176</v>
      </c>
    </row>
    <row r="36" spans="1:25" s="84" customFormat="1" ht="11.1" customHeight="1" x14ac:dyDescent="0.2">
      <c r="A36" s="78">
        <f t="shared" si="6"/>
        <v>34</v>
      </c>
      <c r="B36" s="79" t="s">
        <v>172</v>
      </c>
      <c r="C36" s="78" t="str">
        <f>IF($B36&lt;&gt;"",_xlfn.IFNA(VLOOKUP($B36,'Node Details'!$B:$U,C$1,0),"Check"),"")</f>
        <v>AXZ030201-AXZ030205</v>
      </c>
      <c r="D36" s="78" t="str">
        <f>IF($B36&lt;&gt;"",_xlfn.IFNA(VLOOKUP($B36,'Node Details'!$B:$U,D$1,0),"Check"),"")</f>
        <v>AXZ</v>
      </c>
      <c r="E36" s="78" t="str">
        <f>IF($B36&lt;&gt;"",_xlfn.IFNA(VLOOKUP($B36,'Node Details'!$B:$U,E$1,0),"Check"),"")</f>
        <v>Airtel</v>
      </c>
      <c r="F36" s="80">
        <v>46110</v>
      </c>
      <c r="G36" s="78"/>
      <c r="H36" s="81" t="s">
        <v>22</v>
      </c>
      <c r="I36" s="81">
        <v>2</v>
      </c>
      <c r="J36" s="81">
        <v>42</v>
      </c>
      <c r="K36" s="82">
        <f t="shared" si="0"/>
        <v>84</v>
      </c>
      <c r="L36" s="83"/>
      <c r="N36" s="89"/>
      <c r="O36" s="90"/>
      <c r="P36" s="87">
        <f t="shared" si="1"/>
        <v>42</v>
      </c>
      <c r="Q36" s="87">
        <f t="shared" si="2"/>
        <v>84</v>
      </c>
      <c r="R36" s="87"/>
      <c r="S36" s="87"/>
      <c r="T36" s="91"/>
      <c r="U36" s="87">
        <f t="shared" si="3"/>
        <v>42</v>
      </c>
      <c r="V36" s="87">
        <f t="shared" si="4"/>
        <v>2</v>
      </c>
      <c r="W36" s="88">
        <f t="shared" si="5"/>
        <v>84</v>
      </c>
      <c r="X36" s="88" t="s">
        <v>181</v>
      </c>
      <c r="Y36" s="84" t="s">
        <v>176</v>
      </c>
    </row>
    <row r="37" spans="1:25" s="84" customFormat="1" ht="11.1" customHeight="1" x14ac:dyDescent="0.2">
      <c r="A37" s="78">
        <f t="shared" si="6"/>
        <v>35</v>
      </c>
      <c r="B37" s="79" t="s">
        <v>136</v>
      </c>
      <c r="C37" s="78" t="str">
        <f>IF($B37&lt;&gt;"",_xlfn.IFNA(VLOOKUP($B37,'Node Details'!$B:$U,C$1,0),"Check"),"")</f>
        <v>000000AXZ-0000AXZ01</v>
      </c>
      <c r="D37" s="78" t="str">
        <f>IF($B37&lt;&gt;"",_xlfn.IFNA(VLOOKUP($B37,'Node Details'!$B:$U,D$1,0),"Check"),"")</f>
        <v>AXZ</v>
      </c>
      <c r="E37" s="78" t="str">
        <f>IF($B37&lt;&gt;"",_xlfn.IFNA(VLOOKUP($B37,'Node Details'!$B:$U,E$1,0),"Check"),"")</f>
        <v>Airtel</v>
      </c>
      <c r="F37" s="80">
        <v>46110</v>
      </c>
      <c r="G37" s="78"/>
      <c r="H37" s="81" t="s">
        <v>177</v>
      </c>
      <c r="I37" s="81">
        <v>2</v>
      </c>
      <c r="J37" s="81">
        <v>650</v>
      </c>
      <c r="K37" s="82">
        <f t="shared" si="0"/>
        <v>1300</v>
      </c>
      <c r="L37" s="83"/>
      <c r="N37" s="89"/>
      <c r="O37" s="90"/>
      <c r="P37" s="87">
        <f t="shared" si="1"/>
        <v>650</v>
      </c>
      <c r="Q37" s="87">
        <f t="shared" si="2"/>
        <v>1300</v>
      </c>
      <c r="R37" s="87"/>
      <c r="S37" s="87"/>
      <c r="T37" s="91"/>
      <c r="U37" s="87">
        <f t="shared" si="3"/>
        <v>650</v>
      </c>
      <c r="V37" s="87">
        <f t="shared" si="4"/>
        <v>2</v>
      </c>
      <c r="W37" s="88">
        <f t="shared" si="5"/>
        <v>1300</v>
      </c>
      <c r="X37" s="88" t="s">
        <v>181</v>
      </c>
      <c r="Y37" s="84" t="s">
        <v>176</v>
      </c>
    </row>
    <row r="38" spans="1:25" s="84" customFormat="1" ht="11.1" customHeight="1" x14ac:dyDescent="0.2">
      <c r="A38" s="78">
        <f t="shared" si="6"/>
        <v>36</v>
      </c>
      <c r="B38" s="79" t="s">
        <v>147</v>
      </c>
      <c r="C38" s="78" t="str">
        <f>IF($B38&lt;&gt;"",_xlfn.IFNA(VLOOKUP($B38,'Node Details'!$B:$U,C$1,0),"Check"),"")</f>
        <v>000000AXZ-0000AXZ03</v>
      </c>
      <c r="D38" s="78" t="str">
        <f>IF($B38&lt;&gt;"",_xlfn.IFNA(VLOOKUP($B38,'Node Details'!$B:$U,D$1,0),"Check"),"")</f>
        <v>AXZ</v>
      </c>
      <c r="E38" s="78" t="str">
        <f>IF($B38&lt;&gt;"",_xlfn.IFNA(VLOOKUP($B38,'Node Details'!$B:$U,E$1,0),"Check"),"")</f>
        <v>Airtel</v>
      </c>
      <c r="F38" s="80">
        <v>46110</v>
      </c>
      <c r="G38" s="78"/>
      <c r="H38" s="81" t="s">
        <v>177</v>
      </c>
      <c r="I38" s="81">
        <v>2</v>
      </c>
      <c r="J38" s="81">
        <v>650</v>
      </c>
      <c r="K38" s="82">
        <f t="shared" si="0"/>
        <v>1300</v>
      </c>
      <c r="L38" s="83"/>
      <c r="N38" s="89"/>
      <c r="O38" s="90"/>
      <c r="P38" s="87">
        <f t="shared" si="1"/>
        <v>650</v>
      </c>
      <c r="Q38" s="87">
        <f t="shared" si="2"/>
        <v>1300</v>
      </c>
      <c r="R38" s="87"/>
      <c r="S38" s="87"/>
      <c r="T38" s="91"/>
      <c r="U38" s="87">
        <f t="shared" si="3"/>
        <v>650</v>
      </c>
      <c r="V38" s="87">
        <f t="shared" si="4"/>
        <v>2</v>
      </c>
      <c r="W38" s="88">
        <f t="shared" si="5"/>
        <v>1300</v>
      </c>
      <c r="X38" s="88" t="s">
        <v>181</v>
      </c>
      <c r="Y38" s="84" t="s">
        <v>176</v>
      </c>
    </row>
    <row r="39" spans="1:25" s="84" customFormat="1" ht="11.1" customHeight="1" x14ac:dyDescent="0.2">
      <c r="A39" s="78">
        <f t="shared" si="6"/>
        <v>37</v>
      </c>
      <c r="B39" s="79" t="s">
        <v>159</v>
      </c>
      <c r="C39" s="78" t="str">
        <f>IF($B39&lt;&gt;"",_xlfn.IFNA(VLOOKUP($B39,'Node Details'!$B:$U,C$1,0),"Check"),"")</f>
        <v>000000AXZ-0000AXZ03</v>
      </c>
      <c r="D39" s="78" t="str">
        <f>IF($B39&lt;&gt;"",_xlfn.IFNA(VLOOKUP($B39,'Node Details'!$B:$U,D$1,0),"Check"),"")</f>
        <v>AXZ</v>
      </c>
      <c r="E39" s="78" t="str">
        <f>IF($B39&lt;&gt;"",_xlfn.IFNA(VLOOKUP($B39,'Node Details'!$B:$U,E$1,0),"Check"),"")</f>
        <v>Airtel</v>
      </c>
      <c r="F39" s="80">
        <v>46110</v>
      </c>
      <c r="G39" s="78"/>
      <c r="H39" s="81" t="s">
        <v>177</v>
      </c>
      <c r="I39" s="81">
        <v>2</v>
      </c>
      <c r="J39" s="81">
        <v>650</v>
      </c>
      <c r="K39" s="82">
        <f t="shared" si="0"/>
        <v>1300</v>
      </c>
      <c r="L39" s="83"/>
      <c r="N39" s="89"/>
      <c r="O39" s="90"/>
      <c r="P39" s="87">
        <f t="shared" si="1"/>
        <v>650</v>
      </c>
      <c r="Q39" s="87">
        <f t="shared" si="2"/>
        <v>1300</v>
      </c>
      <c r="R39" s="87"/>
      <c r="S39" s="87"/>
      <c r="T39" s="91"/>
      <c r="U39" s="87">
        <f t="shared" si="3"/>
        <v>650</v>
      </c>
      <c r="V39" s="87">
        <f t="shared" si="4"/>
        <v>2</v>
      </c>
      <c r="W39" s="88">
        <f t="shared" si="5"/>
        <v>1300</v>
      </c>
      <c r="X39" s="88" t="s">
        <v>181</v>
      </c>
      <c r="Y39" s="84" t="s">
        <v>176</v>
      </c>
    </row>
    <row r="40" spans="1:25" s="84" customFormat="1" ht="11.1" customHeight="1" x14ac:dyDescent="0.2">
      <c r="A40" s="78">
        <f t="shared" si="6"/>
        <v>38</v>
      </c>
      <c r="B40" s="79" t="s">
        <v>137</v>
      </c>
      <c r="C40" s="78" t="str">
        <f>IF($B40&lt;&gt;"",_xlfn.IFNA(VLOOKUP($B40,'Node Details'!$B:$U,C$1,0),"Check"),"")</f>
        <v>0000AXZ01-AXZ010101</v>
      </c>
      <c r="D40" s="78" t="str">
        <f>IF($B40&lt;&gt;"",_xlfn.IFNA(VLOOKUP($B40,'Node Details'!$B:$U,D$1,0),"Check"),"")</f>
        <v>AXZ</v>
      </c>
      <c r="E40" s="78" t="str">
        <f>IF($B40&lt;&gt;"",_xlfn.IFNA(VLOOKUP($B40,'Node Details'!$B:$U,E$1,0),"Check"),"")</f>
        <v>Airtel</v>
      </c>
      <c r="F40" s="80">
        <v>46110</v>
      </c>
      <c r="G40" s="78"/>
      <c r="H40" s="81" t="s">
        <v>178</v>
      </c>
      <c r="I40" s="81">
        <v>1</v>
      </c>
      <c r="J40" s="81">
        <v>950</v>
      </c>
      <c r="K40" s="82">
        <f t="shared" si="0"/>
        <v>950</v>
      </c>
      <c r="L40" s="83"/>
      <c r="N40" s="89"/>
      <c r="O40" s="90"/>
      <c r="P40" s="87">
        <f t="shared" si="1"/>
        <v>950</v>
      </c>
      <c r="Q40" s="87">
        <f t="shared" si="2"/>
        <v>950</v>
      </c>
      <c r="R40" s="87"/>
      <c r="S40" s="87"/>
      <c r="T40" s="91"/>
      <c r="U40" s="87">
        <f t="shared" si="3"/>
        <v>950</v>
      </c>
      <c r="V40" s="87">
        <f t="shared" si="4"/>
        <v>1</v>
      </c>
      <c r="W40" s="88">
        <f t="shared" si="5"/>
        <v>950</v>
      </c>
      <c r="X40" s="88" t="s">
        <v>181</v>
      </c>
      <c r="Y40" s="84" t="s">
        <v>176</v>
      </c>
    </row>
    <row r="41" spans="1:25" s="84" customFormat="1" ht="11.1" customHeight="1" x14ac:dyDescent="0.2">
      <c r="A41" s="78">
        <f t="shared" si="6"/>
        <v>39</v>
      </c>
      <c r="B41" s="79" t="s">
        <v>138</v>
      </c>
      <c r="C41" s="78" t="str">
        <f>IF($B41&lt;&gt;"",_xlfn.IFNA(VLOOKUP($B41,'Node Details'!$B:$U,C$1,0),"Check"),"")</f>
        <v>0000AXZ01-AXZ010102</v>
      </c>
      <c r="D41" s="78" t="str">
        <f>IF($B41&lt;&gt;"",_xlfn.IFNA(VLOOKUP($B41,'Node Details'!$B:$U,D$1,0),"Check"),"")</f>
        <v>AXZ</v>
      </c>
      <c r="E41" s="78" t="str">
        <f>IF($B41&lt;&gt;"",_xlfn.IFNA(VLOOKUP($B41,'Node Details'!$B:$U,E$1,0),"Check"),"")</f>
        <v>Airtel</v>
      </c>
      <c r="F41" s="80">
        <v>46110</v>
      </c>
      <c r="G41" s="78"/>
      <c r="H41" s="81" t="s">
        <v>179</v>
      </c>
      <c r="I41" s="81">
        <v>1</v>
      </c>
      <c r="J41" s="81">
        <v>375</v>
      </c>
      <c r="K41" s="82">
        <f t="shared" si="0"/>
        <v>375</v>
      </c>
      <c r="L41" s="83"/>
      <c r="N41" s="89"/>
      <c r="O41" s="90"/>
      <c r="P41" s="87">
        <f t="shared" si="1"/>
        <v>375</v>
      </c>
      <c r="Q41" s="87">
        <f t="shared" si="2"/>
        <v>375</v>
      </c>
      <c r="R41" s="87"/>
      <c r="S41" s="87"/>
      <c r="T41" s="91"/>
      <c r="U41" s="87">
        <f t="shared" si="3"/>
        <v>375</v>
      </c>
      <c r="V41" s="87">
        <f t="shared" si="4"/>
        <v>1</v>
      </c>
      <c r="W41" s="88">
        <f t="shared" si="5"/>
        <v>375</v>
      </c>
      <c r="X41" s="88" t="s">
        <v>181</v>
      </c>
      <c r="Y41" s="84" t="s">
        <v>176</v>
      </c>
    </row>
    <row r="42" spans="1:25" s="84" customFormat="1" ht="11.1" customHeight="1" x14ac:dyDescent="0.2">
      <c r="A42" s="78">
        <f t="shared" si="6"/>
        <v>40</v>
      </c>
      <c r="B42" s="79" t="s">
        <v>139</v>
      </c>
      <c r="C42" s="78" t="str">
        <f>IF($B42&lt;&gt;"",_xlfn.IFNA(VLOOKUP($B42,'Node Details'!$B:$U,C$1,0),"Check"),"")</f>
        <v>0000AXZ01-AXZ010105</v>
      </c>
      <c r="D42" s="78" t="str">
        <f>IF($B42&lt;&gt;"",_xlfn.IFNA(VLOOKUP($B42,'Node Details'!$B:$U,D$1,0),"Check"),"")</f>
        <v>AXZ</v>
      </c>
      <c r="E42" s="78" t="str">
        <f>IF($B42&lt;&gt;"",_xlfn.IFNA(VLOOKUP($B42,'Node Details'!$B:$U,E$1,0),"Check"),"")</f>
        <v>Airtel</v>
      </c>
      <c r="F42" s="80">
        <v>46110</v>
      </c>
      <c r="G42" s="78"/>
      <c r="H42" s="81" t="s">
        <v>179</v>
      </c>
      <c r="I42" s="81">
        <v>1</v>
      </c>
      <c r="J42" s="81">
        <v>375</v>
      </c>
      <c r="K42" s="82">
        <f t="shared" si="0"/>
        <v>375</v>
      </c>
      <c r="L42" s="83"/>
      <c r="N42" s="89"/>
      <c r="O42" s="90"/>
      <c r="P42" s="87">
        <f t="shared" si="1"/>
        <v>375</v>
      </c>
      <c r="Q42" s="87">
        <f t="shared" si="2"/>
        <v>375</v>
      </c>
      <c r="R42" s="87"/>
      <c r="S42" s="87"/>
      <c r="T42" s="91"/>
      <c r="U42" s="87">
        <f t="shared" si="3"/>
        <v>375</v>
      </c>
      <c r="V42" s="87">
        <f t="shared" si="4"/>
        <v>1</v>
      </c>
      <c r="W42" s="88">
        <f t="shared" si="5"/>
        <v>375</v>
      </c>
      <c r="X42" s="88" t="s">
        <v>181</v>
      </c>
      <c r="Y42" s="84" t="s">
        <v>176</v>
      </c>
    </row>
    <row r="43" spans="1:25" s="84" customFormat="1" ht="11.1" customHeight="1" x14ac:dyDescent="0.2">
      <c r="A43" s="78">
        <f t="shared" si="6"/>
        <v>41</v>
      </c>
      <c r="B43" s="79" t="s">
        <v>140</v>
      </c>
      <c r="C43" s="78" t="str">
        <f>IF($B43&lt;&gt;"",_xlfn.IFNA(VLOOKUP($B43,'Node Details'!$B:$U,C$1,0),"Check"),"")</f>
        <v>0000AXZ01-AXZ010105</v>
      </c>
      <c r="D43" s="78" t="str">
        <f>IF($B43&lt;&gt;"",_xlfn.IFNA(VLOOKUP($B43,'Node Details'!$B:$U,D$1,0),"Check"),"")</f>
        <v>AXZ</v>
      </c>
      <c r="E43" s="78" t="str">
        <f>IF($B43&lt;&gt;"",_xlfn.IFNA(VLOOKUP($B43,'Node Details'!$B:$U,E$1,0),"Check"),"")</f>
        <v>Airtel</v>
      </c>
      <c r="F43" s="80">
        <v>46110</v>
      </c>
      <c r="G43" s="78"/>
      <c r="H43" s="81" t="s">
        <v>179</v>
      </c>
      <c r="I43" s="81">
        <v>1</v>
      </c>
      <c r="J43" s="81">
        <v>375</v>
      </c>
      <c r="K43" s="82">
        <f t="shared" si="0"/>
        <v>375</v>
      </c>
      <c r="L43" s="83"/>
      <c r="N43" s="89"/>
      <c r="O43" s="90"/>
      <c r="P43" s="87">
        <f t="shared" si="1"/>
        <v>375</v>
      </c>
      <c r="Q43" s="87">
        <f t="shared" si="2"/>
        <v>375</v>
      </c>
      <c r="R43" s="87"/>
      <c r="S43" s="87"/>
      <c r="T43" s="91"/>
      <c r="U43" s="87">
        <f t="shared" si="3"/>
        <v>375</v>
      </c>
      <c r="V43" s="87">
        <f t="shared" si="4"/>
        <v>1</v>
      </c>
      <c r="W43" s="88">
        <f t="shared" si="5"/>
        <v>375</v>
      </c>
      <c r="X43" s="88" t="s">
        <v>181</v>
      </c>
      <c r="Y43" s="84" t="s">
        <v>176</v>
      </c>
    </row>
    <row r="44" spans="1:25" s="84" customFormat="1" ht="11.1" customHeight="1" x14ac:dyDescent="0.2">
      <c r="A44" s="78">
        <f t="shared" si="6"/>
        <v>42</v>
      </c>
      <c r="B44" s="79" t="s">
        <v>141</v>
      </c>
      <c r="C44" s="78" t="str">
        <f>IF($B44&lt;&gt;"",_xlfn.IFNA(VLOOKUP($B44,'Node Details'!$B:$U,C$1,0),"Check"),"")</f>
        <v>0000AXZ01-AXZ010105</v>
      </c>
      <c r="D44" s="78" t="str">
        <f>IF($B44&lt;&gt;"",_xlfn.IFNA(VLOOKUP($B44,'Node Details'!$B:$U,D$1,0),"Check"),"")</f>
        <v>AXZ</v>
      </c>
      <c r="E44" s="78" t="str">
        <f>IF($B44&lt;&gt;"",_xlfn.IFNA(VLOOKUP($B44,'Node Details'!$B:$U,E$1,0),"Check"),"")</f>
        <v>Airtel</v>
      </c>
      <c r="F44" s="80">
        <v>46110</v>
      </c>
      <c r="G44" s="78"/>
      <c r="H44" s="81" t="s">
        <v>179</v>
      </c>
      <c r="I44" s="81">
        <v>1</v>
      </c>
      <c r="J44" s="81">
        <v>375</v>
      </c>
      <c r="K44" s="82">
        <f t="shared" si="0"/>
        <v>375</v>
      </c>
      <c r="L44" s="83"/>
      <c r="N44" s="89"/>
      <c r="O44" s="90"/>
      <c r="P44" s="87">
        <f t="shared" si="1"/>
        <v>375</v>
      </c>
      <c r="Q44" s="87">
        <f t="shared" si="2"/>
        <v>375</v>
      </c>
      <c r="R44" s="87"/>
      <c r="S44" s="87"/>
      <c r="T44" s="91"/>
      <c r="U44" s="87">
        <f t="shared" si="3"/>
        <v>375</v>
      </c>
      <c r="V44" s="87">
        <f t="shared" si="4"/>
        <v>1</v>
      </c>
      <c r="W44" s="88">
        <f t="shared" si="5"/>
        <v>375</v>
      </c>
      <c r="X44" s="88" t="s">
        <v>181</v>
      </c>
      <c r="Y44" s="84" t="s">
        <v>176</v>
      </c>
    </row>
    <row r="45" spans="1:25" s="84" customFormat="1" ht="11.1" customHeight="1" x14ac:dyDescent="0.2">
      <c r="A45" s="78">
        <f t="shared" si="6"/>
        <v>43</v>
      </c>
      <c r="B45" s="79" t="s">
        <v>142</v>
      </c>
      <c r="C45" s="78" t="str">
        <f>IF($B45&lt;&gt;"",_xlfn.IFNA(VLOOKUP($B45,'Node Details'!$B:$U,C$1,0),"Check"),"")</f>
        <v>0000AXZ01-AXZ010202</v>
      </c>
      <c r="D45" s="78" t="str">
        <f>IF($B45&lt;&gt;"",_xlfn.IFNA(VLOOKUP($B45,'Node Details'!$B:$U,D$1,0),"Check"),"")</f>
        <v>AXZ</v>
      </c>
      <c r="E45" s="78" t="str">
        <f>IF($B45&lt;&gt;"",_xlfn.IFNA(VLOOKUP($B45,'Node Details'!$B:$U,E$1,0),"Check"),"")</f>
        <v>Airtel</v>
      </c>
      <c r="F45" s="80">
        <v>46110</v>
      </c>
      <c r="G45" s="78"/>
      <c r="H45" s="81" t="s">
        <v>178</v>
      </c>
      <c r="I45" s="81">
        <v>1</v>
      </c>
      <c r="J45" s="81">
        <v>950</v>
      </c>
      <c r="K45" s="82">
        <f t="shared" si="0"/>
        <v>950</v>
      </c>
      <c r="L45" s="83"/>
      <c r="N45" s="89"/>
      <c r="O45" s="90"/>
      <c r="P45" s="87">
        <f t="shared" si="1"/>
        <v>950</v>
      </c>
      <c r="Q45" s="87">
        <f t="shared" si="2"/>
        <v>950</v>
      </c>
      <c r="R45" s="87"/>
      <c r="S45" s="87"/>
      <c r="T45" s="91"/>
      <c r="U45" s="87">
        <f t="shared" si="3"/>
        <v>950</v>
      </c>
      <c r="V45" s="87">
        <f t="shared" si="4"/>
        <v>1</v>
      </c>
      <c r="W45" s="88">
        <f t="shared" si="5"/>
        <v>950</v>
      </c>
      <c r="X45" s="88" t="s">
        <v>181</v>
      </c>
      <c r="Y45" s="84" t="s">
        <v>176</v>
      </c>
    </row>
    <row r="46" spans="1:25" s="84" customFormat="1" ht="11.1" customHeight="1" x14ac:dyDescent="0.2">
      <c r="A46" s="78">
        <f t="shared" si="6"/>
        <v>44</v>
      </c>
      <c r="B46" s="79" t="s">
        <v>143</v>
      </c>
      <c r="C46" s="78" t="str">
        <f>IF($B46&lt;&gt;"",_xlfn.IFNA(VLOOKUP($B46,'Node Details'!$B:$U,C$1,0),"Check"),"")</f>
        <v>0000AXZ01-AXZ010202</v>
      </c>
      <c r="D46" s="78" t="str">
        <f>IF($B46&lt;&gt;"",_xlfn.IFNA(VLOOKUP($B46,'Node Details'!$B:$U,D$1,0),"Check"),"")</f>
        <v>AXZ</v>
      </c>
      <c r="E46" s="78" t="str">
        <f>IF($B46&lt;&gt;"",_xlfn.IFNA(VLOOKUP($B46,'Node Details'!$B:$U,E$1,0),"Check"),"")</f>
        <v>Airtel</v>
      </c>
      <c r="F46" s="80">
        <v>46110</v>
      </c>
      <c r="G46" s="78"/>
      <c r="H46" s="81" t="s">
        <v>179</v>
      </c>
      <c r="I46" s="81">
        <v>1</v>
      </c>
      <c r="J46" s="81">
        <v>375</v>
      </c>
      <c r="K46" s="82">
        <f t="shared" si="0"/>
        <v>375</v>
      </c>
      <c r="L46" s="83"/>
      <c r="N46" s="89"/>
      <c r="O46" s="90"/>
      <c r="P46" s="87">
        <f t="shared" si="1"/>
        <v>375</v>
      </c>
      <c r="Q46" s="87">
        <f t="shared" si="2"/>
        <v>375</v>
      </c>
      <c r="R46" s="87"/>
      <c r="S46" s="87"/>
      <c r="T46" s="91"/>
      <c r="U46" s="87">
        <f t="shared" si="3"/>
        <v>375</v>
      </c>
      <c r="V46" s="87">
        <f t="shared" si="4"/>
        <v>1</v>
      </c>
      <c r="W46" s="88">
        <f t="shared" si="5"/>
        <v>375</v>
      </c>
      <c r="X46" s="88" t="s">
        <v>181</v>
      </c>
      <c r="Y46" s="84" t="s">
        <v>176</v>
      </c>
    </row>
    <row r="47" spans="1:25" s="84" customFormat="1" ht="11.1" customHeight="1" x14ac:dyDescent="0.2">
      <c r="A47" s="78">
        <f t="shared" si="6"/>
        <v>45</v>
      </c>
      <c r="B47" s="79" t="s">
        <v>144</v>
      </c>
      <c r="C47" s="78" t="str">
        <f>IF($B47&lt;&gt;"",_xlfn.IFNA(VLOOKUP($B47,'Node Details'!$B:$U,C$1,0),"Check"),"")</f>
        <v>0000AXZ01-AXZ010202</v>
      </c>
      <c r="D47" s="78" t="str">
        <f>IF($B47&lt;&gt;"",_xlfn.IFNA(VLOOKUP($B47,'Node Details'!$B:$U,D$1,0),"Check"),"")</f>
        <v>AXZ</v>
      </c>
      <c r="E47" s="78" t="str">
        <f>IF($B47&lt;&gt;"",_xlfn.IFNA(VLOOKUP($B47,'Node Details'!$B:$U,E$1,0),"Check"),"")</f>
        <v>Airtel</v>
      </c>
      <c r="F47" s="80">
        <v>46110</v>
      </c>
      <c r="G47" s="78"/>
      <c r="H47" s="81" t="s">
        <v>179</v>
      </c>
      <c r="I47" s="81">
        <v>1</v>
      </c>
      <c r="J47" s="81">
        <v>375</v>
      </c>
      <c r="K47" s="82">
        <f t="shared" si="0"/>
        <v>375</v>
      </c>
      <c r="L47" s="83"/>
      <c r="N47" s="89"/>
      <c r="O47" s="90"/>
      <c r="P47" s="87">
        <f t="shared" si="1"/>
        <v>375</v>
      </c>
      <c r="Q47" s="87">
        <f t="shared" si="2"/>
        <v>375</v>
      </c>
      <c r="R47" s="87"/>
      <c r="S47" s="87"/>
      <c r="T47" s="91"/>
      <c r="U47" s="87">
        <f t="shared" si="3"/>
        <v>375</v>
      </c>
      <c r="V47" s="87">
        <f t="shared" si="4"/>
        <v>1</v>
      </c>
      <c r="W47" s="88">
        <f t="shared" si="5"/>
        <v>375</v>
      </c>
      <c r="X47" s="88" t="s">
        <v>181</v>
      </c>
      <c r="Y47" s="84" t="s">
        <v>176</v>
      </c>
    </row>
    <row r="48" spans="1:25" s="84" customFormat="1" ht="11.1" customHeight="1" x14ac:dyDescent="0.2">
      <c r="A48" s="78">
        <f t="shared" si="6"/>
        <v>46</v>
      </c>
      <c r="B48" s="79" t="s">
        <v>145</v>
      </c>
      <c r="C48" s="78" t="str">
        <f>IF($B48&lt;&gt;"",_xlfn.IFNA(VLOOKUP($B48,'Node Details'!$B:$U,C$1,0),"Check"),"")</f>
        <v>0000AXZ01-AXZ010202</v>
      </c>
      <c r="D48" s="78" t="str">
        <f>IF($B48&lt;&gt;"",_xlfn.IFNA(VLOOKUP($B48,'Node Details'!$B:$U,D$1,0),"Check"),"")</f>
        <v>AXZ</v>
      </c>
      <c r="E48" s="78" t="str">
        <f>IF($B48&lt;&gt;"",_xlfn.IFNA(VLOOKUP($B48,'Node Details'!$B:$U,E$1,0),"Check"),"")</f>
        <v>Airtel</v>
      </c>
      <c r="F48" s="80">
        <v>46110</v>
      </c>
      <c r="G48" s="78"/>
      <c r="H48" s="81" t="s">
        <v>179</v>
      </c>
      <c r="I48" s="81">
        <v>1</v>
      </c>
      <c r="J48" s="81">
        <v>375</v>
      </c>
      <c r="K48" s="82">
        <f t="shared" si="0"/>
        <v>375</v>
      </c>
      <c r="L48" s="83"/>
      <c r="N48" s="89"/>
      <c r="O48" s="90"/>
      <c r="P48" s="87">
        <f t="shared" si="1"/>
        <v>375</v>
      </c>
      <c r="Q48" s="87">
        <f t="shared" si="2"/>
        <v>375</v>
      </c>
      <c r="R48" s="87"/>
      <c r="S48" s="87"/>
      <c r="T48" s="91"/>
      <c r="U48" s="87">
        <f t="shared" si="3"/>
        <v>375</v>
      </c>
      <c r="V48" s="87">
        <f t="shared" si="4"/>
        <v>1</v>
      </c>
      <c r="W48" s="88">
        <f t="shared" si="5"/>
        <v>375</v>
      </c>
      <c r="X48" s="88" t="s">
        <v>181</v>
      </c>
      <c r="Y48" s="84" t="s">
        <v>176</v>
      </c>
    </row>
    <row r="49" spans="1:25" s="84" customFormat="1" ht="11.1" customHeight="1" x14ac:dyDescent="0.2">
      <c r="A49" s="78">
        <f t="shared" si="6"/>
        <v>47</v>
      </c>
      <c r="B49" s="79" t="s">
        <v>146</v>
      </c>
      <c r="C49" s="78" t="str">
        <f>IF($B49&lt;&gt;"",_xlfn.IFNA(VLOOKUP($B49,'Node Details'!$B:$U,C$1,0),"Check"),"")</f>
        <v>0000AXZ01-AXZ010202</v>
      </c>
      <c r="D49" s="78" t="str">
        <f>IF($B49&lt;&gt;"",_xlfn.IFNA(VLOOKUP($B49,'Node Details'!$B:$U,D$1,0),"Check"),"")</f>
        <v>AXZ</v>
      </c>
      <c r="E49" s="78" t="str">
        <f>IF($B49&lt;&gt;"",_xlfn.IFNA(VLOOKUP($B49,'Node Details'!$B:$U,E$1,0),"Check"),"")</f>
        <v>Airtel</v>
      </c>
      <c r="F49" s="80">
        <v>46110</v>
      </c>
      <c r="G49" s="78"/>
      <c r="H49" s="81" t="s">
        <v>179</v>
      </c>
      <c r="I49" s="81">
        <v>1</v>
      </c>
      <c r="J49" s="81">
        <v>375</v>
      </c>
      <c r="K49" s="82">
        <f t="shared" si="0"/>
        <v>375</v>
      </c>
      <c r="L49" s="83"/>
      <c r="N49" s="89"/>
      <c r="O49" s="90"/>
      <c r="P49" s="87">
        <f t="shared" si="1"/>
        <v>375</v>
      </c>
      <c r="Q49" s="87">
        <f t="shared" si="2"/>
        <v>375</v>
      </c>
      <c r="R49" s="87"/>
      <c r="S49" s="87"/>
      <c r="T49" s="91"/>
      <c r="U49" s="87">
        <f t="shared" si="3"/>
        <v>375</v>
      </c>
      <c r="V49" s="87">
        <f t="shared" si="4"/>
        <v>1</v>
      </c>
      <c r="W49" s="88">
        <f t="shared" si="5"/>
        <v>375</v>
      </c>
      <c r="X49" s="88" t="s">
        <v>181</v>
      </c>
      <c r="Y49" s="84" t="s">
        <v>176</v>
      </c>
    </row>
    <row r="50" spans="1:25" s="84" customFormat="1" ht="11.1" customHeight="1" x14ac:dyDescent="0.2">
      <c r="A50" s="78">
        <f t="shared" si="6"/>
        <v>48</v>
      </c>
      <c r="B50" s="79" t="s">
        <v>148</v>
      </c>
      <c r="C50" s="78" t="str">
        <f>IF($B50&lt;&gt;"",_xlfn.IFNA(VLOOKUP($B50,'Node Details'!$B:$U,C$1,0),"Check"),"")</f>
        <v>0000AXZ02-AXZ020101</v>
      </c>
      <c r="D50" s="78" t="str">
        <f>IF($B50&lt;&gt;"",_xlfn.IFNA(VLOOKUP($B50,'Node Details'!$B:$U,D$1,0),"Check"),"")</f>
        <v>AXZ</v>
      </c>
      <c r="E50" s="78" t="str">
        <f>IF($B50&lt;&gt;"",_xlfn.IFNA(VLOOKUP($B50,'Node Details'!$B:$U,E$1,0),"Check"),"")</f>
        <v>Airtel</v>
      </c>
      <c r="F50" s="80">
        <v>46110</v>
      </c>
      <c r="G50" s="78"/>
      <c r="H50" s="81" t="s">
        <v>179</v>
      </c>
      <c r="I50" s="81">
        <v>1</v>
      </c>
      <c r="J50" s="81">
        <v>375</v>
      </c>
      <c r="K50" s="82">
        <f t="shared" si="0"/>
        <v>375</v>
      </c>
      <c r="L50" s="83"/>
      <c r="N50" s="89"/>
      <c r="O50" s="90"/>
      <c r="P50" s="87">
        <f t="shared" si="1"/>
        <v>375</v>
      </c>
      <c r="Q50" s="87">
        <f t="shared" si="2"/>
        <v>375</v>
      </c>
      <c r="R50" s="87"/>
      <c r="S50" s="87"/>
      <c r="T50" s="91"/>
      <c r="U50" s="87">
        <f t="shared" si="3"/>
        <v>375</v>
      </c>
      <c r="V50" s="87">
        <f t="shared" si="4"/>
        <v>1</v>
      </c>
      <c r="W50" s="88">
        <f t="shared" si="5"/>
        <v>375</v>
      </c>
      <c r="X50" s="88" t="s">
        <v>181</v>
      </c>
      <c r="Y50" s="84" t="s">
        <v>176</v>
      </c>
    </row>
    <row r="51" spans="1:25" s="84" customFormat="1" ht="11.1" customHeight="1" x14ac:dyDescent="0.2">
      <c r="A51" s="78">
        <f t="shared" si="6"/>
        <v>49</v>
      </c>
      <c r="B51" s="79" t="s">
        <v>149</v>
      </c>
      <c r="C51" s="78" t="str">
        <f>IF($B51&lt;&gt;"",_xlfn.IFNA(VLOOKUP($B51,'Node Details'!$B:$U,C$1,0),"Check"),"")</f>
        <v>0000AXZ02-AXZ020103</v>
      </c>
      <c r="D51" s="78" t="str">
        <f>IF($B51&lt;&gt;"",_xlfn.IFNA(VLOOKUP($B51,'Node Details'!$B:$U,D$1,0),"Check"),"")</f>
        <v>AXZ</v>
      </c>
      <c r="E51" s="78" t="str">
        <f>IF($B51&lt;&gt;"",_xlfn.IFNA(VLOOKUP($B51,'Node Details'!$B:$U,E$1,0),"Check"),"")</f>
        <v>Airtel</v>
      </c>
      <c r="F51" s="80">
        <v>46110</v>
      </c>
      <c r="G51" s="78"/>
      <c r="H51" s="81" t="s">
        <v>179</v>
      </c>
      <c r="I51" s="81">
        <v>1</v>
      </c>
      <c r="J51" s="81">
        <v>375</v>
      </c>
      <c r="K51" s="82">
        <f t="shared" si="0"/>
        <v>375</v>
      </c>
      <c r="L51" s="83"/>
      <c r="N51" s="89"/>
      <c r="O51" s="90"/>
      <c r="P51" s="87">
        <f t="shared" si="1"/>
        <v>375</v>
      </c>
      <c r="Q51" s="87">
        <f t="shared" si="2"/>
        <v>375</v>
      </c>
      <c r="R51" s="87"/>
      <c r="S51" s="87"/>
      <c r="T51" s="91"/>
      <c r="U51" s="87">
        <f t="shared" si="3"/>
        <v>375</v>
      </c>
      <c r="V51" s="87">
        <f t="shared" si="4"/>
        <v>1</v>
      </c>
      <c r="W51" s="88">
        <f t="shared" si="5"/>
        <v>375</v>
      </c>
      <c r="X51" s="88" t="s">
        <v>181</v>
      </c>
      <c r="Y51" s="84" t="s">
        <v>176</v>
      </c>
    </row>
    <row r="52" spans="1:25" s="84" customFormat="1" ht="11.1" customHeight="1" x14ac:dyDescent="0.2">
      <c r="A52" s="78">
        <f t="shared" si="6"/>
        <v>50</v>
      </c>
      <c r="B52" s="79" t="s">
        <v>150</v>
      </c>
      <c r="C52" s="78" t="str">
        <f>IF($B52&lt;&gt;"",_xlfn.IFNA(VLOOKUP($B52,'Node Details'!$B:$U,C$1,0),"Check"),"")</f>
        <v>0000AXZ02-AXZ020103</v>
      </c>
      <c r="D52" s="78" t="str">
        <f>IF($B52&lt;&gt;"",_xlfn.IFNA(VLOOKUP($B52,'Node Details'!$B:$U,D$1,0),"Check"),"")</f>
        <v>AXZ</v>
      </c>
      <c r="E52" s="78" t="str">
        <f>IF($B52&lt;&gt;"",_xlfn.IFNA(VLOOKUP($B52,'Node Details'!$B:$U,E$1,0),"Check"),"")</f>
        <v>Airtel</v>
      </c>
      <c r="F52" s="80">
        <v>46110</v>
      </c>
      <c r="G52" s="78"/>
      <c r="H52" s="81" t="s">
        <v>179</v>
      </c>
      <c r="I52" s="81">
        <v>1</v>
      </c>
      <c r="J52" s="81">
        <v>375</v>
      </c>
      <c r="K52" s="82">
        <f t="shared" si="0"/>
        <v>375</v>
      </c>
      <c r="L52" s="83"/>
      <c r="N52" s="89"/>
      <c r="O52" s="90"/>
      <c r="P52" s="87">
        <f t="shared" si="1"/>
        <v>375</v>
      </c>
      <c r="Q52" s="87">
        <f t="shared" si="2"/>
        <v>375</v>
      </c>
      <c r="R52" s="87"/>
      <c r="S52" s="87"/>
      <c r="T52" s="91"/>
      <c r="U52" s="87">
        <f t="shared" si="3"/>
        <v>375</v>
      </c>
      <c r="V52" s="87">
        <f t="shared" si="4"/>
        <v>1</v>
      </c>
      <c r="W52" s="88">
        <f t="shared" si="5"/>
        <v>375</v>
      </c>
      <c r="X52" s="88" t="s">
        <v>181</v>
      </c>
      <c r="Y52" s="84" t="s">
        <v>176</v>
      </c>
    </row>
    <row r="53" spans="1:25" s="84" customFormat="1" ht="11.1" customHeight="1" x14ac:dyDescent="0.2">
      <c r="A53" s="78">
        <f t="shared" si="6"/>
        <v>51</v>
      </c>
      <c r="B53" s="79" t="s">
        <v>151</v>
      </c>
      <c r="C53" s="78" t="str">
        <f>IF($B53&lt;&gt;"",_xlfn.IFNA(VLOOKUP($B53,'Node Details'!$B:$U,C$1,0),"Check"),"")</f>
        <v>0000AXZ02-AXZ020203</v>
      </c>
      <c r="D53" s="78" t="str">
        <f>IF($B53&lt;&gt;"",_xlfn.IFNA(VLOOKUP($B53,'Node Details'!$B:$U,D$1,0),"Check"),"")</f>
        <v>AXZ</v>
      </c>
      <c r="E53" s="78" t="str">
        <f>IF($B53&lt;&gt;"",_xlfn.IFNA(VLOOKUP($B53,'Node Details'!$B:$U,E$1,0),"Check"),"")</f>
        <v>Airtel</v>
      </c>
      <c r="F53" s="80">
        <v>46110</v>
      </c>
      <c r="G53" s="78"/>
      <c r="H53" s="81" t="s">
        <v>178</v>
      </c>
      <c r="I53" s="81">
        <v>1</v>
      </c>
      <c r="J53" s="81">
        <v>950</v>
      </c>
      <c r="K53" s="82">
        <f t="shared" si="0"/>
        <v>950</v>
      </c>
      <c r="L53" s="83"/>
      <c r="N53" s="89"/>
      <c r="O53" s="90"/>
      <c r="P53" s="87">
        <f t="shared" si="1"/>
        <v>950</v>
      </c>
      <c r="Q53" s="87">
        <f t="shared" si="2"/>
        <v>950</v>
      </c>
      <c r="R53" s="87"/>
      <c r="S53" s="87"/>
      <c r="T53" s="91"/>
      <c r="U53" s="87">
        <f t="shared" si="3"/>
        <v>950</v>
      </c>
      <c r="V53" s="87">
        <f t="shared" si="4"/>
        <v>1</v>
      </c>
      <c r="W53" s="88">
        <f t="shared" si="5"/>
        <v>950</v>
      </c>
      <c r="X53" s="88" t="s">
        <v>181</v>
      </c>
      <c r="Y53" s="84" t="s">
        <v>176</v>
      </c>
    </row>
    <row r="54" spans="1:25" s="84" customFormat="1" ht="11.1" customHeight="1" x14ac:dyDescent="0.2">
      <c r="A54" s="78">
        <f t="shared" si="6"/>
        <v>52</v>
      </c>
      <c r="B54" s="79" t="s">
        <v>152</v>
      </c>
      <c r="C54" s="78" t="str">
        <f>IF($B54&lt;&gt;"",_xlfn.IFNA(VLOOKUP($B54,'Node Details'!$B:$U,C$1,0),"Check"),"")</f>
        <v>0000AXZ02-AXZ020203</v>
      </c>
      <c r="D54" s="78" t="str">
        <f>IF($B54&lt;&gt;"",_xlfn.IFNA(VLOOKUP($B54,'Node Details'!$B:$U,D$1,0),"Check"),"")</f>
        <v>AXZ</v>
      </c>
      <c r="E54" s="78" t="str">
        <f>IF($B54&lt;&gt;"",_xlfn.IFNA(VLOOKUP($B54,'Node Details'!$B:$U,E$1,0),"Check"),"")</f>
        <v>Airtel</v>
      </c>
      <c r="F54" s="80">
        <v>46110</v>
      </c>
      <c r="G54" s="78"/>
      <c r="H54" s="81" t="s">
        <v>179</v>
      </c>
      <c r="I54" s="81">
        <v>1</v>
      </c>
      <c r="J54" s="81">
        <v>375</v>
      </c>
      <c r="K54" s="82">
        <f t="shared" si="0"/>
        <v>375</v>
      </c>
      <c r="L54" s="83"/>
      <c r="N54" s="89"/>
      <c r="O54" s="90"/>
      <c r="P54" s="87">
        <f t="shared" si="1"/>
        <v>375</v>
      </c>
      <c r="Q54" s="87">
        <f t="shared" si="2"/>
        <v>375</v>
      </c>
      <c r="R54" s="87"/>
      <c r="S54" s="87"/>
      <c r="T54" s="91"/>
      <c r="U54" s="87">
        <f t="shared" si="3"/>
        <v>375</v>
      </c>
      <c r="V54" s="87">
        <f t="shared" si="4"/>
        <v>1</v>
      </c>
      <c r="W54" s="88">
        <f t="shared" si="5"/>
        <v>375</v>
      </c>
      <c r="X54" s="88" t="s">
        <v>181</v>
      </c>
      <c r="Y54" s="84" t="s">
        <v>176</v>
      </c>
    </row>
    <row r="55" spans="1:25" s="84" customFormat="1" ht="11.1" customHeight="1" x14ac:dyDescent="0.2">
      <c r="A55" s="78">
        <f t="shared" si="6"/>
        <v>53</v>
      </c>
      <c r="B55" s="79" t="s">
        <v>153</v>
      </c>
      <c r="C55" s="78" t="str">
        <f>IF($B55&lt;&gt;"",_xlfn.IFNA(VLOOKUP($B55,'Node Details'!$B:$U,C$1,0),"Check"),"")</f>
        <v>0000AXZ02-AXZ020203</v>
      </c>
      <c r="D55" s="78" t="str">
        <f>IF($B55&lt;&gt;"",_xlfn.IFNA(VLOOKUP($B55,'Node Details'!$B:$U,D$1,0),"Check"),"")</f>
        <v>AXZ</v>
      </c>
      <c r="E55" s="78" t="str">
        <f>IF($B55&lt;&gt;"",_xlfn.IFNA(VLOOKUP($B55,'Node Details'!$B:$U,E$1,0),"Check"),"")</f>
        <v>Airtel</v>
      </c>
      <c r="F55" s="80">
        <v>46110</v>
      </c>
      <c r="G55" s="78"/>
      <c r="H55" s="81" t="s">
        <v>178</v>
      </c>
      <c r="I55" s="81">
        <v>1</v>
      </c>
      <c r="J55" s="81">
        <v>950</v>
      </c>
      <c r="K55" s="82">
        <f t="shared" si="0"/>
        <v>950</v>
      </c>
      <c r="L55" s="83"/>
      <c r="N55" s="89"/>
      <c r="O55" s="90"/>
      <c r="P55" s="87">
        <f t="shared" si="1"/>
        <v>950</v>
      </c>
      <c r="Q55" s="87">
        <f t="shared" si="2"/>
        <v>950</v>
      </c>
      <c r="R55" s="87"/>
      <c r="S55" s="87"/>
      <c r="T55" s="91"/>
      <c r="U55" s="87">
        <f t="shared" si="3"/>
        <v>950</v>
      </c>
      <c r="V55" s="87">
        <f t="shared" si="4"/>
        <v>1</v>
      </c>
      <c r="W55" s="88">
        <f t="shared" si="5"/>
        <v>950</v>
      </c>
      <c r="X55" s="88" t="s">
        <v>181</v>
      </c>
      <c r="Y55" s="84" t="s">
        <v>176</v>
      </c>
    </row>
    <row r="56" spans="1:25" s="84" customFormat="1" ht="11.1" customHeight="1" x14ac:dyDescent="0.2">
      <c r="A56" s="78">
        <f t="shared" si="6"/>
        <v>54</v>
      </c>
      <c r="B56" s="79" t="s">
        <v>154</v>
      </c>
      <c r="C56" s="78" t="str">
        <f>IF($B56&lt;&gt;"",_xlfn.IFNA(VLOOKUP($B56,'Node Details'!$B:$U,C$1,0),"Check"),"")</f>
        <v>0000AXZ02-AXZ020203</v>
      </c>
      <c r="D56" s="78" t="str">
        <f>IF($B56&lt;&gt;"",_xlfn.IFNA(VLOOKUP($B56,'Node Details'!$B:$U,D$1,0),"Check"),"")</f>
        <v>AXZ</v>
      </c>
      <c r="E56" s="78" t="str">
        <f>IF($B56&lt;&gt;"",_xlfn.IFNA(VLOOKUP($B56,'Node Details'!$B:$U,E$1,0),"Check"),"")</f>
        <v>Airtel</v>
      </c>
      <c r="F56" s="80">
        <v>46110</v>
      </c>
      <c r="G56" s="78"/>
      <c r="H56" s="81" t="s">
        <v>178</v>
      </c>
      <c r="I56" s="81">
        <v>1</v>
      </c>
      <c r="J56" s="81">
        <v>950</v>
      </c>
      <c r="K56" s="82">
        <f t="shared" si="0"/>
        <v>950</v>
      </c>
      <c r="L56" s="83"/>
      <c r="N56" s="89"/>
      <c r="O56" s="90"/>
      <c r="P56" s="87">
        <f t="shared" si="1"/>
        <v>950</v>
      </c>
      <c r="Q56" s="87">
        <f t="shared" si="2"/>
        <v>950</v>
      </c>
      <c r="R56" s="87"/>
      <c r="S56" s="87"/>
      <c r="T56" s="91"/>
      <c r="U56" s="87">
        <f t="shared" si="3"/>
        <v>950</v>
      </c>
      <c r="V56" s="87">
        <f t="shared" si="4"/>
        <v>1</v>
      </c>
      <c r="W56" s="88">
        <f t="shared" si="5"/>
        <v>950</v>
      </c>
      <c r="X56" s="88" t="s">
        <v>181</v>
      </c>
      <c r="Y56" s="84" t="s">
        <v>176</v>
      </c>
    </row>
    <row r="57" spans="1:25" s="84" customFormat="1" ht="11.1" customHeight="1" x14ac:dyDescent="0.2">
      <c r="A57" s="78">
        <f t="shared" si="6"/>
        <v>55</v>
      </c>
      <c r="B57" s="79" t="s">
        <v>155</v>
      </c>
      <c r="C57" s="78" t="str">
        <f>IF($B57&lt;&gt;"",_xlfn.IFNA(VLOOKUP($B57,'Node Details'!$B:$U,C$1,0),"Check"),"")</f>
        <v>0000AXZ02-AXZ020203</v>
      </c>
      <c r="D57" s="78" t="str">
        <f>IF($B57&lt;&gt;"",_xlfn.IFNA(VLOOKUP($B57,'Node Details'!$B:$U,D$1,0),"Check"),"")</f>
        <v>AXZ</v>
      </c>
      <c r="E57" s="78" t="str">
        <f>IF($B57&lt;&gt;"",_xlfn.IFNA(VLOOKUP($B57,'Node Details'!$B:$U,E$1,0),"Check"),"")</f>
        <v>Airtel</v>
      </c>
      <c r="F57" s="80">
        <v>46110</v>
      </c>
      <c r="G57" s="78"/>
      <c r="H57" s="81" t="s">
        <v>179</v>
      </c>
      <c r="I57" s="81">
        <v>1</v>
      </c>
      <c r="J57" s="81">
        <v>375</v>
      </c>
      <c r="K57" s="82">
        <f t="shared" si="0"/>
        <v>375</v>
      </c>
      <c r="L57" s="83"/>
      <c r="N57" s="89"/>
      <c r="O57" s="90"/>
      <c r="P57" s="87">
        <f t="shared" si="1"/>
        <v>375</v>
      </c>
      <c r="Q57" s="87">
        <f t="shared" si="2"/>
        <v>375</v>
      </c>
      <c r="R57" s="87"/>
      <c r="S57" s="87"/>
      <c r="T57" s="91"/>
      <c r="U57" s="87">
        <f t="shared" si="3"/>
        <v>375</v>
      </c>
      <c r="V57" s="87">
        <f t="shared" si="4"/>
        <v>1</v>
      </c>
      <c r="W57" s="88">
        <f t="shared" si="5"/>
        <v>375</v>
      </c>
      <c r="X57" s="88" t="s">
        <v>181</v>
      </c>
      <c r="Y57" s="84" t="s">
        <v>176</v>
      </c>
    </row>
    <row r="58" spans="1:25" s="84" customFormat="1" ht="11.1" customHeight="1" x14ac:dyDescent="0.25">
      <c r="A58" s="78">
        <f t="shared" si="6"/>
        <v>56</v>
      </c>
      <c r="B58" s="92" t="s">
        <v>156</v>
      </c>
      <c r="C58" s="78" t="str">
        <f>IF($B58&lt;&gt;"",_xlfn.IFNA(VLOOKUP($B58,'Node Details'!$B:$U,C$1,0),"Check"),"")</f>
        <v>0000AXZ02-AXZ020203</v>
      </c>
      <c r="D58" s="78" t="str">
        <f>IF($B58&lt;&gt;"",_xlfn.IFNA(VLOOKUP($B58,'Node Details'!$B:$U,D$1,0),"Check"),"")</f>
        <v>AXZ</v>
      </c>
      <c r="E58" s="78" t="str">
        <f>IF($B58&lt;&gt;"",_xlfn.IFNA(VLOOKUP($B58,'Node Details'!$B:$U,E$1,0),"Check"),"")</f>
        <v>Airtel</v>
      </c>
      <c r="F58" s="80">
        <v>46110</v>
      </c>
      <c r="G58" s="78"/>
      <c r="H58" s="81" t="s">
        <v>179</v>
      </c>
      <c r="I58" s="81">
        <v>1</v>
      </c>
      <c r="J58" s="81">
        <v>375</v>
      </c>
      <c r="K58" s="82">
        <f t="shared" si="0"/>
        <v>375</v>
      </c>
      <c r="L58" s="83"/>
      <c r="N58" s="85"/>
      <c r="O58" s="86"/>
      <c r="P58" s="87">
        <f t="shared" si="1"/>
        <v>375</v>
      </c>
      <c r="Q58" s="87">
        <f t="shared" si="2"/>
        <v>375</v>
      </c>
      <c r="R58" s="87"/>
      <c r="S58" s="85"/>
      <c r="T58" s="86"/>
      <c r="U58" s="87">
        <f t="shared" si="3"/>
        <v>375</v>
      </c>
      <c r="V58" s="87">
        <f t="shared" si="4"/>
        <v>1</v>
      </c>
      <c r="W58" s="88">
        <f t="shared" si="5"/>
        <v>375</v>
      </c>
      <c r="X58" s="88" t="s">
        <v>181</v>
      </c>
      <c r="Y58" s="84" t="s">
        <v>176</v>
      </c>
    </row>
    <row r="59" spans="1:25" s="84" customFormat="1" ht="11.1" customHeight="1" x14ac:dyDescent="0.25">
      <c r="A59" s="78">
        <f t="shared" si="6"/>
        <v>57</v>
      </c>
      <c r="B59" s="92" t="s">
        <v>157</v>
      </c>
      <c r="C59" s="78" t="str">
        <f>IF($B59&lt;&gt;"",_xlfn.IFNA(VLOOKUP($B59,'Node Details'!$B:$U,C$1,0),"Check"),"")</f>
        <v>0000AXZ02-AXZ020203</v>
      </c>
      <c r="D59" s="78" t="str">
        <f>IF($B59&lt;&gt;"",_xlfn.IFNA(VLOOKUP($B59,'Node Details'!$B:$U,D$1,0),"Check"),"")</f>
        <v>AXZ</v>
      </c>
      <c r="E59" s="78" t="str">
        <f>IF($B59&lt;&gt;"",_xlfn.IFNA(VLOOKUP($B59,'Node Details'!$B:$U,E$1,0),"Check"),"")</f>
        <v>Airtel</v>
      </c>
      <c r="F59" s="80">
        <v>46110</v>
      </c>
      <c r="G59" s="78"/>
      <c r="H59" s="81" t="s">
        <v>179</v>
      </c>
      <c r="I59" s="81">
        <v>1</v>
      </c>
      <c r="J59" s="81">
        <v>375</v>
      </c>
      <c r="K59" s="82">
        <f t="shared" si="0"/>
        <v>375</v>
      </c>
      <c r="L59" s="83"/>
      <c r="N59" s="85"/>
      <c r="O59" s="86"/>
      <c r="P59" s="87">
        <f t="shared" si="1"/>
        <v>375</v>
      </c>
      <c r="Q59" s="87">
        <f t="shared" si="2"/>
        <v>375</v>
      </c>
      <c r="R59" s="87"/>
      <c r="S59" s="85"/>
      <c r="T59" s="86"/>
      <c r="U59" s="87">
        <f t="shared" si="3"/>
        <v>375</v>
      </c>
      <c r="V59" s="87">
        <f t="shared" si="4"/>
        <v>1</v>
      </c>
      <c r="W59" s="88">
        <f t="shared" si="5"/>
        <v>375</v>
      </c>
      <c r="X59" s="88" t="s">
        <v>181</v>
      </c>
      <c r="Y59" s="84" t="s">
        <v>176</v>
      </c>
    </row>
    <row r="60" spans="1:25" s="84" customFormat="1" ht="11.1" customHeight="1" x14ac:dyDescent="0.25">
      <c r="A60" s="78">
        <f t="shared" si="6"/>
        <v>58</v>
      </c>
      <c r="B60" s="92" t="s">
        <v>158</v>
      </c>
      <c r="C60" s="78" t="str">
        <f>IF($B60&lt;&gt;"",_xlfn.IFNA(VLOOKUP($B60,'Node Details'!$B:$U,C$1,0),"Check"),"")</f>
        <v>0000AXZ02-AXZ020203</v>
      </c>
      <c r="D60" s="78" t="str">
        <f>IF($B60&lt;&gt;"",_xlfn.IFNA(VLOOKUP($B60,'Node Details'!$B:$U,D$1,0),"Check"),"")</f>
        <v>AXZ</v>
      </c>
      <c r="E60" s="78" t="str">
        <f>IF($B60&lt;&gt;"",_xlfn.IFNA(VLOOKUP($B60,'Node Details'!$B:$U,E$1,0),"Check"),"")</f>
        <v>Airtel</v>
      </c>
      <c r="F60" s="80">
        <v>46110</v>
      </c>
      <c r="G60" s="78"/>
      <c r="H60" s="81" t="s">
        <v>178</v>
      </c>
      <c r="I60" s="81">
        <v>1</v>
      </c>
      <c r="J60" s="81">
        <v>950</v>
      </c>
      <c r="K60" s="82">
        <f t="shared" si="0"/>
        <v>950</v>
      </c>
      <c r="L60" s="83"/>
      <c r="N60" s="85"/>
      <c r="O60" s="86"/>
      <c r="P60" s="87">
        <f t="shared" si="1"/>
        <v>950</v>
      </c>
      <c r="Q60" s="87">
        <f t="shared" si="2"/>
        <v>950</v>
      </c>
      <c r="R60" s="87"/>
      <c r="S60" s="85"/>
      <c r="T60" s="86"/>
      <c r="U60" s="87">
        <f t="shared" si="3"/>
        <v>950</v>
      </c>
      <c r="V60" s="87">
        <f t="shared" si="4"/>
        <v>1</v>
      </c>
      <c r="W60" s="88">
        <f t="shared" si="5"/>
        <v>950</v>
      </c>
      <c r="X60" s="88" t="s">
        <v>181</v>
      </c>
      <c r="Y60" s="84" t="s">
        <v>176</v>
      </c>
    </row>
    <row r="61" spans="1:25" s="84" customFormat="1" ht="11.1" customHeight="1" x14ac:dyDescent="0.25">
      <c r="A61" s="78">
        <f t="shared" si="6"/>
        <v>59</v>
      </c>
      <c r="B61" s="92" t="s">
        <v>160</v>
      </c>
      <c r="C61" s="78" t="str">
        <f>IF($B61&lt;&gt;"",_xlfn.IFNA(VLOOKUP($B61,'Node Details'!$B:$U,C$1,0),"Check"),"")</f>
        <v>0000AXZ03-AXZ030101</v>
      </c>
      <c r="D61" s="78" t="str">
        <f>IF($B61&lt;&gt;"",_xlfn.IFNA(VLOOKUP($B61,'Node Details'!$B:$U,D$1,0),"Check"),"")</f>
        <v>AXZ</v>
      </c>
      <c r="E61" s="78" t="str">
        <f>IF($B61&lt;&gt;"",_xlfn.IFNA(VLOOKUP($B61,'Node Details'!$B:$U,E$1,0),"Check"),"")</f>
        <v>Airtel</v>
      </c>
      <c r="F61" s="80">
        <v>46110</v>
      </c>
      <c r="G61" s="78"/>
      <c r="H61" s="81" t="s">
        <v>179</v>
      </c>
      <c r="I61" s="81">
        <v>1</v>
      </c>
      <c r="J61" s="81">
        <v>375</v>
      </c>
      <c r="K61" s="82">
        <f t="shared" si="0"/>
        <v>375</v>
      </c>
      <c r="L61" s="83"/>
      <c r="N61" s="85"/>
      <c r="O61" s="86"/>
      <c r="P61" s="87">
        <f t="shared" si="1"/>
        <v>375</v>
      </c>
      <c r="Q61" s="87">
        <f t="shared" si="2"/>
        <v>375</v>
      </c>
      <c r="R61" s="87"/>
      <c r="S61" s="85"/>
      <c r="T61" s="86"/>
      <c r="U61" s="87">
        <f t="shared" si="3"/>
        <v>375</v>
      </c>
      <c r="V61" s="87">
        <f t="shared" si="4"/>
        <v>1</v>
      </c>
      <c r="W61" s="88">
        <f t="shared" si="5"/>
        <v>375</v>
      </c>
      <c r="X61" s="88" t="s">
        <v>181</v>
      </c>
      <c r="Y61" s="84" t="s">
        <v>176</v>
      </c>
    </row>
    <row r="62" spans="1:25" s="84" customFormat="1" ht="11.1" customHeight="1" x14ac:dyDescent="0.25">
      <c r="A62" s="78">
        <f t="shared" si="6"/>
        <v>60</v>
      </c>
      <c r="B62" s="92" t="s">
        <v>161</v>
      </c>
      <c r="C62" s="78" t="str">
        <f>IF($B62&lt;&gt;"",_xlfn.IFNA(VLOOKUP($B62,'Node Details'!$B:$U,C$1,0),"Check"),"")</f>
        <v>0000AXZ03-AXZ030102</v>
      </c>
      <c r="D62" s="78" t="str">
        <f>IF($B62&lt;&gt;"",_xlfn.IFNA(VLOOKUP($B62,'Node Details'!$B:$U,D$1,0),"Check"),"")</f>
        <v>AXZ</v>
      </c>
      <c r="E62" s="78" t="str">
        <f>IF($B62&lt;&gt;"",_xlfn.IFNA(VLOOKUP($B62,'Node Details'!$B:$U,E$1,0),"Check"),"")</f>
        <v>Airtel</v>
      </c>
      <c r="F62" s="80">
        <v>46110</v>
      </c>
      <c r="G62" s="78"/>
      <c r="H62" s="81" t="s">
        <v>179</v>
      </c>
      <c r="I62" s="81">
        <v>1</v>
      </c>
      <c r="J62" s="81">
        <v>375</v>
      </c>
      <c r="K62" s="82">
        <f t="shared" si="0"/>
        <v>375</v>
      </c>
      <c r="L62" s="83"/>
      <c r="N62" s="85"/>
      <c r="O62" s="86"/>
      <c r="P62" s="87">
        <f t="shared" si="1"/>
        <v>375</v>
      </c>
      <c r="Q62" s="87">
        <f t="shared" si="2"/>
        <v>375</v>
      </c>
      <c r="R62" s="87"/>
      <c r="S62" s="85"/>
      <c r="T62" s="86"/>
      <c r="U62" s="87">
        <f t="shared" si="3"/>
        <v>375</v>
      </c>
      <c r="V62" s="87">
        <f t="shared" si="4"/>
        <v>1</v>
      </c>
      <c r="W62" s="88">
        <f t="shared" si="5"/>
        <v>375</v>
      </c>
      <c r="X62" s="88" t="s">
        <v>181</v>
      </c>
      <c r="Y62" s="84" t="s">
        <v>176</v>
      </c>
    </row>
    <row r="63" spans="1:25" s="84" customFormat="1" ht="11.1" customHeight="1" x14ac:dyDescent="0.25">
      <c r="A63" s="78">
        <f t="shared" si="6"/>
        <v>61</v>
      </c>
      <c r="B63" s="92" t="s">
        <v>162</v>
      </c>
      <c r="C63" s="78" t="str">
        <f>IF($B63&lt;&gt;"",_xlfn.IFNA(VLOOKUP($B63,'Node Details'!$B:$U,C$1,0),"Check"),"")</f>
        <v>0000AXZ03-AXZ030104</v>
      </c>
      <c r="D63" s="78" t="str">
        <f>IF($B63&lt;&gt;"",_xlfn.IFNA(VLOOKUP($B63,'Node Details'!$B:$U,D$1,0),"Check"),"")</f>
        <v>AXZ</v>
      </c>
      <c r="E63" s="78" t="str">
        <f>IF($B63&lt;&gt;"",_xlfn.IFNA(VLOOKUP($B63,'Node Details'!$B:$U,E$1,0),"Check"),"")</f>
        <v>Airtel</v>
      </c>
      <c r="F63" s="80">
        <v>46110</v>
      </c>
      <c r="G63" s="78"/>
      <c r="H63" s="81" t="s">
        <v>179</v>
      </c>
      <c r="I63" s="81">
        <v>1</v>
      </c>
      <c r="J63" s="81">
        <v>375</v>
      </c>
      <c r="K63" s="82">
        <f t="shared" si="0"/>
        <v>375</v>
      </c>
      <c r="L63" s="83"/>
      <c r="N63" s="89"/>
      <c r="O63" s="90"/>
      <c r="P63" s="87">
        <f t="shared" si="1"/>
        <v>375</v>
      </c>
      <c r="Q63" s="87">
        <f t="shared" si="2"/>
        <v>375</v>
      </c>
      <c r="R63" s="87"/>
      <c r="S63" s="87"/>
      <c r="T63" s="91"/>
      <c r="U63" s="87">
        <f t="shared" si="3"/>
        <v>375</v>
      </c>
      <c r="V63" s="87">
        <f t="shared" si="4"/>
        <v>1</v>
      </c>
      <c r="W63" s="88">
        <f t="shared" si="5"/>
        <v>375</v>
      </c>
      <c r="X63" s="88" t="s">
        <v>181</v>
      </c>
      <c r="Y63" s="84" t="s">
        <v>176</v>
      </c>
    </row>
    <row r="64" spans="1:25" s="84" customFormat="1" ht="11.1" customHeight="1" x14ac:dyDescent="0.25">
      <c r="A64" s="78">
        <f t="shared" si="6"/>
        <v>62</v>
      </c>
      <c r="B64" s="92" t="s">
        <v>163</v>
      </c>
      <c r="C64" s="78" t="str">
        <f>IF($B64&lt;&gt;"",_xlfn.IFNA(VLOOKUP($B64,'Node Details'!$B:$U,C$1,0),"Check"),"")</f>
        <v>0000AXZ03-AXZ030104</v>
      </c>
      <c r="D64" s="78" t="str">
        <f>IF($B64&lt;&gt;"",_xlfn.IFNA(VLOOKUP($B64,'Node Details'!$B:$U,D$1,0),"Check"),"")</f>
        <v>AXZ</v>
      </c>
      <c r="E64" s="78" t="str">
        <f>IF($B64&lt;&gt;"",_xlfn.IFNA(VLOOKUP($B64,'Node Details'!$B:$U,E$1,0),"Check"),"")</f>
        <v>Airtel</v>
      </c>
      <c r="F64" s="80">
        <v>46110</v>
      </c>
      <c r="G64" s="78"/>
      <c r="H64" s="81" t="s">
        <v>178</v>
      </c>
      <c r="I64" s="81">
        <v>1</v>
      </c>
      <c r="J64" s="81">
        <v>950</v>
      </c>
      <c r="K64" s="82">
        <f t="shared" si="0"/>
        <v>950</v>
      </c>
      <c r="L64" s="83"/>
      <c r="N64" s="89"/>
      <c r="O64" s="90"/>
      <c r="P64" s="87">
        <f t="shared" si="1"/>
        <v>950</v>
      </c>
      <c r="Q64" s="87">
        <f t="shared" si="2"/>
        <v>950</v>
      </c>
      <c r="R64" s="87"/>
      <c r="S64" s="87"/>
      <c r="T64" s="91"/>
      <c r="U64" s="87">
        <f t="shared" si="3"/>
        <v>950</v>
      </c>
      <c r="V64" s="87">
        <f t="shared" si="4"/>
        <v>1</v>
      </c>
      <c r="W64" s="88">
        <f t="shared" si="5"/>
        <v>950</v>
      </c>
      <c r="X64" s="88" t="s">
        <v>181</v>
      </c>
      <c r="Y64" s="84" t="s">
        <v>176</v>
      </c>
    </row>
    <row r="65" spans="1:25" s="84" customFormat="1" ht="11.1" customHeight="1" x14ac:dyDescent="0.25">
      <c r="A65" s="78">
        <f t="shared" si="6"/>
        <v>63</v>
      </c>
      <c r="B65" s="92" t="s">
        <v>164</v>
      </c>
      <c r="C65" s="78" t="str">
        <f>IF($B65&lt;&gt;"",_xlfn.IFNA(VLOOKUP($B65,'Node Details'!$B:$U,C$1,0),"Check"),"")</f>
        <v>AXZ030104-AXZ030106</v>
      </c>
      <c r="D65" s="78" t="str">
        <f>IF($B65&lt;&gt;"",_xlfn.IFNA(VLOOKUP($B65,'Node Details'!$B:$U,D$1,0),"Check"),"")</f>
        <v>AXZ</v>
      </c>
      <c r="E65" s="78" t="str">
        <f>IF($B65&lt;&gt;"",_xlfn.IFNA(VLOOKUP($B65,'Node Details'!$B:$U,E$1,0),"Check"),"")</f>
        <v>Airtel</v>
      </c>
      <c r="F65" s="80">
        <v>46110</v>
      </c>
      <c r="G65" s="78"/>
      <c r="H65" s="81" t="s">
        <v>179</v>
      </c>
      <c r="I65" s="81">
        <v>1</v>
      </c>
      <c r="J65" s="81">
        <v>375</v>
      </c>
      <c r="K65" s="82">
        <f t="shared" si="0"/>
        <v>375</v>
      </c>
      <c r="L65" s="83"/>
      <c r="N65" s="89"/>
      <c r="O65" s="90"/>
      <c r="P65" s="87">
        <f t="shared" si="1"/>
        <v>375</v>
      </c>
      <c r="Q65" s="87">
        <f t="shared" si="2"/>
        <v>375</v>
      </c>
      <c r="R65" s="87"/>
      <c r="S65" s="87"/>
      <c r="T65" s="91"/>
      <c r="U65" s="87">
        <f t="shared" si="3"/>
        <v>375</v>
      </c>
      <c r="V65" s="87">
        <f t="shared" si="4"/>
        <v>1</v>
      </c>
      <c r="W65" s="88">
        <f t="shared" si="5"/>
        <v>375</v>
      </c>
      <c r="X65" s="88" t="s">
        <v>181</v>
      </c>
      <c r="Y65" s="84" t="s">
        <v>176</v>
      </c>
    </row>
    <row r="66" spans="1:25" s="84" customFormat="1" ht="11.1" customHeight="1" x14ac:dyDescent="0.25">
      <c r="A66" s="78">
        <f t="shared" si="6"/>
        <v>64</v>
      </c>
      <c r="B66" s="92" t="s">
        <v>165</v>
      </c>
      <c r="C66" s="78" t="str">
        <f>IF($B66&lt;&gt;"",_xlfn.IFNA(VLOOKUP($B66,'Node Details'!$B:$U,C$1,0),"Check"),"")</f>
        <v>AXZ030104-AXZ030106</v>
      </c>
      <c r="D66" s="78" t="str">
        <f>IF($B66&lt;&gt;"",_xlfn.IFNA(VLOOKUP($B66,'Node Details'!$B:$U,D$1,0),"Check"),"")</f>
        <v>AXZ</v>
      </c>
      <c r="E66" s="78" t="str">
        <f>IF($B66&lt;&gt;"",_xlfn.IFNA(VLOOKUP($B66,'Node Details'!$B:$U,E$1,0),"Check"),"")</f>
        <v>Airtel</v>
      </c>
      <c r="F66" s="80">
        <v>46110</v>
      </c>
      <c r="G66" s="78"/>
      <c r="H66" s="81" t="s">
        <v>179</v>
      </c>
      <c r="I66" s="81">
        <v>1</v>
      </c>
      <c r="J66" s="81">
        <v>375</v>
      </c>
      <c r="K66" s="82">
        <f t="shared" si="0"/>
        <v>375</v>
      </c>
      <c r="L66" s="83"/>
      <c r="N66" s="89"/>
      <c r="O66" s="90"/>
      <c r="P66" s="87">
        <f t="shared" si="1"/>
        <v>375</v>
      </c>
      <c r="Q66" s="87">
        <f t="shared" si="2"/>
        <v>375</v>
      </c>
      <c r="R66" s="87"/>
      <c r="S66" s="87"/>
      <c r="T66" s="91"/>
      <c r="U66" s="87">
        <f t="shared" si="3"/>
        <v>375</v>
      </c>
      <c r="V66" s="87">
        <f t="shared" si="4"/>
        <v>1</v>
      </c>
      <c r="W66" s="88">
        <f t="shared" si="5"/>
        <v>375</v>
      </c>
      <c r="X66" s="88" t="s">
        <v>181</v>
      </c>
      <c r="Y66" s="84" t="s">
        <v>176</v>
      </c>
    </row>
    <row r="67" spans="1:25" s="84" customFormat="1" ht="11.1" customHeight="1" x14ac:dyDescent="0.25">
      <c r="A67" s="78">
        <f t="shared" si="6"/>
        <v>65</v>
      </c>
      <c r="B67" s="92" t="s">
        <v>166</v>
      </c>
      <c r="C67" s="78" t="str">
        <f>IF($B67&lt;&gt;"",_xlfn.IFNA(VLOOKUP($B67,'Node Details'!$B:$U,C$1,0),"Check"),"")</f>
        <v>0000AXZ03-AXZ030201</v>
      </c>
      <c r="D67" s="78" t="str">
        <f>IF($B67&lt;&gt;"",_xlfn.IFNA(VLOOKUP($B67,'Node Details'!$B:$U,D$1,0),"Check"),"")</f>
        <v>AXZ</v>
      </c>
      <c r="E67" s="78" t="str">
        <f>IF($B67&lt;&gt;"",_xlfn.IFNA(VLOOKUP($B67,'Node Details'!$B:$U,E$1,0),"Check"),"")</f>
        <v>Airtel</v>
      </c>
      <c r="F67" s="80">
        <v>46110</v>
      </c>
      <c r="G67" s="78"/>
      <c r="H67" s="81" t="s">
        <v>179</v>
      </c>
      <c r="I67" s="81">
        <v>1</v>
      </c>
      <c r="J67" s="81">
        <v>375</v>
      </c>
      <c r="K67" s="82">
        <f t="shared" ref="K67:K110" si="7">IF(I67&lt;&gt;"",J67*I67,0)</f>
        <v>375</v>
      </c>
      <c r="L67" s="83"/>
      <c r="N67" s="89"/>
      <c r="O67" s="90"/>
      <c r="P67" s="87">
        <f t="shared" ref="P67:P110" si="8">J67</f>
        <v>375</v>
      </c>
      <c r="Q67" s="87">
        <f t="shared" ref="Q67:Q110" si="9">P67*I67</f>
        <v>375</v>
      </c>
      <c r="R67" s="87"/>
      <c r="S67" s="87"/>
      <c r="T67" s="91"/>
      <c r="U67" s="87">
        <f t="shared" ref="U67:U110" si="10">J67</f>
        <v>375</v>
      </c>
      <c r="V67" s="87">
        <f t="shared" ref="V67:V110" si="11">I67</f>
        <v>1</v>
      </c>
      <c r="W67" s="88">
        <f t="shared" ref="W67:W110" si="12">IF(V67&lt;&gt;"",V67*U67,0)</f>
        <v>375</v>
      </c>
      <c r="X67" s="88" t="s">
        <v>181</v>
      </c>
      <c r="Y67" s="84" t="s">
        <v>176</v>
      </c>
    </row>
    <row r="68" spans="1:25" s="84" customFormat="1" ht="11.1" customHeight="1" x14ac:dyDescent="0.25">
      <c r="A68" s="78">
        <f t="shared" ref="A68:A110" si="13">A67+1</f>
        <v>66</v>
      </c>
      <c r="B68" s="92" t="s">
        <v>167</v>
      </c>
      <c r="C68" s="78" t="str">
        <f>IF($B68&lt;&gt;"",_xlfn.IFNA(VLOOKUP($B68,'Node Details'!$B:$U,C$1,0),"Check"),"")</f>
        <v>0000AXZ03-AXZ030201</v>
      </c>
      <c r="D68" s="78" t="str">
        <f>IF($B68&lt;&gt;"",_xlfn.IFNA(VLOOKUP($B68,'Node Details'!$B:$U,D$1,0),"Check"),"")</f>
        <v>AXZ</v>
      </c>
      <c r="E68" s="78" t="str">
        <f>IF($B68&lt;&gt;"",_xlfn.IFNA(VLOOKUP($B68,'Node Details'!$B:$U,E$1,0),"Check"),"")</f>
        <v>Airtel</v>
      </c>
      <c r="F68" s="80">
        <v>46110</v>
      </c>
      <c r="G68" s="78"/>
      <c r="H68" s="81" t="s">
        <v>179</v>
      </c>
      <c r="I68" s="81">
        <v>1</v>
      </c>
      <c r="J68" s="81">
        <v>375</v>
      </c>
      <c r="K68" s="82">
        <f t="shared" si="7"/>
        <v>375</v>
      </c>
      <c r="L68" s="83"/>
      <c r="N68" s="89"/>
      <c r="O68" s="90"/>
      <c r="P68" s="87">
        <f t="shared" si="8"/>
        <v>375</v>
      </c>
      <c r="Q68" s="87">
        <f t="shared" si="9"/>
        <v>375</v>
      </c>
      <c r="R68" s="87"/>
      <c r="S68" s="87"/>
      <c r="T68" s="91"/>
      <c r="U68" s="87">
        <f t="shared" si="10"/>
        <v>375</v>
      </c>
      <c r="V68" s="87">
        <f t="shared" si="11"/>
        <v>1</v>
      </c>
      <c r="W68" s="88">
        <f t="shared" si="12"/>
        <v>375</v>
      </c>
      <c r="X68" s="88" t="s">
        <v>181</v>
      </c>
      <c r="Y68" s="84" t="s">
        <v>176</v>
      </c>
    </row>
    <row r="69" spans="1:25" s="84" customFormat="1" ht="11.1" customHeight="1" x14ac:dyDescent="0.2">
      <c r="A69" s="78">
        <f t="shared" si="13"/>
        <v>67</v>
      </c>
      <c r="B69" s="79" t="s">
        <v>168</v>
      </c>
      <c r="C69" s="78" t="str">
        <f>IF($B69&lt;&gt;"",_xlfn.IFNA(VLOOKUP($B69,'Node Details'!$B:$U,C$1,0),"Check"),"")</f>
        <v>0000AXZ03-AXZ030201</v>
      </c>
      <c r="D69" s="78" t="str">
        <f>IF($B69&lt;&gt;"",_xlfn.IFNA(VLOOKUP($B69,'Node Details'!$B:$U,D$1,0),"Check"),"")</f>
        <v>AXZ</v>
      </c>
      <c r="E69" s="78" t="str">
        <f>IF($B69&lt;&gt;"",_xlfn.IFNA(VLOOKUP($B69,'Node Details'!$B:$U,E$1,0),"Check"),"")</f>
        <v>Airtel</v>
      </c>
      <c r="F69" s="80">
        <v>46110</v>
      </c>
      <c r="G69" s="78"/>
      <c r="H69" s="81" t="s">
        <v>179</v>
      </c>
      <c r="I69" s="81">
        <v>1</v>
      </c>
      <c r="J69" s="81">
        <v>375</v>
      </c>
      <c r="K69" s="82">
        <f t="shared" si="7"/>
        <v>375</v>
      </c>
      <c r="L69" s="83"/>
      <c r="N69" s="85"/>
      <c r="O69" s="86"/>
      <c r="P69" s="87">
        <f t="shared" si="8"/>
        <v>375</v>
      </c>
      <c r="Q69" s="87">
        <f t="shared" si="9"/>
        <v>375</v>
      </c>
      <c r="R69" s="87"/>
      <c r="S69" s="85"/>
      <c r="T69" s="86"/>
      <c r="U69" s="87">
        <f t="shared" si="10"/>
        <v>375</v>
      </c>
      <c r="V69" s="87">
        <f t="shared" si="11"/>
        <v>1</v>
      </c>
      <c r="W69" s="88">
        <f t="shared" si="12"/>
        <v>375</v>
      </c>
      <c r="X69" s="88" t="s">
        <v>181</v>
      </c>
      <c r="Y69" s="84" t="s">
        <v>176</v>
      </c>
    </row>
    <row r="70" spans="1:25" s="84" customFormat="1" ht="11.1" customHeight="1" x14ac:dyDescent="0.2">
      <c r="A70" s="78">
        <f t="shared" si="13"/>
        <v>68</v>
      </c>
      <c r="B70" s="79" t="s">
        <v>169</v>
      </c>
      <c r="C70" s="78" t="str">
        <f>IF($B70&lt;&gt;"",_xlfn.IFNA(VLOOKUP($B70,'Node Details'!$B:$U,C$1,0),"Check"),"")</f>
        <v>AXZ030201-AXZ030205</v>
      </c>
      <c r="D70" s="78" t="str">
        <f>IF($B70&lt;&gt;"",_xlfn.IFNA(VLOOKUP($B70,'Node Details'!$B:$U,D$1,0),"Check"),"")</f>
        <v>AXZ</v>
      </c>
      <c r="E70" s="78" t="str">
        <f>IF($B70&lt;&gt;"",_xlfn.IFNA(VLOOKUP($B70,'Node Details'!$B:$U,E$1,0),"Check"),"")</f>
        <v>Airtel</v>
      </c>
      <c r="F70" s="80">
        <v>46110</v>
      </c>
      <c r="G70" s="78"/>
      <c r="H70" s="81" t="s">
        <v>179</v>
      </c>
      <c r="I70" s="81">
        <v>1</v>
      </c>
      <c r="J70" s="81">
        <v>375</v>
      </c>
      <c r="K70" s="82">
        <f t="shared" si="7"/>
        <v>375</v>
      </c>
      <c r="L70" s="83"/>
      <c r="N70" s="85"/>
      <c r="O70" s="86"/>
      <c r="P70" s="87">
        <f t="shared" si="8"/>
        <v>375</v>
      </c>
      <c r="Q70" s="87">
        <f t="shared" si="9"/>
        <v>375</v>
      </c>
      <c r="R70" s="87"/>
      <c r="S70" s="85"/>
      <c r="T70" s="86"/>
      <c r="U70" s="87">
        <f t="shared" si="10"/>
        <v>375</v>
      </c>
      <c r="V70" s="87">
        <f t="shared" si="11"/>
        <v>1</v>
      </c>
      <c r="W70" s="88">
        <f t="shared" si="12"/>
        <v>375</v>
      </c>
      <c r="X70" s="88" t="s">
        <v>181</v>
      </c>
      <c r="Y70" s="84" t="s">
        <v>176</v>
      </c>
    </row>
    <row r="71" spans="1:25" s="84" customFormat="1" ht="11.1" customHeight="1" x14ac:dyDescent="0.2">
      <c r="A71" s="78">
        <f t="shared" si="13"/>
        <v>69</v>
      </c>
      <c r="B71" s="79" t="s">
        <v>170</v>
      </c>
      <c r="C71" s="78" t="str">
        <f>IF($B71&lt;&gt;"",_xlfn.IFNA(VLOOKUP($B71,'Node Details'!$B:$U,C$1,0),"Check"),"")</f>
        <v>AXZ030201-AXZ030205</v>
      </c>
      <c r="D71" s="78" t="str">
        <f>IF($B71&lt;&gt;"",_xlfn.IFNA(VLOOKUP($B71,'Node Details'!$B:$U,D$1,0),"Check"),"")</f>
        <v>AXZ</v>
      </c>
      <c r="E71" s="78" t="str">
        <f>IF($B71&lt;&gt;"",_xlfn.IFNA(VLOOKUP($B71,'Node Details'!$B:$U,E$1,0),"Check"),"")</f>
        <v>Airtel</v>
      </c>
      <c r="F71" s="80">
        <v>46110</v>
      </c>
      <c r="G71" s="78"/>
      <c r="H71" s="81" t="s">
        <v>179</v>
      </c>
      <c r="I71" s="81">
        <v>1</v>
      </c>
      <c r="J71" s="81">
        <v>375</v>
      </c>
      <c r="K71" s="82">
        <f t="shared" si="7"/>
        <v>375</v>
      </c>
      <c r="L71" s="83"/>
      <c r="N71" s="85"/>
      <c r="O71" s="86"/>
      <c r="P71" s="87">
        <f t="shared" si="8"/>
        <v>375</v>
      </c>
      <c r="Q71" s="87">
        <f t="shared" si="9"/>
        <v>375</v>
      </c>
      <c r="R71" s="87"/>
      <c r="S71" s="85"/>
      <c r="T71" s="86"/>
      <c r="U71" s="87">
        <f t="shared" si="10"/>
        <v>375</v>
      </c>
      <c r="V71" s="87">
        <f t="shared" si="11"/>
        <v>1</v>
      </c>
      <c r="W71" s="88">
        <f t="shared" si="12"/>
        <v>375</v>
      </c>
      <c r="X71" s="88" t="s">
        <v>181</v>
      </c>
      <c r="Y71" s="84" t="s">
        <v>176</v>
      </c>
    </row>
    <row r="72" spans="1:25" s="84" customFormat="1" ht="11.1" customHeight="1" x14ac:dyDescent="0.2">
      <c r="A72" s="78">
        <f t="shared" si="13"/>
        <v>70</v>
      </c>
      <c r="B72" s="79" t="s">
        <v>171</v>
      </c>
      <c r="C72" s="78" t="str">
        <f>IF($B72&lt;&gt;"",_xlfn.IFNA(VLOOKUP($B72,'Node Details'!$B:$U,C$1,0),"Check"),"")</f>
        <v>AXZ030201-AXZ030205</v>
      </c>
      <c r="D72" s="78" t="str">
        <f>IF($B72&lt;&gt;"",_xlfn.IFNA(VLOOKUP($B72,'Node Details'!$B:$U,D$1,0),"Check"),"")</f>
        <v>AXZ</v>
      </c>
      <c r="E72" s="78" t="str">
        <f>IF($B72&lt;&gt;"",_xlfn.IFNA(VLOOKUP($B72,'Node Details'!$B:$U,E$1,0),"Check"),"")</f>
        <v>Airtel</v>
      </c>
      <c r="F72" s="80">
        <v>46110</v>
      </c>
      <c r="G72" s="78"/>
      <c r="H72" s="81" t="s">
        <v>179</v>
      </c>
      <c r="I72" s="81">
        <v>1</v>
      </c>
      <c r="J72" s="81">
        <v>375</v>
      </c>
      <c r="K72" s="82">
        <f t="shared" si="7"/>
        <v>375</v>
      </c>
      <c r="L72" s="83"/>
      <c r="N72" s="85"/>
      <c r="O72" s="86"/>
      <c r="P72" s="87">
        <f t="shared" si="8"/>
        <v>375</v>
      </c>
      <c r="Q72" s="87">
        <f t="shared" si="9"/>
        <v>375</v>
      </c>
      <c r="R72" s="87"/>
      <c r="S72" s="85"/>
      <c r="T72" s="86"/>
      <c r="U72" s="87">
        <f t="shared" si="10"/>
        <v>375</v>
      </c>
      <c r="V72" s="87">
        <f t="shared" si="11"/>
        <v>1</v>
      </c>
      <c r="W72" s="88">
        <f t="shared" si="12"/>
        <v>375</v>
      </c>
      <c r="X72" s="88" t="s">
        <v>181</v>
      </c>
      <c r="Y72" s="84" t="s">
        <v>176</v>
      </c>
    </row>
    <row r="73" spans="1:25" s="84" customFormat="1" ht="11.1" customHeight="1" x14ac:dyDescent="0.2">
      <c r="A73" s="78">
        <f t="shared" si="13"/>
        <v>71</v>
      </c>
      <c r="B73" s="79" t="s">
        <v>172</v>
      </c>
      <c r="C73" s="78" t="str">
        <f>IF($B73&lt;&gt;"",_xlfn.IFNA(VLOOKUP($B73,'Node Details'!$B:$U,C$1,0),"Check"),"")</f>
        <v>AXZ030201-AXZ030205</v>
      </c>
      <c r="D73" s="78" t="str">
        <f>IF($B73&lt;&gt;"",_xlfn.IFNA(VLOOKUP($B73,'Node Details'!$B:$U,D$1,0),"Check"),"")</f>
        <v>AXZ</v>
      </c>
      <c r="E73" s="78" t="str">
        <f>IF($B73&lt;&gt;"",_xlfn.IFNA(VLOOKUP($B73,'Node Details'!$B:$U,E$1,0),"Check"),"")</f>
        <v>Airtel</v>
      </c>
      <c r="F73" s="80">
        <v>46110</v>
      </c>
      <c r="G73" s="78"/>
      <c r="H73" s="81" t="s">
        <v>179</v>
      </c>
      <c r="I73" s="81">
        <v>1</v>
      </c>
      <c r="J73" s="81">
        <v>375</v>
      </c>
      <c r="K73" s="82">
        <f t="shared" si="7"/>
        <v>375</v>
      </c>
      <c r="L73" s="83"/>
      <c r="N73" s="85"/>
      <c r="O73" s="86"/>
      <c r="P73" s="87">
        <f t="shared" si="8"/>
        <v>375</v>
      </c>
      <c r="Q73" s="87">
        <f t="shared" si="9"/>
        <v>375</v>
      </c>
      <c r="R73" s="87"/>
      <c r="S73" s="85"/>
      <c r="T73" s="86"/>
      <c r="U73" s="87">
        <f t="shared" si="10"/>
        <v>375</v>
      </c>
      <c r="V73" s="87">
        <f t="shared" si="11"/>
        <v>1</v>
      </c>
      <c r="W73" s="88">
        <f t="shared" si="12"/>
        <v>375</v>
      </c>
      <c r="X73" s="88" t="s">
        <v>181</v>
      </c>
      <c r="Y73" s="84" t="s">
        <v>176</v>
      </c>
    </row>
    <row r="74" spans="1:25" s="84" customFormat="1" ht="11.1" customHeight="1" x14ac:dyDescent="0.2">
      <c r="A74" s="78">
        <f t="shared" si="13"/>
        <v>72</v>
      </c>
      <c r="B74" s="79" t="s">
        <v>136</v>
      </c>
      <c r="C74" s="78" t="str">
        <f>IF($B74&lt;&gt;"",_xlfn.IFNA(VLOOKUP($B74,'Node Details'!$B:$U,C$1,0),"Check"),"")</f>
        <v>000000AXZ-0000AXZ01</v>
      </c>
      <c r="D74" s="78" t="str">
        <f>IF($B74&lt;&gt;"",_xlfn.IFNA(VLOOKUP($B74,'Node Details'!$B:$U,D$1,0),"Check"),"")</f>
        <v>AXZ</v>
      </c>
      <c r="E74" s="78" t="str">
        <f>IF($B74&lt;&gt;"",_xlfn.IFNA(VLOOKUP($B74,'Node Details'!$B:$U,E$1,0),"Check"),"")</f>
        <v>Airtel</v>
      </c>
      <c r="F74" s="80">
        <v>46110</v>
      </c>
      <c r="G74" s="78"/>
      <c r="H74" s="81" t="s">
        <v>180</v>
      </c>
      <c r="I74" s="81">
        <v>2</v>
      </c>
      <c r="J74" s="81">
        <v>150</v>
      </c>
      <c r="K74" s="82">
        <f t="shared" si="7"/>
        <v>300</v>
      </c>
      <c r="L74" s="83"/>
      <c r="N74" s="85"/>
      <c r="O74" s="86"/>
      <c r="P74" s="87">
        <f t="shared" si="8"/>
        <v>150</v>
      </c>
      <c r="Q74" s="87">
        <f t="shared" si="9"/>
        <v>300</v>
      </c>
      <c r="R74" s="87"/>
      <c r="S74" s="85"/>
      <c r="T74" s="86"/>
      <c r="U74" s="87">
        <f t="shared" si="10"/>
        <v>150</v>
      </c>
      <c r="V74" s="87">
        <f t="shared" si="11"/>
        <v>2</v>
      </c>
      <c r="W74" s="88">
        <f t="shared" si="12"/>
        <v>300</v>
      </c>
      <c r="X74" s="88" t="s">
        <v>181</v>
      </c>
      <c r="Y74" s="84" t="s">
        <v>176</v>
      </c>
    </row>
    <row r="75" spans="1:25" s="84" customFormat="1" ht="11.1" customHeight="1" x14ac:dyDescent="0.2">
      <c r="A75" s="78">
        <f t="shared" si="13"/>
        <v>73</v>
      </c>
      <c r="B75" s="79" t="s">
        <v>137</v>
      </c>
      <c r="C75" s="78" t="str">
        <f>IF($B75&lt;&gt;"",_xlfn.IFNA(VLOOKUP($B75,'Node Details'!$B:$U,C$1,0),"Check"),"")</f>
        <v>0000AXZ01-AXZ010101</v>
      </c>
      <c r="D75" s="78" t="str">
        <f>IF($B75&lt;&gt;"",_xlfn.IFNA(VLOOKUP($B75,'Node Details'!$B:$U,D$1,0),"Check"),"")</f>
        <v>AXZ</v>
      </c>
      <c r="E75" s="78" t="str">
        <f>IF($B75&lt;&gt;"",_xlfn.IFNA(VLOOKUP($B75,'Node Details'!$B:$U,E$1,0),"Check"),"")</f>
        <v>Airtel</v>
      </c>
      <c r="F75" s="80">
        <v>46110</v>
      </c>
      <c r="G75" s="78"/>
      <c r="H75" s="81" t="s">
        <v>180</v>
      </c>
      <c r="I75" s="81">
        <v>2</v>
      </c>
      <c r="J75" s="81">
        <v>150</v>
      </c>
      <c r="K75" s="82">
        <f t="shared" si="7"/>
        <v>300</v>
      </c>
      <c r="L75" s="83"/>
      <c r="N75" s="85"/>
      <c r="O75" s="86"/>
      <c r="P75" s="87">
        <f t="shared" si="8"/>
        <v>150</v>
      </c>
      <c r="Q75" s="87">
        <f t="shared" si="9"/>
        <v>300</v>
      </c>
      <c r="R75" s="87"/>
      <c r="S75" s="85"/>
      <c r="T75" s="86"/>
      <c r="U75" s="87">
        <f t="shared" si="10"/>
        <v>150</v>
      </c>
      <c r="V75" s="87">
        <f t="shared" si="11"/>
        <v>2</v>
      </c>
      <c r="W75" s="88">
        <f t="shared" si="12"/>
        <v>300</v>
      </c>
      <c r="X75" s="88" t="s">
        <v>181</v>
      </c>
      <c r="Y75" s="84" t="s">
        <v>176</v>
      </c>
    </row>
    <row r="76" spans="1:25" s="84" customFormat="1" ht="11.1" customHeight="1" x14ac:dyDescent="0.2">
      <c r="A76" s="78">
        <f t="shared" si="13"/>
        <v>74</v>
      </c>
      <c r="B76" s="79" t="s">
        <v>138</v>
      </c>
      <c r="C76" s="78" t="str">
        <f>IF($B76&lt;&gt;"",_xlfn.IFNA(VLOOKUP($B76,'Node Details'!$B:$U,C$1,0),"Check"),"")</f>
        <v>0000AXZ01-AXZ010102</v>
      </c>
      <c r="D76" s="78" t="str">
        <f>IF($B76&lt;&gt;"",_xlfn.IFNA(VLOOKUP($B76,'Node Details'!$B:$U,D$1,0),"Check"),"")</f>
        <v>AXZ</v>
      </c>
      <c r="E76" s="78" t="str">
        <f>IF($B76&lt;&gt;"",_xlfn.IFNA(VLOOKUP($B76,'Node Details'!$B:$U,E$1,0),"Check"),"")</f>
        <v>Airtel</v>
      </c>
      <c r="F76" s="80">
        <v>46110</v>
      </c>
      <c r="G76" s="78"/>
      <c r="H76" s="81" t="s">
        <v>180</v>
      </c>
      <c r="I76" s="81">
        <v>2</v>
      </c>
      <c r="J76" s="81">
        <v>150</v>
      </c>
      <c r="K76" s="82">
        <f t="shared" si="7"/>
        <v>300</v>
      </c>
      <c r="L76" s="83"/>
      <c r="N76" s="85"/>
      <c r="O76" s="86"/>
      <c r="P76" s="87">
        <f t="shared" si="8"/>
        <v>150</v>
      </c>
      <c r="Q76" s="87">
        <f t="shared" si="9"/>
        <v>300</v>
      </c>
      <c r="R76" s="87"/>
      <c r="S76" s="85"/>
      <c r="T76" s="86"/>
      <c r="U76" s="87">
        <f t="shared" si="10"/>
        <v>150</v>
      </c>
      <c r="V76" s="87">
        <f t="shared" si="11"/>
        <v>2</v>
      </c>
      <c r="W76" s="88">
        <f t="shared" si="12"/>
        <v>300</v>
      </c>
      <c r="X76" s="88" t="s">
        <v>181</v>
      </c>
      <c r="Y76" s="84" t="s">
        <v>176</v>
      </c>
    </row>
    <row r="77" spans="1:25" s="84" customFormat="1" ht="11.1" customHeight="1" x14ac:dyDescent="0.2">
      <c r="A77" s="78">
        <f t="shared" si="13"/>
        <v>75</v>
      </c>
      <c r="B77" s="79" t="s">
        <v>139</v>
      </c>
      <c r="C77" s="78" t="str">
        <f>IF($B77&lt;&gt;"",_xlfn.IFNA(VLOOKUP($B77,'Node Details'!$B:$U,C$1,0),"Check"),"")</f>
        <v>0000AXZ01-AXZ010105</v>
      </c>
      <c r="D77" s="78" t="str">
        <f>IF($B77&lt;&gt;"",_xlfn.IFNA(VLOOKUP($B77,'Node Details'!$B:$U,D$1,0),"Check"),"")</f>
        <v>AXZ</v>
      </c>
      <c r="E77" s="78" t="str">
        <f>IF($B77&lt;&gt;"",_xlfn.IFNA(VLOOKUP($B77,'Node Details'!$B:$U,E$1,0),"Check"),"")</f>
        <v>Airtel</v>
      </c>
      <c r="F77" s="80">
        <v>46110</v>
      </c>
      <c r="G77" s="78"/>
      <c r="H77" s="81" t="s">
        <v>180</v>
      </c>
      <c r="I77" s="81">
        <v>2</v>
      </c>
      <c r="J77" s="81">
        <v>150</v>
      </c>
      <c r="K77" s="82">
        <f t="shared" si="7"/>
        <v>300</v>
      </c>
      <c r="L77" s="83"/>
      <c r="N77" s="85"/>
      <c r="O77" s="86"/>
      <c r="P77" s="87">
        <f t="shared" si="8"/>
        <v>150</v>
      </c>
      <c r="Q77" s="87">
        <f t="shared" si="9"/>
        <v>300</v>
      </c>
      <c r="R77" s="87"/>
      <c r="S77" s="85"/>
      <c r="T77" s="86"/>
      <c r="U77" s="87">
        <f t="shared" si="10"/>
        <v>150</v>
      </c>
      <c r="V77" s="87">
        <f t="shared" si="11"/>
        <v>2</v>
      </c>
      <c r="W77" s="88">
        <f t="shared" si="12"/>
        <v>300</v>
      </c>
      <c r="X77" s="88" t="s">
        <v>181</v>
      </c>
      <c r="Y77" s="84" t="s">
        <v>176</v>
      </c>
    </row>
    <row r="78" spans="1:25" s="84" customFormat="1" ht="11.1" customHeight="1" x14ac:dyDescent="0.2">
      <c r="A78" s="78">
        <f t="shared" si="13"/>
        <v>76</v>
      </c>
      <c r="B78" s="79" t="s">
        <v>140</v>
      </c>
      <c r="C78" s="78" t="str">
        <f>IF($B78&lt;&gt;"",_xlfn.IFNA(VLOOKUP($B78,'Node Details'!$B:$U,C$1,0),"Check"),"")</f>
        <v>0000AXZ01-AXZ010105</v>
      </c>
      <c r="D78" s="78" t="str">
        <f>IF($B78&lt;&gt;"",_xlfn.IFNA(VLOOKUP($B78,'Node Details'!$B:$U,D$1,0),"Check"),"")</f>
        <v>AXZ</v>
      </c>
      <c r="E78" s="78" t="str">
        <f>IF($B78&lt;&gt;"",_xlfn.IFNA(VLOOKUP($B78,'Node Details'!$B:$U,E$1,0),"Check"),"")</f>
        <v>Airtel</v>
      </c>
      <c r="F78" s="80">
        <v>46110</v>
      </c>
      <c r="G78" s="78"/>
      <c r="H78" s="81" t="s">
        <v>180</v>
      </c>
      <c r="I78" s="81">
        <v>2</v>
      </c>
      <c r="J78" s="81">
        <v>150</v>
      </c>
      <c r="K78" s="82">
        <f t="shared" si="7"/>
        <v>300</v>
      </c>
      <c r="L78" s="83"/>
      <c r="N78" s="89"/>
      <c r="O78" s="90"/>
      <c r="P78" s="87">
        <f t="shared" si="8"/>
        <v>150</v>
      </c>
      <c r="Q78" s="87">
        <f t="shared" si="9"/>
        <v>300</v>
      </c>
      <c r="R78" s="87"/>
      <c r="S78" s="87"/>
      <c r="T78" s="91"/>
      <c r="U78" s="87">
        <f t="shared" si="10"/>
        <v>150</v>
      </c>
      <c r="V78" s="87">
        <f t="shared" si="11"/>
        <v>2</v>
      </c>
      <c r="W78" s="88">
        <f t="shared" si="12"/>
        <v>300</v>
      </c>
      <c r="X78" s="88" t="s">
        <v>181</v>
      </c>
      <c r="Y78" s="84" t="s">
        <v>176</v>
      </c>
    </row>
    <row r="79" spans="1:25" s="84" customFormat="1" ht="11.1" customHeight="1" x14ac:dyDescent="0.2">
      <c r="A79" s="78">
        <f t="shared" si="13"/>
        <v>77</v>
      </c>
      <c r="B79" s="79" t="s">
        <v>141</v>
      </c>
      <c r="C79" s="78" t="str">
        <f>IF($B79&lt;&gt;"",_xlfn.IFNA(VLOOKUP($B79,'Node Details'!$B:$U,C$1,0),"Check"),"")</f>
        <v>0000AXZ01-AXZ010105</v>
      </c>
      <c r="D79" s="78" t="str">
        <f>IF($B79&lt;&gt;"",_xlfn.IFNA(VLOOKUP($B79,'Node Details'!$B:$U,D$1,0),"Check"),"")</f>
        <v>AXZ</v>
      </c>
      <c r="E79" s="78" t="str">
        <f>IF($B79&lt;&gt;"",_xlfn.IFNA(VLOOKUP($B79,'Node Details'!$B:$U,E$1,0),"Check"),"")</f>
        <v>Airtel</v>
      </c>
      <c r="F79" s="80">
        <v>46110</v>
      </c>
      <c r="G79" s="78"/>
      <c r="H79" s="81" t="s">
        <v>180</v>
      </c>
      <c r="I79" s="81">
        <v>2</v>
      </c>
      <c r="J79" s="81">
        <v>150</v>
      </c>
      <c r="K79" s="82">
        <f t="shared" si="7"/>
        <v>300</v>
      </c>
      <c r="L79" s="83"/>
      <c r="N79" s="89"/>
      <c r="O79" s="90"/>
      <c r="P79" s="87">
        <f t="shared" si="8"/>
        <v>150</v>
      </c>
      <c r="Q79" s="87">
        <f t="shared" si="9"/>
        <v>300</v>
      </c>
      <c r="R79" s="87"/>
      <c r="S79" s="87"/>
      <c r="T79" s="91"/>
      <c r="U79" s="87">
        <f t="shared" si="10"/>
        <v>150</v>
      </c>
      <c r="V79" s="87">
        <f t="shared" si="11"/>
        <v>2</v>
      </c>
      <c r="W79" s="88">
        <f t="shared" si="12"/>
        <v>300</v>
      </c>
      <c r="X79" s="88" t="s">
        <v>181</v>
      </c>
      <c r="Y79" s="84" t="s">
        <v>176</v>
      </c>
    </row>
    <row r="80" spans="1:25" s="84" customFormat="1" ht="11.1" customHeight="1" x14ac:dyDescent="0.2">
      <c r="A80" s="78">
        <f t="shared" si="13"/>
        <v>78</v>
      </c>
      <c r="B80" s="79" t="s">
        <v>142</v>
      </c>
      <c r="C80" s="78" t="str">
        <f>IF($B80&lt;&gt;"",_xlfn.IFNA(VLOOKUP($B80,'Node Details'!$B:$U,C$1,0),"Check"),"")</f>
        <v>0000AXZ01-AXZ010202</v>
      </c>
      <c r="D80" s="78" t="str">
        <f>IF($B80&lt;&gt;"",_xlfn.IFNA(VLOOKUP($B80,'Node Details'!$B:$U,D$1,0),"Check"),"")</f>
        <v>AXZ</v>
      </c>
      <c r="E80" s="78" t="str">
        <f>IF($B80&lt;&gt;"",_xlfn.IFNA(VLOOKUP($B80,'Node Details'!$B:$U,E$1,0),"Check"),"")</f>
        <v>Airtel</v>
      </c>
      <c r="F80" s="80">
        <v>46110</v>
      </c>
      <c r="G80" s="78"/>
      <c r="H80" s="81" t="s">
        <v>180</v>
      </c>
      <c r="I80" s="81">
        <v>2</v>
      </c>
      <c r="J80" s="81">
        <v>150</v>
      </c>
      <c r="K80" s="82">
        <f t="shared" si="7"/>
        <v>300</v>
      </c>
      <c r="L80" s="83"/>
      <c r="N80" s="89"/>
      <c r="O80" s="90"/>
      <c r="P80" s="87">
        <f t="shared" si="8"/>
        <v>150</v>
      </c>
      <c r="Q80" s="87">
        <f t="shared" si="9"/>
        <v>300</v>
      </c>
      <c r="R80" s="87"/>
      <c r="S80" s="87"/>
      <c r="T80" s="91"/>
      <c r="U80" s="87">
        <f t="shared" si="10"/>
        <v>150</v>
      </c>
      <c r="V80" s="87">
        <f t="shared" si="11"/>
        <v>2</v>
      </c>
      <c r="W80" s="88">
        <f t="shared" si="12"/>
        <v>300</v>
      </c>
      <c r="X80" s="88" t="s">
        <v>181</v>
      </c>
      <c r="Y80" s="84" t="s">
        <v>176</v>
      </c>
    </row>
    <row r="81" spans="1:25" s="84" customFormat="1" ht="11.1" customHeight="1" x14ac:dyDescent="0.2">
      <c r="A81" s="78">
        <f t="shared" si="13"/>
        <v>79</v>
      </c>
      <c r="B81" s="79" t="s">
        <v>143</v>
      </c>
      <c r="C81" s="78" t="str">
        <f>IF($B81&lt;&gt;"",_xlfn.IFNA(VLOOKUP($B81,'Node Details'!$B:$U,C$1,0),"Check"),"")</f>
        <v>0000AXZ01-AXZ010202</v>
      </c>
      <c r="D81" s="78" t="str">
        <f>IF($B81&lt;&gt;"",_xlfn.IFNA(VLOOKUP($B81,'Node Details'!$B:$U,D$1,0),"Check"),"")</f>
        <v>AXZ</v>
      </c>
      <c r="E81" s="78" t="str">
        <f>IF($B81&lt;&gt;"",_xlfn.IFNA(VLOOKUP($B81,'Node Details'!$B:$U,E$1,0),"Check"),"")</f>
        <v>Airtel</v>
      </c>
      <c r="F81" s="80">
        <v>46110</v>
      </c>
      <c r="G81" s="78"/>
      <c r="H81" s="81" t="s">
        <v>180</v>
      </c>
      <c r="I81" s="81">
        <v>2</v>
      </c>
      <c r="J81" s="81">
        <v>150</v>
      </c>
      <c r="K81" s="82">
        <f t="shared" si="7"/>
        <v>300</v>
      </c>
      <c r="L81" s="83"/>
      <c r="N81" s="89"/>
      <c r="O81" s="90"/>
      <c r="P81" s="87">
        <f t="shared" si="8"/>
        <v>150</v>
      </c>
      <c r="Q81" s="87">
        <f t="shared" si="9"/>
        <v>300</v>
      </c>
      <c r="R81" s="87"/>
      <c r="S81" s="87"/>
      <c r="T81" s="91"/>
      <c r="U81" s="87">
        <f t="shared" si="10"/>
        <v>150</v>
      </c>
      <c r="V81" s="87">
        <f t="shared" si="11"/>
        <v>2</v>
      </c>
      <c r="W81" s="88">
        <f t="shared" si="12"/>
        <v>300</v>
      </c>
      <c r="X81" s="88" t="s">
        <v>181</v>
      </c>
      <c r="Y81" s="84" t="s">
        <v>176</v>
      </c>
    </row>
    <row r="82" spans="1:25" s="84" customFormat="1" ht="11.1" customHeight="1" x14ac:dyDescent="0.2">
      <c r="A82" s="78">
        <f t="shared" si="13"/>
        <v>80</v>
      </c>
      <c r="B82" s="79" t="s">
        <v>144</v>
      </c>
      <c r="C82" s="78" t="str">
        <f>IF($B82&lt;&gt;"",_xlfn.IFNA(VLOOKUP($B82,'Node Details'!$B:$U,C$1,0),"Check"),"")</f>
        <v>0000AXZ01-AXZ010202</v>
      </c>
      <c r="D82" s="78" t="str">
        <f>IF($B82&lt;&gt;"",_xlfn.IFNA(VLOOKUP($B82,'Node Details'!$B:$U,D$1,0),"Check"),"")</f>
        <v>AXZ</v>
      </c>
      <c r="E82" s="78" t="str">
        <f>IF($B82&lt;&gt;"",_xlfn.IFNA(VLOOKUP($B82,'Node Details'!$B:$U,E$1,0),"Check"),"")</f>
        <v>Airtel</v>
      </c>
      <c r="F82" s="80">
        <v>46110</v>
      </c>
      <c r="G82" s="78"/>
      <c r="H82" s="81" t="s">
        <v>180</v>
      </c>
      <c r="I82" s="81">
        <v>2</v>
      </c>
      <c r="J82" s="81">
        <v>150</v>
      </c>
      <c r="K82" s="82">
        <f t="shared" si="7"/>
        <v>300</v>
      </c>
      <c r="L82" s="83"/>
      <c r="N82" s="89"/>
      <c r="O82" s="90"/>
      <c r="P82" s="87">
        <f t="shared" si="8"/>
        <v>150</v>
      </c>
      <c r="Q82" s="87">
        <f t="shared" si="9"/>
        <v>300</v>
      </c>
      <c r="R82" s="87"/>
      <c r="S82" s="87"/>
      <c r="T82" s="91"/>
      <c r="U82" s="87">
        <f t="shared" si="10"/>
        <v>150</v>
      </c>
      <c r="V82" s="87">
        <f t="shared" si="11"/>
        <v>2</v>
      </c>
      <c r="W82" s="88">
        <f t="shared" si="12"/>
        <v>300</v>
      </c>
      <c r="X82" s="88" t="s">
        <v>181</v>
      </c>
      <c r="Y82" s="84" t="s">
        <v>176</v>
      </c>
    </row>
    <row r="83" spans="1:25" s="84" customFormat="1" ht="11.1" customHeight="1" x14ac:dyDescent="0.2">
      <c r="A83" s="78">
        <f t="shared" si="13"/>
        <v>81</v>
      </c>
      <c r="B83" s="79" t="s">
        <v>145</v>
      </c>
      <c r="C83" s="78" t="str">
        <f>IF($B83&lt;&gt;"",_xlfn.IFNA(VLOOKUP($B83,'Node Details'!$B:$U,C$1,0),"Check"),"")</f>
        <v>0000AXZ01-AXZ010202</v>
      </c>
      <c r="D83" s="78" t="str">
        <f>IF($B83&lt;&gt;"",_xlfn.IFNA(VLOOKUP($B83,'Node Details'!$B:$U,D$1,0),"Check"),"")</f>
        <v>AXZ</v>
      </c>
      <c r="E83" s="78" t="str">
        <f>IF($B83&lt;&gt;"",_xlfn.IFNA(VLOOKUP($B83,'Node Details'!$B:$U,E$1,0),"Check"),"")</f>
        <v>Airtel</v>
      </c>
      <c r="F83" s="80">
        <v>46110</v>
      </c>
      <c r="G83" s="78"/>
      <c r="H83" s="81" t="s">
        <v>180</v>
      </c>
      <c r="I83" s="81">
        <v>2</v>
      </c>
      <c r="J83" s="81">
        <v>150</v>
      </c>
      <c r="K83" s="82">
        <f t="shared" si="7"/>
        <v>300</v>
      </c>
      <c r="L83" s="83"/>
      <c r="N83" s="89"/>
      <c r="O83" s="90"/>
      <c r="P83" s="87">
        <f t="shared" si="8"/>
        <v>150</v>
      </c>
      <c r="Q83" s="87">
        <f t="shared" si="9"/>
        <v>300</v>
      </c>
      <c r="R83" s="87"/>
      <c r="S83" s="87"/>
      <c r="T83" s="91"/>
      <c r="U83" s="87">
        <f t="shared" si="10"/>
        <v>150</v>
      </c>
      <c r="V83" s="87">
        <f t="shared" si="11"/>
        <v>2</v>
      </c>
      <c r="W83" s="88">
        <f t="shared" si="12"/>
        <v>300</v>
      </c>
      <c r="X83" s="88" t="s">
        <v>181</v>
      </c>
      <c r="Y83" s="84" t="s">
        <v>176</v>
      </c>
    </row>
    <row r="84" spans="1:25" s="84" customFormat="1" ht="11.1" customHeight="1" x14ac:dyDescent="0.2">
      <c r="A84" s="78">
        <f t="shared" si="13"/>
        <v>82</v>
      </c>
      <c r="B84" s="79" t="s">
        <v>146</v>
      </c>
      <c r="C84" s="78" t="str">
        <f>IF($B84&lt;&gt;"",_xlfn.IFNA(VLOOKUP($B84,'Node Details'!$B:$U,C$1,0),"Check"),"")</f>
        <v>0000AXZ01-AXZ010202</v>
      </c>
      <c r="D84" s="78" t="str">
        <f>IF($B84&lt;&gt;"",_xlfn.IFNA(VLOOKUP($B84,'Node Details'!$B:$U,D$1,0),"Check"),"")</f>
        <v>AXZ</v>
      </c>
      <c r="E84" s="78" t="str">
        <f>IF($B84&lt;&gt;"",_xlfn.IFNA(VLOOKUP($B84,'Node Details'!$B:$U,E$1,0),"Check"),"")</f>
        <v>Airtel</v>
      </c>
      <c r="F84" s="80">
        <v>46110</v>
      </c>
      <c r="G84" s="78"/>
      <c r="H84" s="81" t="s">
        <v>180</v>
      </c>
      <c r="I84" s="81">
        <v>2</v>
      </c>
      <c r="J84" s="81">
        <v>150</v>
      </c>
      <c r="K84" s="82">
        <f t="shared" si="7"/>
        <v>300</v>
      </c>
      <c r="L84" s="83"/>
      <c r="N84" s="89"/>
      <c r="O84" s="90"/>
      <c r="P84" s="87">
        <f t="shared" si="8"/>
        <v>150</v>
      </c>
      <c r="Q84" s="87">
        <f t="shared" si="9"/>
        <v>300</v>
      </c>
      <c r="R84" s="87"/>
      <c r="S84" s="87"/>
      <c r="T84" s="91"/>
      <c r="U84" s="87">
        <f t="shared" si="10"/>
        <v>150</v>
      </c>
      <c r="V84" s="87">
        <f t="shared" si="11"/>
        <v>2</v>
      </c>
      <c r="W84" s="88">
        <f t="shared" si="12"/>
        <v>300</v>
      </c>
      <c r="X84" s="88" t="s">
        <v>181</v>
      </c>
      <c r="Y84" s="84" t="s">
        <v>176</v>
      </c>
    </row>
    <row r="85" spans="1:25" s="84" customFormat="1" ht="11.1" customHeight="1" x14ac:dyDescent="0.2">
      <c r="A85" s="78">
        <f t="shared" si="13"/>
        <v>83</v>
      </c>
      <c r="B85" s="79" t="s">
        <v>147</v>
      </c>
      <c r="C85" s="78" t="str">
        <f>IF($B85&lt;&gt;"",_xlfn.IFNA(VLOOKUP($B85,'Node Details'!$B:$U,C$1,0),"Check"),"")</f>
        <v>000000AXZ-0000AXZ03</v>
      </c>
      <c r="D85" s="78" t="str">
        <f>IF($B85&lt;&gt;"",_xlfn.IFNA(VLOOKUP($B85,'Node Details'!$B:$U,D$1,0),"Check"),"")</f>
        <v>AXZ</v>
      </c>
      <c r="E85" s="78" t="str">
        <f>IF($B85&lt;&gt;"",_xlfn.IFNA(VLOOKUP($B85,'Node Details'!$B:$U,E$1,0),"Check"),"")</f>
        <v>Airtel</v>
      </c>
      <c r="F85" s="80">
        <v>46110</v>
      </c>
      <c r="G85" s="78"/>
      <c r="H85" s="81" t="s">
        <v>180</v>
      </c>
      <c r="I85" s="81">
        <v>2</v>
      </c>
      <c r="J85" s="81">
        <v>150</v>
      </c>
      <c r="K85" s="82">
        <f t="shared" si="7"/>
        <v>300</v>
      </c>
      <c r="L85" s="83"/>
      <c r="N85" s="89"/>
      <c r="O85" s="90"/>
      <c r="P85" s="87">
        <f t="shared" si="8"/>
        <v>150</v>
      </c>
      <c r="Q85" s="87">
        <f t="shared" si="9"/>
        <v>300</v>
      </c>
      <c r="R85" s="87"/>
      <c r="S85" s="87"/>
      <c r="T85" s="91"/>
      <c r="U85" s="87">
        <f t="shared" si="10"/>
        <v>150</v>
      </c>
      <c r="V85" s="87">
        <f t="shared" si="11"/>
        <v>2</v>
      </c>
      <c r="W85" s="88">
        <f t="shared" si="12"/>
        <v>300</v>
      </c>
      <c r="X85" s="88" t="s">
        <v>181</v>
      </c>
      <c r="Y85" s="84" t="s">
        <v>176</v>
      </c>
    </row>
    <row r="86" spans="1:25" s="84" customFormat="1" ht="11.1" customHeight="1" x14ac:dyDescent="0.2">
      <c r="A86" s="78">
        <f t="shared" si="13"/>
        <v>84</v>
      </c>
      <c r="B86" s="79" t="s">
        <v>148</v>
      </c>
      <c r="C86" s="78" t="str">
        <f>IF($B86&lt;&gt;"",_xlfn.IFNA(VLOOKUP($B86,'Node Details'!$B:$U,C$1,0),"Check"),"")</f>
        <v>0000AXZ02-AXZ020101</v>
      </c>
      <c r="D86" s="78" t="str">
        <f>IF($B86&lt;&gt;"",_xlfn.IFNA(VLOOKUP($B86,'Node Details'!$B:$U,D$1,0),"Check"),"")</f>
        <v>AXZ</v>
      </c>
      <c r="E86" s="78" t="str">
        <f>IF($B86&lt;&gt;"",_xlfn.IFNA(VLOOKUP($B86,'Node Details'!$B:$U,E$1,0),"Check"),"")</f>
        <v>Airtel</v>
      </c>
      <c r="F86" s="80">
        <v>46110</v>
      </c>
      <c r="G86" s="78"/>
      <c r="H86" s="81" t="s">
        <v>180</v>
      </c>
      <c r="I86" s="81">
        <v>2</v>
      </c>
      <c r="J86" s="81">
        <v>150</v>
      </c>
      <c r="K86" s="82">
        <f t="shared" si="7"/>
        <v>300</v>
      </c>
      <c r="L86" s="83"/>
      <c r="N86" s="89"/>
      <c r="O86" s="90"/>
      <c r="P86" s="87">
        <f t="shared" si="8"/>
        <v>150</v>
      </c>
      <c r="Q86" s="87">
        <f t="shared" si="9"/>
        <v>300</v>
      </c>
      <c r="R86" s="87"/>
      <c r="S86" s="87"/>
      <c r="T86" s="91"/>
      <c r="U86" s="87">
        <f t="shared" si="10"/>
        <v>150</v>
      </c>
      <c r="V86" s="87">
        <f t="shared" si="11"/>
        <v>2</v>
      </c>
      <c r="W86" s="88">
        <f t="shared" si="12"/>
        <v>300</v>
      </c>
      <c r="X86" s="88" t="s">
        <v>181</v>
      </c>
      <c r="Y86" s="84" t="s">
        <v>176</v>
      </c>
    </row>
    <row r="87" spans="1:25" s="84" customFormat="1" ht="11.1" customHeight="1" x14ac:dyDescent="0.2">
      <c r="A87" s="78">
        <f t="shared" si="13"/>
        <v>85</v>
      </c>
      <c r="B87" s="79" t="s">
        <v>149</v>
      </c>
      <c r="C87" s="78" t="str">
        <f>IF($B87&lt;&gt;"",_xlfn.IFNA(VLOOKUP($B87,'Node Details'!$B:$U,C$1,0),"Check"),"")</f>
        <v>0000AXZ02-AXZ020103</v>
      </c>
      <c r="D87" s="78" t="str">
        <f>IF($B87&lt;&gt;"",_xlfn.IFNA(VLOOKUP($B87,'Node Details'!$B:$U,D$1,0),"Check"),"")</f>
        <v>AXZ</v>
      </c>
      <c r="E87" s="78" t="str">
        <f>IF($B87&lt;&gt;"",_xlfn.IFNA(VLOOKUP($B87,'Node Details'!$B:$U,E$1,0),"Check"),"")</f>
        <v>Airtel</v>
      </c>
      <c r="F87" s="80">
        <v>46110</v>
      </c>
      <c r="G87" s="78"/>
      <c r="H87" s="81" t="s">
        <v>180</v>
      </c>
      <c r="I87" s="81">
        <v>2</v>
      </c>
      <c r="J87" s="81">
        <v>150</v>
      </c>
      <c r="K87" s="82">
        <f t="shared" si="7"/>
        <v>300</v>
      </c>
      <c r="L87" s="83"/>
      <c r="N87" s="89"/>
      <c r="O87" s="90"/>
      <c r="P87" s="87">
        <f t="shared" si="8"/>
        <v>150</v>
      </c>
      <c r="Q87" s="87">
        <f t="shared" si="9"/>
        <v>300</v>
      </c>
      <c r="R87" s="87"/>
      <c r="S87" s="87"/>
      <c r="T87" s="91"/>
      <c r="U87" s="87">
        <f t="shared" si="10"/>
        <v>150</v>
      </c>
      <c r="V87" s="87">
        <f t="shared" si="11"/>
        <v>2</v>
      </c>
      <c r="W87" s="88">
        <f t="shared" si="12"/>
        <v>300</v>
      </c>
      <c r="X87" s="88" t="s">
        <v>181</v>
      </c>
      <c r="Y87" s="84" t="s">
        <v>176</v>
      </c>
    </row>
    <row r="88" spans="1:25" s="84" customFormat="1" ht="11.1" customHeight="1" x14ac:dyDescent="0.2">
      <c r="A88" s="78">
        <f t="shared" si="13"/>
        <v>86</v>
      </c>
      <c r="B88" s="79" t="s">
        <v>150</v>
      </c>
      <c r="C88" s="78" t="str">
        <f>IF($B88&lt;&gt;"",_xlfn.IFNA(VLOOKUP($B88,'Node Details'!$B:$U,C$1,0),"Check"),"")</f>
        <v>0000AXZ02-AXZ020103</v>
      </c>
      <c r="D88" s="78" t="str">
        <f>IF($B88&lt;&gt;"",_xlfn.IFNA(VLOOKUP($B88,'Node Details'!$B:$U,D$1,0),"Check"),"")</f>
        <v>AXZ</v>
      </c>
      <c r="E88" s="78" t="str">
        <f>IF($B88&lt;&gt;"",_xlfn.IFNA(VLOOKUP($B88,'Node Details'!$B:$U,E$1,0),"Check"),"")</f>
        <v>Airtel</v>
      </c>
      <c r="F88" s="80">
        <v>46110</v>
      </c>
      <c r="G88" s="78"/>
      <c r="H88" s="81" t="s">
        <v>180</v>
      </c>
      <c r="I88" s="81">
        <v>2</v>
      </c>
      <c r="J88" s="81">
        <v>150</v>
      </c>
      <c r="K88" s="82">
        <f t="shared" si="7"/>
        <v>300</v>
      </c>
      <c r="L88" s="83"/>
      <c r="N88" s="89"/>
      <c r="O88" s="90"/>
      <c r="P88" s="87">
        <f t="shared" si="8"/>
        <v>150</v>
      </c>
      <c r="Q88" s="87">
        <f t="shared" si="9"/>
        <v>300</v>
      </c>
      <c r="R88" s="87"/>
      <c r="S88" s="87"/>
      <c r="T88" s="91"/>
      <c r="U88" s="87">
        <f t="shared" si="10"/>
        <v>150</v>
      </c>
      <c r="V88" s="87">
        <f t="shared" si="11"/>
        <v>2</v>
      </c>
      <c r="W88" s="88">
        <f t="shared" si="12"/>
        <v>300</v>
      </c>
      <c r="X88" s="88" t="s">
        <v>181</v>
      </c>
      <c r="Y88" s="84" t="s">
        <v>176</v>
      </c>
    </row>
    <row r="89" spans="1:25" s="84" customFormat="1" ht="11.1" customHeight="1" x14ac:dyDescent="0.2">
      <c r="A89" s="78">
        <f t="shared" si="13"/>
        <v>87</v>
      </c>
      <c r="B89" s="79" t="s">
        <v>151</v>
      </c>
      <c r="C89" s="78" t="str">
        <f>IF($B89&lt;&gt;"",_xlfn.IFNA(VLOOKUP($B89,'Node Details'!$B:$U,C$1,0),"Check"),"")</f>
        <v>0000AXZ02-AXZ020203</v>
      </c>
      <c r="D89" s="78" t="str">
        <f>IF($B89&lt;&gt;"",_xlfn.IFNA(VLOOKUP($B89,'Node Details'!$B:$U,D$1,0),"Check"),"")</f>
        <v>AXZ</v>
      </c>
      <c r="E89" s="78" t="str">
        <f>IF($B89&lt;&gt;"",_xlfn.IFNA(VLOOKUP($B89,'Node Details'!$B:$U,E$1,0),"Check"),"")</f>
        <v>Airtel</v>
      </c>
      <c r="F89" s="80">
        <v>46110</v>
      </c>
      <c r="G89" s="78"/>
      <c r="H89" s="81" t="s">
        <v>180</v>
      </c>
      <c r="I89" s="81">
        <v>2</v>
      </c>
      <c r="J89" s="81">
        <v>150</v>
      </c>
      <c r="K89" s="82">
        <f t="shared" si="7"/>
        <v>300</v>
      </c>
      <c r="L89" s="83"/>
      <c r="N89" s="89"/>
      <c r="O89" s="90"/>
      <c r="P89" s="87">
        <f t="shared" si="8"/>
        <v>150</v>
      </c>
      <c r="Q89" s="87">
        <f t="shared" si="9"/>
        <v>300</v>
      </c>
      <c r="R89" s="87"/>
      <c r="S89" s="87"/>
      <c r="T89" s="91"/>
      <c r="U89" s="87">
        <f t="shared" si="10"/>
        <v>150</v>
      </c>
      <c r="V89" s="87">
        <f t="shared" si="11"/>
        <v>2</v>
      </c>
      <c r="W89" s="88">
        <f t="shared" si="12"/>
        <v>300</v>
      </c>
      <c r="X89" s="88" t="s">
        <v>181</v>
      </c>
      <c r="Y89" s="84" t="s">
        <v>176</v>
      </c>
    </row>
    <row r="90" spans="1:25" s="84" customFormat="1" ht="11.1" customHeight="1" x14ac:dyDescent="0.2">
      <c r="A90" s="78">
        <f t="shared" si="13"/>
        <v>88</v>
      </c>
      <c r="B90" s="79" t="s">
        <v>152</v>
      </c>
      <c r="C90" s="78" t="str">
        <f>IF($B90&lt;&gt;"",_xlfn.IFNA(VLOOKUP($B90,'Node Details'!$B:$U,C$1,0),"Check"),"")</f>
        <v>0000AXZ02-AXZ020203</v>
      </c>
      <c r="D90" s="78" t="str">
        <f>IF($B90&lt;&gt;"",_xlfn.IFNA(VLOOKUP($B90,'Node Details'!$B:$U,D$1,0),"Check"),"")</f>
        <v>AXZ</v>
      </c>
      <c r="E90" s="78" t="str">
        <f>IF($B90&lt;&gt;"",_xlfn.IFNA(VLOOKUP($B90,'Node Details'!$B:$U,E$1,0),"Check"),"")</f>
        <v>Airtel</v>
      </c>
      <c r="F90" s="80">
        <v>46110</v>
      </c>
      <c r="G90" s="78"/>
      <c r="H90" s="81" t="s">
        <v>180</v>
      </c>
      <c r="I90" s="81">
        <v>2</v>
      </c>
      <c r="J90" s="81">
        <v>150</v>
      </c>
      <c r="K90" s="82">
        <f t="shared" si="7"/>
        <v>300</v>
      </c>
      <c r="L90" s="83"/>
      <c r="N90" s="89"/>
      <c r="O90" s="90"/>
      <c r="P90" s="87">
        <f t="shared" si="8"/>
        <v>150</v>
      </c>
      <c r="Q90" s="87">
        <f t="shared" si="9"/>
        <v>300</v>
      </c>
      <c r="R90" s="87"/>
      <c r="S90" s="87"/>
      <c r="T90" s="91"/>
      <c r="U90" s="87">
        <f t="shared" si="10"/>
        <v>150</v>
      </c>
      <c r="V90" s="87">
        <f t="shared" si="11"/>
        <v>2</v>
      </c>
      <c r="W90" s="88">
        <f t="shared" si="12"/>
        <v>300</v>
      </c>
      <c r="X90" s="88" t="s">
        <v>181</v>
      </c>
      <c r="Y90" s="84" t="s">
        <v>176</v>
      </c>
    </row>
    <row r="91" spans="1:25" s="84" customFormat="1" ht="11.1" customHeight="1" x14ac:dyDescent="0.2">
      <c r="A91" s="78">
        <f t="shared" si="13"/>
        <v>89</v>
      </c>
      <c r="B91" s="79" t="s">
        <v>153</v>
      </c>
      <c r="C91" s="78" t="str">
        <f>IF($B91&lt;&gt;"",_xlfn.IFNA(VLOOKUP($B91,'Node Details'!$B:$U,C$1,0),"Check"),"")</f>
        <v>0000AXZ02-AXZ020203</v>
      </c>
      <c r="D91" s="78" t="str">
        <f>IF($B91&lt;&gt;"",_xlfn.IFNA(VLOOKUP($B91,'Node Details'!$B:$U,D$1,0),"Check"),"")</f>
        <v>AXZ</v>
      </c>
      <c r="E91" s="78" t="str">
        <f>IF($B91&lt;&gt;"",_xlfn.IFNA(VLOOKUP($B91,'Node Details'!$B:$U,E$1,0),"Check"),"")</f>
        <v>Airtel</v>
      </c>
      <c r="F91" s="80">
        <v>46110</v>
      </c>
      <c r="G91" s="78"/>
      <c r="H91" s="81" t="s">
        <v>180</v>
      </c>
      <c r="I91" s="81">
        <v>2</v>
      </c>
      <c r="J91" s="81">
        <v>150</v>
      </c>
      <c r="K91" s="82">
        <f t="shared" si="7"/>
        <v>300</v>
      </c>
      <c r="L91" s="83"/>
      <c r="N91" s="89"/>
      <c r="O91" s="90"/>
      <c r="P91" s="87">
        <f t="shared" si="8"/>
        <v>150</v>
      </c>
      <c r="Q91" s="87">
        <f t="shared" si="9"/>
        <v>300</v>
      </c>
      <c r="R91" s="87"/>
      <c r="S91" s="87"/>
      <c r="T91" s="91"/>
      <c r="U91" s="87">
        <f t="shared" si="10"/>
        <v>150</v>
      </c>
      <c r="V91" s="87">
        <f t="shared" si="11"/>
        <v>2</v>
      </c>
      <c r="W91" s="88">
        <f t="shared" si="12"/>
        <v>300</v>
      </c>
      <c r="X91" s="88" t="s">
        <v>181</v>
      </c>
      <c r="Y91" s="84" t="s">
        <v>176</v>
      </c>
    </row>
    <row r="92" spans="1:25" s="84" customFormat="1" ht="11.1" customHeight="1" x14ac:dyDescent="0.2">
      <c r="A92" s="78">
        <f t="shared" si="13"/>
        <v>90</v>
      </c>
      <c r="B92" s="79" t="s">
        <v>154</v>
      </c>
      <c r="C92" s="78" t="str">
        <f>IF($B92&lt;&gt;"",_xlfn.IFNA(VLOOKUP($B92,'Node Details'!$B:$U,C$1,0),"Check"),"")</f>
        <v>0000AXZ02-AXZ020203</v>
      </c>
      <c r="D92" s="78" t="str">
        <f>IF($B92&lt;&gt;"",_xlfn.IFNA(VLOOKUP($B92,'Node Details'!$B:$U,D$1,0),"Check"),"")</f>
        <v>AXZ</v>
      </c>
      <c r="E92" s="78" t="str">
        <f>IF($B92&lt;&gt;"",_xlfn.IFNA(VLOOKUP($B92,'Node Details'!$B:$U,E$1,0),"Check"),"")</f>
        <v>Airtel</v>
      </c>
      <c r="F92" s="80">
        <v>46110</v>
      </c>
      <c r="G92" s="78"/>
      <c r="H92" s="81" t="s">
        <v>180</v>
      </c>
      <c r="I92" s="81">
        <v>2</v>
      </c>
      <c r="J92" s="81">
        <v>150</v>
      </c>
      <c r="K92" s="82">
        <f t="shared" si="7"/>
        <v>300</v>
      </c>
      <c r="L92" s="83"/>
      <c r="N92" s="89"/>
      <c r="O92" s="90"/>
      <c r="P92" s="87">
        <f t="shared" si="8"/>
        <v>150</v>
      </c>
      <c r="Q92" s="87">
        <f t="shared" si="9"/>
        <v>300</v>
      </c>
      <c r="R92" s="87"/>
      <c r="S92" s="87"/>
      <c r="T92" s="91"/>
      <c r="U92" s="87">
        <f t="shared" si="10"/>
        <v>150</v>
      </c>
      <c r="V92" s="87">
        <f t="shared" si="11"/>
        <v>2</v>
      </c>
      <c r="W92" s="88">
        <f t="shared" si="12"/>
        <v>300</v>
      </c>
      <c r="X92" s="88" t="s">
        <v>181</v>
      </c>
      <c r="Y92" s="84" t="s">
        <v>176</v>
      </c>
    </row>
    <row r="93" spans="1:25" s="84" customFormat="1" ht="11.1" customHeight="1" x14ac:dyDescent="0.2">
      <c r="A93" s="78">
        <f t="shared" si="13"/>
        <v>91</v>
      </c>
      <c r="B93" s="79" t="s">
        <v>155</v>
      </c>
      <c r="C93" s="78" t="str">
        <f>IF($B93&lt;&gt;"",_xlfn.IFNA(VLOOKUP($B93,'Node Details'!$B:$U,C$1,0),"Check"),"")</f>
        <v>0000AXZ02-AXZ020203</v>
      </c>
      <c r="D93" s="78" t="str">
        <f>IF($B93&lt;&gt;"",_xlfn.IFNA(VLOOKUP($B93,'Node Details'!$B:$U,D$1,0),"Check"),"")</f>
        <v>AXZ</v>
      </c>
      <c r="E93" s="78" t="str">
        <f>IF($B93&lt;&gt;"",_xlfn.IFNA(VLOOKUP($B93,'Node Details'!$B:$U,E$1,0),"Check"),"")</f>
        <v>Airtel</v>
      </c>
      <c r="F93" s="80">
        <v>46110</v>
      </c>
      <c r="G93" s="78"/>
      <c r="H93" s="81" t="s">
        <v>180</v>
      </c>
      <c r="I93" s="81">
        <v>2</v>
      </c>
      <c r="J93" s="81">
        <v>150</v>
      </c>
      <c r="K93" s="82">
        <f t="shared" si="7"/>
        <v>300</v>
      </c>
      <c r="L93" s="83"/>
      <c r="N93" s="89"/>
      <c r="O93" s="90"/>
      <c r="P93" s="87">
        <f t="shared" si="8"/>
        <v>150</v>
      </c>
      <c r="Q93" s="87">
        <f t="shared" si="9"/>
        <v>300</v>
      </c>
      <c r="R93" s="87"/>
      <c r="S93" s="87"/>
      <c r="T93" s="91"/>
      <c r="U93" s="87">
        <f t="shared" si="10"/>
        <v>150</v>
      </c>
      <c r="V93" s="87">
        <f t="shared" si="11"/>
        <v>2</v>
      </c>
      <c r="W93" s="88">
        <f t="shared" si="12"/>
        <v>300</v>
      </c>
      <c r="X93" s="88" t="s">
        <v>181</v>
      </c>
      <c r="Y93" s="84" t="s">
        <v>176</v>
      </c>
    </row>
    <row r="94" spans="1:25" s="84" customFormat="1" ht="11.1" customHeight="1" x14ac:dyDescent="0.2">
      <c r="A94" s="78">
        <f t="shared" si="13"/>
        <v>92</v>
      </c>
      <c r="B94" s="79" t="s">
        <v>156</v>
      </c>
      <c r="C94" s="78" t="str">
        <f>IF($B94&lt;&gt;"",_xlfn.IFNA(VLOOKUP($B94,'Node Details'!$B:$U,C$1,0),"Check"),"")</f>
        <v>0000AXZ02-AXZ020203</v>
      </c>
      <c r="D94" s="78" t="str">
        <f>IF($B94&lt;&gt;"",_xlfn.IFNA(VLOOKUP($B94,'Node Details'!$B:$U,D$1,0),"Check"),"")</f>
        <v>AXZ</v>
      </c>
      <c r="E94" s="78" t="str">
        <f>IF($B94&lt;&gt;"",_xlfn.IFNA(VLOOKUP($B94,'Node Details'!$B:$U,E$1,0),"Check"),"")</f>
        <v>Airtel</v>
      </c>
      <c r="F94" s="80">
        <v>46110</v>
      </c>
      <c r="G94" s="78"/>
      <c r="H94" s="81" t="s">
        <v>180</v>
      </c>
      <c r="I94" s="81">
        <v>2</v>
      </c>
      <c r="J94" s="81">
        <v>150</v>
      </c>
      <c r="K94" s="82">
        <f t="shared" si="7"/>
        <v>300</v>
      </c>
      <c r="L94" s="83"/>
      <c r="N94" s="89"/>
      <c r="O94" s="90"/>
      <c r="P94" s="87">
        <f t="shared" si="8"/>
        <v>150</v>
      </c>
      <c r="Q94" s="87">
        <f t="shared" si="9"/>
        <v>300</v>
      </c>
      <c r="R94" s="87"/>
      <c r="S94" s="87"/>
      <c r="T94" s="91"/>
      <c r="U94" s="87">
        <f t="shared" si="10"/>
        <v>150</v>
      </c>
      <c r="V94" s="87">
        <f t="shared" si="11"/>
        <v>2</v>
      </c>
      <c r="W94" s="88">
        <f t="shared" si="12"/>
        <v>300</v>
      </c>
      <c r="X94" s="88" t="s">
        <v>181</v>
      </c>
      <c r="Y94" s="84" t="s">
        <v>176</v>
      </c>
    </row>
    <row r="95" spans="1:25" s="84" customFormat="1" ht="11.1" customHeight="1" x14ac:dyDescent="0.2">
      <c r="A95" s="78">
        <f t="shared" si="13"/>
        <v>93</v>
      </c>
      <c r="B95" s="79" t="s">
        <v>157</v>
      </c>
      <c r="C95" s="78" t="str">
        <f>IF($B95&lt;&gt;"",_xlfn.IFNA(VLOOKUP($B95,'Node Details'!$B:$U,C$1,0),"Check"),"")</f>
        <v>0000AXZ02-AXZ020203</v>
      </c>
      <c r="D95" s="78" t="str">
        <f>IF($B95&lt;&gt;"",_xlfn.IFNA(VLOOKUP($B95,'Node Details'!$B:$U,D$1,0),"Check"),"")</f>
        <v>AXZ</v>
      </c>
      <c r="E95" s="78" t="str">
        <f>IF($B95&lt;&gt;"",_xlfn.IFNA(VLOOKUP($B95,'Node Details'!$B:$U,E$1,0),"Check"),"")</f>
        <v>Airtel</v>
      </c>
      <c r="F95" s="80">
        <v>46110</v>
      </c>
      <c r="G95" s="78"/>
      <c r="H95" s="81" t="s">
        <v>180</v>
      </c>
      <c r="I95" s="81">
        <v>2</v>
      </c>
      <c r="J95" s="81">
        <v>150</v>
      </c>
      <c r="K95" s="82">
        <f t="shared" si="7"/>
        <v>300</v>
      </c>
      <c r="L95" s="83"/>
      <c r="N95" s="89"/>
      <c r="O95" s="90"/>
      <c r="P95" s="87">
        <f t="shared" si="8"/>
        <v>150</v>
      </c>
      <c r="Q95" s="87">
        <f t="shared" si="9"/>
        <v>300</v>
      </c>
      <c r="R95" s="87"/>
      <c r="S95" s="87"/>
      <c r="T95" s="91"/>
      <c r="U95" s="87">
        <f t="shared" si="10"/>
        <v>150</v>
      </c>
      <c r="V95" s="87">
        <f t="shared" si="11"/>
        <v>2</v>
      </c>
      <c r="W95" s="88">
        <f t="shared" si="12"/>
        <v>300</v>
      </c>
      <c r="X95" s="88" t="s">
        <v>181</v>
      </c>
      <c r="Y95" s="84" t="s">
        <v>176</v>
      </c>
    </row>
    <row r="96" spans="1:25" s="84" customFormat="1" ht="11.1" customHeight="1" x14ac:dyDescent="0.2">
      <c r="A96" s="78">
        <f t="shared" si="13"/>
        <v>94</v>
      </c>
      <c r="B96" s="79" t="s">
        <v>158</v>
      </c>
      <c r="C96" s="78" t="str">
        <f>IF($B96&lt;&gt;"",_xlfn.IFNA(VLOOKUP($B96,'Node Details'!$B:$U,C$1,0),"Check"),"")</f>
        <v>0000AXZ02-AXZ020203</v>
      </c>
      <c r="D96" s="78" t="str">
        <f>IF($B96&lt;&gt;"",_xlfn.IFNA(VLOOKUP($B96,'Node Details'!$B:$U,D$1,0),"Check"),"")</f>
        <v>AXZ</v>
      </c>
      <c r="E96" s="78" t="str">
        <f>IF($B96&lt;&gt;"",_xlfn.IFNA(VLOOKUP($B96,'Node Details'!$B:$U,E$1,0),"Check"),"")</f>
        <v>Airtel</v>
      </c>
      <c r="F96" s="80">
        <v>46110</v>
      </c>
      <c r="G96" s="78"/>
      <c r="H96" s="81" t="s">
        <v>180</v>
      </c>
      <c r="I96" s="81">
        <v>2</v>
      </c>
      <c r="J96" s="81">
        <v>150</v>
      </c>
      <c r="K96" s="82">
        <f t="shared" si="7"/>
        <v>300</v>
      </c>
      <c r="L96" s="83"/>
      <c r="N96" s="89"/>
      <c r="O96" s="90"/>
      <c r="P96" s="87">
        <f t="shared" si="8"/>
        <v>150</v>
      </c>
      <c r="Q96" s="87">
        <f t="shared" si="9"/>
        <v>300</v>
      </c>
      <c r="R96" s="87"/>
      <c r="S96" s="87"/>
      <c r="T96" s="91"/>
      <c r="U96" s="87">
        <f t="shared" si="10"/>
        <v>150</v>
      </c>
      <c r="V96" s="87">
        <f t="shared" si="11"/>
        <v>2</v>
      </c>
      <c r="W96" s="88">
        <f t="shared" si="12"/>
        <v>300</v>
      </c>
      <c r="X96" s="88" t="s">
        <v>181</v>
      </c>
      <c r="Y96" s="84" t="s">
        <v>176</v>
      </c>
    </row>
    <row r="97" spans="1:25" s="84" customFormat="1" ht="11.1" customHeight="1" x14ac:dyDescent="0.2">
      <c r="A97" s="78">
        <f t="shared" si="13"/>
        <v>95</v>
      </c>
      <c r="B97" s="79" t="s">
        <v>159</v>
      </c>
      <c r="C97" s="78" t="str">
        <f>IF($B97&lt;&gt;"",_xlfn.IFNA(VLOOKUP($B97,'Node Details'!$B:$U,C$1,0),"Check"),"")</f>
        <v>000000AXZ-0000AXZ03</v>
      </c>
      <c r="D97" s="78" t="str">
        <f>IF($B97&lt;&gt;"",_xlfn.IFNA(VLOOKUP($B97,'Node Details'!$B:$U,D$1,0),"Check"),"")</f>
        <v>AXZ</v>
      </c>
      <c r="E97" s="78" t="str">
        <f>IF($B97&lt;&gt;"",_xlfn.IFNA(VLOOKUP($B97,'Node Details'!$B:$U,E$1,0),"Check"),"")</f>
        <v>Airtel</v>
      </c>
      <c r="F97" s="80">
        <v>46110</v>
      </c>
      <c r="G97" s="78"/>
      <c r="H97" s="81" t="s">
        <v>180</v>
      </c>
      <c r="I97" s="81">
        <v>2</v>
      </c>
      <c r="J97" s="81">
        <v>150</v>
      </c>
      <c r="K97" s="82">
        <f t="shared" si="7"/>
        <v>300</v>
      </c>
      <c r="L97" s="83"/>
      <c r="N97" s="89"/>
      <c r="O97" s="90"/>
      <c r="P97" s="87">
        <f t="shared" si="8"/>
        <v>150</v>
      </c>
      <c r="Q97" s="87">
        <f t="shared" si="9"/>
        <v>300</v>
      </c>
      <c r="R97" s="87"/>
      <c r="S97" s="87"/>
      <c r="T97" s="91"/>
      <c r="U97" s="87">
        <f t="shared" si="10"/>
        <v>150</v>
      </c>
      <c r="V97" s="87">
        <f t="shared" si="11"/>
        <v>2</v>
      </c>
      <c r="W97" s="88">
        <f t="shared" si="12"/>
        <v>300</v>
      </c>
      <c r="X97" s="88" t="s">
        <v>181</v>
      </c>
      <c r="Y97" s="84" t="s">
        <v>176</v>
      </c>
    </row>
    <row r="98" spans="1:25" s="84" customFormat="1" ht="11.1" customHeight="1" x14ac:dyDescent="0.2">
      <c r="A98" s="78">
        <f t="shared" si="13"/>
        <v>96</v>
      </c>
      <c r="B98" s="79" t="s">
        <v>160</v>
      </c>
      <c r="C98" s="78" t="str">
        <f>IF($B98&lt;&gt;"",_xlfn.IFNA(VLOOKUP($B98,'Node Details'!$B:$U,C$1,0),"Check"),"")</f>
        <v>0000AXZ03-AXZ030101</v>
      </c>
      <c r="D98" s="78" t="str">
        <f>IF($B98&lt;&gt;"",_xlfn.IFNA(VLOOKUP($B98,'Node Details'!$B:$U,D$1,0),"Check"),"")</f>
        <v>AXZ</v>
      </c>
      <c r="E98" s="78" t="str">
        <f>IF($B98&lt;&gt;"",_xlfn.IFNA(VLOOKUP($B98,'Node Details'!$B:$U,E$1,0),"Check"),"")</f>
        <v>Airtel</v>
      </c>
      <c r="F98" s="80">
        <v>46110</v>
      </c>
      <c r="G98" s="78"/>
      <c r="H98" s="81" t="s">
        <v>180</v>
      </c>
      <c r="I98" s="81">
        <v>2</v>
      </c>
      <c r="J98" s="81">
        <v>150</v>
      </c>
      <c r="K98" s="82">
        <f t="shared" si="7"/>
        <v>300</v>
      </c>
      <c r="L98" s="83"/>
      <c r="N98" s="89"/>
      <c r="O98" s="90"/>
      <c r="P98" s="87">
        <f t="shared" si="8"/>
        <v>150</v>
      </c>
      <c r="Q98" s="87">
        <f t="shared" si="9"/>
        <v>300</v>
      </c>
      <c r="R98" s="87"/>
      <c r="S98" s="87"/>
      <c r="T98" s="91"/>
      <c r="U98" s="87">
        <f t="shared" si="10"/>
        <v>150</v>
      </c>
      <c r="V98" s="87">
        <f t="shared" si="11"/>
        <v>2</v>
      </c>
      <c r="W98" s="88">
        <f t="shared" si="12"/>
        <v>300</v>
      </c>
      <c r="X98" s="88" t="s">
        <v>181</v>
      </c>
      <c r="Y98" s="84" t="s">
        <v>176</v>
      </c>
    </row>
    <row r="99" spans="1:25" s="84" customFormat="1" ht="11.1" customHeight="1" x14ac:dyDescent="0.2">
      <c r="A99" s="78">
        <f t="shared" si="13"/>
        <v>97</v>
      </c>
      <c r="B99" s="79" t="s">
        <v>161</v>
      </c>
      <c r="C99" s="78" t="str">
        <f>IF($B99&lt;&gt;"",_xlfn.IFNA(VLOOKUP($B99,'Node Details'!$B:$U,C$1,0),"Check"),"")</f>
        <v>0000AXZ03-AXZ030102</v>
      </c>
      <c r="D99" s="78" t="str">
        <f>IF($B99&lt;&gt;"",_xlfn.IFNA(VLOOKUP($B99,'Node Details'!$B:$U,D$1,0),"Check"),"")</f>
        <v>AXZ</v>
      </c>
      <c r="E99" s="78" t="str">
        <f>IF($B99&lt;&gt;"",_xlfn.IFNA(VLOOKUP($B99,'Node Details'!$B:$U,E$1,0),"Check"),"")</f>
        <v>Airtel</v>
      </c>
      <c r="F99" s="80">
        <v>46110</v>
      </c>
      <c r="G99" s="78"/>
      <c r="H99" s="81" t="s">
        <v>180</v>
      </c>
      <c r="I99" s="81">
        <v>2</v>
      </c>
      <c r="J99" s="81">
        <v>150</v>
      </c>
      <c r="K99" s="82">
        <f t="shared" si="7"/>
        <v>300</v>
      </c>
      <c r="L99" s="83"/>
      <c r="N99" s="89"/>
      <c r="O99" s="90"/>
      <c r="P99" s="87">
        <f t="shared" si="8"/>
        <v>150</v>
      </c>
      <c r="Q99" s="87">
        <f t="shared" si="9"/>
        <v>300</v>
      </c>
      <c r="R99" s="87"/>
      <c r="S99" s="87"/>
      <c r="T99" s="91"/>
      <c r="U99" s="87">
        <f t="shared" si="10"/>
        <v>150</v>
      </c>
      <c r="V99" s="87">
        <f t="shared" si="11"/>
        <v>2</v>
      </c>
      <c r="W99" s="88">
        <f t="shared" si="12"/>
        <v>300</v>
      </c>
      <c r="X99" s="88" t="s">
        <v>181</v>
      </c>
      <c r="Y99" s="84" t="s">
        <v>176</v>
      </c>
    </row>
    <row r="100" spans="1:25" s="84" customFormat="1" ht="11.1" customHeight="1" x14ac:dyDescent="0.2">
      <c r="A100" s="78">
        <f t="shared" si="13"/>
        <v>98</v>
      </c>
      <c r="B100" s="79" t="s">
        <v>162</v>
      </c>
      <c r="C100" s="78" t="str">
        <f>IF($B100&lt;&gt;"",_xlfn.IFNA(VLOOKUP($B100,'Node Details'!$B:$U,C$1,0),"Check"),"")</f>
        <v>0000AXZ03-AXZ030104</v>
      </c>
      <c r="D100" s="78" t="str">
        <f>IF($B100&lt;&gt;"",_xlfn.IFNA(VLOOKUP($B100,'Node Details'!$B:$U,D$1,0),"Check"),"")</f>
        <v>AXZ</v>
      </c>
      <c r="E100" s="78" t="str">
        <f>IF($B100&lt;&gt;"",_xlfn.IFNA(VLOOKUP($B100,'Node Details'!$B:$U,E$1,0),"Check"),"")</f>
        <v>Airtel</v>
      </c>
      <c r="F100" s="80">
        <v>46110</v>
      </c>
      <c r="G100" s="78"/>
      <c r="H100" s="81" t="s">
        <v>180</v>
      </c>
      <c r="I100" s="81">
        <v>2</v>
      </c>
      <c r="J100" s="81">
        <v>150</v>
      </c>
      <c r="K100" s="82">
        <f t="shared" si="7"/>
        <v>300</v>
      </c>
      <c r="L100" s="83"/>
      <c r="N100" s="89"/>
      <c r="O100" s="90"/>
      <c r="P100" s="87">
        <f t="shared" si="8"/>
        <v>150</v>
      </c>
      <c r="Q100" s="87">
        <f t="shared" si="9"/>
        <v>300</v>
      </c>
      <c r="R100" s="87"/>
      <c r="S100" s="87"/>
      <c r="T100" s="91"/>
      <c r="U100" s="87">
        <f t="shared" si="10"/>
        <v>150</v>
      </c>
      <c r="V100" s="87">
        <f t="shared" si="11"/>
        <v>2</v>
      </c>
      <c r="W100" s="88">
        <f t="shared" si="12"/>
        <v>300</v>
      </c>
      <c r="X100" s="88" t="s">
        <v>181</v>
      </c>
      <c r="Y100" s="84" t="s">
        <v>176</v>
      </c>
    </row>
    <row r="101" spans="1:25" s="84" customFormat="1" ht="11.1" customHeight="1" x14ac:dyDescent="0.2">
      <c r="A101" s="78">
        <f t="shared" si="13"/>
        <v>99</v>
      </c>
      <c r="B101" s="79" t="s">
        <v>163</v>
      </c>
      <c r="C101" s="78" t="str">
        <f>IF($B101&lt;&gt;"",_xlfn.IFNA(VLOOKUP($B101,'Node Details'!$B:$U,C$1,0),"Check"),"")</f>
        <v>0000AXZ03-AXZ030104</v>
      </c>
      <c r="D101" s="78" t="str">
        <f>IF($B101&lt;&gt;"",_xlfn.IFNA(VLOOKUP($B101,'Node Details'!$B:$U,D$1,0),"Check"),"")</f>
        <v>AXZ</v>
      </c>
      <c r="E101" s="78" t="str">
        <f>IF($B101&lt;&gt;"",_xlfn.IFNA(VLOOKUP($B101,'Node Details'!$B:$U,E$1,0),"Check"),"")</f>
        <v>Airtel</v>
      </c>
      <c r="F101" s="80">
        <v>46110</v>
      </c>
      <c r="G101" s="78"/>
      <c r="H101" s="81" t="s">
        <v>180</v>
      </c>
      <c r="I101" s="81">
        <v>2</v>
      </c>
      <c r="J101" s="81">
        <v>150</v>
      </c>
      <c r="K101" s="82">
        <f t="shared" si="7"/>
        <v>300</v>
      </c>
      <c r="L101" s="83"/>
      <c r="N101" s="89"/>
      <c r="O101" s="90"/>
      <c r="P101" s="87">
        <f t="shared" si="8"/>
        <v>150</v>
      </c>
      <c r="Q101" s="87">
        <f t="shared" si="9"/>
        <v>300</v>
      </c>
      <c r="R101" s="87"/>
      <c r="S101" s="87"/>
      <c r="T101" s="91"/>
      <c r="U101" s="87">
        <f t="shared" si="10"/>
        <v>150</v>
      </c>
      <c r="V101" s="87">
        <f t="shared" si="11"/>
        <v>2</v>
      </c>
      <c r="W101" s="88">
        <f t="shared" si="12"/>
        <v>300</v>
      </c>
      <c r="X101" s="88" t="s">
        <v>181</v>
      </c>
      <c r="Y101" s="84" t="s">
        <v>176</v>
      </c>
    </row>
    <row r="102" spans="1:25" s="84" customFormat="1" ht="11.1" customHeight="1" x14ac:dyDescent="0.2">
      <c r="A102" s="78">
        <f t="shared" si="13"/>
        <v>100</v>
      </c>
      <c r="B102" s="79" t="s">
        <v>164</v>
      </c>
      <c r="C102" s="78" t="str">
        <f>IF($B102&lt;&gt;"",_xlfn.IFNA(VLOOKUP($B102,'Node Details'!$B:$U,C$1,0),"Check"),"")</f>
        <v>AXZ030104-AXZ030106</v>
      </c>
      <c r="D102" s="78" t="str">
        <f>IF($B102&lt;&gt;"",_xlfn.IFNA(VLOOKUP($B102,'Node Details'!$B:$U,D$1,0),"Check"),"")</f>
        <v>AXZ</v>
      </c>
      <c r="E102" s="78" t="str">
        <f>IF($B102&lt;&gt;"",_xlfn.IFNA(VLOOKUP($B102,'Node Details'!$B:$U,E$1,0),"Check"),"")</f>
        <v>Airtel</v>
      </c>
      <c r="F102" s="80">
        <v>46110</v>
      </c>
      <c r="G102" s="78"/>
      <c r="H102" s="81" t="s">
        <v>180</v>
      </c>
      <c r="I102" s="81">
        <v>2</v>
      </c>
      <c r="J102" s="81">
        <v>150</v>
      </c>
      <c r="K102" s="82">
        <f t="shared" si="7"/>
        <v>300</v>
      </c>
      <c r="L102" s="83"/>
      <c r="N102" s="89"/>
      <c r="O102" s="90"/>
      <c r="P102" s="87">
        <f t="shared" si="8"/>
        <v>150</v>
      </c>
      <c r="Q102" s="87">
        <f t="shared" si="9"/>
        <v>300</v>
      </c>
      <c r="R102" s="87"/>
      <c r="S102" s="87"/>
      <c r="T102" s="91"/>
      <c r="U102" s="87">
        <f t="shared" si="10"/>
        <v>150</v>
      </c>
      <c r="V102" s="87">
        <f t="shared" si="11"/>
        <v>2</v>
      </c>
      <c r="W102" s="88">
        <f t="shared" si="12"/>
        <v>300</v>
      </c>
      <c r="X102" s="88" t="s">
        <v>181</v>
      </c>
      <c r="Y102" s="84" t="s">
        <v>176</v>
      </c>
    </row>
    <row r="103" spans="1:25" s="84" customFormat="1" ht="11.1" customHeight="1" x14ac:dyDescent="0.2">
      <c r="A103" s="78">
        <f t="shared" si="13"/>
        <v>101</v>
      </c>
      <c r="B103" s="79" t="s">
        <v>165</v>
      </c>
      <c r="C103" s="78" t="str">
        <f>IF($B103&lt;&gt;"",_xlfn.IFNA(VLOOKUP($B103,'Node Details'!$B:$U,C$1,0),"Check"),"")</f>
        <v>AXZ030104-AXZ030106</v>
      </c>
      <c r="D103" s="78" t="str">
        <f>IF($B103&lt;&gt;"",_xlfn.IFNA(VLOOKUP($B103,'Node Details'!$B:$U,D$1,0),"Check"),"")</f>
        <v>AXZ</v>
      </c>
      <c r="E103" s="78" t="str">
        <f>IF($B103&lt;&gt;"",_xlfn.IFNA(VLOOKUP($B103,'Node Details'!$B:$U,E$1,0),"Check"),"")</f>
        <v>Airtel</v>
      </c>
      <c r="F103" s="80">
        <v>46110</v>
      </c>
      <c r="G103" s="78"/>
      <c r="H103" s="81" t="s">
        <v>180</v>
      </c>
      <c r="I103" s="81">
        <v>2</v>
      </c>
      <c r="J103" s="81">
        <v>150</v>
      </c>
      <c r="K103" s="82">
        <f t="shared" si="7"/>
        <v>300</v>
      </c>
      <c r="L103" s="83"/>
      <c r="N103" s="89"/>
      <c r="O103" s="90"/>
      <c r="P103" s="87">
        <f t="shared" si="8"/>
        <v>150</v>
      </c>
      <c r="Q103" s="87">
        <f t="shared" si="9"/>
        <v>300</v>
      </c>
      <c r="R103" s="87"/>
      <c r="S103" s="87"/>
      <c r="T103" s="91"/>
      <c r="U103" s="87">
        <f t="shared" si="10"/>
        <v>150</v>
      </c>
      <c r="V103" s="87">
        <f t="shared" si="11"/>
        <v>2</v>
      </c>
      <c r="W103" s="88">
        <f t="shared" si="12"/>
        <v>300</v>
      </c>
      <c r="X103" s="88" t="s">
        <v>181</v>
      </c>
      <c r="Y103" s="84" t="s">
        <v>176</v>
      </c>
    </row>
    <row r="104" spans="1:25" s="84" customFormat="1" ht="11.1" customHeight="1" x14ac:dyDescent="0.2">
      <c r="A104" s="78">
        <f t="shared" si="13"/>
        <v>102</v>
      </c>
      <c r="B104" s="79" t="s">
        <v>166</v>
      </c>
      <c r="C104" s="78" t="str">
        <f>IF($B104&lt;&gt;"",_xlfn.IFNA(VLOOKUP($B104,'Node Details'!$B:$U,C$1,0),"Check"),"")</f>
        <v>0000AXZ03-AXZ030201</v>
      </c>
      <c r="D104" s="78" t="str">
        <f>IF($B104&lt;&gt;"",_xlfn.IFNA(VLOOKUP($B104,'Node Details'!$B:$U,D$1,0),"Check"),"")</f>
        <v>AXZ</v>
      </c>
      <c r="E104" s="78" t="str">
        <f>IF($B104&lt;&gt;"",_xlfn.IFNA(VLOOKUP($B104,'Node Details'!$B:$U,E$1,0),"Check"),"")</f>
        <v>Airtel</v>
      </c>
      <c r="F104" s="80">
        <v>46110</v>
      </c>
      <c r="G104" s="78"/>
      <c r="H104" s="81" t="s">
        <v>180</v>
      </c>
      <c r="I104" s="81">
        <v>2</v>
      </c>
      <c r="J104" s="81">
        <v>150</v>
      </c>
      <c r="K104" s="82">
        <f t="shared" si="7"/>
        <v>300</v>
      </c>
      <c r="L104" s="83"/>
      <c r="N104" s="89"/>
      <c r="O104" s="90"/>
      <c r="P104" s="87">
        <f t="shared" si="8"/>
        <v>150</v>
      </c>
      <c r="Q104" s="87">
        <f t="shared" si="9"/>
        <v>300</v>
      </c>
      <c r="R104" s="87"/>
      <c r="S104" s="87"/>
      <c r="T104" s="91"/>
      <c r="U104" s="87">
        <f t="shared" si="10"/>
        <v>150</v>
      </c>
      <c r="V104" s="87">
        <f t="shared" si="11"/>
        <v>2</v>
      </c>
      <c r="W104" s="88">
        <f t="shared" si="12"/>
        <v>300</v>
      </c>
      <c r="X104" s="88" t="s">
        <v>181</v>
      </c>
      <c r="Y104" s="84" t="s">
        <v>176</v>
      </c>
    </row>
    <row r="105" spans="1:25" s="84" customFormat="1" ht="11.1" customHeight="1" x14ac:dyDescent="0.2">
      <c r="A105" s="78">
        <f t="shared" si="13"/>
        <v>103</v>
      </c>
      <c r="B105" s="79" t="s">
        <v>167</v>
      </c>
      <c r="C105" s="78" t="str">
        <f>IF($B105&lt;&gt;"",_xlfn.IFNA(VLOOKUP($B105,'Node Details'!$B:$U,C$1,0),"Check"),"")</f>
        <v>0000AXZ03-AXZ030201</v>
      </c>
      <c r="D105" s="78" t="str">
        <f>IF($B105&lt;&gt;"",_xlfn.IFNA(VLOOKUP($B105,'Node Details'!$B:$U,D$1,0),"Check"),"")</f>
        <v>AXZ</v>
      </c>
      <c r="E105" s="78" t="str">
        <f>IF($B105&lt;&gt;"",_xlfn.IFNA(VLOOKUP($B105,'Node Details'!$B:$U,E$1,0),"Check"),"")</f>
        <v>Airtel</v>
      </c>
      <c r="F105" s="80">
        <v>46110</v>
      </c>
      <c r="G105" s="78"/>
      <c r="H105" s="81" t="s">
        <v>180</v>
      </c>
      <c r="I105" s="81">
        <v>2</v>
      </c>
      <c r="J105" s="81">
        <v>150</v>
      </c>
      <c r="K105" s="82">
        <f t="shared" si="7"/>
        <v>300</v>
      </c>
      <c r="L105" s="83"/>
      <c r="N105" s="89"/>
      <c r="O105" s="90"/>
      <c r="P105" s="87">
        <f t="shared" si="8"/>
        <v>150</v>
      </c>
      <c r="Q105" s="87">
        <f t="shared" si="9"/>
        <v>300</v>
      </c>
      <c r="R105" s="87"/>
      <c r="S105" s="87"/>
      <c r="T105" s="91"/>
      <c r="U105" s="87">
        <f t="shared" si="10"/>
        <v>150</v>
      </c>
      <c r="V105" s="87">
        <f t="shared" si="11"/>
        <v>2</v>
      </c>
      <c r="W105" s="88">
        <f t="shared" si="12"/>
        <v>300</v>
      </c>
      <c r="X105" s="88" t="s">
        <v>181</v>
      </c>
      <c r="Y105" s="84" t="s">
        <v>176</v>
      </c>
    </row>
    <row r="106" spans="1:25" s="84" customFormat="1" ht="11.1" customHeight="1" x14ac:dyDescent="0.2">
      <c r="A106" s="78">
        <f t="shared" si="13"/>
        <v>104</v>
      </c>
      <c r="B106" s="79" t="s">
        <v>168</v>
      </c>
      <c r="C106" s="78" t="str">
        <f>IF($B106&lt;&gt;"",_xlfn.IFNA(VLOOKUP($B106,'Node Details'!$B:$U,C$1,0),"Check"),"")</f>
        <v>0000AXZ03-AXZ030201</v>
      </c>
      <c r="D106" s="78" t="str">
        <f>IF($B106&lt;&gt;"",_xlfn.IFNA(VLOOKUP($B106,'Node Details'!$B:$U,D$1,0),"Check"),"")</f>
        <v>AXZ</v>
      </c>
      <c r="E106" s="78" t="str">
        <f>IF($B106&lt;&gt;"",_xlfn.IFNA(VLOOKUP($B106,'Node Details'!$B:$U,E$1,0),"Check"),"")</f>
        <v>Airtel</v>
      </c>
      <c r="F106" s="80">
        <v>46110</v>
      </c>
      <c r="G106" s="78"/>
      <c r="H106" s="81" t="s">
        <v>180</v>
      </c>
      <c r="I106" s="81">
        <v>2</v>
      </c>
      <c r="J106" s="81">
        <v>150</v>
      </c>
      <c r="K106" s="82">
        <f t="shared" si="7"/>
        <v>300</v>
      </c>
      <c r="L106" s="83"/>
      <c r="N106" s="89"/>
      <c r="O106" s="90"/>
      <c r="P106" s="87">
        <f t="shared" si="8"/>
        <v>150</v>
      </c>
      <c r="Q106" s="87">
        <f t="shared" si="9"/>
        <v>300</v>
      </c>
      <c r="R106" s="87"/>
      <c r="S106" s="87"/>
      <c r="T106" s="91"/>
      <c r="U106" s="87">
        <f t="shared" si="10"/>
        <v>150</v>
      </c>
      <c r="V106" s="87">
        <f t="shared" si="11"/>
        <v>2</v>
      </c>
      <c r="W106" s="88">
        <f t="shared" si="12"/>
        <v>300</v>
      </c>
      <c r="X106" s="88" t="s">
        <v>181</v>
      </c>
      <c r="Y106" s="84" t="s">
        <v>176</v>
      </c>
    </row>
    <row r="107" spans="1:25" s="84" customFormat="1" ht="11.1" customHeight="1" x14ac:dyDescent="0.2">
      <c r="A107" s="78">
        <f t="shared" si="13"/>
        <v>105</v>
      </c>
      <c r="B107" s="79" t="s">
        <v>169</v>
      </c>
      <c r="C107" s="78" t="str">
        <f>IF($B107&lt;&gt;"",_xlfn.IFNA(VLOOKUP($B107,'Node Details'!$B:$U,C$1,0),"Check"),"")</f>
        <v>AXZ030201-AXZ030205</v>
      </c>
      <c r="D107" s="78" t="str">
        <f>IF($B107&lt;&gt;"",_xlfn.IFNA(VLOOKUP($B107,'Node Details'!$B:$U,D$1,0),"Check"),"")</f>
        <v>AXZ</v>
      </c>
      <c r="E107" s="78" t="str">
        <f>IF($B107&lt;&gt;"",_xlfn.IFNA(VLOOKUP($B107,'Node Details'!$B:$U,E$1,0),"Check"),"")</f>
        <v>Airtel</v>
      </c>
      <c r="F107" s="80">
        <v>46110</v>
      </c>
      <c r="G107" s="78"/>
      <c r="H107" s="81" t="s">
        <v>180</v>
      </c>
      <c r="I107" s="81">
        <v>2</v>
      </c>
      <c r="J107" s="81">
        <v>150</v>
      </c>
      <c r="K107" s="82">
        <f t="shared" si="7"/>
        <v>300</v>
      </c>
      <c r="L107" s="83"/>
      <c r="N107" s="89"/>
      <c r="O107" s="90"/>
      <c r="P107" s="87">
        <f t="shared" si="8"/>
        <v>150</v>
      </c>
      <c r="Q107" s="87">
        <f t="shared" si="9"/>
        <v>300</v>
      </c>
      <c r="R107" s="87"/>
      <c r="S107" s="87"/>
      <c r="T107" s="91"/>
      <c r="U107" s="87">
        <f t="shared" si="10"/>
        <v>150</v>
      </c>
      <c r="V107" s="87">
        <f t="shared" si="11"/>
        <v>2</v>
      </c>
      <c r="W107" s="88">
        <f t="shared" si="12"/>
        <v>300</v>
      </c>
      <c r="X107" s="88" t="s">
        <v>181</v>
      </c>
      <c r="Y107" s="84" t="s">
        <v>176</v>
      </c>
    </row>
    <row r="108" spans="1:25" s="84" customFormat="1" ht="11.1" customHeight="1" x14ac:dyDescent="0.2">
      <c r="A108" s="78">
        <f t="shared" si="13"/>
        <v>106</v>
      </c>
      <c r="B108" s="79" t="s">
        <v>170</v>
      </c>
      <c r="C108" s="78" t="str">
        <f>IF($B108&lt;&gt;"",_xlfn.IFNA(VLOOKUP($B108,'Node Details'!$B:$U,C$1,0),"Check"),"")</f>
        <v>AXZ030201-AXZ030205</v>
      </c>
      <c r="D108" s="78" t="str">
        <f>IF($B108&lt;&gt;"",_xlfn.IFNA(VLOOKUP($B108,'Node Details'!$B:$U,D$1,0),"Check"),"")</f>
        <v>AXZ</v>
      </c>
      <c r="E108" s="78" t="str">
        <f>IF($B108&lt;&gt;"",_xlfn.IFNA(VLOOKUP($B108,'Node Details'!$B:$U,E$1,0),"Check"),"")</f>
        <v>Airtel</v>
      </c>
      <c r="F108" s="80">
        <v>46110</v>
      </c>
      <c r="G108" s="78"/>
      <c r="H108" s="81" t="s">
        <v>180</v>
      </c>
      <c r="I108" s="81">
        <v>2</v>
      </c>
      <c r="J108" s="81">
        <v>150</v>
      </c>
      <c r="K108" s="82">
        <f t="shared" si="7"/>
        <v>300</v>
      </c>
      <c r="L108" s="83"/>
      <c r="N108" s="89"/>
      <c r="O108" s="90"/>
      <c r="P108" s="87">
        <f t="shared" si="8"/>
        <v>150</v>
      </c>
      <c r="Q108" s="87">
        <f t="shared" si="9"/>
        <v>300</v>
      </c>
      <c r="R108" s="87"/>
      <c r="S108" s="87"/>
      <c r="T108" s="91"/>
      <c r="U108" s="87">
        <f t="shared" si="10"/>
        <v>150</v>
      </c>
      <c r="V108" s="87">
        <f t="shared" si="11"/>
        <v>2</v>
      </c>
      <c r="W108" s="88">
        <f t="shared" si="12"/>
        <v>300</v>
      </c>
      <c r="X108" s="88" t="s">
        <v>181</v>
      </c>
      <c r="Y108" s="84" t="s">
        <v>176</v>
      </c>
    </row>
    <row r="109" spans="1:25" s="84" customFormat="1" ht="11.1" customHeight="1" x14ac:dyDescent="0.2">
      <c r="A109" s="78">
        <f t="shared" si="13"/>
        <v>107</v>
      </c>
      <c r="B109" s="79" t="s">
        <v>171</v>
      </c>
      <c r="C109" s="78" t="str">
        <f>IF($B109&lt;&gt;"",_xlfn.IFNA(VLOOKUP($B109,'Node Details'!$B:$U,C$1,0),"Check"),"")</f>
        <v>AXZ030201-AXZ030205</v>
      </c>
      <c r="D109" s="78" t="str">
        <f>IF($B109&lt;&gt;"",_xlfn.IFNA(VLOOKUP($B109,'Node Details'!$B:$U,D$1,0),"Check"),"")</f>
        <v>AXZ</v>
      </c>
      <c r="E109" s="78" t="str">
        <f>IF($B109&lt;&gt;"",_xlfn.IFNA(VLOOKUP($B109,'Node Details'!$B:$U,E$1,0),"Check"),"")</f>
        <v>Airtel</v>
      </c>
      <c r="F109" s="80">
        <v>46110</v>
      </c>
      <c r="G109" s="78"/>
      <c r="H109" s="81" t="s">
        <v>180</v>
      </c>
      <c r="I109" s="81">
        <v>2</v>
      </c>
      <c r="J109" s="81">
        <v>150</v>
      </c>
      <c r="K109" s="82">
        <f t="shared" si="7"/>
        <v>300</v>
      </c>
      <c r="L109" s="83"/>
      <c r="N109" s="89"/>
      <c r="O109" s="90"/>
      <c r="P109" s="87">
        <f t="shared" si="8"/>
        <v>150</v>
      </c>
      <c r="Q109" s="87">
        <f t="shared" si="9"/>
        <v>300</v>
      </c>
      <c r="R109" s="87"/>
      <c r="S109" s="87"/>
      <c r="T109" s="91"/>
      <c r="U109" s="87">
        <f t="shared" si="10"/>
        <v>150</v>
      </c>
      <c r="V109" s="87">
        <f t="shared" si="11"/>
        <v>2</v>
      </c>
      <c r="W109" s="88">
        <f t="shared" si="12"/>
        <v>300</v>
      </c>
      <c r="X109" s="88" t="s">
        <v>181</v>
      </c>
      <c r="Y109" s="84" t="s">
        <v>176</v>
      </c>
    </row>
    <row r="110" spans="1:25" s="84" customFormat="1" ht="11.1" customHeight="1" x14ac:dyDescent="0.2">
      <c r="A110" s="78">
        <f t="shared" si="13"/>
        <v>108</v>
      </c>
      <c r="B110" s="79" t="s">
        <v>172</v>
      </c>
      <c r="C110" s="78" t="str">
        <f>IF($B110&lt;&gt;"",_xlfn.IFNA(VLOOKUP($B110,'Node Details'!$B:$U,C$1,0),"Check"),"")</f>
        <v>AXZ030201-AXZ030205</v>
      </c>
      <c r="D110" s="78" t="str">
        <f>IF($B110&lt;&gt;"",_xlfn.IFNA(VLOOKUP($B110,'Node Details'!$B:$U,D$1,0),"Check"),"")</f>
        <v>AXZ</v>
      </c>
      <c r="E110" s="78" t="str">
        <f>IF($B110&lt;&gt;"",_xlfn.IFNA(VLOOKUP($B110,'Node Details'!$B:$U,E$1,0),"Check"),"")</f>
        <v>Airtel</v>
      </c>
      <c r="F110" s="80">
        <v>46110</v>
      </c>
      <c r="G110" s="78"/>
      <c r="H110" s="81" t="s">
        <v>180</v>
      </c>
      <c r="I110" s="81">
        <v>2</v>
      </c>
      <c r="J110" s="81">
        <v>150</v>
      </c>
      <c r="K110" s="82">
        <f t="shared" si="7"/>
        <v>300</v>
      </c>
      <c r="L110" s="83"/>
      <c r="N110" s="89"/>
      <c r="O110" s="90"/>
      <c r="P110" s="87">
        <f t="shared" si="8"/>
        <v>150</v>
      </c>
      <c r="Q110" s="87">
        <f t="shared" si="9"/>
        <v>300</v>
      </c>
      <c r="R110" s="87"/>
      <c r="S110" s="87"/>
      <c r="T110" s="91"/>
      <c r="U110" s="87">
        <f t="shared" si="10"/>
        <v>150</v>
      </c>
      <c r="V110" s="87">
        <f t="shared" si="11"/>
        <v>2</v>
      </c>
      <c r="W110" s="88">
        <f t="shared" si="12"/>
        <v>300</v>
      </c>
      <c r="X110" s="88" t="s">
        <v>181</v>
      </c>
      <c r="Y110" s="84" t="s">
        <v>176</v>
      </c>
    </row>
  </sheetData>
  <autoFilter ref="A2:X110" xr:uid="{00000000-0001-0000-0500-000000000000}"/>
  <conditionalFormatting sqref="B3:B57">
    <cfRule type="duplicateValues" dxfId="3" priority="11"/>
  </conditionalFormatting>
  <conditionalFormatting sqref="B69:B110">
    <cfRule type="duplicateValues" dxfId="2" priority="63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Z92"/>
  <sheetViews>
    <sheetView zoomScaleNormal="100" workbookViewId="0">
      <pane ySplit="2" topLeftCell="A72" activePane="bottomLeft" state="frozen"/>
      <selection pane="bottomLeft" activeCell="A77" sqref="A77:A92"/>
    </sheetView>
  </sheetViews>
  <sheetFormatPr defaultRowHeight="15" customHeight="1" x14ac:dyDescent="0.25"/>
  <cols>
    <col min="1" max="1" width="11.42578125" style="9" bestFit="1" customWidth="1"/>
    <col min="2" max="2" width="20.85546875" style="9" bestFit="1" customWidth="1"/>
    <col min="3" max="3" width="23.28515625" bestFit="1" customWidth="1"/>
    <col min="4" max="4" width="14.85546875" style="9" bestFit="1" customWidth="1"/>
    <col min="5" max="5" width="15" bestFit="1" customWidth="1"/>
    <col min="6" max="6" width="15" customWidth="1"/>
    <col min="7" max="7" width="1.7109375" customWidth="1"/>
    <col min="8" max="8" width="25.85546875" bestFit="1" customWidth="1"/>
    <col min="9" max="9" width="14.28515625" style="9" bestFit="1" customWidth="1"/>
    <col min="10" max="10" width="13.85546875" style="9" bestFit="1" customWidth="1"/>
    <col min="11" max="11" width="15.140625" style="9" bestFit="1" customWidth="1"/>
    <col min="12" max="12" width="16.28515625" style="8" bestFit="1" customWidth="1"/>
    <col min="13" max="13" width="1.85546875" customWidth="1"/>
    <col min="14" max="14" width="25.85546875" style="10" bestFit="1" customWidth="1"/>
    <col min="15" max="15" width="17.7109375" style="11" bestFit="1" customWidth="1"/>
    <col min="16" max="16" width="17.5703125" style="10" bestFit="1" customWidth="1"/>
    <col min="17" max="17" width="17.42578125" style="9" bestFit="1" customWidth="1"/>
    <col min="18" max="18" width="1.7109375" style="10" customWidth="1"/>
    <col min="19" max="19" width="20" style="10" bestFit="1" customWidth="1"/>
    <col min="20" max="20" width="21.5703125" style="11" bestFit="1" customWidth="1"/>
    <col min="21" max="21" width="21.42578125" style="10" bestFit="1" customWidth="1"/>
    <col min="22" max="22" width="18.140625" style="9" bestFit="1" customWidth="1"/>
    <col min="23" max="23" width="12.85546875" bestFit="1" customWidth="1"/>
    <col min="24" max="24" width="17.5703125" style="13" bestFit="1" customWidth="1"/>
  </cols>
  <sheetData>
    <row r="1" spans="1:26" s="26" customFormat="1" ht="15" customHeight="1" thickBot="1" x14ac:dyDescent="0.3">
      <c r="A1" s="29"/>
      <c r="B1" s="29"/>
      <c r="C1" s="26">
        <f>MATCH(C2,'Node Details'!$B$2:$U$2,0)</f>
        <v>3</v>
      </c>
      <c r="D1" s="29">
        <f>MATCH(D2,'Node Details'!$B$2:$U$2,0)</f>
        <v>9</v>
      </c>
      <c r="E1" s="26">
        <f>MATCH(E2,'Node Details'!$B$2:$U$2,0)</f>
        <v>4</v>
      </c>
      <c r="I1" s="29">
        <f>SUBTOTAL(9,I3:I1048576)</f>
        <v>167</v>
      </c>
      <c r="J1" s="29"/>
      <c r="K1" s="29">
        <f>SUBTOTAL(9,K3:K1048576)</f>
        <v>29126</v>
      </c>
      <c r="N1" s="28"/>
      <c r="O1" s="28"/>
      <c r="P1" s="28"/>
      <c r="Q1" s="29">
        <f>SUBTOTAL(9,Q3:Q1048576)</f>
        <v>29126</v>
      </c>
      <c r="R1" s="28"/>
      <c r="S1" s="28"/>
      <c r="T1" s="28"/>
      <c r="U1" s="28"/>
      <c r="V1" s="29">
        <f>SUBTOTAL(9,V3:V1048576)</f>
        <v>167</v>
      </c>
      <c r="W1" s="26">
        <f>SUBTOTAL(9,W3:W1048576)</f>
        <v>29126</v>
      </c>
      <c r="X1" s="27"/>
    </row>
    <row r="2" spans="1:26" s="19" customFormat="1" ht="37.5" customHeight="1" x14ac:dyDescent="0.25">
      <c r="A2" s="40" t="s">
        <v>86</v>
      </c>
      <c r="B2" s="64" t="s">
        <v>80</v>
      </c>
      <c r="C2" s="65" t="s">
        <v>78</v>
      </c>
      <c r="D2" s="65" t="s">
        <v>38</v>
      </c>
      <c r="E2" s="65" t="s">
        <v>32</v>
      </c>
      <c r="F2" s="104" t="s">
        <v>41</v>
      </c>
      <c r="G2" s="22"/>
      <c r="H2" s="63" t="s">
        <v>87</v>
      </c>
      <c r="I2" s="64" t="s">
        <v>81</v>
      </c>
      <c r="J2" s="64" t="s">
        <v>82</v>
      </c>
      <c r="K2" s="65" t="s">
        <v>83</v>
      </c>
      <c r="L2" s="105" t="s">
        <v>84</v>
      </c>
      <c r="M2" s="22"/>
      <c r="N2" s="63" t="s">
        <v>66</v>
      </c>
      <c r="O2" s="67" t="s">
        <v>67</v>
      </c>
      <c r="P2" s="65" t="s">
        <v>68</v>
      </c>
      <c r="Q2" s="70" t="s">
        <v>69</v>
      </c>
      <c r="R2" s="22"/>
      <c r="S2" s="63" t="s">
        <v>70</v>
      </c>
      <c r="T2" s="67" t="s">
        <v>71</v>
      </c>
      <c r="U2" s="65" t="s">
        <v>72</v>
      </c>
      <c r="V2" s="65" t="s">
        <v>73</v>
      </c>
      <c r="W2" s="65" t="s">
        <v>74</v>
      </c>
      <c r="X2" s="69" t="s">
        <v>88</v>
      </c>
      <c r="Y2" s="19" t="s">
        <v>85</v>
      </c>
      <c r="Z2" s="19" t="s">
        <v>175</v>
      </c>
    </row>
    <row r="3" spans="1:26" s="112" customFormat="1" ht="15" customHeight="1" x14ac:dyDescent="0.2">
      <c r="A3" s="106">
        <v>1</v>
      </c>
      <c r="B3" s="79" t="s">
        <v>137</v>
      </c>
      <c r="C3" s="107" t="str">
        <f>IF($B3&lt;&gt;"",_xlfn.IFNA(VLOOKUP($B3,'Node Details'!$B:$U,C$1,0),"Check"),"")</f>
        <v>0000AXZ01-AXZ010101</v>
      </c>
      <c r="D3" s="107" t="str">
        <f>IF($B3&lt;&gt;"",_xlfn.IFNA(VLOOKUP($B3,'Node Details'!$B:$U,D$1,0),"Check"),"")</f>
        <v>AXZ</v>
      </c>
      <c r="E3" s="107" t="str">
        <f>IF($B3&lt;&gt;"",_xlfn.IFNA(VLOOKUP($B3,'Node Details'!$B:$U,E$1,0),"Check"),"")</f>
        <v>Airtel</v>
      </c>
      <c r="F3" s="108">
        <v>46110</v>
      </c>
      <c r="G3" s="107"/>
      <c r="H3" s="109" t="s">
        <v>182</v>
      </c>
      <c r="I3" s="81">
        <v>1</v>
      </c>
      <c r="J3" s="81">
        <v>550</v>
      </c>
      <c r="K3" s="107">
        <f t="shared" ref="K3:K66" si="0">IF(I3&lt;&gt;"",J3*I3,0)</f>
        <v>550</v>
      </c>
      <c r="L3" s="83">
        <v>46110</v>
      </c>
      <c r="M3" s="110"/>
      <c r="N3" s="100" t="s">
        <v>186</v>
      </c>
      <c r="O3" s="101">
        <v>46094</v>
      </c>
      <c r="P3" s="111">
        <f t="shared" ref="P3:P66" si="1">J3</f>
        <v>550</v>
      </c>
      <c r="Q3" s="111">
        <f t="shared" ref="Q3:Q66" si="2">P3*I3</f>
        <v>550</v>
      </c>
      <c r="R3" s="110"/>
      <c r="S3" s="100" t="s">
        <v>187</v>
      </c>
      <c r="T3" s="101"/>
      <c r="U3" s="111">
        <f t="shared" ref="U3" si="3">J3</f>
        <v>550</v>
      </c>
      <c r="V3" s="111">
        <f t="shared" ref="V3" si="4">I3</f>
        <v>1</v>
      </c>
      <c r="W3" s="110">
        <f t="shared" ref="W3" si="5">IF(V3&lt;&gt;"",V3*U3,0)</f>
        <v>550</v>
      </c>
      <c r="X3" s="100" t="s">
        <v>188</v>
      </c>
      <c r="Y3" s="112" t="s">
        <v>181</v>
      </c>
      <c r="Z3" s="112" t="s">
        <v>176</v>
      </c>
    </row>
    <row r="4" spans="1:26" s="112" customFormat="1" ht="15" customHeight="1" x14ac:dyDescent="0.2">
      <c r="A4" s="106">
        <f t="shared" ref="A4:A67" si="6">A3+1</f>
        <v>2</v>
      </c>
      <c r="B4" s="79" t="s">
        <v>138</v>
      </c>
      <c r="C4" s="107" t="str">
        <f>IF($B4&lt;&gt;"",_xlfn.IFNA(VLOOKUP($B4,'Node Details'!$B:$U,C$1,0),"Check"),"")</f>
        <v>0000AXZ01-AXZ010102</v>
      </c>
      <c r="D4" s="107" t="str">
        <f>IF($B4&lt;&gt;"",_xlfn.IFNA(VLOOKUP($B4,'Node Details'!$B:$U,D$1,0),"Check"),"")</f>
        <v>AXZ</v>
      </c>
      <c r="E4" s="107" t="str">
        <f>IF($B4&lt;&gt;"",_xlfn.IFNA(VLOOKUP($B4,'Node Details'!$B:$U,E$1,0),"Check"),"")</f>
        <v>Airtel</v>
      </c>
      <c r="F4" s="108">
        <v>46110</v>
      </c>
      <c r="G4" s="107"/>
      <c r="H4" s="109" t="s">
        <v>182</v>
      </c>
      <c r="I4" s="81">
        <v>1</v>
      </c>
      <c r="J4" s="81">
        <v>550</v>
      </c>
      <c r="K4" s="107">
        <f t="shared" si="0"/>
        <v>550</v>
      </c>
      <c r="L4" s="83">
        <v>46110</v>
      </c>
      <c r="M4" s="110"/>
      <c r="N4" s="100" t="s">
        <v>186</v>
      </c>
      <c r="O4" s="101">
        <v>46094</v>
      </c>
      <c r="P4" s="111">
        <f t="shared" ref="P4:P67" si="7">J4</f>
        <v>550</v>
      </c>
      <c r="Q4" s="111">
        <f t="shared" ref="Q4:Q67" si="8">P4*I4</f>
        <v>550</v>
      </c>
      <c r="R4" s="110"/>
      <c r="S4" s="100" t="s">
        <v>187</v>
      </c>
      <c r="T4" s="101"/>
      <c r="U4" s="111">
        <f t="shared" ref="U4:U67" si="9">J4</f>
        <v>550</v>
      </c>
      <c r="V4" s="111">
        <f t="shared" ref="V4:V67" si="10">I4</f>
        <v>1</v>
      </c>
      <c r="W4" s="110">
        <f t="shared" ref="W4:W67" si="11">IF(V4&lt;&gt;"",V4*U4,0)</f>
        <v>550</v>
      </c>
      <c r="X4" s="100" t="s">
        <v>188</v>
      </c>
      <c r="Y4" s="112" t="s">
        <v>181</v>
      </c>
      <c r="Z4" s="112" t="s">
        <v>176</v>
      </c>
    </row>
    <row r="5" spans="1:26" s="112" customFormat="1" ht="15" customHeight="1" x14ac:dyDescent="0.2">
      <c r="A5" s="106">
        <f t="shared" si="6"/>
        <v>3</v>
      </c>
      <c r="B5" s="79" t="s">
        <v>139</v>
      </c>
      <c r="C5" s="107" t="str">
        <f>IF($B5&lt;&gt;"",_xlfn.IFNA(VLOOKUP($B5,'Node Details'!$B:$U,C$1,0),"Check"),"")</f>
        <v>0000AXZ01-AXZ010105</v>
      </c>
      <c r="D5" s="107" t="str">
        <f>IF($B5&lt;&gt;"",_xlfn.IFNA(VLOOKUP($B5,'Node Details'!$B:$U,D$1,0),"Check"),"")</f>
        <v>AXZ</v>
      </c>
      <c r="E5" s="107" t="str">
        <f>IF($B5&lt;&gt;"",_xlfn.IFNA(VLOOKUP($B5,'Node Details'!$B:$U,E$1,0),"Check"),"")</f>
        <v>Airtel</v>
      </c>
      <c r="F5" s="108">
        <v>46110</v>
      </c>
      <c r="G5" s="107"/>
      <c r="H5" s="109" t="s">
        <v>182</v>
      </c>
      <c r="I5" s="81">
        <v>1</v>
      </c>
      <c r="J5" s="81">
        <v>550</v>
      </c>
      <c r="K5" s="107">
        <f t="shared" si="0"/>
        <v>550</v>
      </c>
      <c r="L5" s="83">
        <v>46110</v>
      </c>
      <c r="M5" s="110"/>
      <c r="N5" s="100" t="s">
        <v>186</v>
      </c>
      <c r="O5" s="101">
        <v>46094</v>
      </c>
      <c r="P5" s="111">
        <f t="shared" si="7"/>
        <v>550</v>
      </c>
      <c r="Q5" s="111">
        <f t="shared" si="8"/>
        <v>550</v>
      </c>
      <c r="R5" s="110"/>
      <c r="S5" s="100" t="s">
        <v>187</v>
      </c>
      <c r="T5" s="101"/>
      <c r="U5" s="111">
        <f t="shared" si="9"/>
        <v>550</v>
      </c>
      <c r="V5" s="111">
        <f t="shared" si="10"/>
        <v>1</v>
      </c>
      <c r="W5" s="110">
        <f t="shared" si="11"/>
        <v>550</v>
      </c>
      <c r="X5" s="100" t="s">
        <v>188</v>
      </c>
      <c r="Y5" s="112" t="s">
        <v>181</v>
      </c>
      <c r="Z5" s="112" t="s">
        <v>176</v>
      </c>
    </row>
    <row r="6" spans="1:26" s="112" customFormat="1" ht="15" customHeight="1" x14ac:dyDescent="0.2">
      <c r="A6" s="106">
        <f t="shared" si="6"/>
        <v>4</v>
      </c>
      <c r="B6" s="79" t="s">
        <v>140</v>
      </c>
      <c r="C6" s="107" t="str">
        <f>IF($B6&lt;&gt;"",_xlfn.IFNA(VLOOKUP($B6,'Node Details'!$B:$U,C$1,0),"Check"),"")</f>
        <v>0000AXZ01-AXZ010105</v>
      </c>
      <c r="D6" s="107" t="str">
        <f>IF($B6&lt;&gt;"",_xlfn.IFNA(VLOOKUP($B6,'Node Details'!$B:$U,D$1,0),"Check"),"")</f>
        <v>AXZ</v>
      </c>
      <c r="E6" s="107" t="str">
        <f>IF($B6&lt;&gt;"",_xlfn.IFNA(VLOOKUP($B6,'Node Details'!$B:$U,E$1,0),"Check"),"")</f>
        <v>Airtel</v>
      </c>
      <c r="F6" s="108">
        <v>46110</v>
      </c>
      <c r="G6" s="107"/>
      <c r="H6" s="109" t="s">
        <v>182</v>
      </c>
      <c r="I6" s="81">
        <v>1</v>
      </c>
      <c r="J6" s="81">
        <v>550</v>
      </c>
      <c r="K6" s="107">
        <f t="shared" si="0"/>
        <v>550</v>
      </c>
      <c r="L6" s="83">
        <v>46110</v>
      </c>
      <c r="M6" s="110"/>
      <c r="N6" s="100" t="s">
        <v>186</v>
      </c>
      <c r="O6" s="101">
        <v>46094</v>
      </c>
      <c r="P6" s="111">
        <f t="shared" si="7"/>
        <v>550</v>
      </c>
      <c r="Q6" s="111">
        <f t="shared" si="8"/>
        <v>550</v>
      </c>
      <c r="R6" s="110"/>
      <c r="S6" s="100" t="s">
        <v>187</v>
      </c>
      <c r="T6" s="101"/>
      <c r="U6" s="111">
        <f t="shared" si="9"/>
        <v>550</v>
      </c>
      <c r="V6" s="111">
        <f t="shared" si="10"/>
        <v>1</v>
      </c>
      <c r="W6" s="110">
        <f t="shared" si="11"/>
        <v>550</v>
      </c>
      <c r="X6" s="100" t="s">
        <v>188</v>
      </c>
      <c r="Y6" s="112" t="s">
        <v>181</v>
      </c>
      <c r="Z6" s="112" t="s">
        <v>176</v>
      </c>
    </row>
    <row r="7" spans="1:26" s="112" customFormat="1" ht="15" customHeight="1" x14ac:dyDescent="0.2">
      <c r="A7" s="106">
        <f t="shared" si="6"/>
        <v>5</v>
      </c>
      <c r="B7" s="79" t="s">
        <v>141</v>
      </c>
      <c r="C7" s="107" t="str">
        <f>IF($B7&lt;&gt;"",_xlfn.IFNA(VLOOKUP($B7,'Node Details'!$B:$U,C$1,0),"Check"),"")</f>
        <v>0000AXZ01-AXZ010105</v>
      </c>
      <c r="D7" s="107" t="str">
        <f>IF($B7&lt;&gt;"",_xlfn.IFNA(VLOOKUP($B7,'Node Details'!$B:$U,D$1,0),"Check"),"")</f>
        <v>AXZ</v>
      </c>
      <c r="E7" s="107" t="str">
        <f>IF($B7&lt;&gt;"",_xlfn.IFNA(VLOOKUP($B7,'Node Details'!$B:$U,E$1,0),"Check"),"")</f>
        <v>Airtel</v>
      </c>
      <c r="F7" s="108">
        <v>46110</v>
      </c>
      <c r="G7" s="107"/>
      <c r="H7" s="109" t="s">
        <v>182</v>
      </c>
      <c r="I7" s="81">
        <v>1</v>
      </c>
      <c r="J7" s="81">
        <v>550</v>
      </c>
      <c r="K7" s="107">
        <f t="shared" si="0"/>
        <v>550</v>
      </c>
      <c r="L7" s="83">
        <v>46110</v>
      </c>
      <c r="M7" s="110"/>
      <c r="N7" s="100" t="s">
        <v>186</v>
      </c>
      <c r="O7" s="101">
        <v>46094</v>
      </c>
      <c r="P7" s="111">
        <f t="shared" si="7"/>
        <v>550</v>
      </c>
      <c r="Q7" s="111">
        <f t="shared" si="8"/>
        <v>550</v>
      </c>
      <c r="R7" s="110"/>
      <c r="S7" s="100" t="s">
        <v>187</v>
      </c>
      <c r="T7" s="101"/>
      <c r="U7" s="111">
        <f t="shared" si="9"/>
        <v>550</v>
      </c>
      <c r="V7" s="111">
        <f t="shared" si="10"/>
        <v>1</v>
      </c>
      <c r="W7" s="110">
        <f t="shared" si="11"/>
        <v>550</v>
      </c>
      <c r="X7" s="100" t="s">
        <v>188</v>
      </c>
      <c r="Y7" s="112" t="s">
        <v>181</v>
      </c>
      <c r="Z7" s="112" t="s">
        <v>176</v>
      </c>
    </row>
    <row r="8" spans="1:26" s="112" customFormat="1" ht="15" customHeight="1" x14ac:dyDescent="0.2">
      <c r="A8" s="106">
        <f t="shared" si="6"/>
        <v>6</v>
      </c>
      <c r="B8" s="79" t="s">
        <v>142</v>
      </c>
      <c r="C8" s="107" t="str">
        <f>IF($B8&lt;&gt;"",_xlfn.IFNA(VLOOKUP($B8,'Node Details'!$B:$U,C$1,0),"Check"),"")</f>
        <v>0000AXZ01-AXZ010202</v>
      </c>
      <c r="D8" s="107" t="str">
        <f>IF($B8&lt;&gt;"",_xlfn.IFNA(VLOOKUP($B8,'Node Details'!$B:$U,D$1,0),"Check"),"")</f>
        <v>AXZ</v>
      </c>
      <c r="E8" s="107" t="str">
        <f>IF($B8&lt;&gt;"",_xlfn.IFNA(VLOOKUP($B8,'Node Details'!$B:$U,E$1,0),"Check"),"")</f>
        <v>Airtel</v>
      </c>
      <c r="F8" s="108">
        <v>46110</v>
      </c>
      <c r="G8" s="107"/>
      <c r="H8" s="109" t="s">
        <v>182</v>
      </c>
      <c r="I8" s="81">
        <v>1</v>
      </c>
      <c r="J8" s="81">
        <v>550</v>
      </c>
      <c r="K8" s="107">
        <f t="shared" si="0"/>
        <v>550</v>
      </c>
      <c r="L8" s="83">
        <v>46110</v>
      </c>
      <c r="M8" s="110"/>
      <c r="N8" s="100" t="s">
        <v>186</v>
      </c>
      <c r="O8" s="101">
        <v>46094</v>
      </c>
      <c r="P8" s="111">
        <f t="shared" si="7"/>
        <v>550</v>
      </c>
      <c r="Q8" s="111">
        <f t="shared" si="8"/>
        <v>550</v>
      </c>
      <c r="R8" s="110"/>
      <c r="S8" s="100" t="s">
        <v>187</v>
      </c>
      <c r="T8" s="101"/>
      <c r="U8" s="111">
        <f t="shared" si="9"/>
        <v>550</v>
      </c>
      <c r="V8" s="111">
        <f t="shared" si="10"/>
        <v>1</v>
      </c>
      <c r="W8" s="110">
        <f t="shared" si="11"/>
        <v>550</v>
      </c>
      <c r="X8" s="100" t="s">
        <v>188</v>
      </c>
      <c r="Y8" s="112" t="s">
        <v>181</v>
      </c>
      <c r="Z8" s="112" t="s">
        <v>176</v>
      </c>
    </row>
    <row r="9" spans="1:26" s="112" customFormat="1" ht="15" customHeight="1" x14ac:dyDescent="0.2">
      <c r="A9" s="106">
        <f t="shared" si="6"/>
        <v>7</v>
      </c>
      <c r="B9" s="79" t="s">
        <v>143</v>
      </c>
      <c r="C9" s="107" t="str">
        <f>IF($B9&lt;&gt;"",_xlfn.IFNA(VLOOKUP($B9,'Node Details'!$B:$U,C$1,0),"Check"),"")</f>
        <v>0000AXZ01-AXZ010202</v>
      </c>
      <c r="D9" s="107" t="str">
        <f>IF($B9&lt;&gt;"",_xlfn.IFNA(VLOOKUP($B9,'Node Details'!$B:$U,D$1,0),"Check"),"")</f>
        <v>AXZ</v>
      </c>
      <c r="E9" s="107" t="str">
        <f>IF($B9&lt;&gt;"",_xlfn.IFNA(VLOOKUP($B9,'Node Details'!$B:$U,E$1,0),"Check"),"")</f>
        <v>Airtel</v>
      </c>
      <c r="F9" s="108">
        <v>46110</v>
      </c>
      <c r="G9" s="107"/>
      <c r="H9" s="109" t="s">
        <v>182</v>
      </c>
      <c r="I9" s="81">
        <v>1</v>
      </c>
      <c r="J9" s="81">
        <v>550</v>
      </c>
      <c r="K9" s="107">
        <f t="shared" si="0"/>
        <v>550</v>
      </c>
      <c r="L9" s="83">
        <v>46110</v>
      </c>
      <c r="M9" s="110"/>
      <c r="N9" s="100" t="s">
        <v>186</v>
      </c>
      <c r="O9" s="101">
        <v>46094</v>
      </c>
      <c r="P9" s="111">
        <f t="shared" si="7"/>
        <v>550</v>
      </c>
      <c r="Q9" s="111">
        <f t="shared" si="8"/>
        <v>550</v>
      </c>
      <c r="R9" s="110"/>
      <c r="S9" s="100" t="s">
        <v>187</v>
      </c>
      <c r="T9" s="101"/>
      <c r="U9" s="111">
        <f t="shared" si="9"/>
        <v>550</v>
      </c>
      <c r="V9" s="111">
        <f t="shared" si="10"/>
        <v>1</v>
      </c>
      <c r="W9" s="110">
        <f t="shared" si="11"/>
        <v>550</v>
      </c>
      <c r="X9" s="100" t="s">
        <v>188</v>
      </c>
      <c r="Y9" s="112" t="s">
        <v>181</v>
      </c>
      <c r="Z9" s="112" t="s">
        <v>176</v>
      </c>
    </row>
    <row r="10" spans="1:26" s="112" customFormat="1" ht="15" customHeight="1" x14ac:dyDescent="0.2">
      <c r="A10" s="106">
        <f t="shared" si="6"/>
        <v>8</v>
      </c>
      <c r="B10" s="79" t="s">
        <v>144</v>
      </c>
      <c r="C10" s="107" t="str">
        <f>IF($B10&lt;&gt;"",_xlfn.IFNA(VLOOKUP($B10,'Node Details'!$B:$U,C$1,0),"Check"),"")</f>
        <v>0000AXZ01-AXZ010202</v>
      </c>
      <c r="D10" s="107" t="str">
        <f>IF($B10&lt;&gt;"",_xlfn.IFNA(VLOOKUP($B10,'Node Details'!$B:$U,D$1,0),"Check"),"")</f>
        <v>AXZ</v>
      </c>
      <c r="E10" s="107" t="str">
        <f>IF($B10&lt;&gt;"",_xlfn.IFNA(VLOOKUP($B10,'Node Details'!$B:$U,E$1,0),"Check"),"")</f>
        <v>Airtel</v>
      </c>
      <c r="F10" s="108">
        <v>46110</v>
      </c>
      <c r="G10" s="107"/>
      <c r="H10" s="109" t="s">
        <v>182</v>
      </c>
      <c r="I10" s="81">
        <v>1</v>
      </c>
      <c r="J10" s="81">
        <v>550</v>
      </c>
      <c r="K10" s="107">
        <f t="shared" si="0"/>
        <v>550</v>
      </c>
      <c r="L10" s="83">
        <v>46110</v>
      </c>
      <c r="M10" s="110"/>
      <c r="N10" s="100" t="s">
        <v>186</v>
      </c>
      <c r="O10" s="101">
        <v>46094</v>
      </c>
      <c r="P10" s="111">
        <f t="shared" si="7"/>
        <v>550</v>
      </c>
      <c r="Q10" s="111">
        <f t="shared" si="8"/>
        <v>550</v>
      </c>
      <c r="R10" s="110"/>
      <c r="S10" s="100" t="s">
        <v>187</v>
      </c>
      <c r="T10" s="101"/>
      <c r="U10" s="111">
        <f t="shared" si="9"/>
        <v>550</v>
      </c>
      <c r="V10" s="111">
        <f t="shared" si="10"/>
        <v>1</v>
      </c>
      <c r="W10" s="110">
        <f t="shared" si="11"/>
        <v>550</v>
      </c>
      <c r="X10" s="100" t="s">
        <v>188</v>
      </c>
      <c r="Y10" s="112" t="s">
        <v>181</v>
      </c>
      <c r="Z10" s="112" t="s">
        <v>176</v>
      </c>
    </row>
    <row r="11" spans="1:26" s="112" customFormat="1" ht="15" customHeight="1" x14ac:dyDescent="0.2">
      <c r="A11" s="106">
        <f t="shared" si="6"/>
        <v>9</v>
      </c>
      <c r="B11" s="79" t="s">
        <v>145</v>
      </c>
      <c r="C11" s="107" t="str">
        <f>IF($B11&lt;&gt;"",_xlfn.IFNA(VLOOKUP($B11,'Node Details'!$B:$U,C$1,0),"Check"),"")</f>
        <v>0000AXZ01-AXZ010202</v>
      </c>
      <c r="D11" s="107" t="str">
        <f>IF($B11&lt;&gt;"",_xlfn.IFNA(VLOOKUP($B11,'Node Details'!$B:$U,D$1,0),"Check"),"")</f>
        <v>AXZ</v>
      </c>
      <c r="E11" s="107" t="str">
        <f>IF($B11&lt;&gt;"",_xlfn.IFNA(VLOOKUP($B11,'Node Details'!$B:$U,E$1,0),"Check"),"")</f>
        <v>Airtel</v>
      </c>
      <c r="F11" s="108">
        <v>46110</v>
      </c>
      <c r="G11" s="107"/>
      <c r="H11" s="109" t="s">
        <v>182</v>
      </c>
      <c r="I11" s="81">
        <v>1</v>
      </c>
      <c r="J11" s="81">
        <v>550</v>
      </c>
      <c r="K11" s="107">
        <f t="shared" si="0"/>
        <v>550</v>
      </c>
      <c r="L11" s="83">
        <v>46110</v>
      </c>
      <c r="M11" s="110"/>
      <c r="N11" s="100" t="s">
        <v>186</v>
      </c>
      <c r="O11" s="101">
        <v>46094</v>
      </c>
      <c r="P11" s="111">
        <f t="shared" si="7"/>
        <v>550</v>
      </c>
      <c r="Q11" s="111">
        <f t="shared" si="8"/>
        <v>550</v>
      </c>
      <c r="R11" s="110"/>
      <c r="S11" s="100" t="s">
        <v>187</v>
      </c>
      <c r="T11" s="101"/>
      <c r="U11" s="111">
        <f t="shared" si="9"/>
        <v>550</v>
      </c>
      <c r="V11" s="111">
        <f t="shared" si="10"/>
        <v>1</v>
      </c>
      <c r="W11" s="110">
        <f t="shared" si="11"/>
        <v>550</v>
      </c>
      <c r="X11" s="100" t="s">
        <v>188</v>
      </c>
      <c r="Y11" s="112" t="s">
        <v>181</v>
      </c>
      <c r="Z11" s="112" t="s">
        <v>176</v>
      </c>
    </row>
    <row r="12" spans="1:26" s="112" customFormat="1" ht="15" customHeight="1" x14ac:dyDescent="0.2">
      <c r="A12" s="106">
        <f t="shared" si="6"/>
        <v>10</v>
      </c>
      <c r="B12" s="79" t="s">
        <v>146</v>
      </c>
      <c r="C12" s="107" t="str">
        <f>IF($B12&lt;&gt;"",_xlfn.IFNA(VLOOKUP($B12,'Node Details'!$B:$U,C$1,0),"Check"),"")</f>
        <v>0000AXZ01-AXZ010202</v>
      </c>
      <c r="D12" s="107" t="str">
        <f>IF($B12&lt;&gt;"",_xlfn.IFNA(VLOOKUP($B12,'Node Details'!$B:$U,D$1,0),"Check"),"")</f>
        <v>AXZ</v>
      </c>
      <c r="E12" s="107" t="str">
        <f>IF($B12&lt;&gt;"",_xlfn.IFNA(VLOOKUP($B12,'Node Details'!$B:$U,E$1,0),"Check"),"")</f>
        <v>Airtel</v>
      </c>
      <c r="F12" s="108">
        <v>46110</v>
      </c>
      <c r="G12" s="107"/>
      <c r="H12" s="109" t="s">
        <v>182</v>
      </c>
      <c r="I12" s="81">
        <v>1</v>
      </c>
      <c r="J12" s="81">
        <v>550</v>
      </c>
      <c r="K12" s="107">
        <f t="shared" si="0"/>
        <v>550</v>
      </c>
      <c r="L12" s="83">
        <v>46110</v>
      </c>
      <c r="M12" s="110"/>
      <c r="N12" s="100" t="s">
        <v>186</v>
      </c>
      <c r="O12" s="101">
        <v>46094</v>
      </c>
      <c r="P12" s="111">
        <f t="shared" si="7"/>
        <v>550</v>
      </c>
      <c r="Q12" s="111">
        <f t="shared" si="8"/>
        <v>550</v>
      </c>
      <c r="R12" s="110"/>
      <c r="S12" s="100" t="s">
        <v>187</v>
      </c>
      <c r="T12" s="101"/>
      <c r="U12" s="111">
        <f t="shared" si="9"/>
        <v>550</v>
      </c>
      <c r="V12" s="111">
        <f t="shared" si="10"/>
        <v>1</v>
      </c>
      <c r="W12" s="110">
        <f t="shared" si="11"/>
        <v>550</v>
      </c>
      <c r="X12" s="100" t="s">
        <v>188</v>
      </c>
      <c r="Y12" s="112" t="s">
        <v>181</v>
      </c>
      <c r="Z12" s="112" t="s">
        <v>176</v>
      </c>
    </row>
    <row r="13" spans="1:26" s="112" customFormat="1" ht="15" customHeight="1" x14ac:dyDescent="0.2">
      <c r="A13" s="106">
        <f t="shared" si="6"/>
        <v>11</v>
      </c>
      <c r="B13" s="79" t="s">
        <v>148</v>
      </c>
      <c r="C13" s="107" t="str">
        <f>IF($B13&lt;&gt;"",_xlfn.IFNA(VLOOKUP($B13,'Node Details'!$B:$U,C$1,0),"Check"),"")</f>
        <v>0000AXZ02-AXZ020101</v>
      </c>
      <c r="D13" s="107" t="str">
        <f>IF($B13&lt;&gt;"",_xlfn.IFNA(VLOOKUP($B13,'Node Details'!$B:$U,D$1,0),"Check"),"")</f>
        <v>AXZ</v>
      </c>
      <c r="E13" s="107" t="str">
        <f>IF($B13&lt;&gt;"",_xlfn.IFNA(VLOOKUP($B13,'Node Details'!$B:$U,E$1,0),"Check"),"")</f>
        <v>Airtel</v>
      </c>
      <c r="F13" s="108">
        <v>46110</v>
      </c>
      <c r="G13" s="107"/>
      <c r="H13" s="109" t="s">
        <v>182</v>
      </c>
      <c r="I13" s="81">
        <v>1</v>
      </c>
      <c r="J13" s="81">
        <v>550</v>
      </c>
      <c r="K13" s="107">
        <f t="shared" si="0"/>
        <v>550</v>
      </c>
      <c r="L13" s="83">
        <v>46110</v>
      </c>
      <c r="M13" s="110"/>
      <c r="N13" s="100" t="s">
        <v>186</v>
      </c>
      <c r="O13" s="101">
        <v>46094</v>
      </c>
      <c r="P13" s="111">
        <f t="shared" si="7"/>
        <v>550</v>
      </c>
      <c r="Q13" s="111">
        <f t="shared" si="8"/>
        <v>550</v>
      </c>
      <c r="R13" s="110"/>
      <c r="S13" s="100" t="s">
        <v>187</v>
      </c>
      <c r="T13" s="101"/>
      <c r="U13" s="111">
        <f t="shared" si="9"/>
        <v>550</v>
      </c>
      <c r="V13" s="111">
        <f t="shared" si="10"/>
        <v>1</v>
      </c>
      <c r="W13" s="110">
        <f t="shared" si="11"/>
        <v>550</v>
      </c>
      <c r="X13" s="100" t="s">
        <v>188</v>
      </c>
      <c r="Y13" s="112" t="s">
        <v>181</v>
      </c>
      <c r="Z13" s="112" t="s">
        <v>176</v>
      </c>
    </row>
    <row r="14" spans="1:26" s="112" customFormat="1" ht="15" customHeight="1" x14ac:dyDescent="0.2">
      <c r="A14" s="106">
        <f t="shared" si="6"/>
        <v>12</v>
      </c>
      <c r="B14" s="79" t="s">
        <v>149</v>
      </c>
      <c r="C14" s="107" t="str">
        <f>IF($B14&lt;&gt;"",_xlfn.IFNA(VLOOKUP($B14,'Node Details'!$B:$U,C$1,0),"Check"),"")</f>
        <v>0000AXZ02-AXZ020103</v>
      </c>
      <c r="D14" s="107" t="str">
        <f>IF($B14&lt;&gt;"",_xlfn.IFNA(VLOOKUP($B14,'Node Details'!$B:$U,D$1,0),"Check"),"")</f>
        <v>AXZ</v>
      </c>
      <c r="E14" s="107" t="str">
        <f>IF($B14&lt;&gt;"",_xlfn.IFNA(VLOOKUP($B14,'Node Details'!$B:$U,E$1,0),"Check"),"")</f>
        <v>Airtel</v>
      </c>
      <c r="F14" s="108">
        <v>46110</v>
      </c>
      <c r="G14" s="107"/>
      <c r="H14" s="109" t="s">
        <v>182</v>
      </c>
      <c r="I14" s="81">
        <v>1</v>
      </c>
      <c r="J14" s="81">
        <v>550</v>
      </c>
      <c r="K14" s="107">
        <f t="shared" si="0"/>
        <v>550</v>
      </c>
      <c r="L14" s="83">
        <v>46110</v>
      </c>
      <c r="M14" s="110"/>
      <c r="N14" s="100" t="s">
        <v>186</v>
      </c>
      <c r="O14" s="101">
        <v>46094</v>
      </c>
      <c r="P14" s="111">
        <f t="shared" si="7"/>
        <v>550</v>
      </c>
      <c r="Q14" s="111">
        <f t="shared" si="8"/>
        <v>550</v>
      </c>
      <c r="R14" s="110"/>
      <c r="S14" s="100" t="s">
        <v>187</v>
      </c>
      <c r="T14" s="101"/>
      <c r="U14" s="111">
        <f t="shared" si="9"/>
        <v>550</v>
      </c>
      <c r="V14" s="111">
        <f t="shared" si="10"/>
        <v>1</v>
      </c>
      <c r="W14" s="110">
        <f t="shared" si="11"/>
        <v>550</v>
      </c>
      <c r="X14" s="100" t="s">
        <v>188</v>
      </c>
      <c r="Y14" s="112" t="s">
        <v>181</v>
      </c>
      <c r="Z14" s="112" t="s">
        <v>176</v>
      </c>
    </row>
    <row r="15" spans="1:26" s="112" customFormat="1" ht="15" customHeight="1" x14ac:dyDescent="0.2">
      <c r="A15" s="106">
        <f t="shared" si="6"/>
        <v>13</v>
      </c>
      <c r="B15" s="79" t="s">
        <v>150</v>
      </c>
      <c r="C15" s="107" t="str">
        <f>IF($B15&lt;&gt;"",_xlfn.IFNA(VLOOKUP($B15,'Node Details'!$B:$U,C$1,0),"Check"),"")</f>
        <v>0000AXZ02-AXZ020103</v>
      </c>
      <c r="D15" s="107" t="str">
        <f>IF($B15&lt;&gt;"",_xlfn.IFNA(VLOOKUP($B15,'Node Details'!$B:$U,D$1,0),"Check"),"")</f>
        <v>AXZ</v>
      </c>
      <c r="E15" s="107" t="str">
        <f>IF($B15&lt;&gt;"",_xlfn.IFNA(VLOOKUP($B15,'Node Details'!$B:$U,E$1,0),"Check"),"")</f>
        <v>Airtel</v>
      </c>
      <c r="F15" s="108">
        <v>46110</v>
      </c>
      <c r="G15" s="107"/>
      <c r="H15" s="109" t="s">
        <v>182</v>
      </c>
      <c r="I15" s="81">
        <v>1</v>
      </c>
      <c r="J15" s="81">
        <v>550</v>
      </c>
      <c r="K15" s="107">
        <f t="shared" si="0"/>
        <v>550</v>
      </c>
      <c r="L15" s="83">
        <v>46110</v>
      </c>
      <c r="M15" s="110"/>
      <c r="N15" s="100" t="s">
        <v>186</v>
      </c>
      <c r="O15" s="101">
        <v>46094</v>
      </c>
      <c r="P15" s="111">
        <f t="shared" si="7"/>
        <v>550</v>
      </c>
      <c r="Q15" s="111">
        <f t="shared" si="8"/>
        <v>550</v>
      </c>
      <c r="R15" s="110"/>
      <c r="S15" s="100" t="s">
        <v>187</v>
      </c>
      <c r="T15" s="101"/>
      <c r="U15" s="111">
        <f t="shared" si="9"/>
        <v>550</v>
      </c>
      <c r="V15" s="111">
        <f t="shared" si="10"/>
        <v>1</v>
      </c>
      <c r="W15" s="110">
        <f t="shared" si="11"/>
        <v>550</v>
      </c>
      <c r="X15" s="100" t="s">
        <v>188</v>
      </c>
      <c r="Y15" s="112" t="s">
        <v>181</v>
      </c>
      <c r="Z15" s="112" t="s">
        <v>176</v>
      </c>
    </row>
    <row r="16" spans="1:26" s="112" customFormat="1" ht="15" customHeight="1" x14ac:dyDescent="0.2">
      <c r="A16" s="106">
        <f t="shared" si="6"/>
        <v>14</v>
      </c>
      <c r="B16" s="79" t="s">
        <v>151</v>
      </c>
      <c r="C16" s="107" t="str">
        <f>IF($B16&lt;&gt;"",_xlfn.IFNA(VLOOKUP($B16,'Node Details'!$B:$U,C$1,0),"Check"),"")</f>
        <v>0000AXZ02-AXZ020203</v>
      </c>
      <c r="D16" s="107" t="str">
        <f>IF($B16&lt;&gt;"",_xlfn.IFNA(VLOOKUP($B16,'Node Details'!$B:$U,D$1,0),"Check"),"")</f>
        <v>AXZ</v>
      </c>
      <c r="E16" s="107" t="str">
        <f>IF($B16&lt;&gt;"",_xlfn.IFNA(VLOOKUP($B16,'Node Details'!$B:$U,E$1,0),"Check"),"")</f>
        <v>Airtel</v>
      </c>
      <c r="F16" s="108">
        <v>46110</v>
      </c>
      <c r="G16" s="107"/>
      <c r="H16" s="109" t="s">
        <v>182</v>
      </c>
      <c r="I16" s="81">
        <v>1</v>
      </c>
      <c r="J16" s="81">
        <v>550</v>
      </c>
      <c r="K16" s="107">
        <f t="shared" si="0"/>
        <v>550</v>
      </c>
      <c r="L16" s="83">
        <v>46110</v>
      </c>
      <c r="M16" s="110"/>
      <c r="N16" s="100" t="s">
        <v>186</v>
      </c>
      <c r="O16" s="101">
        <v>46094</v>
      </c>
      <c r="P16" s="111">
        <f t="shared" si="7"/>
        <v>550</v>
      </c>
      <c r="Q16" s="111">
        <f t="shared" si="8"/>
        <v>550</v>
      </c>
      <c r="R16" s="110"/>
      <c r="S16" s="100" t="s">
        <v>187</v>
      </c>
      <c r="T16" s="101"/>
      <c r="U16" s="111">
        <f t="shared" si="9"/>
        <v>550</v>
      </c>
      <c r="V16" s="111">
        <f t="shared" si="10"/>
        <v>1</v>
      </c>
      <c r="W16" s="110">
        <f t="shared" si="11"/>
        <v>550</v>
      </c>
      <c r="X16" s="100" t="s">
        <v>188</v>
      </c>
      <c r="Y16" s="112" t="s">
        <v>181</v>
      </c>
      <c r="Z16" s="112" t="s">
        <v>176</v>
      </c>
    </row>
    <row r="17" spans="1:26" s="112" customFormat="1" ht="15" customHeight="1" x14ac:dyDescent="0.2">
      <c r="A17" s="106">
        <f t="shared" si="6"/>
        <v>15</v>
      </c>
      <c r="B17" s="79" t="s">
        <v>152</v>
      </c>
      <c r="C17" s="107" t="str">
        <f>IF($B17&lt;&gt;"",_xlfn.IFNA(VLOOKUP($B17,'Node Details'!$B:$U,C$1,0),"Check"),"")</f>
        <v>0000AXZ02-AXZ020203</v>
      </c>
      <c r="D17" s="107" t="str">
        <f>IF($B17&lt;&gt;"",_xlfn.IFNA(VLOOKUP($B17,'Node Details'!$B:$U,D$1,0),"Check"),"")</f>
        <v>AXZ</v>
      </c>
      <c r="E17" s="107" t="str">
        <f>IF($B17&lt;&gt;"",_xlfn.IFNA(VLOOKUP($B17,'Node Details'!$B:$U,E$1,0),"Check"),"")</f>
        <v>Airtel</v>
      </c>
      <c r="F17" s="108">
        <v>46110</v>
      </c>
      <c r="G17" s="107"/>
      <c r="H17" s="109" t="s">
        <v>182</v>
      </c>
      <c r="I17" s="81">
        <v>1</v>
      </c>
      <c r="J17" s="81">
        <v>550</v>
      </c>
      <c r="K17" s="107">
        <f t="shared" si="0"/>
        <v>550</v>
      </c>
      <c r="L17" s="83">
        <v>46110</v>
      </c>
      <c r="M17" s="110"/>
      <c r="N17" s="100" t="s">
        <v>186</v>
      </c>
      <c r="O17" s="101">
        <v>46094</v>
      </c>
      <c r="P17" s="111">
        <f t="shared" si="7"/>
        <v>550</v>
      </c>
      <c r="Q17" s="111">
        <f t="shared" si="8"/>
        <v>550</v>
      </c>
      <c r="R17" s="110"/>
      <c r="S17" s="100" t="s">
        <v>187</v>
      </c>
      <c r="T17" s="101"/>
      <c r="U17" s="111">
        <f t="shared" si="9"/>
        <v>550</v>
      </c>
      <c r="V17" s="111">
        <f t="shared" si="10"/>
        <v>1</v>
      </c>
      <c r="W17" s="110">
        <f t="shared" si="11"/>
        <v>550</v>
      </c>
      <c r="X17" s="100" t="s">
        <v>188</v>
      </c>
      <c r="Y17" s="112" t="s">
        <v>181</v>
      </c>
      <c r="Z17" s="112" t="s">
        <v>176</v>
      </c>
    </row>
    <row r="18" spans="1:26" s="112" customFormat="1" ht="15" customHeight="1" x14ac:dyDescent="0.2">
      <c r="A18" s="106">
        <f t="shared" si="6"/>
        <v>16</v>
      </c>
      <c r="B18" s="79" t="s">
        <v>153</v>
      </c>
      <c r="C18" s="107" t="str">
        <f>IF($B18&lt;&gt;"",_xlfn.IFNA(VLOOKUP($B18,'Node Details'!$B:$U,C$1,0),"Check"),"")</f>
        <v>0000AXZ02-AXZ020203</v>
      </c>
      <c r="D18" s="107" t="str">
        <f>IF($B18&lt;&gt;"",_xlfn.IFNA(VLOOKUP($B18,'Node Details'!$B:$U,D$1,0),"Check"),"")</f>
        <v>AXZ</v>
      </c>
      <c r="E18" s="107" t="str">
        <f>IF($B18&lt;&gt;"",_xlfn.IFNA(VLOOKUP($B18,'Node Details'!$B:$U,E$1,0),"Check"),"")</f>
        <v>Airtel</v>
      </c>
      <c r="F18" s="108">
        <v>46110</v>
      </c>
      <c r="G18" s="107"/>
      <c r="H18" s="109" t="s">
        <v>182</v>
      </c>
      <c r="I18" s="81">
        <v>1</v>
      </c>
      <c r="J18" s="81">
        <v>550</v>
      </c>
      <c r="K18" s="107">
        <f t="shared" si="0"/>
        <v>550</v>
      </c>
      <c r="L18" s="83">
        <v>46110</v>
      </c>
      <c r="M18" s="110"/>
      <c r="N18" s="100" t="s">
        <v>186</v>
      </c>
      <c r="O18" s="101">
        <v>46094</v>
      </c>
      <c r="P18" s="111">
        <f t="shared" si="7"/>
        <v>550</v>
      </c>
      <c r="Q18" s="111">
        <f t="shared" si="8"/>
        <v>550</v>
      </c>
      <c r="R18" s="110"/>
      <c r="S18" s="100" t="s">
        <v>187</v>
      </c>
      <c r="T18" s="101"/>
      <c r="U18" s="111">
        <f t="shared" si="9"/>
        <v>550</v>
      </c>
      <c r="V18" s="111">
        <f t="shared" si="10"/>
        <v>1</v>
      </c>
      <c r="W18" s="110">
        <f t="shared" si="11"/>
        <v>550</v>
      </c>
      <c r="X18" s="100" t="s">
        <v>188</v>
      </c>
      <c r="Y18" s="112" t="s">
        <v>181</v>
      </c>
      <c r="Z18" s="112" t="s">
        <v>176</v>
      </c>
    </row>
    <row r="19" spans="1:26" s="112" customFormat="1" ht="15" customHeight="1" x14ac:dyDescent="0.2">
      <c r="A19" s="106">
        <f t="shared" si="6"/>
        <v>17</v>
      </c>
      <c r="B19" s="79" t="s">
        <v>154</v>
      </c>
      <c r="C19" s="107" t="str">
        <f>IF($B19&lt;&gt;"",_xlfn.IFNA(VLOOKUP($B19,'Node Details'!$B:$U,C$1,0),"Check"),"")</f>
        <v>0000AXZ02-AXZ020203</v>
      </c>
      <c r="D19" s="107" t="str">
        <f>IF($B19&lt;&gt;"",_xlfn.IFNA(VLOOKUP($B19,'Node Details'!$B:$U,D$1,0),"Check"),"")</f>
        <v>AXZ</v>
      </c>
      <c r="E19" s="107" t="str">
        <f>IF($B19&lt;&gt;"",_xlfn.IFNA(VLOOKUP($B19,'Node Details'!$B:$U,E$1,0),"Check"),"")</f>
        <v>Airtel</v>
      </c>
      <c r="F19" s="108">
        <v>46110</v>
      </c>
      <c r="G19" s="107"/>
      <c r="H19" s="109" t="s">
        <v>182</v>
      </c>
      <c r="I19" s="81">
        <v>1</v>
      </c>
      <c r="J19" s="81">
        <v>550</v>
      </c>
      <c r="K19" s="107">
        <f t="shared" si="0"/>
        <v>550</v>
      </c>
      <c r="L19" s="83">
        <v>46110</v>
      </c>
      <c r="M19" s="110"/>
      <c r="N19" s="100" t="s">
        <v>186</v>
      </c>
      <c r="O19" s="101">
        <v>46094</v>
      </c>
      <c r="P19" s="111">
        <f t="shared" si="7"/>
        <v>550</v>
      </c>
      <c r="Q19" s="111">
        <f t="shared" si="8"/>
        <v>550</v>
      </c>
      <c r="R19" s="110"/>
      <c r="S19" s="100" t="s">
        <v>187</v>
      </c>
      <c r="T19" s="101"/>
      <c r="U19" s="111">
        <f t="shared" si="9"/>
        <v>550</v>
      </c>
      <c r="V19" s="111">
        <f t="shared" si="10"/>
        <v>1</v>
      </c>
      <c r="W19" s="110">
        <f t="shared" si="11"/>
        <v>550</v>
      </c>
      <c r="X19" s="100" t="s">
        <v>188</v>
      </c>
      <c r="Y19" s="112" t="s">
        <v>181</v>
      </c>
      <c r="Z19" s="112" t="s">
        <v>176</v>
      </c>
    </row>
    <row r="20" spans="1:26" s="112" customFormat="1" ht="15" customHeight="1" x14ac:dyDescent="0.2">
      <c r="A20" s="106">
        <f t="shared" si="6"/>
        <v>18</v>
      </c>
      <c r="B20" s="79" t="s">
        <v>155</v>
      </c>
      <c r="C20" s="107" t="str">
        <f>IF($B20&lt;&gt;"",_xlfn.IFNA(VLOOKUP($B20,'Node Details'!$B:$U,C$1,0),"Check"),"")</f>
        <v>0000AXZ02-AXZ020203</v>
      </c>
      <c r="D20" s="107" t="str">
        <f>IF($B20&lt;&gt;"",_xlfn.IFNA(VLOOKUP($B20,'Node Details'!$B:$U,D$1,0),"Check"),"")</f>
        <v>AXZ</v>
      </c>
      <c r="E20" s="107" t="str">
        <f>IF($B20&lt;&gt;"",_xlfn.IFNA(VLOOKUP($B20,'Node Details'!$B:$U,E$1,0),"Check"),"")</f>
        <v>Airtel</v>
      </c>
      <c r="F20" s="108">
        <v>46110</v>
      </c>
      <c r="G20" s="107"/>
      <c r="H20" s="109" t="s">
        <v>182</v>
      </c>
      <c r="I20" s="81">
        <v>1</v>
      </c>
      <c r="J20" s="81">
        <v>550</v>
      </c>
      <c r="K20" s="107">
        <f t="shared" si="0"/>
        <v>550</v>
      </c>
      <c r="L20" s="83">
        <v>46110</v>
      </c>
      <c r="M20" s="110"/>
      <c r="N20" s="100" t="s">
        <v>186</v>
      </c>
      <c r="O20" s="101">
        <v>46094</v>
      </c>
      <c r="P20" s="111">
        <f t="shared" si="7"/>
        <v>550</v>
      </c>
      <c r="Q20" s="111">
        <f t="shared" si="8"/>
        <v>550</v>
      </c>
      <c r="R20" s="110"/>
      <c r="S20" s="100" t="s">
        <v>187</v>
      </c>
      <c r="T20" s="101"/>
      <c r="U20" s="111">
        <f t="shared" si="9"/>
        <v>550</v>
      </c>
      <c r="V20" s="111">
        <f t="shared" si="10"/>
        <v>1</v>
      </c>
      <c r="W20" s="110">
        <f t="shared" si="11"/>
        <v>550</v>
      </c>
      <c r="X20" s="100" t="s">
        <v>188</v>
      </c>
      <c r="Y20" s="112" t="s">
        <v>181</v>
      </c>
      <c r="Z20" s="112" t="s">
        <v>176</v>
      </c>
    </row>
    <row r="21" spans="1:26" s="112" customFormat="1" ht="15" customHeight="1" x14ac:dyDescent="0.2">
      <c r="A21" s="106">
        <f t="shared" si="6"/>
        <v>19</v>
      </c>
      <c r="B21" s="79" t="s">
        <v>156</v>
      </c>
      <c r="C21" s="107" t="str">
        <f>IF($B21&lt;&gt;"",_xlfn.IFNA(VLOOKUP($B21,'Node Details'!$B:$U,C$1,0),"Check"),"")</f>
        <v>0000AXZ02-AXZ020203</v>
      </c>
      <c r="D21" s="107" t="str">
        <f>IF($B21&lt;&gt;"",_xlfn.IFNA(VLOOKUP($B21,'Node Details'!$B:$U,D$1,0),"Check"),"")</f>
        <v>AXZ</v>
      </c>
      <c r="E21" s="107" t="str">
        <f>IF($B21&lt;&gt;"",_xlfn.IFNA(VLOOKUP($B21,'Node Details'!$B:$U,E$1,0),"Check"),"")</f>
        <v>Airtel</v>
      </c>
      <c r="F21" s="108">
        <v>46110</v>
      </c>
      <c r="G21" s="107"/>
      <c r="H21" s="109" t="s">
        <v>182</v>
      </c>
      <c r="I21" s="81">
        <v>1</v>
      </c>
      <c r="J21" s="81">
        <v>550</v>
      </c>
      <c r="K21" s="107">
        <f t="shared" si="0"/>
        <v>550</v>
      </c>
      <c r="L21" s="83">
        <v>46110</v>
      </c>
      <c r="M21" s="110"/>
      <c r="N21" s="100" t="s">
        <v>186</v>
      </c>
      <c r="O21" s="101">
        <v>46094</v>
      </c>
      <c r="P21" s="111">
        <f t="shared" si="7"/>
        <v>550</v>
      </c>
      <c r="Q21" s="111">
        <f t="shared" si="8"/>
        <v>550</v>
      </c>
      <c r="R21" s="110"/>
      <c r="S21" s="100" t="s">
        <v>187</v>
      </c>
      <c r="T21" s="101"/>
      <c r="U21" s="111">
        <f t="shared" si="9"/>
        <v>550</v>
      </c>
      <c r="V21" s="111">
        <f t="shared" si="10"/>
        <v>1</v>
      </c>
      <c r="W21" s="110">
        <f t="shared" si="11"/>
        <v>550</v>
      </c>
      <c r="X21" s="100" t="s">
        <v>188</v>
      </c>
      <c r="Y21" s="112" t="s">
        <v>181</v>
      </c>
      <c r="Z21" s="112" t="s">
        <v>176</v>
      </c>
    </row>
    <row r="22" spans="1:26" s="112" customFormat="1" ht="15" customHeight="1" x14ac:dyDescent="0.2">
      <c r="A22" s="106">
        <f t="shared" si="6"/>
        <v>20</v>
      </c>
      <c r="B22" s="79" t="s">
        <v>157</v>
      </c>
      <c r="C22" s="107" t="str">
        <f>IF($B22&lt;&gt;"",_xlfn.IFNA(VLOOKUP($B22,'Node Details'!$B:$U,C$1,0),"Check"),"")</f>
        <v>0000AXZ02-AXZ020203</v>
      </c>
      <c r="D22" s="107" t="str">
        <f>IF($B22&lt;&gt;"",_xlfn.IFNA(VLOOKUP($B22,'Node Details'!$B:$U,D$1,0),"Check"),"")</f>
        <v>AXZ</v>
      </c>
      <c r="E22" s="107" t="str">
        <f>IF($B22&lt;&gt;"",_xlfn.IFNA(VLOOKUP($B22,'Node Details'!$B:$U,E$1,0),"Check"),"")</f>
        <v>Airtel</v>
      </c>
      <c r="F22" s="108">
        <v>46110</v>
      </c>
      <c r="G22" s="107"/>
      <c r="H22" s="109" t="s">
        <v>182</v>
      </c>
      <c r="I22" s="81">
        <v>1</v>
      </c>
      <c r="J22" s="81">
        <v>550</v>
      </c>
      <c r="K22" s="107">
        <f t="shared" si="0"/>
        <v>550</v>
      </c>
      <c r="L22" s="83">
        <v>46110</v>
      </c>
      <c r="M22" s="110"/>
      <c r="N22" s="100" t="s">
        <v>186</v>
      </c>
      <c r="O22" s="101">
        <v>46094</v>
      </c>
      <c r="P22" s="111">
        <f t="shared" si="7"/>
        <v>550</v>
      </c>
      <c r="Q22" s="111">
        <f t="shared" si="8"/>
        <v>550</v>
      </c>
      <c r="R22" s="110"/>
      <c r="S22" s="100" t="s">
        <v>187</v>
      </c>
      <c r="T22" s="101"/>
      <c r="U22" s="111">
        <f t="shared" si="9"/>
        <v>550</v>
      </c>
      <c r="V22" s="111">
        <f t="shared" si="10"/>
        <v>1</v>
      </c>
      <c r="W22" s="110">
        <f t="shared" si="11"/>
        <v>550</v>
      </c>
      <c r="X22" s="100" t="s">
        <v>188</v>
      </c>
      <c r="Y22" s="112" t="s">
        <v>181</v>
      </c>
      <c r="Z22" s="112" t="s">
        <v>176</v>
      </c>
    </row>
    <row r="23" spans="1:26" s="112" customFormat="1" ht="15" customHeight="1" x14ac:dyDescent="0.2">
      <c r="A23" s="106">
        <f t="shared" si="6"/>
        <v>21</v>
      </c>
      <c r="B23" s="79" t="s">
        <v>158</v>
      </c>
      <c r="C23" s="107" t="str">
        <f>IF($B23&lt;&gt;"",_xlfn.IFNA(VLOOKUP($B23,'Node Details'!$B:$U,C$1,0),"Check"),"")</f>
        <v>0000AXZ02-AXZ020203</v>
      </c>
      <c r="D23" s="107" t="str">
        <f>IF($B23&lt;&gt;"",_xlfn.IFNA(VLOOKUP($B23,'Node Details'!$B:$U,D$1,0),"Check"),"")</f>
        <v>AXZ</v>
      </c>
      <c r="E23" s="107" t="str">
        <f>IF($B23&lt;&gt;"",_xlfn.IFNA(VLOOKUP($B23,'Node Details'!$B:$U,E$1,0),"Check"),"")</f>
        <v>Airtel</v>
      </c>
      <c r="F23" s="108">
        <v>46110</v>
      </c>
      <c r="G23" s="107"/>
      <c r="H23" s="109" t="s">
        <v>182</v>
      </c>
      <c r="I23" s="81">
        <v>1</v>
      </c>
      <c r="J23" s="81">
        <v>550</v>
      </c>
      <c r="K23" s="107">
        <f t="shared" si="0"/>
        <v>550</v>
      </c>
      <c r="L23" s="83">
        <v>46110</v>
      </c>
      <c r="M23" s="110"/>
      <c r="N23" s="100" t="s">
        <v>186</v>
      </c>
      <c r="O23" s="101">
        <v>46094</v>
      </c>
      <c r="P23" s="111">
        <f t="shared" si="7"/>
        <v>550</v>
      </c>
      <c r="Q23" s="111">
        <f t="shared" si="8"/>
        <v>550</v>
      </c>
      <c r="R23" s="110"/>
      <c r="S23" s="100" t="s">
        <v>187</v>
      </c>
      <c r="T23" s="101"/>
      <c r="U23" s="111">
        <f t="shared" si="9"/>
        <v>550</v>
      </c>
      <c r="V23" s="111">
        <f t="shared" si="10"/>
        <v>1</v>
      </c>
      <c r="W23" s="110">
        <f t="shared" si="11"/>
        <v>550</v>
      </c>
      <c r="X23" s="100" t="s">
        <v>188</v>
      </c>
      <c r="Y23" s="112" t="s">
        <v>181</v>
      </c>
      <c r="Z23" s="112" t="s">
        <v>176</v>
      </c>
    </row>
    <row r="24" spans="1:26" s="112" customFormat="1" ht="15" customHeight="1" x14ac:dyDescent="0.2">
      <c r="A24" s="106">
        <f t="shared" si="6"/>
        <v>22</v>
      </c>
      <c r="B24" s="79" t="s">
        <v>160</v>
      </c>
      <c r="C24" s="107" t="str">
        <f>IF($B24&lt;&gt;"",_xlfn.IFNA(VLOOKUP($B24,'Node Details'!$B:$U,C$1,0),"Check"),"")</f>
        <v>0000AXZ03-AXZ030101</v>
      </c>
      <c r="D24" s="107" t="str">
        <f>IF($B24&lt;&gt;"",_xlfn.IFNA(VLOOKUP($B24,'Node Details'!$B:$U,D$1,0),"Check"),"")</f>
        <v>AXZ</v>
      </c>
      <c r="E24" s="107" t="str">
        <f>IF($B24&lt;&gt;"",_xlfn.IFNA(VLOOKUP($B24,'Node Details'!$B:$U,E$1,0),"Check"),"")</f>
        <v>Airtel</v>
      </c>
      <c r="F24" s="108">
        <v>46110</v>
      </c>
      <c r="G24" s="107"/>
      <c r="H24" s="109" t="s">
        <v>182</v>
      </c>
      <c r="I24" s="81">
        <v>1</v>
      </c>
      <c r="J24" s="81">
        <v>550</v>
      </c>
      <c r="K24" s="107">
        <f t="shared" si="0"/>
        <v>550</v>
      </c>
      <c r="L24" s="83">
        <v>46110</v>
      </c>
      <c r="M24" s="110"/>
      <c r="N24" s="100" t="s">
        <v>186</v>
      </c>
      <c r="O24" s="101">
        <v>46094</v>
      </c>
      <c r="P24" s="111">
        <f t="shared" si="7"/>
        <v>550</v>
      </c>
      <c r="Q24" s="111">
        <f t="shared" si="8"/>
        <v>550</v>
      </c>
      <c r="R24" s="110"/>
      <c r="S24" s="100" t="s">
        <v>187</v>
      </c>
      <c r="T24" s="101"/>
      <c r="U24" s="111">
        <f t="shared" si="9"/>
        <v>550</v>
      </c>
      <c r="V24" s="111">
        <f t="shared" si="10"/>
        <v>1</v>
      </c>
      <c r="W24" s="110">
        <f t="shared" si="11"/>
        <v>550</v>
      </c>
      <c r="X24" s="100" t="s">
        <v>188</v>
      </c>
      <c r="Y24" s="112" t="s">
        <v>181</v>
      </c>
      <c r="Z24" s="112" t="s">
        <v>176</v>
      </c>
    </row>
    <row r="25" spans="1:26" s="112" customFormat="1" ht="15" customHeight="1" x14ac:dyDescent="0.2">
      <c r="A25" s="106">
        <f t="shared" si="6"/>
        <v>23</v>
      </c>
      <c r="B25" s="79" t="s">
        <v>161</v>
      </c>
      <c r="C25" s="107" t="str">
        <f>IF($B25&lt;&gt;"",_xlfn.IFNA(VLOOKUP($B25,'Node Details'!$B:$U,C$1,0),"Check"),"")</f>
        <v>0000AXZ03-AXZ030102</v>
      </c>
      <c r="D25" s="107" t="str">
        <f>IF($B25&lt;&gt;"",_xlfn.IFNA(VLOOKUP($B25,'Node Details'!$B:$U,D$1,0),"Check"),"")</f>
        <v>AXZ</v>
      </c>
      <c r="E25" s="107" t="str">
        <f>IF($B25&lt;&gt;"",_xlfn.IFNA(VLOOKUP($B25,'Node Details'!$B:$U,E$1,0),"Check"),"")</f>
        <v>Airtel</v>
      </c>
      <c r="F25" s="108">
        <v>46110</v>
      </c>
      <c r="G25" s="107"/>
      <c r="H25" s="109" t="s">
        <v>182</v>
      </c>
      <c r="I25" s="81">
        <v>1</v>
      </c>
      <c r="J25" s="81">
        <v>550</v>
      </c>
      <c r="K25" s="107">
        <f t="shared" si="0"/>
        <v>550</v>
      </c>
      <c r="L25" s="83">
        <v>46110</v>
      </c>
      <c r="M25" s="110"/>
      <c r="N25" s="100" t="s">
        <v>186</v>
      </c>
      <c r="O25" s="101">
        <v>46094</v>
      </c>
      <c r="P25" s="111">
        <f t="shared" si="7"/>
        <v>550</v>
      </c>
      <c r="Q25" s="111">
        <f t="shared" si="8"/>
        <v>550</v>
      </c>
      <c r="R25" s="110"/>
      <c r="S25" s="100" t="s">
        <v>187</v>
      </c>
      <c r="T25" s="101"/>
      <c r="U25" s="111">
        <f t="shared" si="9"/>
        <v>550</v>
      </c>
      <c r="V25" s="111">
        <f t="shared" si="10"/>
        <v>1</v>
      </c>
      <c r="W25" s="110">
        <f t="shared" si="11"/>
        <v>550</v>
      </c>
      <c r="X25" s="100" t="s">
        <v>188</v>
      </c>
      <c r="Y25" s="112" t="s">
        <v>181</v>
      </c>
      <c r="Z25" s="112" t="s">
        <v>176</v>
      </c>
    </row>
    <row r="26" spans="1:26" s="112" customFormat="1" ht="15" customHeight="1" x14ac:dyDescent="0.2">
      <c r="A26" s="106">
        <f t="shared" si="6"/>
        <v>24</v>
      </c>
      <c r="B26" s="79" t="s">
        <v>162</v>
      </c>
      <c r="C26" s="107" t="str">
        <f>IF($B26&lt;&gt;"",_xlfn.IFNA(VLOOKUP($B26,'Node Details'!$B:$U,C$1,0),"Check"),"")</f>
        <v>0000AXZ03-AXZ030104</v>
      </c>
      <c r="D26" s="107" t="str">
        <f>IF($B26&lt;&gt;"",_xlfn.IFNA(VLOOKUP($B26,'Node Details'!$B:$U,D$1,0),"Check"),"")</f>
        <v>AXZ</v>
      </c>
      <c r="E26" s="107" t="str">
        <f>IF($B26&lt;&gt;"",_xlfn.IFNA(VLOOKUP($B26,'Node Details'!$B:$U,E$1,0),"Check"),"")</f>
        <v>Airtel</v>
      </c>
      <c r="F26" s="108">
        <v>46110</v>
      </c>
      <c r="G26" s="107"/>
      <c r="H26" s="109" t="s">
        <v>182</v>
      </c>
      <c r="I26" s="81">
        <v>1</v>
      </c>
      <c r="J26" s="81">
        <v>550</v>
      </c>
      <c r="K26" s="107">
        <f t="shared" si="0"/>
        <v>550</v>
      </c>
      <c r="L26" s="83">
        <v>46110</v>
      </c>
      <c r="M26" s="110"/>
      <c r="N26" s="100" t="s">
        <v>186</v>
      </c>
      <c r="O26" s="101">
        <v>46094</v>
      </c>
      <c r="P26" s="111">
        <f t="shared" si="7"/>
        <v>550</v>
      </c>
      <c r="Q26" s="111">
        <f t="shared" si="8"/>
        <v>550</v>
      </c>
      <c r="R26" s="110"/>
      <c r="S26" s="100" t="s">
        <v>187</v>
      </c>
      <c r="T26" s="101"/>
      <c r="U26" s="111">
        <f t="shared" si="9"/>
        <v>550</v>
      </c>
      <c r="V26" s="111">
        <f t="shared" si="10"/>
        <v>1</v>
      </c>
      <c r="W26" s="110">
        <f t="shared" si="11"/>
        <v>550</v>
      </c>
      <c r="X26" s="100" t="s">
        <v>188</v>
      </c>
      <c r="Y26" s="112" t="s">
        <v>181</v>
      </c>
      <c r="Z26" s="112" t="s">
        <v>176</v>
      </c>
    </row>
    <row r="27" spans="1:26" s="112" customFormat="1" ht="15" customHeight="1" x14ac:dyDescent="0.2">
      <c r="A27" s="106">
        <f t="shared" si="6"/>
        <v>25</v>
      </c>
      <c r="B27" s="79" t="s">
        <v>163</v>
      </c>
      <c r="C27" s="107" t="str">
        <f>IF($B27&lt;&gt;"",_xlfn.IFNA(VLOOKUP($B27,'Node Details'!$B:$U,C$1,0),"Check"),"")</f>
        <v>0000AXZ03-AXZ030104</v>
      </c>
      <c r="D27" s="107" t="str">
        <f>IF($B27&lt;&gt;"",_xlfn.IFNA(VLOOKUP($B27,'Node Details'!$B:$U,D$1,0),"Check"),"")</f>
        <v>AXZ</v>
      </c>
      <c r="E27" s="107" t="str">
        <f>IF($B27&lt;&gt;"",_xlfn.IFNA(VLOOKUP($B27,'Node Details'!$B:$U,E$1,0),"Check"),"")</f>
        <v>Airtel</v>
      </c>
      <c r="F27" s="108">
        <v>46110</v>
      </c>
      <c r="G27" s="107"/>
      <c r="H27" s="109" t="s">
        <v>182</v>
      </c>
      <c r="I27" s="81">
        <v>1</v>
      </c>
      <c r="J27" s="81">
        <v>550</v>
      </c>
      <c r="K27" s="107">
        <f t="shared" si="0"/>
        <v>550</v>
      </c>
      <c r="L27" s="83">
        <v>46110</v>
      </c>
      <c r="M27" s="110"/>
      <c r="N27" s="100" t="s">
        <v>186</v>
      </c>
      <c r="O27" s="101">
        <v>46094</v>
      </c>
      <c r="P27" s="111">
        <f t="shared" si="7"/>
        <v>550</v>
      </c>
      <c r="Q27" s="111">
        <f t="shared" si="8"/>
        <v>550</v>
      </c>
      <c r="R27" s="110"/>
      <c r="S27" s="100" t="s">
        <v>187</v>
      </c>
      <c r="T27" s="101"/>
      <c r="U27" s="111">
        <f t="shared" si="9"/>
        <v>550</v>
      </c>
      <c r="V27" s="111">
        <f t="shared" si="10"/>
        <v>1</v>
      </c>
      <c r="W27" s="110">
        <f t="shared" si="11"/>
        <v>550</v>
      </c>
      <c r="X27" s="100" t="s">
        <v>188</v>
      </c>
      <c r="Y27" s="112" t="s">
        <v>181</v>
      </c>
      <c r="Z27" s="112" t="s">
        <v>176</v>
      </c>
    </row>
    <row r="28" spans="1:26" s="112" customFormat="1" ht="15" customHeight="1" x14ac:dyDescent="0.2">
      <c r="A28" s="106">
        <f t="shared" si="6"/>
        <v>26</v>
      </c>
      <c r="B28" s="79" t="s">
        <v>164</v>
      </c>
      <c r="C28" s="107" t="str">
        <f>IF($B28&lt;&gt;"",_xlfn.IFNA(VLOOKUP($B28,'Node Details'!$B:$U,C$1,0),"Check"),"")</f>
        <v>AXZ030104-AXZ030106</v>
      </c>
      <c r="D28" s="107" t="str">
        <f>IF($B28&lt;&gt;"",_xlfn.IFNA(VLOOKUP($B28,'Node Details'!$B:$U,D$1,0),"Check"),"")</f>
        <v>AXZ</v>
      </c>
      <c r="E28" s="107" t="str">
        <f>IF($B28&lt;&gt;"",_xlfn.IFNA(VLOOKUP($B28,'Node Details'!$B:$U,E$1,0),"Check"),"")</f>
        <v>Airtel</v>
      </c>
      <c r="F28" s="108">
        <v>46110</v>
      </c>
      <c r="G28" s="107"/>
      <c r="H28" s="109" t="s">
        <v>182</v>
      </c>
      <c r="I28" s="81">
        <v>1</v>
      </c>
      <c r="J28" s="81">
        <v>550</v>
      </c>
      <c r="K28" s="107">
        <f t="shared" si="0"/>
        <v>550</v>
      </c>
      <c r="L28" s="83">
        <v>46110</v>
      </c>
      <c r="M28" s="110"/>
      <c r="N28" s="100" t="s">
        <v>186</v>
      </c>
      <c r="O28" s="101">
        <v>46094</v>
      </c>
      <c r="P28" s="111">
        <f t="shared" si="7"/>
        <v>550</v>
      </c>
      <c r="Q28" s="111">
        <f t="shared" si="8"/>
        <v>550</v>
      </c>
      <c r="R28" s="110"/>
      <c r="S28" s="100" t="s">
        <v>187</v>
      </c>
      <c r="T28" s="101"/>
      <c r="U28" s="111">
        <f t="shared" si="9"/>
        <v>550</v>
      </c>
      <c r="V28" s="111">
        <f t="shared" si="10"/>
        <v>1</v>
      </c>
      <c r="W28" s="110">
        <f t="shared" si="11"/>
        <v>550</v>
      </c>
      <c r="X28" s="100" t="s">
        <v>188</v>
      </c>
      <c r="Y28" s="112" t="s">
        <v>181</v>
      </c>
      <c r="Z28" s="112" t="s">
        <v>176</v>
      </c>
    </row>
    <row r="29" spans="1:26" s="112" customFormat="1" ht="15" customHeight="1" x14ac:dyDescent="0.2">
      <c r="A29" s="106">
        <f t="shared" si="6"/>
        <v>27</v>
      </c>
      <c r="B29" s="79" t="s">
        <v>165</v>
      </c>
      <c r="C29" s="107" t="str">
        <f>IF($B29&lt;&gt;"",_xlfn.IFNA(VLOOKUP($B29,'Node Details'!$B:$U,C$1,0),"Check"),"")</f>
        <v>AXZ030104-AXZ030106</v>
      </c>
      <c r="D29" s="107" t="str">
        <f>IF($B29&lt;&gt;"",_xlfn.IFNA(VLOOKUP($B29,'Node Details'!$B:$U,D$1,0),"Check"),"")</f>
        <v>AXZ</v>
      </c>
      <c r="E29" s="107" t="str">
        <f>IF($B29&lt;&gt;"",_xlfn.IFNA(VLOOKUP($B29,'Node Details'!$B:$U,E$1,0),"Check"),"")</f>
        <v>Airtel</v>
      </c>
      <c r="F29" s="108">
        <v>46110</v>
      </c>
      <c r="G29" s="107"/>
      <c r="H29" s="109" t="s">
        <v>182</v>
      </c>
      <c r="I29" s="81">
        <v>1</v>
      </c>
      <c r="J29" s="81">
        <v>550</v>
      </c>
      <c r="K29" s="107">
        <f t="shared" si="0"/>
        <v>550</v>
      </c>
      <c r="L29" s="83">
        <v>46110</v>
      </c>
      <c r="M29" s="110"/>
      <c r="N29" s="100" t="s">
        <v>186</v>
      </c>
      <c r="O29" s="101">
        <v>46094</v>
      </c>
      <c r="P29" s="111">
        <f t="shared" si="7"/>
        <v>550</v>
      </c>
      <c r="Q29" s="111">
        <f t="shared" si="8"/>
        <v>550</v>
      </c>
      <c r="R29" s="110"/>
      <c r="S29" s="100" t="s">
        <v>187</v>
      </c>
      <c r="T29" s="101"/>
      <c r="U29" s="111">
        <f t="shared" si="9"/>
        <v>550</v>
      </c>
      <c r="V29" s="111">
        <f t="shared" si="10"/>
        <v>1</v>
      </c>
      <c r="W29" s="110">
        <f t="shared" si="11"/>
        <v>550</v>
      </c>
      <c r="X29" s="100" t="s">
        <v>188</v>
      </c>
      <c r="Y29" s="112" t="s">
        <v>181</v>
      </c>
      <c r="Z29" s="112" t="s">
        <v>176</v>
      </c>
    </row>
    <row r="30" spans="1:26" s="112" customFormat="1" ht="15" customHeight="1" x14ac:dyDescent="0.2">
      <c r="A30" s="106">
        <f t="shared" si="6"/>
        <v>28</v>
      </c>
      <c r="B30" s="79" t="s">
        <v>166</v>
      </c>
      <c r="C30" s="107" t="str">
        <f>IF($B30&lt;&gt;"",_xlfn.IFNA(VLOOKUP($B30,'Node Details'!$B:$U,C$1,0),"Check"),"")</f>
        <v>0000AXZ03-AXZ030201</v>
      </c>
      <c r="D30" s="107" t="str">
        <f>IF($B30&lt;&gt;"",_xlfn.IFNA(VLOOKUP($B30,'Node Details'!$B:$U,D$1,0),"Check"),"")</f>
        <v>AXZ</v>
      </c>
      <c r="E30" s="107" t="str">
        <f>IF($B30&lt;&gt;"",_xlfn.IFNA(VLOOKUP($B30,'Node Details'!$B:$U,E$1,0),"Check"),"")</f>
        <v>Airtel</v>
      </c>
      <c r="F30" s="108">
        <v>46110</v>
      </c>
      <c r="G30" s="107"/>
      <c r="H30" s="109" t="s">
        <v>182</v>
      </c>
      <c r="I30" s="81">
        <v>1</v>
      </c>
      <c r="J30" s="81">
        <v>550</v>
      </c>
      <c r="K30" s="107">
        <f t="shared" si="0"/>
        <v>550</v>
      </c>
      <c r="L30" s="83">
        <v>46110</v>
      </c>
      <c r="M30" s="110"/>
      <c r="N30" s="100" t="s">
        <v>186</v>
      </c>
      <c r="O30" s="101">
        <v>46094</v>
      </c>
      <c r="P30" s="111">
        <f t="shared" si="7"/>
        <v>550</v>
      </c>
      <c r="Q30" s="111">
        <f t="shared" si="8"/>
        <v>550</v>
      </c>
      <c r="R30" s="110"/>
      <c r="S30" s="100" t="s">
        <v>187</v>
      </c>
      <c r="T30" s="101"/>
      <c r="U30" s="111">
        <f t="shared" si="9"/>
        <v>550</v>
      </c>
      <c r="V30" s="111">
        <f t="shared" si="10"/>
        <v>1</v>
      </c>
      <c r="W30" s="110">
        <f t="shared" si="11"/>
        <v>550</v>
      </c>
      <c r="X30" s="100" t="s">
        <v>188</v>
      </c>
      <c r="Y30" s="112" t="s">
        <v>181</v>
      </c>
      <c r="Z30" s="112" t="s">
        <v>176</v>
      </c>
    </row>
    <row r="31" spans="1:26" s="112" customFormat="1" ht="15" customHeight="1" x14ac:dyDescent="0.2">
      <c r="A31" s="106">
        <f t="shared" si="6"/>
        <v>29</v>
      </c>
      <c r="B31" s="79" t="s">
        <v>167</v>
      </c>
      <c r="C31" s="107" t="str">
        <f>IF($B31&lt;&gt;"",_xlfn.IFNA(VLOOKUP($B31,'Node Details'!$B:$U,C$1,0),"Check"),"")</f>
        <v>0000AXZ03-AXZ030201</v>
      </c>
      <c r="D31" s="107" t="str">
        <f>IF($B31&lt;&gt;"",_xlfn.IFNA(VLOOKUP($B31,'Node Details'!$B:$U,D$1,0),"Check"),"")</f>
        <v>AXZ</v>
      </c>
      <c r="E31" s="107" t="str">
        <f>IF($B31&lt;&gt;"",_xlfn.IFNA(VLOOKUP($B31,'Node Details'!$B:$U,E$1,0),"Check"),"")</f>
        <v>Airtel</v>
      </c>
      <c r="F31" s="108">
        <v>46110</v>
      </c>
      <c r="G31" s="107"/>
      <c r="H31" s="109" t="s">
        <v>182</v>
      </c>
      <c r="I31" s="81">
        <v>1</v>
      </c>
      <c r="J31" s="81">
        <v>550</v>
      </c>
      <c r="K31" s="107">
        <f t="shared" si="0"/>
        <v>550</v>
      </c>
      <c r="L31" s="83">
        <v>46110</v>
      </c>
      <c r="M31" s="110"/>
      <c r="N31" s="100" t="s">
        <v>186</v>
      </c>
      <c r="O31" s="101">
        <v>46094</v>
      </c>
      <c r="P31" s="111">
        <f t="shared" si="7"/>
        <v>550</v>
      </c>
      <c r="Q31" s="111">
        <f t="shared" si="8"/>
        <v>550</v>
      </c>
      <c r="R31" s="110"/>
      <c r="S31" s="100" t="s">
        <v>187</v>
      </c>
      <c r="T31" s="101"/>
      <c r="U31" s="111">
        <f t="shared" si="9"/>
        <v>550</v>
      </c>
      <c r="V31" s="111">
        <f t="shared" si="10"/>
        <v>1</v>
      </c>
      <c r="W31" s="110">
        <f t="shared" si="11"/>
        <v>550</v>
      </c>
      <c r="X31" s="100" t="s">
        <v>188</v>
      </c>
      <c r="Y31" s="112" t="s">
        <v>181</v>
      </c>
      <c r="Z31" s="112" t="s">
        <v>176</v>
      </c>
    </row>
    <row r="32" spans="1:26" s="112" customFormat="1" ht="15" customHeight="1" x14ac:dyDescent="0.2">
      <c r="A32" s="106">
        <f t="shared" si="6"/>
        <v>30</v>
      </c>
      <c r="B32" s="79" t="s">
        <v>168</v>
      </c>
      <c r="C32" s="107" t="str">
        <f>IF($B32&lt;&gt;"",_xlfn.IFNA(VLOOKUP($B32,'Node Details'!$B:$U,C$1,0),"Check"),"")</f>
        <v>0000AXZ03-AXZ030201</v>
      </c>
      <c r="D32" s="107" t="str">
        <f>IF($B32&lt;&gt;"",_xlfn.IFNA(VLOOKUP($B32,'Node Details'!$B:$U,D$1,0),"Check"),"")</f>
        <v>AXZ</v>
      </c>
      <c r="E32" s="107" t="str">
        <f>IF($B32&lt;&gt;"",_xlfn.IFNA(VLOOKUP($B32,'Node Details'!$B:$U,E$1,0),"Check"),"")</f>
        <v>Airtel</v>
      </c>
      <c r="F32" s="108">
        <v>46110</v>
      </c>
      <c r="G32" s="107"/>
      <c r="H32" s="109" t="s">
        <v>182</v>
      </c>
      <c r="I32" s="81">
        <v>1</v>
      </c>
      <c r="J32" s="81">
        <v>550</v>
      </c>
      <c r="K32" s="107">
        <f t="shared" si="0"/>
        <v>550</v>
      </c>
      <c r="L32" s="83">
        <v>46110</v>
      </c>
      <c r="M32" s="110"/>
      <c r="N32" s="100" t="s">
        <v>186</v>
      </c>
      <c r="O32" s="101">
        <v>46094</v>
      </c>
      <c r="P32" s="111">
        <f t="shared" si="7"/>
        <v>550</v>
      </c>
      <c r="Q32" s="111">
        <f t="shared" si="8"/>
        <v>550</v>
      </c>
      <c r="R32" s="110"/>
      <c r="S32" s="100" t="s">
        <v>187</v>
      </c>
      <c r="T32" s="101"/>
      <c r="U32" s="111">
        <f t="shared" si="9"/>
        <v>550</v>
      </c>
      <c r="V32" s="111">
        <f t="shared" si="10"/>
        <v>1</v>
      </c>
      <c r="W32" s="110">
        <f t="shared" si="11"/>
        <v>550</v>
      </c>
      <c r="X32" s="100" t="s">
        <v>188</v>
      </c>
      <c r="Y32" s="112" t="s">
        <v>181</v>
      </c>
      <c r="Z32" s="112" t="s">
        <v>176</v>
      </c>
    </row>
    <row r="33" spans="1:26" s="112" customFormat="1" ht="15" customHeight="1" x14ac:dyDescent="0.2">
      <c r="A33" s="106">
        <f t="shared" si="6"/>
        <v>31</v>
      </c>
      <c r="B33" s="79" t="s">
        <v>169</v>
      </c>
      <c r="C33" s="107" t="str">
        <f>IF($B33&lt;&gt;"",_xlfn.IFNA(VLOOKUP($B33,'Node Details'!$B:$U,C$1,0),"Check"),"")</f>
        <v>AXZ030201-AXZ030205</v>
      </c>
      <c r="D33" s="107" t="str">
        <f>IF($B33&lt;&gt;"",_xlfn.IFNA(VLOOKUP($B33,'Node Details'!$B:$U,D$1,0),"Check"),"")</f>
        <v>AXZ</v>
      </c>
      <c r="E33" s="107" t="str">
        <f>IF($B33&lt;&gt;"",_xlfn.IFNA(VLOOKUP($B33,'Node Details'!$B:$U,E$1,0),"Check"),"")</f>
        <v>Airtel</v>
      </c>
      <c r="F33" s="108">
        <v>46110</v>
      </c>
      <c r="G33" s="107"/>
      <c r="H33" s="109" t="s">
        <v>182</v>
      </c>
      <c r="I33" s="81">
        <v>1</v>
      </c>
      <c r="J33" s="81">
        <v>550</v>
      </c>
      <c r="K33" s="107">
        <f t="shared" si="0"/>
        <v>550</v>
      </c>
      <c r="L33" s="83">
        <v>46110</v>
      </c>
      <c r="M33" s="110"/>
      <c r="N33" s="100" t="s">
        <v>186</v>
      </c>
      <c r="O33" s="101">
        <v>46094</v>
      </c>
      <c r="P33" s="111">
        <f t="shared" si="7"/>
        <v>550</v>
      </c>
      <c r="Q33" s="111">
        <f t="shared" si="8"/>
        <v>550</v>
      </c>
      <c r="R33" s="110"/>
      <c r="S33" s="100" t="s">
        <v>187</v>
      </c>
      <c r="T33" s="101"/>
      <c r="U33" s="111">
        <f t="shared" si="9"/>
        <v>550</v>
      </c>
      <c r="V33" s="111">
        <f t="shared" si="10"/>
        <v>1</v>
      </c>
      <c r="W33" s="110">
        <f t="shared" si="11"/>
        <v>550</v>
      </c>
      <c r="X33" s="100" t="s">
        <v>188</v>
      </c>
      <c r="Y33" s="112" t="s">
        <v>181</v>
      </c>
      <c r="Z33" s="112" t="s">
        <v>176</v>
      </c>
    </row>
    <row r="34" spans="1:26" s="112" customFormat="1" ht="15" customHeight="1" x14ac:dyDescent="0.2">
      <c r="A34" s="106">
        <f t="shared" si="6"/>
        <v>32</v>
      </c>
      <c r="B34" s="79" t="s">
        <v>170</v>
      </c>
      <c r="C34" s="107" t="str">
        <f>IF($B34&lt;&gt;"",_xlfn.IFNA(VLOOKUP($B34,'Node Details'!$B:$U,C$1,0),"Check"),"")</f>
        <v>AXZ030201-AXZ030205</v>
      </c>
      <c r="D34" s="107" t="str">
        <f>IF($B34&lt;&gt;"",_xlfn.IFNA(VLOOKUP($B34,'Node Details'!$B:$U,D$1,0),"Check"),"")</f>
        <v>AXZ</v>
      </c>
      <c r="E34" s="107" t="str">
        <f>IF($B34&lt;&gt;"",_xlfn.IFNA(VLOOKUP($B34,'Node Details'!$B:$U,E$1,0),"Check"),"")</f>
        <v>Airtel</v>
      </c>
      <c r="F34" s="108">
        <v>46110</v>
      </c>
      <c r="G34" s="107"/>
      <c r="H34" s="109" t="s">
        <v>182</v>
      </c>
      <c r="I34" s="81">
        <v>1</v>
      </c>
      <c r="J34" s="81">
        <v>550</v>
      </c>
      <c r="K34" s="107">
        <f t="shared" si="0"/>
        <v>550</v>
      </c>
      <c r="L34" s="83">
        <v>46110</v>
      </c>
      <c r="M34" s="110"/>
      <c r="N34" s="100" t="s">
        <v>186</v>
      </c>
      <c r="O34" s="101">
        <v>46094</v>
      </c>
      <c r="P34" s="111">
        <f t="shared" si="7"/>
        <v>550</v>
      </c>
      <c r="Q34" s="111">
        <f t="shared" si="8"/>
        <v>550</v>
      </c>
      <c r="R34" s="110"/>
      <c r="S34" s="100" t="s">
        <v>187</v>
      </c>
      <c r="T34" s="101"/>
      <c r="U34" s="111">
        <f t="shared" si="9"/>
        <v>550</v>
      </c>
      <c r="V34" s="111">
        <f t="shared" si="10"/>
        <v>1</v>
      </c>
      <c r="W34" s="110">
        <f t="shared" si="11"/>
        <v>550</v>
      </c>
      <c r="X34" s="100" t="s">
        <v>188</v>
      </c>
      <c r="Y34" s="112" t="s">
        <v>181</v>
      </c>
      <c r="Z34" s="112" t="s">
        <v>176</v>
      </c>
    </row>
    <row r="35" spans="1:26" s="112" customFormat="1" ht="15" customHeight="1" x14ac:dyDescent="0.2">
      <c r="A35" s="106">
        <f t="shared" si="6"/>
        <v>33</v>
      </c>
      <c r="B35" s="79" t="s">
        <v>171</v>
      </c>
      <c r="C35" s="107" t="str">
        <f>IF($B35&lt;&gt;"",_xlfn.IFNA(VLOOKUP($B35,'Node Details'!$B:$U,C$1,0),"Check"),"")</f>
        <v>AXZ030201-AXZ030205</v>
      </c>
      <c r="D35" s="107" t="str">
        <f>IF($B35&lt;&gt;"",_xlfn.IFNA(VLOOKUP($B35,'Node Details'!$B:$U,D$1,0),"Check"),"")</f>
        <v>AXZ</v>
      </c>
      <c r="E35" s="107" t="str">
        <f>IF($B35&lt;&gt;"",_xlfn.IFNA(VLOOKUP($B35,'Node Details'!$B:$U,E$1,0),"Check"),"")</f>
        <v>Airtel</v>
      </c>
      <c r="F35" s="108">
        <v>46110</v>
      </c>
      <c r="G35" s="107"/>
      <c r="H35" s="109" t="s">
        <v>182</v>
      </c>
      <c r="I35" s="81">
        <v>1</v>
      </c>
      <c r="J35" s="81">
        <v>550</v>
      </c>
      <c r="K35" s="107">
        <f t="shared" si="0"/>
        <v>550</v>
      </c>
      <c r="L35" s="83">
        <v>46110</v>
      </c>
      <c r="M35" s="110"/>
      <c r="N35" s="100" t="s">
        <v>186</v>
      </c>
      <c r="O35" s="101">
        <v>46094</v>
      </c>
      <c r="P35" s="111">
        <f t="shared" si="7"/>
        <v>550</v>
      </c>
      <c r="Q35" s="111">
        <f t="shared" si="8"/>
        <v>550</v>
      </c>
      <c r="R35" s="110"/>
      <c r="S35" s="100" t="s">
        <v>187</v>
      </c>
      <c r="T35" s="101"/>
      <c r="U35" s="111">
        <f t="shared" si="9"/>
        <v>550</v>
      </c>
      <c r="V35" s="111">
        <f t="shared" si="10"/>
        <v>1</v>
      </c>
      <c r="W35" s="110">
        <f t="shared" si="11"/>
        <v>550</v>
      </c>
      <c r="X35" s="100" t="s">
        <v>188</v>
      </c>
      <c r="Y35" s="112" t="s">
        <v>181</v>
      </c>
      <c r="Z35" s="112" t="s">
        <v>176</v>
      </c>
    </row>
    <row r="36" spans="1:26" s="112" customFormat="1" ht="15" customHeight="1" x14ac:dyDescent="0.2">
      <c r="A36" s="106">
        <f t="shared" si="6"/>
        <v>34</v>
      </c>
      <c r="B36" s="79" t="s">
        <v>172</v>
      </c>
      <c r="C36" s="107" t="str">
        <f>IF($B36&lt;&gt;"",_xlfn.IFNA(VLOOKUP($B36,'Node Details'!$B:$U,C$1,0),"Check"),"")</f>
        <v>AXZ030201-AXZ030205</v>
      </c>
      <c r="D36" s="107" t="str">
        <f>IF($B36&lt;&gt;"",_xlfn.IFNA(VLOOKUP($B36,'Node Details'!$B:$U,D$1,0),"Check"),"")</f>
        <v>AXZ</v>
      </c>
      <c r="E36" s="107" t="str">
        <f>IF($B36&lt;&gt;"",_xlfn.IFNA(VLOOKUP($B36,'Node Details'!$B:$U,E$1,0),"Check"),"")</f>
        <v>Airtel</v>
      </c>
      <c r="F36" s="108">
        <v>46110</v>
      </c>
      <c r="G36" s="107"/>
      <c r="H36" s="109" t="s">
        <v>182</v>
      </c>
      <c r="I36" s="81">
        <v>1</v>
      </c>
      <c r="J36" s="81">
        <v>550</v>
      </c>
      <c r="K36" s="107">
        <f t="shared" si="0"/>
        <v>550</v>
      </c>
      <c r="L36" s="83">
        <v>46110</v>
      </c>
      <c r="M36" s="110"/>
      <c r="N36" s="100" t="s">
        <v>186</v>
      </c>
      <c r="O36" s="101">
        <v>46094</v>
      </c>
      <c r="P36" s="111">
        <f t="shared" si="7"/>
        <v>550</v>
      </c>
      <c r="Q36" s="111">
        <f t="shared" si="8"/>
        <v>550</v>
      </c>
      <c r="R36" s="110"/>
      <c r="S36" s="100" t="s">
        <v>187</v>
      </c>
      <c r="T36" s="101"/>
      <c r="U36" s="111">
        <f t="shared" si="9"/>
        <v>550</v>
      </c>
      <c r="V36" s="111">
        <f t="shared" si="10"/>
        <v>1</v>
      </c>
      <c r="W36" s="110">
        <f t="shared" si="11"/>
        <v>550</v>
      </c>
      <c r="X36" s="100" t="s">
        <v>188</v>
      </c>
      <c r="Y36" s="112" t="s">
        <v>181</v>
      </c>
      <c r="Z36" s="112" t="s">
        <v>176</v>
      </c>
    </row>
    <row r="37" spans="1:26" s="112" customFormat="1" ht="15" customHeight="1" x14ac:dyDescent="0.2">
      <c r="A37" s="106">
        <f t="shared" si="6"/>
        <v>35</v>
      </c>
      <c r="B37" s="79" t="s">
        <v>136</v>
      </c>
      <c r="C37" s="107" t="str">
        <f>IF($B37&lt;&gt;"",_xlfn.IFNA(VLOOKUP($B37,'Node Details'!$B:$U,C$1,0),"Check"),"")</f>
        <v>000000AXZ-0000AXZ01</v>
      </c>
      <c r="D37" s="107" t="str">
        <f>IF($B37&lt;&gt;"",_xlfn.IFNA(VLOOKUP($B37,'Node Details'!$B:$U,D$1,0),"Check"),"")</f>
        <v>AXZ</v>
      </c>
      <c r="E37" s="107" t="str">
        <f>IF($B37&lt;&gt;"",_xlfn.IFNA(VLOOKUP($B37,'Node Details'!$B:$U,E$1,0),"Check"),"")</f>
        <v>Airtel</v>
      </c>
      <c r="F37" s="108">
        <v>46110</v>
      </c>
      <c r="G37" s="107"/>
      <c r="H37" s="109" t="s">
        <v>183</v>
      </c>
      <c r="I37" s="81">
        <v>1</v>
      </c>
      <c r="J37" s="81">
        <v>550</v>
      </c>
      <c r="K37" s="107">
        <f t="shared" si="0"/>
        <v>550</v>
      </c>
      <c r="L37" s="83">
        <v>46110</v>
      </c>
      <c r="M37" s="110"/>
      <c r="N37" s="100" t="s">
        <v>186</v>
      </c>
      <c r="O37" s="101">
        <v>46094</v>
      </c>
      <c r="P37" s="111">
        <f t="shared" si="7"/>
        <v>550</v>
      </c>
      <c r="Q37" s="111">
        <f t="shared" si="8"/>
        <v>550</v>
      </c>
      <c r="R37" s="110"/>
      <c r="S37" s="100" t="s">
        <v>187</v>
      </c>
      <c r="T37" s="101"/>
      <c r="U37" s="111">
        <f t="shared" si="9"/>
        <v>550</v>
      </c>
      <c r="V37" s="111">
        <f t="shared" si="10"/>
        <v>1</v>
      </c>
      <c r="W37" s="110">
        <f t="shared" si="11"/>
        <v>550</v>
      </c>
      <c r="X37" s="100" t="s">
        <v>188</v>
      </c>
      <c r="Y37" s="112" t="s">
        <v>181</v>
      </c>
      <c r="Z37" s="112" t="s">
        <v>176</v>
      </c>
    </row>
    <row r="38" spans="1:26" s="112" customFormat="1" ht="15" customHeight="1" x14ac:dyDescent="0.2">
      <c r="A38" s="106">
        <f t="shared" si="6"/>
        <v>36</v>
      </c>
      <c r="B38" s="79" t="s">
        <v>147</v>
      </c>
      <c r="C38" s="107" t="str">
        <f>IF($B38&lt;&gt;"",_xlfn.IFNA(VLOOKUP($B38,'Node Details'!$B:$U,C$1,0),"Check"),"")</f>
        <v>000000AXZ-0000AXZ03</v>
      </c>
      <c r="D38" s="107" t="str">
        <f>IF($B38&lt;&gt;"",_xlfn.IFNA(VLOOKUP($B38,'Node Details'!$B:$U,D$1,0),"Check"),"")</f>
        <v>AXZ</v>
      </c>
      <c r="E38" s="107" t="str">
        <f>IF($B38&lt;&gt;"",_xlfn.IFNA(VLOOKUP($B38,'Node Details'!$B:$U,E$1,0),"Check"),"")</f>
        <v>Airtel</v>
      </c>
      <c r="F38" s="108">
        <v>46110</v>
      </c>
      <c r="G38" s="107"/>
      <c r="H38" s="109" t="s">
        <v>183</v>
      </c>
      <c r="I38" s="81">
        <v>1</v>
      </c>
      <c r="J38" s="81">
        <v>550</v>
      </c>
      <c r="K38" s="107">
        <f t="shared" si="0"/>
        <v>550</v>
      </c>
      <c r="L38" s="83">
        <v>46110</v>
      </c>
      <c r="M38" s="110"/>
      <c r="N38" s="100" t="s">
        <v>186</v>
      </c>
      <c r="O38" s="101">
        <v>46094</v>
      </c>
      <c r="P38" s="111">
        <f t="shared" si="7"/>
        <v>550</v>
      </c>
      <c r="Q38" s="111">
        <f t="shared" si="8"/>
        <v>550</v>
      </c>
      <c r="R38" s="110"/>
      <c r="S38" s="100" t="s">
        <v>187</v>
      </c>
      <c r="T38" s="101"/>
      <c r="U38" s="111">
        <f t="shared" si="9"/>
        <v>550</v>
      </c>
      <c r="V38" s="111">
        <f t="shared" si="10"/>
        <v>1</v>
      </c>
      <c r="W38" s="110">
        <f t="shared" si="11"/>
        <v>550</v>
      </c>
      <c r="X38" s="100" t="s">
        <v>188</v>
      </c>
      <c r="Y38" s="112" t="s">
        <v>181</v>
      </c>
      <c r="Z38" s="112" t="s">
        <v>176</v>
      </c>
    </row>
    <row r="39" spans="1:26" s="112" customFormat="1" ht="15" customHeight="1" x14ac:dyDescent="0.2">
      <c r="A39" s="106">
        <f t="shared" si="6"/>
        <v>37</v>
      </c>
      <c r="B39" s="79" t="s">
        <v>159</v>
      </c>
      <c r="C39" s="107" t="str">
        <f>IF($B39&lt;&gt;"",_xlfn.IFNA(VLOOKUP($B39,'Node Details'!$B:$U,C$1,0),"Check"),"")</f>
        <v>000000AXZ-0000AXZ03</v>
      </c>
      <c r="D39" s="107" t="str">
        <f>IF($B39&lt;&gt;"",_xlfn.IFNA(VLOOKUP($B39,'Node Details'!$B:$U,D$1,0),"Check"),"")</f>
        <v>AXZ</v>
      </c>
      <c r="E39" s="107" t="str">
        <f>IF($B39&lt;&gt;"",_xlfn.IFNA(VLOOKUP($B39,'Node Details'!$B:$U,E$1,0),"Check"),"")</f>
        <v>Airtel</v>
      </c>
      <c r="F39" s="108">
        <v>46110</v>
      </c>
      <c r="G39" s="107"/>
      <c r="H39" s="109" t="s">
        <v>183</v>
      </c>
      <c r="I39" s="81">
        <v>1</v>
      </c>
      <c r="J39" s="81">
        <v>550</v>
      </c>
      <c r="K39" s="107">
        <f t="shared" si="0"/>
        <v>550</v>
      </c>
      <c r="L39" s="83">
        <v>46110</v>
      </c>
      <c r="M39" s="110"/>
      <c r="N39" s="100" t="s">
        <v>186</v>
      </c>
      <c r="O39" s="101">
        <v>46094</v>
      </c>
      <c r="P39" s="111">
        <f t="shared" si="7"/>
        <v>550</v>
      </c>
      <c r="Q39" s="111">
        <f t="shared" si="8"/>
        <v>550</v>
      </c>
      <c r="R39" s="110"/>
      <c r="S39" s="100" t="s">
        <v>187</v>
      </c>
      <c r="T39" s="101"/>
      <c r="U39" s="111">
        <f t="shared" si="9"/>
        <v>550</v>
      </c>
      <c r="V39" s="111">
        <f t="shared" si="10"/>
        <v>1</v>
      </c>
      <c r="W39" s="110">
        <f t="shared" si="11"/>
        <v>550</v>
      </c>
      <c r="X39" s="100" t="s">
        <v>188</v>
      </c>
      <c r="Y39" s="112" t="s">
        <v>181</v>
      </c>
      <c r="Z39" s="112" t="s">
        <v>176</v>
      </c>
    </row>
    <row r="40" spans="1:26" s="112" customFormat="1" ht="15" customHeight="1" x14ac:dyDescent="0.2">
      <c r="A40" s="106">
        <f t="shared" si="6"/>
        <v>38</v>
      </c>
      <c r="B40" s="79" t="s">
        <v>136</v>
      </c>
      <c r="C40" s="107" t="str">
        <f>IF($B40&lt;&gt;"",_xlfn.IFNA(VLOOKUP($B40,'Node Details'!$B:$U,C$1,0),"Check"),"")</f>
        <v>000000AXZ-0000AXZ01</v>
      </c>
      <c r="D40" s="107" t="str">
        <f>IF($B40&lt;&gt;"",_xlfn.IFNA(VLOOKUP($B40,'Node Details'!$B:$U,D$1,0),"Check"),"")</f>
        <v>AXZ</v>
      </c>
      <c r="E40" s="107" t="str">
        <f>IF($B40&lt;&gt;"",_xlfn.IFNA(VLOOKUP($B40,'Node Details'!$B:$U,E$1,0),"Check"),"")</f>
        <v>Airtel</v>
      </c>
      <c r="F40" s="108">
        <v>46110</v>
      </c>
      <c r="G40" s="107"/>
      <c r="H40" s="109" t="s">
        <v>184</v>
      </c>
      <c r="I40" s="81">
        <v>1</v>
      </c>
      <c r="J40" s="81">
        <v>48</v>
      </c>
      <c r="K40" s="107">
        <f t="shared" si="0"/>
        <v>48</v>
      </c>
      <c r="L40" s="83">
        <v>46110</v>
      </c>
      <c r="M40" s="110"/>
      <c r="N40" s="100" t="s">
        <v>186</v>
      </c>
      <c r="O40" s="101">
        <v>46094</v>
      </c>
      <c r="P40" s="111">
        <f t="shared" si="7"/>
        <v>48</v>
      </c>
      <c r="Q40" s="111">
        <f t="shared" si="8"/>
        <v>48</v>
      </c>
      <c r="R40" s="110"/>
      <c r="S40" s="100" t="s">
        <v>187</v>
      </c>
      <c r="T40" s="101"/>
      <c r="U40" s="111">
        <f t="shared" si="9"/>
        <v>48</v>
      </c>
      <c r="V40" s="111">
        <f t="shared" si="10"/>
        <v>1</v>
      </c>
      <c r="W40" s="110">
        <f t="shared" si="11"/>
        <v>48</v>
      </c>
      <c r="X40" s="100" t="s">
        <v>188</v>
      </c>
      <c r="Y40" s="112" t="s">
        <v>181</v>
      </c>
      <c r="Z40" s="112" t="s">
        <v>176</v>
      </c>
    </row>
    <row r="41" spans="1:26" s="112" customFormat="1" ht="15" customHeight="1" x14ac:dyDescent="0.2">
      <c r="A41" s="106">
        <f t="shared" si="6"/>
        <v>39</v>
      </c>
      <c r="B41" s="79" t="s">
        <v>137</v>
      </c>
      <c r="C41" s="107" t="str">
        <f>IF($B41&lt;&gt;"",_xlfn.IFNA(VLOOKUP($B41,'Node Details'!$B:$U,C$1,0),"Check"),"")</f>
        <v>0000AXZ01-AXZ010101</v>
      </c>
      <c r="D41" s="107" t="str">
        <f>IF($B41&lt;&gt;"",_xlfn.IFNA(VLOOKUP($B41,'Node Details'!$B:$U,D$1,0),"Check"),"")</f>
        <v>AXZ</v>
      </c>
      <c r="E41" s="107" t="str">
        <f>IF($B41&lt;&gt;"",_xlfn.IFNA(VLOOKUP($B41,'Node Details'!$B:$U,E$1,0),"Check"),"")</f>
        <v>Airtel</v>
      </c>
      <c r="F41" s="108">
        <v>46110</v>
      </c>
      <c r="G41" s="107"/>
      <c r="H41" s="109" t="s">
        <v>184</v>
      </c>
      <c r="I41" s="81">
        <v>1</v>
      </c>
      <c r="J41" s="81">
        <v>48</v>
      </c>
      <c r="K41" s="107">
        <f t="shared" si="0"/>
        <v>48</v>
      </c>
      <c r="L41" s="83">
        <v>46110</v>
      </c>
      <c r="M41" s="110"/>
      <c r="N41" s="100" t="s">
        <v>186</v>
      </c>
      <c r="O41" s="101">
        <v>46094</v>
      </c>
      <c r="P41" s="111">
        <f t="shared" si="7"/>
        <v>48</v>
      </c>
      <c r="Q41" s="111">
        <f t="shared" si="8"/>
        <v>48</v>
      </c>
      <c r="R41" s="110"/>
      <c r="S41" s="100" t="s">
        <v>187</v>
      </c>
      <c r="T41" s="101"/>
      <c r="U41" s="111">
        <f t="shared" si="9"/>
        <v>48</v>
      </c>
      <c r="V41" s="111">
        <f t="shared" si="10"/>
        <v>1</v>
      </c>
      <c r="W41" s="110">
        <f t="shared" si="11"/>
        <v>48</v>
      </c>
      <c r="X41" s="100" t="s">
        <v>188</v>
      </c>
      <c r="Y41" s="112" t="s">
        <v>181</v>
      </c>
      <c r="Z41" s="112" t="s">
        <v>176</v>
      </c>
    </row>
    <row r="42" spans="1:26" s="112" customFormat="1" ht="15" customHeight="1" x14ac:dyDescent="0.2">
      <c r="A42" s="106">
        <f t="shared" si="6"/>
        <v>40</v>
      </c>
      <c r="B42" s="79" t="s">
        <v>138</v>
      </c>
      <c r="C42" s="107" t="str">
        <f>IF($B42&lt;&gt;"",_xlfn.IFNA(VLOOKUP($B42,'Node Details'!$B:$U,C$1,0),"Check"),"")</f>
        <v>0000AXZ01-AXZ010102</v>
      </c>
      <c r="D42" s="107" t="str">
        <f>IF($B42&lt;&gt;"",_xlfn.IFNA(VLOOKUP($B42,'Node Details'!$B:$U,D$1,0),"Check"),"")</f>
        <v>AXZ</v>
      </c>
      <c r="E42" s="107" t="str">
        <f>IF($B42&lt;&gt;"",_xlfn.IFNA(VLOOKUP($B42,'Node Details'!$B:$U,E$1,0),"Check"),"")</f>
        <v>Airtel</v>
      </c>
      <c r="F42" s="108">
        <v>46110</v>
      </c>
      <c r="G42" s="107"/>
      <c r="H42" s="109" t="s">
        <v>184</v>
      </c>
      <c r="I42" s="81">
        <v>1</v>
      </c>
      <c r="J42" s="81">
        <v>48</v>
      </c>
      <c r="K42" s="107">
        <f t="shared" si="0"/>
        <v>48</v>
      </c>
      <c r="L42" s="83">
        <v>46110</v>
      </c>
      <c r="M42" s="110"/>
      <c r="N42" s="100" t="s">
        <v>186</v>
      </c>
      <c r="O42" s="101">
        <v>46094</v>
      </c>
      <c r="P42" s="111">
        <f t="shared" si="7"/>
        <v>48</v>
      </c>
      <c r="Q42" s="111">
        <f t="shared" si="8"/>
        <v>48</v>
      </c>
      <c r="R42" s="110"/>
      <c r="S42" s="100" t="s">
        <v>187</v>
      </c>
      <c r="T42" s="101"/>
      <c r="U42" s="111">
        <f t="shared" si="9"/>
        <v>48</v>
      </c>
      <c r="V42" s="111">
        <f t="shared" si="10"/>
        <v>1</v>
      </c>
      <c r="W42" s="110">
        <f t="shared" si="11"/>
        <v>48</v>
      </c>
      <c r="X42" s="100" t="s">
        <v>188</v>
      </c>
      <c r="Y42" s="112" t="s">
        <v>181</v>
      </c>
      <c r="Z42" s="112" t="s">
        <v>176</v>
      </c>
    </row>
    <row r="43" spans="1:26" s="112" customFormat="1" ht="15" customHeight="1" x14ac:dyDescent="0.2">
      <c r="A43" s="106">
        <f t="shared" si="6"/>
        <v>41</v>
      </c>
      <c r="B43" s="79" t="s">
        <v>139</v>
      </c>
      <c r="C43" s="107" t="str">
        <f>IF($B43&lt;&gt;"",_xlfn.IFNA(VLOOKUP($B43,'Node Details'!$B:$U,C$1,0),"Check"),"")</f>
        <v>0000AXZ01-AXZ010105</v>
      </c>
      <c r="D43" s="107" t="str">
        <f>IF($B43&lt;&gt;"",_xlfn.IFNA(VLOOKUP($B43,'Node Details'!$B:$U,D$1,0),"Check"),"")</f>
        <v>AXZ</v>
      </c>
      <c r="E43" s="107" t="str">
        <f>IF($B43&lt;&gt;"",_xlfn.IFNA(VLOOKUP($B43,'Node Details'!$B:$U,E$1,0),"Check"),"")</f>
        <v>Airtel</v>
      </c>
      <c r="F43" s="108">
        <v>46110</v>
      </c>
      <c r="G43" s="107"/>
      <c r="H43" s="109" t="s">
        <v>184</v>
      </c>
      <c r="I43" s="81">
        <v>1</v>
      </c>
      <c r="J43" s="81">
        <v>48</v>
      </c>
      <c r="K43" s="107">
        <f t="shared" si="0"/>
        <v>48</v>
      </c>
      <c r="L43" s="83">
        <v>46110</v>
      </c>
      <c r="M43" s="110"/>
      <c r="N43" s="100" t="s">
        <v>186</v>
      </c>
      <c r="O43" s="101">
        <v>46094</v>
      </c>
      <c r="P43" s="111">
        <f t="shared" si="7"/>
        <v>48</v>
      </c>
      <c r="Q43" s="111">
        <f t="shared" si="8"/>
        <v>48</v>
      </c>
      <c r="R43" s="110"/>
      <c r="S43" s="100" t="s">
        <v>187</v>
      </c>
      <c r="T43" s="101"/>
      <c r="U43" s="111">
        <f t="shared" si="9"/>
        <v>48</v>
      </c>
      <c r="V43" s="111">
        <f t="shared" si="10"/>
        <v>1</v>
      </c>
      <c r="W43" s="110">
        <f t="shared" si="11"/>
        <v>48</v>
      </c>
      <c r="X43" s="100" t="s">
        <v>188</v>
      </c>
      <c r="Y43" s="112" t="s">
        <v>181</v>
      </c>
      <c r="Z43" s="112" t="s">
        <v>176</v>
      </c>
    </row>
    <row r="44" spans="1:26" s="112" customFormat="1" ht="15" customHeight="1" x14ac:dyDescent="0.2">
      <c r="A44" s="106">
        <f t="shared" si="6"/>
        <v>42</v>
      </c>
      <c r="B44" s="79" t="s">
        <v>140</v>
      </c>
      <c r="C44" s="107" t="str">
        <f>IF($B44&lt;&gt;"",_xlfn.IFNA(VLOOKUP($B44,'Node Details'!$B:$U,C$1,0),"Check"),"")</f>
        <v>0000AXZ01-AXZ010105</v>
      </c>
      <c r="D44" s="107" t="str">
        <f>IF($B44&lt;&gt;"",_xlfn.IFNA(VLOOKUP($B44,'Node Details'!$B:$U,D$1,0),"Check"),"")</f>
        <v>AXZ</v>
      </c>
      <c r="E44" s="107" t="str">
        <f>IF($B44&lt;&gt;"",_xlfn.IFNA(VLOOKUP($B44,'Node Details'!$B:$U,E$1,0),"Check"),"")</f>
        <v>Airtel</v>
      </c>
      <c r="F44" s="108">
        <v>46110</v>
      </c>
      <c r="G44" s="107"/>
      <c r="H44" s="109" t="s">
        <v>184</v>
      </c>
      <c r="I44" s="81">
        <v>1</v>
      </c>
      <c r="J44" s="81">
        <v>48</v>
      </c>
      <c r="K44" s="107">
        <f t="shared" si="0"/>
        <v>48</v>
      </c>
      <c r="L44" s="83">
        <v>46110</v>
      </c>
      <c r="M44" s="110"/>
      <c r="N44" s="100" t="s">
        <v>186</v>
      </c>
      <c r="O44" s="101">
        <v>46094</v>
      </c>
      <c r="P44" s="111">
        <f t="shared" si="7"/>
        <v>48</v>
      </c>
      <c r="Q44" s="111">
        <f t="shared" si="8"/>
        <v>48</v>
      </c>
      <c r="R44" s="110"/>
      <c r="S44" s="100" t="s">
        <v>187</v>
      </c>
      <c r="T44" s="101"/>
      <c r="U44" s="111">
        <f t="shared" si="9"/>
        <v>48</v>
      </c>
      <c r="V44" s="111">
        <f t="shared" si="10"/>
        <v>1</v>
      </c>
      <c r="W44" s="110">
        <f t="shared" si="11"/>
        <v>48</v>
      </c>
      <c r="X44" s="100" t="s">
        <v>188</v>
      </c>
      <c r="Y44" s="112" t="s">
        <v>181</v>
      </c>
      <c r="Z44" s="112" t="s">
        <v>176</v>
      </c>
    </row>
    <row r="45" spans="1:26" s="112" customFormat="1" ht="15" customHeight="1" x14ac:dyDescent="0.2">
      <c r="A45" s="106">
        <f t="shared" si="6"/>
        <v>43</v>
      </c>
      <c r="B45" s="79" t="s">
        <v>141</v>
      </c>
      <c r="C45" s="107" t="str">
        <f>IF($B45&lt;&gt;"",_xlfn.IFNA(VLOOKUP($B45,'Node Details'!$B:$U,C$1,0),"Check"),"")</f>
        <v>0000AXZ01-AXZ010105</v>
      </c>
      <c r="D45" s="107" t="str">
        <f>IF($B45&lt;&gt;"",_xlfn.IFNA(VLOOKUP($B45,'Node Details'!$B:$U,D$1,0),"Check"),"")</f>
        <v>AXZ</v>
      </c>
      <c r="E45" s="107" t="str">
        <f>IF($B45&lt;&gt;"",_xlfn.IFNA(VLOOKUP($B45,'Node Details'!$B:$U,E$1,0),"Check"),"")</f>
        <v>Airtel</v>
      </c>
      <c r="F45" s="108">
        <v>46110</v>
      </c>
      <c r="G45" s="107"/>
      <c r="H45" s="109" t="s">
        <v>184</v>
      </c>
      <c r="I45" s="81">
        <v>1</v>
      </c>
      <c r="J45" s="81">
        <v>48</v>
      </c>
      <c r="K45" s="107">
        <f t="shared" si="0"/>
        <v>48</v>
      </c>
      <c r="L45" s="83">
        <v>46110</v>
      </c>
      <c r="M45" s="110"/>
      <c r="N45" s="100" t="s">
        <v>186</v>
      </c>
      <c r="O45" s="101">
        <v>46094</v>
      </c>
      <c r="P45" s="111">
        <f t="shared" si="7"/>
        <v>48</v>
      </c>
      <c r="Q45" s="111">
        <f t="shared" si="8"/>
        <v>48</v>
      </c>
      <c r="R45" s="110"/>
      <c r="S45" s="100" t="s">
        <v>187</v>
      </c>
      <c r="T45" s="101"/>
      <c r="U45" s="111">
        <f t="shared" si="9"/>
        <v>48</v>
      </c>
      <c r="V45" s="111">
        <f t="shared" si="10"/>
        <v>1</v>
      </c>
      <c r="W45" s="110">
        <f t="shared" si="11"/>
        <v>48</v>
      </c>
      <c r="X45" s="100" t="s">
        <v>188</v>
      </c>
      <c r="Y45" s="112" t="s">
        <v>181</v>
      </c>
      <c r="Z45" s="112" t="s">
        <v>176</v>
      </c>
    </row>
    <row r="46" spans="1:26" s="112" customFormat="1" ht="15" customHeight="1" x14ac:dyDescent="0.2">
      <c r="A46" s="106">
        <f t="shared" si="6"/>
        <v>44</v>
      </c>
      <c r="B46" s="79" t="s">
        <v>142</v>
      </c>
      <c r="C46" s="107" t="str">
        <f>IF($B46&lt;&gt;"",_xlfn.IFNA(VLOOKUP($B46,'Node Details'!$B:$U,C$1,0),"Check"),"")</f>
        <v>0000AXZ01-AXZ010202</v>
      </c>
      <c r="D46" s="107" t="str">
        <f>IF($B46&lt;&gt;"",_xlfn.IFNA(VLOOKUP($B46,'Node Details'!$B:$U,D$1,0),"Check"),"")</f>
        <v>AXZ</v>
      </c>
      <c r="E46" s="107" t="str">
        <f>IF($B46&lt;&gt;"",_xlfn.IFNA(VLOOKUP($B46,'Node Details'!$B:$U,E$1,0),"Check"),"")</f>
        <v>Airtel</v>
      </c>
      <c r="F46" s="108">
        <v>46110</v>
      </c>
      <c r="G46" s="107"/>
      <c r="H46" s="109" t="s">
        <v>184</v>
      </c>
      <c r="I46" s="81">
        <v>1</v>
      </c>
      <c r="J46" s="81">
        <v>48</v>
      </c>
      <c r="K46" s="107">
        <f t="shared" si="0"/>
        <v>48</v>
      </c>
      <c r="L46" s="83">
        <v>46110</v>
      </c>
      <c r="M46" s="110"/>
      <c r="N46" s="100" t="s">
        <v>186</v>
      </c>
      <c r="O46" s="101">
        <v>46094</v>
      </c>
      <c r="P46" s="111">
        <f t="shared" si="7"/>
        <v>48</v>
      </c>
      <c r="Q46" s="111">
        <f t="shared" si="8"/>
        <v>48</v>
      </c>
      <c r="R46" s="110"/>
      <c r="S46" s="100" t="s">
        <v>187</v>
      </c>
      <c r="T46" s="101"/>
      <c r="U46" s="111">
        <f t="shared" si="9"/>
        <v>48</v>
      </c>
      <c r="V46" s="111">
        <f t="shared" si="10"/>
        <v>1</v>
      </c>
      <c r="W46" s="110">
        <f t="shared" si="11"/>
        <v>48</v>
      </c>
      <c r="X46" s="100" t="s">
        <v>188</v>
      </c>
      <c r="Y46" s="112" t="s">
        <v>181</v>
      </c>
      <c r="Z46" s="112" t="s">
        <v>176</v>
      </c>
    </row>
    <row r="47" spans="1:26" s="112" customFormat="1" ht="15" customHeight="1" x14ac:dyDescent="0.2">
      <c r="A47" s="106">
        <f t="shared" si="6"/>
        <v>45</v>
      </c>
      <c r="B47" s="79" t="s">
        <v>143</v>
      </c>
      <c r="C47" s="107" t="str">
        <f>IF($B47&lt;&gt;"",_xlfn.IFNA(VLOOKUP($B47,'Node Details'!$B:$U,C$1,0),"Check"),"")</f>
        <v>0000AXZ01-AXZ010202</v>
      </c>
      <c r="D47" s="107" t="str">
        <f>IF($B47&lt;&gt;"",_xlfn.IFNA(VLOOKUP($B47,'Node Details'!$B:$U,D$1,0),"Check"),"")</f>
        <v>AXZ</v>
      </c>
      <c r="E47" s="107" t="str">
        <f>IF($B47&lt;&gt;"",_xlfn.IFNA(VLOOKUP($B47,'Node Details'!$B:$U,E$1,0),"Check"),"")</f>
        <v>Airtel</v>
      </c>
      <c r="F47" s="108">
        <v>46110</v>
      </c>
      <c r="G47" s="107"/>
      <c r="H47" s="109" t="s">
        <v>184</v>
      </c>
      <c r="I47" s="81">
        <v>1</v>
      </c>
      <c r="J47" s="81">
        <v>48</v>
      </c>
      <c r="K47" s="107">
        <f t="shared" si="0"/>
        <v>48</v>
      </c>
      <c r="L47" s="83">
        <v>46110</v>
      </c>
      <c r="M47" s="110"/>
      <c r="N47" s="100" t="s">
        <v>186</v>
      </c>
      <c r="O47" s="101">
        <v>46094</v>
      </c>
      <c r="P47" s="111">
        <f t="shared" si="7"/>
        <v>48</v>
      </c>
      <c r="Q47" s="111">
        <f t="shared" si="8"/>
        <v>48</v>
      </c>
      <c r="R47" s="110"/>
      <c r="S47" s="100" t="s">
        <v>187</v>
      </c>
      <c r="T47" s="101"/>
      <c r="U47" s="111">
        <f t="shared" si="9"/>
        <v>48</v>
      </c>
      <c r="V47" s="111">
        <f t="shared" si="10"/>
        <v>1</v>
      </c>
      <c r="W47" s="110">
        <f t="shared" si="11"/>
        <v>48</v>
      </c>
      <c r="X47" s="100" t="s">
        <v>188</v>
      </c>
      <c r="Y47" s="112" t="s">
        <v>181</v>
      </c>
      <c r="Z47" s="112" t="s">
        <v>176</v>
      </c>
    </row>
    <row r="48" spans="1:26" s="112" customFormat="1" ht="15" customHeight="1" x14ac:dyDescent="0.2">
      <c r="A48" s="106">
        <f t="shared" si="6"/>
        <v>46</v>
      </c>
      <c r="B48" s="79" t="s">
        <v>144</v>
      </c>
      <c r="C48" s="107" t="str">
        <f>IF($B48&lt;&gt;"",_xlfn.IFNA(VLOOKUP($B48,'Node Details'!$B:$U,C$1,0),"Check"),"")</f>
        <v>0000AXZ01-AXZ010202</v>
      </c>
      <c r="D48" s="107" t="str">
        <f>IF($B48&lt;&gt;"",_xlfn.IFNA(VLOOKUP($B48,'Node Details'!$B:$U,D$1,0),"Check"),"")</f>
        <v>AXZ</v>
      </c>
      <c r="E48" s="107" t="str">
        <f>IF($B48&lt;&gt;"",_xlfn.IFNA(VLOOKUP($B48,'Node Details'!$B:$U,E$1,0),"Check"),"")</f>
        <v>Airtel</v>
      </c>
      <c r="F48" s="108">
        <v>46110</v>
      </c>
      <c r="G48" s="107"/>
      <c r="H48" s="109" t="s">
        <v>184</v>
      </c>
      <c r="I48" s="81">
        <v>1</v>
      </c>
      <c r="J48" s="81">
        <v>48</v>
      </c>
      <c r="K48" s="107">
        <f t="shared" si="0"/>
        <v>48</v>
      </c>
      <c r="L48" s="83">
        <v>46110</v>
      </c>
      <c r="M48" s="110"/>
      <c r="N48" s="100" t="s">
        <v>186</v>
      </c>
      <c r="O48" s="101">
        <v>46094</v>
      </c>
      <c r="P48" s="111">
        <f t="shared" si="7"/>
        <v>48</v>
      </c>
      <c r="Q48" s="111">
        <f t="shared" si="8"/>
        <v>48</v>
      </c>
      <c r="R48" s="110"/>
      <c r="S48" s="100" t="s">
        <v>187</v>
      </c>
      <c r="T48" s="101"/>
      <c r="U48" s="111">
        <f t="shared" si="9"/>
        <v>48</v>
      </c>
      <c r="V48" s="111">
        <f t="shared" si="10"/>
        <v>1</v>
      </c>
      <c r="W48" s="110">
        <f t="shared" si="11"/>
        <v>48</v>
      </c>
      <c r="X48" s="100" t="s">
        <v>188</v>
      </c>
      <c r="Y48" s="112" t="s">
        <v>181</v>
      </c>
      <c r="Z48" s="112" t="s">
        <v>176</v>
      </c>
    </row>
    <row r="49" spans="1:26" s="112" customFormat="1" ht="15" customHeight="1" x14ac:dyDescent="0.2">
      <c r="A49" s="106">
        <f t="shared" si="6"/>
        <v>47</v>
      </c>
      <c r="B49" s="79" t="s">
        <v>145</v>
      </c>
      <c r="C49" s="107" t="str">
        <f>IF($B49&lt;&gt;"",_xlfn.IFNA(VLOOKUP($B49,'Node Details'!$B:$U,C$1,0),"Check"),"")</f>
        <v>0000AXZ01-AXZ010202</v>
      </c>
      <c r="D49" s="107" t="str">
        <f>IF($B49&lt;&gt;"",_xlfn.IFNA(VLOOKUP($B49,'Node Details'!$B:$U,D$1,0),"Check"),"")</f>
        <v>AXZ</v>
      </c>
      <c r="E49" s="107" t="str">
        <f>IF($B49&lt;&gt;"",_xlfn.IFNA(VLOOKUP($B49,'Node Details'!$B:$U,E$1,0),"Check"),"")</f>
        <v>Airtel</v>
      </c>
      <c r="F49" s="108">
        <v>46110</v>
      </c>
      <c r="G49" s="107"/>
      <c r="H49" s="109" t="s">
        <v>184</v>
      </c>
      <c r="I49" s="81">
        <v>1</v>
      </c>
      <c r="J49" s="81">
        <v>48</v>
      </c>
      <c r="K49" s="107">
        <f t="shared" si="0"/>
        <v>48</v>
      </c>
      <c r="L49" s="83">
        <v>46110</v>
      </c>
      <c r="M49" s="110"/>
      <c r="N49" s="100" t="s">
        <v>186</v>
      </c>
      <c r="O49" s="101">
        <v>46094</v>
      </c>
      <c r="P49" s="111">
        <f t="shared" si="7"/>
        <v>48</v>
      </c>
      <c r="Q49" s="111">
        <f t="shared" si="8"/>
        <v>48</v>
      </c>
      <c r="R49" s="110"/>
      <c r="S49" s="100" t="s">
        <v>187</v>
      </c>
      <c r="T49" s="101"/>
      <c r="U49" s="111">
        <f t="shared" si="9"/>
        <v>48</v>
      </c>
      <c r="V49" s="111">
        <f t="shared" si="10"/>
        <v>1</v>
      </c>
      <c r="W49" s="110">
        <f t="shared" si="11"/>
        <v>48</v>
      </c>
      <c r="X49" s="100" t="s">
        <v>188</v>
      </c>
      <c r="Y49" s="112" t="s">
        <v>181</v>
      </c>
      <c r="Z49" s="112" t="s">
        <v>176</v>
      </c>
    </row>
    <row r="50" spans="1:26" s="112" customFormat="1" ht="15" customHeight="1" x14ac:dyDescent="0.2">
      <c r="A50" s="106">
        <f t="shared" si="6"/>
        <v>48</v>
      </c>
      <c r="B50" s="79" t="s">
        <v>146</v>
      </c>
      <c r="C50" s="107" t="str">
        <f>IF($B50&lt;&gt;"",_xlfn.IFNA(VLOOKUP($B50,'Node Details'!$B:$U,C$1,0),"Check"),"")</f>
        <v>0000AXZ01-AXZ010202</v>
      </c>
      <c r="D50" s="107" t="str">
        <f>IF($B50&lt;&gt;"",_xlfn.IFNA(VLOOKUP($B50,'Node Details'!$B:$U,D$1,0),"Check"),"")</f>
        <v>AXZ</v>
      </c>
      <c r="E50" s="107" t="str">
        <f>IF($B50&lt;&gt;"",_xlfn.IFNA(VLOOKUP($B50,'Node Details'!$B:$U,E$1,0),"Check"),"")</f>
        <v>Airtel</v>
      </c>
      <c r="F50" s="108">
        <v>46110</v>
      </c>
      <c r="G50" s="107"/>
      <c r="H50" s="109" t="s">
        <v>184</v>
      </c>
      <c r="I50" s="81">
        <v>1</v>
      </c>
      <c r="J50" s="81">
        <v>48</v>
      </c>
      <c r="K50" s="107">
        <f t="shared" si="0"/>
        <v>48</v>
      </c>
      <c r="L50" s="83">
        <v>46110</v>
      </c>
      <c r="M50" s="110"/>
      <c r="N50" s="100" t="s">
        <v>186</v>
      </c>
      <c r="O50" s="101">
        <v>46094</v>
      </c>
      <c r="P50" s="111">
        <f t="shared" si="7"/>
        <v>48</v>
      </c>
      <c r="Q50" s="111">
        <f t="shared" si="8"/>
        <v>48</v>
      </c>
      <c r="R50" s="110"/>
      <c r="S50" s="100" t="s">
        <v>187</v>
      </c>
      <c r="T50" s="101"/>
      <c r="U50" s="111">
        <f t="shared" si="9"/>
        <v>48</v>
      </c>
      <c r="V50" s="111">
        <f t="shared" si="10"/>
        <v>1</v>
      </c>
      <c r="W50" s="110">
        <f t="shared" si="11"/>
        <v>48</v>
      </c>
      <c r="X50" s="100" t="s">
        <v>188</v>
      </c>
      <c r="Y50" s="112" t="s">
        <v>181</v>
      </c>
      <c r="Z50" s="112" t="s">
        <v>176</v>
      </c>
    </row>
    <row r="51" spans="1:26" s="112" customFormat="1" ht="15" customHeight="1" x14ac:dyDescent="0.2">
      <c r="A51" s="106">
        <f t="shared" si="6"/>
        <v>49</v>
      </c>
      <c r="B51" s="79" t="s">
        <v>147</v>
      </c>
      <c r="C51" s="107" t="str">
        <f>IF($B51&lt;&gt;"",_xlfn.IFNA(VLOOKUP($B51,'Node Details'!$B:$U,C$1,0),"Check"),"")</f>
        <v>000000AXZ-0000AXZ03</v>
      </c>
      <c r="D51" s="107" t="str">
        <f>IF($B51&lt;&gt;"",_xlfn.IFNA(VLOOKUP($B51,'Node Details'!$B:$U,D$1,0),"Check"),"")</f>
        <v>AXZ</v>
      </c>
      <c r="E51" s="107" t="str">
        <f>IF($B51&lt;&gt;"",_xlfn.IFNA(VLOOKUP($B51,'Node Details'!$B:$U,E$1,0),"Check"),"")</f>
        <v>Airtel</v>
      </c>
      <c r="F51" s="108">
        <v>46110</v>
      </c>
      <c r="G51" s="107"/>
      <c r="H51" s="109" t="s">
        <v>184</v>
      </c>
      <c r="I51" s="81">
        <v>1</v>
      </c>
      <c r="J51" s="81">
        <v>48</v>
      </c>
      <c r="K51" s="107">
        <f t="shared" si="0"/>
        <v>48</v>
      </c>
      <c r="L51" s="83">
        <v>46110</v>
      </c>
      <c r="M51" s="110"/>
      <c r="N51" s="100" t="s">
        <v>186</v>
      </c>
      <c r="O51" s="101">
        <v>46094</v>
      </c>
      <c r="P51" s="111">
        <f t="shared" si="7"/>
        <v>48</v>
      </c>
      <c r="Q51" s="111">
        <f t="shared" si="8"/>
        <v>48</v>
      </c>
      <c r="R51" s="110"/>
      <c r="S51" s="100" t="s">
        <v>187</v>
      </c>
      <c r="T51" s="101"/>
      <c r="U51" s="111">
        <f t="shared" si="9"/>
        <v>48</v>
      </c>
      <c r="V51" s="111">
        <f t="shared" si="10"/>
        <v>1</v>
      </c>
      <c r="W51" s="110">
        <f t="shared" si="11"/>
        <v>48</v>
      </c>
      <c r="X51" s="100" t="s">
        <v>188</v>
      </c>
      <c r="Y51" s="112" t="s">
        <v>181</v>
      </c>
      <c r="Z51" s="112" t="s">
        <v>176</v>
      </c>
    </row>
    <row r="52" spans="1:26" s="112" customFormat="1" ht="15" customHeight="1" x14ac:dyDescent="0.2">
      <c r="A52" s="106">
        <f t="shared" si="6"/>
        <v>50</v>
      </c>
      <c r="B52" s="79" t="s">
        <v>148</v>
      </c>
      <c r="C52" s="107" t="str">
        <f>IF($B52&lt;&gt;"",_xlfn.IFNA(VLOOKUP($B52,'Node Details'!$B:$U,C$1,0),"Check"),"")</f>
        <v>0000AXZ02-AXZ020101</v>
      </c>
      <c r="D52" s="107" t="str">
        <f>IF($B52&lt;&gt;"",_xlfn.IFNA(VLOOKUP($B52,'Node Details'!$B:$U,D$1,0),"Check"),"")</f>
        <v>AXZ</v>
      </c>
      <c r="E52" s="107" t="str">
        <f>IF($B52&lt;&gt;"",_xlfn.IFNA(VLOOKUP($B52,'Node Details'!$B:$U,E$1,0),"Check"),"")</f>
        <v>Airtel</v>
      </c>
      <c r="F52" s="108">
        <v>46110</v>
      </c>
      <c r="G52" s="107"/>
      <c r="H52" s="109" t="s">
        <v>184</v>
      </c>
      <c r="I52" s="81">
        <v>1</v>
      </c>
      <c r="J52" s="81">
        <v>48</v>
      </c>
      <c r="K52" s="107">
        <f t="shared" si="0"/>
        <v>48</v>
      </c>
      <c r="L52" s="83">
        <v>46110</v>
      </c>
      <c r="M52" s="110"/>
      <c r="N52" s="100" t="s">
        <v>186</v>
      </c>
      <c r="O52" s="101">
        <v>46094</v>
      </c>
      <c r="P52" s="111">
        <f t="shared" si="7"/>
        <v>48</v>
      </c>
      <c r="Q52" s="111">
        <f t="shared" si="8"/>
        <v>48</v>
      </c>
      <c r="R52" s="110"/>
      <c r="S52" s="100" t="s">
        <v>187</v>
      </c>
      <c r="T52" s="101"/>
      <c r="U52" s="111">
        <f t="shared" si="9"/>
        <v>48</v>
      </c>
      <c r="V52" s="111">
        <f t="shared" si="10"/>
        <v>1</v>
      </c>
      <c r="W52" s="110">
        <f t="shared" si="11"/>
        <v>48</v>
      </c>
      <c r="X52" s="100" t="s">
        <v>188</v>
      </c>
      <c r="Y52" s="112" t="s">
        <v>181</v>
      </c>
      <c r="Z52" s="112" t="s">
        <v>176</v>
      </c>
    </row>
    <row r="53" spans="1:26" s="112" customFormat="1" ht="15" customHeight="1" x14ac:dyDescent="0.2">
      <c r="A53" s="106">
        <f t="shared" si="6"/>
        <v>51</v>
      </c>
      <c r="B53" s="79" t="s">
        <v>149</v>
      </c>
      <c r="C53" s="107" t="str">
        <f>IF($B53&lt;&gt;"",_xlfn.IFNA(VLOOKUP($B53,'Node Details'!$B:$U,C$1,0),"Check"),"")</f>
        <v>0000AXZ02-AXZ020103</v>
      </c>
      <c r="D53" s="107" t="str">
        <f>IF($B53&lt;&gt;"",_xlfn.IFNA(VLOOKUP($B53,'Node Details'!$B:$U,D$1,0),"Check"),"")</f>
        <v>AXZ</v>
      </c>
      <c r="E53" s="107" t="str">
        <f>IF($B53&lt;&gt;"",_xlfn.IFNA(VLOOKUP($B53,'Node Details'!$B:$U,E$1,0),"Check"),"")</f>
        <v>Airtel</v>
      </c>
      <c r="F53" s="108">
        <v>46110</v>
      </c>
      <c r="G53" s="107"/>
      <c r="H53" s="109" t="s">
        <v>184</v>
      </c>
      <c r="I53" s="81">
        <v>1</v>
      </c>
      <c r="J53" s="81">
        <v>48</v>
      </c>
      <c r="K53" s="107">
        <f t="shared" si="0"/>
        <v>48</v>
      </c>
      <c r="L53" s="83">
        <v>46110</v>
      </c>
      <c r="M53" s="110"/>
      <c r="N53" s="100" t="s">
        <v>186</v>
      </c>
      <c r="O53" s="101">
        <v>46094</v>
      </c>
      <c r="P53" s="111">
        <f t="shared" si="7"/>
        <v>48</v>
      </c>
      <c r="Q53" s="111">
        <f t="shared" si="8"/>
        <v>48</v>
      </c>
      <c r="R53" s="110"/>
      <c r="S53" s="100" t="s">
        <v>187</v>
      </c>
      <c r="T53" s="101"/>
      <c r="U53" s="111">
        <f t="shared" si="9"/>
        <v>48</v>
      </c>
      <c r="V53" s="111">
        <f t="shared" si="10"/>
        <v>1</v>
      </c>
      <c r="W53" s="110">
        <f t="shared" si="11"/>
        <v>48</v>
      </c>
      <c r="X53" s="100" t="s">
        <v>188</v>
      </c>
      <c r="Y53" s="112" t="s">
        <v>181</v>
      </c>
      <c r="Z53" s="112" t="s">
        <v>176</v>
      </c>
    </row>
    <row r="54" spans="1:26" s="112" customFormat="1" ht="15" customHeight="1" x14ac:dyDescent="0.2">
      <c r="A54" s="106">
        <f t="shared" si="6"/>
        <v>52</v>
      </c>
      <c r="B54" s="79" t="s">
        <v>150</v>
      </c>
      <c r="C54" s="107" t="str">
        <f>IF($B54&lt;&gt;"",_xlfn.IFNA(VLOOKUP($B54,'Node Details'!$B:$U,C$1,0),"Check"),"")</f>
        <v>0000AXZ02-AXZ020103</v>
      </c>
      <c r="D54" s="107" t="str">
        <f>IF($B54&lt;&gt;"",_xlfn.IFNA(VLOOKUP($B54,'Node Details'!$B:$U,D$1,0),"Check"),"")</f>
        <v>AXZ</v>
      </c>
      <c r="E54" s="107" t="str">
        <f>IF($B54&lt;&gt;"",_xlfn.IFNA(VLOOKUP($B54,'Node Details'!$B:$U,E$1,0),"Check"),"")</f>
        <v>Airtel</v>
      </c>
      <c r="F54" s="108">
        <v>46110</v>
      </c>
      <c r="G54" s="107"/>
      <c r="H54" s="109" t="s">
        <v>184</v>
      </c>
      <c r="I54" s="81">
        <v>1</v>
      </c>
      <c r="J54" s="81">
        <v>48</v>
      </c>
      <c r="K54" s="107">
        <f t="shared" si="0"/>
        <v>48</v>
      </c>
      <c r="L54" s="83">
        <v>46110</v>
      </c>
      <c r="M54" s="110"/>
      <c r="N54" s="100" t="s">
        <v>186</v>
      </c>
      <c r="O54" s="101">
        <v>46094</v>
      </c>
      <c r="P54" s="111">
        <f t="shared" si="7"/>
        <v>48</v>
      </c>
      <c r="Q54" s="111">
        <f t="shared" si="8"/>
        <v>48</v>
      </c>
      <c r="R54" s="110"/>
      <c r="S54" s="100" t="s">
        <v>187</v>
      </c>
      <c r="T54" s="101"/>
      <c r="U54" s="111">
        <f t="shared" si="9"/>
        <v>48</v>
      </c>
      <c r="V54" s="111">
        <f t="shared" si="10"/>
        <v>1</v>
      </c>
      <c r="W54" s="110">
        <f t="shared" si="11"/>
        <v>48</v>
      </c>
      <c r="X54" s="100" t="s">
        <v>188</v>
      </c>
      <c r="Y54" s="112" t="s">
        <v>181</v>
      </c>
      <c r="Z54" s="112" t="s">
        <v>176</v>
      </c>
    </row>
    <row r="55" spans="1:26" s="112" customFormat="1" ht="15" customHeight="1" x14ac:dyDescent="0.2">
      <c r="A55" s="106">
        <f t="shared" si="6"/>
        <v>53</v>
      </c>
      <c r="B55" s="79" t="s">
        <v>151</v>
      </c>
      <c r="C55" s="107" t="str">
        <f>IF($B55&lt;&gt;"",_xlfn.IFNA(VLOOKUP($B55,'Node Details'!$B:$U,C$1,0),"Check"),"")</f>
        <v>0000AXZ02-AXZ020203</v>
      </c>
      <c r="D55" s="107" t="str">
        <f>IF($B55&lt;&gt;"",_xlfn.IFNA(VLOOKUP($B55,'Node Details'!$B:$U,D$1,0),"Check"),"")</f>
        <v>AXZ</v>
      </c>
      <c r="E55" s="107" t="str">
        <f>IF($B55&lt;&gt;"",_xlfn.IFNA(VLOOKUP($B55,'Node Details'!$B:$U,E$1,0),"Check"),"")</f>
        <v>Airtel</v>
      </c>
      <c r="F55" s="108">
        <v>46110</v>
      </c>
      <c r="G55" s="110"/>
      <c r="H55" s="109" t="s">
        <v>184</v>
      </c>
      <c r="I55" s="81">
        <v>1</v>
      </c>
      <c r="J55" s="81">
        <v>48</v>
      </c>
      <c r="K55" s="107">
        <f t="shared" si="0"/>
        <v>48</v>
      </c>
      <c r="L55" s="83">
        <v>46110</v>
      </c>
      <c r="M55" s="110"/>
      <c r="N55" s="100" t="s">
        <v>186</v>
      </c>
      <c r="O55" s="101">
        <v>46094</v>
      </c>
      <c r="P55" s="111">
        <f t="shared" si="7"/>
        <v>48</v>
      </c>
      <c r="Q55" s="111">
        <f t="shared" si="8"/>
        <v>48</v>
      </c>
      <c r="R55" s="111"/>
      <c r="S55" s="100" t="s">
        <v>187</v>
      </c>
      <c r="T55" s="101"/>
      <c r="U55" s="111">
        <f t="shared" si="9"/>
        <v>48</v>
      </c>
      <c r="V55" s="111">
        <f t="shared" si="10"/>
        <v>1</v>
      </c>
      <c r="W55" s="110">
        <f t="shared" si="11"/>
        <v>48</v>
      </c>
      <c r="X55" s="100" t="s">
        <v>188</v>
      </c>
      <c r="Y55" s="112" t="s">
        <v>181</v>
      </c>
      <c r="Z55" s="112" t="s">
        <v>176</v>
      </c>
    </row>
    <row r="56" spans="1:26" s="112" customFormat="1" ht="15" customHeight="1" x14ac:dyDescent="0.2">
      <c r="A56" s="106">
        <f t="shared" si="6"/>
        <v>54</v>
      </c>
      <c r="B56" s="79" t="s">
        <v>152</v>
      </c>
      <c r="C56" s="107" t="str">
        <f>IF($B56&lt;&gt;"",_xlfn.IFNA(VLOOKUP($B56,'Node Details'!$B:$U,C$1,0),"Check"),"")</f>
        <v>0000AXZ02-AXZ020203</v>
      </c>
      <c r="D56" s="107" t="str">
        <f>IF($B56&lt;&gt;"",_xlfn.IFNA(VLOOKUP($B56,'Node Details'!$B:$U,D$1,0),"Check"),"")</f>
        <v>AXZ</v>
      </c>
      <c r="E56" s="107" t="str">
        <f>IF($B56&lt;&gt;"",_xlfn.IFNA(VLOOKUP($B56,'Node Details'!$B:$U,E$1,0),"Check"),"")</f>
        <v>Airtel</v>
      </c>
      <c r="F56" s="108">
        <v>46110</v>
      </c>
      <c r="G56" s="110"/>
      <c r="H56" s="109" t="s">
        <v>184</v>
      </c>
      <c r="I56" s="81">
        <v>1</v>
      </c>
      <c r="J56" s="81">
        <v>48</v>
      </c>
      <c r="K56" s="107">
        <f t="shared" si="0"/>
        <v>48</v>
      </c>
      <c r="L56" s="83">
        <v>46110</v>
      </c>
      <c r="M56" s="110"/>
      <c r="N56" s="100" t="s">
        <v>186</v>
      </c>
      <c r="O56" s="101">
        <v>46094</v>
      </c>
      <c r="P56" s="111">
        <f t="shared" si="7"/>
        <v>48</v>
      </c>
      <c r="Q56" s="111">
        <f t="shared" si="8"/>
        <v>48</v>
      </c>
      <c r="R56" s="111"/>
      <c r="S56" s="100" t="s">
        <v>187</v>
      </c>
      <c r="T56" s="101"/>
      <c r="U56" s="111">
        <f t="shared" si="9"/>
        <v>48</v>
      </c>
      <c r="V56" s="111">
        <f t="shared" si="10"/>
        <v>1</v>
      </c>
      <c r="W56" s="110">
        <f t="shared" si="11"/>
        <v>48</v>
      </c>
      <c r="X56" s="100" t="s">
        <v>188</v>
      </c>
      <c r="Y56" s="112" t="s">
        <v>181</v>
      </c>
      <c r="Z56" s="112" t="s">
        <v>176</v>
      </c>
    </row>
    <row r="57" spans="1:26" s="112" customFormat="1" ht="15" customHeight="1" x14ac:dyDescent="0.2">
      <c r="A57" s="106">
        <f t="shared" si="6"/>
        <v>55</v>
      </c>
      <c r="B57" s="79" t="s">
        <v>153</v>
      </c>
      <c r="C57" s="107" t="str">
        <f>IF($B57&lt;&gt;"",_xlfn.IFNA(VLOOKUP($B57,'Node Details'!$B:$U,C$1,0),"Check"),"")</f>
        <v>0000AXZ02-AXZ020203</v>
      </c>
      <c r="D57" s="107" t="str">
        <f>IF($B57&lt;&gt;"",_xlfn.IFNA(VLOOKUP($B57,'Node Details'!$B:$U,D$1,0),"Check"),"")</f>
        <v>AXZ</v>
      </c>
      <c r="E57" s="107" t="str">
        <f>IF($B57&lt;&gt;"",_xlfn.IFNA(VLOOKUP($B57,'Node Details'!$B:$U,E$1,0),"Check"),"")</f>
        <v>Airtel</v>
      </c>
      <c r="F57" s="108">
        <v>46110</v>
      </c>
      <c r="G57" s="110"/>
      <c r="H57" s="109" t="s">
        <v>184</v>
      </c>
      <c r="I57" s="81">
        <v>1</v>
      </c>
      <c r="J57" s="81">
        <v>48</v>
      </c>
      <c r="K57" s="107">
        <f t="shared" si="0"/>
        <v>48</v>
      </c>
      <c r="L57" s="83">
        <v>46110</v>
      </c>
      <c r="M57" s="110"/>
      <c r="N57" s="100" t="s">
        <v>186</v>
      </c>
      <c r="O57" s="101">
        <v>46094</v>
      </c>
      <c r="P57" s="111">
        <f t="shared" si="7"/>
        <v>48</v>
      </c>
      <c r="Q57" s="111">
        <f t="shared" si="8"/>
        <v>48</v>
      </c>
      <c r="R57" s="111"/>
      <c r="S57" s="100" t="s">
        <v>187</v>
      </c>
      <c r="T57" s="101"/>
      <c r="U57" s="111">
        <f t="shared" si="9"/>
        <v>48</v>
      </c>
      <c r="V57" s="111">
        <f t="shared" si="10"/>
        <v>1</v>
      </c>
      <c r="W57" s="110">
        <f t="shared" si="11"/>
        <v>48</v>
      </c>
      <c r="X57" s="100" t="s">
        <v>188</v>
      </c>
      <c r="Y57" s="112" t="s">
        <v>181</v>
      </c>
      <c r="Z57" s="112" t="s">
        <v>176</v>
      </c>
    </row>
    <row r="58" spans="1:26" s="112" customFormat="1" ht="15" customHeight="1" x14ac:dyDescent="0.2">
      <c r="A58" s="106">
        <f t="shared" si="6"/>
        <v>56</v>
      </c>
      <c r="B58" s="79" t="s">
        <v>154</v>
      </c>
      <c r="C58" s="107" t="str">
        <f>IF($B58&lt;&gt;"",_xlfn.IFNA(VLOOKUP($B58,'Node Details'!$B:$U,C$1,0),"Check"),"")</f>
        <v>0000AXZ02-AXZ020203</v>
      </c>
      <c r="D58" s="107" t="str">
        <f>IF($B58&lt;&gt;"",_xlfn.IFNA(VLOOKUP($B58,'Node Details'!$B:$U,D$1,0),"Check"),"")</f>
        <v>AXZ</v>
      </c>
      <c r="E58" s="107" t="str">
        <f>IF($B58&lt;&gt;"",_xlfn.IFNA(VLOOKUP($B58,'Node Details'!$B:$U,E$1,0),"Check"),"")</f>
        <v>Airtel</v>
      </c>
      <c r="F58" s="108">
        <v>46110</v>
      </c>
      <c r="G58" s="110"/>
      <c r="H58" s="109" t="s">
        <v>184</v>
      </c>
      <c r="I58" s="81">
        <v>1</v>
      </c>
      <c r="J58" s="81">
        <v>48</v>
      </c>
      <c r="K58" s="107">
        <f t="shared" si="0"/>
        <v>48</v>
      </c>
      <c r="L58" s="83">
        <v>46110</v>
      </c>
      <c r="M58" s="110"/>
      <c r="N58" s="100" t="s">
        <v>186</v>
      </c>
      <c r="O58" s="101">
        <v>46094</v>
      </c>
      <c r="P58" s="111">
        <f t="shared" si="7"/>
        <v>48</v>
      </c>
      <c r="Q58" s="111">
        <f t="shared" si="8"/>
        <v>48</v>
      </c>
      <c r="R58" s="111"/>
      <c r="S58" s="100" t="s">
        <v>187</v>
      </c>
      <c r="T58" s="101"/>
      <c r="U58" s="111">
        <f t="shared" si="9"/>
        <v>48</v>
      </c>
      <c r="V58" s="111">
        <f t="shared" si="10"/>
        <v>1</v>
      </c>
      <c r="W58" s="110">
        <f t="shared" si="11"/>
        <v>48</v>
      </c>
      <c r="X58" s="100" t="s">
        <v>188</v>
      </c>
      <c r="Y58" s="112" t="s">
        <v>181</v>
      </c>
      <c r="Z58" s="112" t="s">
        <v>176</v>
      </c>
    </row>
    <row r="59" spans="1:26" s="112" customFormat="1" ht="15" customHeight="1" x14ac:dyDescent="0.2">
      <c r="A59" s="106">
        <f t="shared" si="6"/>
        <v>57</v>
      </c>
      <c r="B59" s="79" t="s">
        <v>155</v>
      </c>
      <c r="C59" s="107" t="str">
        <f>IF($B59&lt;&gt;"",_xlfn.IFNA(VLOOKUP($B59,'Node Details'!$B:$U,C$1,0),"Check"),"")</f>
        <v>0000AXZ02-AXZ020203</v>
      </c>
      <c r="D59" s="107" t="str">
        <f>IF($B59&lt;&gt;"",_xlfn.IFNA(VLOOKUP($B59,'Node Details'!$B:$U,D$1,0),"Check"),"")</f>
        <v>AXZ</v>
      </c>
      <c r="E59" s="107" t="str">
        <f>IF($B59&lt;&gt;"",_xlfn.IFNA(VLOOKUP($B59,'Node Details'!$B:$U,E$1,0),"Check"),"")</f>
        <v>Airtel</v>
      </c>
      <c r="F59" s="108">
        <v>46110</v>
      </c>
      <c r="G59" s="110"/>
      <c r="H59" s="109" t="s">
        <v>184</v>
      </c>
      <c r="I59" s="81">
        <v>1</v>
      </c>
      <c r="J59" s="81">
        <v>48</v>
      </c>
      <c r="K59" s="107">
        <f t="shared" si="0"/>
        <v>48</v>
      </c>
      <c r="L59" s="83">
        <v>46110</v>
      </c>
      <c r="M59" s="110"/>
      <c r="N59" s="100" t="s">
        <v>186</v>
      </c>
      <c r="O59" s="101">
        <v>46094</v>
      </c>
      <c r="P59" s="111">
        <f t="shared" si="7"/>
        <v>48</v>
      </c>
      <c r="Q59" s="111">
        <f t="shared" si="8"/>
        <v>48</v>
      </c>
      <c r="R59" s="111"/>
      <c r="S59" s="100" t="s">
        <v>187</v>
      </c>
      <c r="T59" s="101"/>
      <c r="U59" s="111">
        <f t="shared" si="9"/>
        <v>48</v>
      </c>
      <c r="V59" s="111">
        <f t="shared" si="10"/>
        <v>1</v>
      </c>
      <c r="W59" s="110">
        <f t="shared" si="11"/>
        <v>48</v>
      </c>
      <c r="X59" s="100" t="s">
        <v>188</v>
      </c>
      <c r="Y59" s="112" t="s">
        <v>181</v>
      </c>
      <c r="Z59" s="112" t="s">
        <v>176</v>
      </c>
    </row>
    <row r="60" spans="1:26" s="112" customFormat="1" ht="15" customHeight="1" x14ac:dyDescent="0.2">
      <c r="A60" s="106">
        <f t="shared" si="6"/>
        <v>58</v>
      </c>
      <c r="B60" s="79" t="s">
        <v>156</v>
      </c>
      <c r="C60" s="107" t="str">
        <f>IF($B60&lt;&gt;"",_xlfn.IFNA(VLOOKUP($B60,'Node Details'!$B:$U,C$1,0),"Check"),"")</f>
        <v>0000AXZ02-AXZ020203</v>
      </c>
      <c r="D60" s="107" t="str">
        <f>IF($B60&lt;&gt;"",_xlfn.IFNA(VLOOKUP($B60,'Node Details'!$B:$U,D$1,0),"Check"),"")</f>
        <v>AXZ</v>
      </c>
      <c r="E60" s="107" t="str">
        <f>IF($B60&lt;&gt;"",_xlfn.IFNA(VLOOKUP($B60,'Node Details'!$B:$U,E$1,0),"Check"),"")</f>
        <v>Airtel</v>
      </c>
      <c r="F60" s="108">
        <v>46110</v>
      </c>
      <c r="G60" s="110"/>
      <c r="H60" s="109" t="s">
        <v>184</v>
      </c>
      <c r="I60" s="81">
        <v>1</v>
      </c>
      <c r="J60" s="81">
        <v>48</v>
      </c>
      <c r="K60" s="107">
        <f t="shared" si="0"/>
        <v>48</v>
      </c>
      <c r="L60" s="83">
        <v>46110</v>
      </c>
      <c r="M60" s="110"/>
      <c r="N60" s="100" t="s">
        <v>186</v>
      </c>
      <c r="O60" s="101">
        <v>46094</v>
      </c>
      <c r="P60" s="111">
        <f t="shared" si="7"/>
        <v>48</v>
      </c>
      <c r="Q60" s="111">
        <f t="shared" si="8"/>
        <v>48</v>
      </c>
      <c r="R60" s="111"/>
      <c r="S60" s="100" t="s">
        <v>187</v>
      </c>
      <c r="T60" s="101"/>
      <c r="U60" s="111">
        <f t="shared" si="9"/>
        <v>48</v>
      </c>
      <c r="V60" s="111">
        <f t="shared" si="10"/>
        <v>1</v>
      </c>
      <c r="W60" s="110">
        <f t="shared" si="11"/>
        <v>48</v>
      </c>
      <c r="X60" s="100" t="s">
        <v>188</v>
      </c>
      <c r="Y60" s="112" t="s">
        <v>181</v>
      </c>
      <c r="Z60" s="112" t="s">
        <v>176</v>
      </c>
    </row>
    <row r="61" spans="1:26" s="112" customFormat="1" ht="15" customHeight="1" x14ac:dyDescent="0.2">
      <c r="A61" s="106">
        <f t="shared" si="6"/>
        <v>59</v>
      </c>
      <c r="B61" s="79" t="s">
        <v>157</v>
      </c>
      <c r="C61" s="107" t="str">
        <f>IF($B61&lt;&gt;"",_xlfn.IFNA(VLOOKUP($B61,'Node Details'!$B:$U,C$1,0),"Check"),"")</f>
        <v>0000AXZ02-AXZ020203</v>
      </c>
      <c r="D61" s="107" t="str">
        <f>IF($B61&lt;&gt;"",_xlfn.IFNA(VLOOKUP($B61,'Node Details'!$B:$U,D$1,0),"Check"),"")</f>
        <v>AXZ</v>
      </c>
      <c r="E61" s="107" t="str">
        <f>IF($B61&lt;&gt;"",_xlfn.IFNA(VLOOKUP($B61,'Node Details'!$B:$U,E$1,0),"Check"),"")</f>
        <v>Airtel</v>
      </c>
      <c r="F61" s="108">
        <v>46110</v>
      </c>
      <c r="G61" s="110"/>
      <c r="H61" s="109" t="s">
        <v>184</v>
      </c>
      <c r="I61" s="81">
        <v>1</v>
      </c>
      <c r="J61" s="81">
        <v>48</v>
      </c>
      <c r="K61" s="107">
        <f t="shared" si="0"/>
        <v>48</v>
      </c>
      <c r="L61" s="83">
        <v>46110</v>
      </c>
      <c r="M61" s="110"/>
      <c r="N61" s="100" t="s">
        <v>186</v>
      </c>
      <c r="O61" s="101">
        <v>46094</v>
      </c>
      <c r="P61" s="111">
        <f t="shared" si="7"/>
        <v>48</v>
      </c>
      <c r="Q61" s="111">
        <f t="shared" si="8"/>
        <v>48</v>
      </c>
      <c r="R61" s="111"/>
      <c r="S61" s="100" t="s">
        <v>187</v>
      </c>
      <c r="T61" s="101"/>
      <c r="U61" s="111">
        <f t="shared" si="9"/>
        <v>48</v>
      </c>
      <c r="V61" s="111">
        <f t="shared" si="10"/>
        <v>1</v>
      </c>
      <c r="W61" s="110">
        <f t="shared" si="11"/>
        <v>48</v>
      </c>
      <c r="X61" s="100" t="s">
        <v>188</v>
      </c>
      <c r="Y61" s="112" t="s">
        <v>181</v>
      </c>
      <c r="Z61" s="112" t="s">
        <v>176</v>
      </c>
    </row>
    <row r="62" spans="1:26" s="112" customFormat="1" ht="15" customHeight="1" x14ac:dyDescent="0.25">
      <c r="A62" s="106">
        <f t="shared" si="6"/>
        <v>60</v>
      </c>
      <c r="B62" s="92" t="s">
        <v>158</v>
      </c>
      <c r="C62" s="107" t="str">
        <f>IF($B62&lt;&gt;"",_xlfn.IFNA(VLOOKUP($B62,'Node Details'!$B:$U,C$1,0),"Check"),"")</f>
        <v>0000AXZ02-AXZ020203</v>
      </c>
      <c r="D62" s="107" t="str">
        <f>IF($B62&lt;&gt;"",_xlfn.IFNA(VLOOKUP($B62,'Node Details'!$B:$U,D$1,0),"Check"),"")</f>
        <v>AXZ</v>
      </c>
      <c r="E62" s="107" t="str">
        <f>IF($B62&lt;&gt;"",_xlfn.IFNA(VLOOKUP($B62,'Node Details'!$B:$U,E$1,0),"Check"),"")</f>
        <v>Airtel</v>
      </c>
      <c r="F62" s="108">
        <v>46110</v>
      </c>
      <c r="G62" s="110"/>
      <c r="H62" s="109" t="s">
        <v>184</v>
      </c>
      <c r="I62" s="81">
        <v>1</v>
      </c>
      <c r="J62" s="81">
        <v>48</v>
      </c>
      <c r="K62" s="107">
        <f t="shared" si="0"/>
        <v>48</v>
      </c>
      <c r="L62" s="83">
        <v>46110</v>
      </c>
      <c r="M62" s="110"/>
      <c r="N62" s="100" t="s">
        <v>186</v>
      </c>
      <c r="O62" s="101">
        <v>46094</v>
      </c>
      <c r="P62" s="111">
        <f t="shared" si="7"/>
        <v>48</v>
      </c>
      <c r="Q62" s="111">
        <f t="shared" si="8"/>
        <v>48</v>
      </c>
      <c r="R62" s="111"/>
      <c r="S62" s="100" t="s">
        <v>187</v>
      </c>
      <c r="T62" s="101"/>
      <c r="U62" s="111">
        <f t="shared" si="9"/>
        <v>48</v>
      </c>
      <c r="V62" s="111">
        <f t="shared" si="10"/>
        <v>1</v>
      </c>
      <c r="W62" s="110">
        <f t="shared" si="11"/>
        <v>48</v>
      </c>
      <c r="X62" s="100" t="s">
        <v>188</v>
      </c>
      <c r="Y62" s="112" t="s">
        <v>181</v>
      </c>
      <c r="Z62" s="112" t="s">
        <v>176</v>
      </c>
    </row>
    <row r="63" spans="1:26" s="112" customFormat="1" ht="15" customHeight="1" x14ac:dyDescent="0.25">
      <c r="A63" s="106">
        <f t="shared" si="6"/>
        <v>61</v>
      </c>
      <c r="B63" s="92" t="s">
        <v>159</v>
      </c>
      <c r="C63" s="107" t="str">
        <f>IF($B63&lt;&gt;"",_xlfn.IFNA(VLOOKUP($B63,'Node Details'!$B:$U,C$1,0),"Check"),"")</f>
        <v>000000AXZ-0000AXZ03</v>
      </c>
      <c r="D63" s="107" t="str">
        <f>IF($B63&lt;&gt;"",_xlfn.IFNA(VLOOKUP($B63,'Node Details'!$B:$U,D$1,0),"Check"),"")</f>
        <v>AXZ</v>
      </c>
      <c r="E63" s="107" t="str">
        <f>IF($B63&lt;&gt;"",_xlfn.IFNA(VLOOKUP($B63,'Node Details'!$B:$U,E$1,0),"Check"),"")</f>
        <v>Airtel</v>
      </c>
      <c r="F63" s="108">
        <v>46110</v>
      </c>
      <c r="G63" s="110"/>
      <c r="H63" s="109" t="s">
        <v>184</v>
      </c>
      <c r="I63" s="81">
        <v>1</v>
      </c>
      <c r="J63" s="81">
        <v>48</v>
      </c>
      <c r="K63" s="107">
        <f t="shared" si="0"/>
        <v>48</v>
      </c>
      <c r="L63" s="83">
        <v>46110</v>
      </c>
      <c r="M63" s="110"/>
      <c r="N63" s="100" t="s">
        <v>186</v>
      </c>
      <c r="O63" s="101">
        <v>46094</v>
      </c>
      <c r="P63" s="111">
        <f t="shared" si="7"/>
        <v>48</v>
      </c>
      <c r="Q63" s="111">
        <f t="shared" si="8"/>
        <v>48</v>
      </c>
      <c r="R63" s="111"/>
      <c r="S63" s="100" t="s">
        <v>187</v>
      </c>
      <c r="T63" s="101"/>
      <c r="U63" s="111">
        <f t="shared" si="9"/>
        <v>48</v>
      </c>
      <c r="V63" s="111">
        <f t="shared" si="10"/>
        <v>1</v>
      </c>
      <c r="W63" s="110">
        <f t="shared" si="11"/>
        <v>48</v>
      </c>
      <c r="X63" s="100" t="s">
        <v>188</v>
      </c>
      <c r="Y63" s="112" t="s">
        <v>181</v>
      </c>
      <c r="Z63" s="112" t="s">
        <v>176</v>
      </c>
    </row>
    <row r="64" spans="1:26" s="112" customFormat="1" ht="15" customHeight="1" x14ac:dyDescent="0.25">
      <c r="A64" s="106">
        <f t="shared" si="6"/>
        <v>62</v>
      </c>
      <c r="B64" s="92" t="s">
        <v>160</v>
      </c>
      <c r="C64" s="107" t="str">
        <f>IF($B64&lt;&gt;"",_xlfn.IFNA(VLOOKUP($B64,'Node Details'!$B:$U,C$1,0),"Check"),"")</f>
        <v>0000AXZ03-AXZ030101</v>
      </c>
      <c r="D64" s="107" t="str">
        <f>IF($B64&lt;&gt;"",_xlfn.IFNA(VLOOKUP($B64,'Node Details'!$B:$U,D$1,0),"Check"),"")</f>
        <v>AXZ</v>
      </c>
      <c r="E64" s="107" t="str">
        <f>IF($B64&lt;&gt;"",_xlfn.IFNA(VLOOKUP($B64,'Node Details'!$B:$U,E$1,0),"Check"),"")</f>
        <v>Airtel</v>
      </c>
      <c r="F64" s="108">
        <v>46110</v>
      </c>
      <c r="G64" s="110"/>
      <c r="H64" s="109" t="s">
        <v>184</v>
      </c>
      <c r="I64" s="81">
        <v>1</v>
      </c>
      <c r="J64" s="81">
        <v>48</v>
      </c>
      <c r="K64" s="107">
        <f t="shared" si="0"/>
        <v>48</v>
      </c>
      <c r="L64" s="83">
        <v>46110</v>
      </c>
      <c r="M64" s="110"/>
      <c r="N64" s="100" t="s">
        <v>186</v>
      </c>
      <c r="O64" s="101">
        <v>46094</v>
      </c>
      <c r="P64" s="111">
        <f t="shared" si="7"/>
        <v>48</v>
      </c>
      <c r="Q64" s="111">
        <f t="shared" si="8"/>
        <v>48</v>
      </c>
      <c r="R64" s="111"/>
      <c r="S64" s="100" t="s">
        <v>187</v>
      </c>
      <c r="T64" s="101"/>
      <c r="U64" s="111">
        <f t="shared" si="9"/>
        <v>48</v>
      </c>
      <c r="V64" s="111">
        <f t="shared" si="10"/>
        <v>1</v>
      </c>
      <c r="W64" s="110">
        <f t="shared" si="11"/>
        <v>48</v>
      </c>
      <c r="X64" s="100" t="s">
        <v>188</v>
      </c>
      <c r="Y64" s="112" t="s">
        <v>181</v>
      </c>
      <c r="Z64" s="112" t="s">
        <v>176</v>
      </c>
    </row>
    <row r="65" spans="1:26" s="112" customFormat="1" ht="15" customHeight="1" x14ac:dyDescent="0.25">
      <c r="A65" s="106">
        <f t="shared" si="6"/>
        <v>63</v>
      </c>
      <c r="B65" s="92" t="s">
        <v>161</v>
      </c>
      <c r="C65" s="107" t="str">
        <f>IF($B65&lt;&gt;"",_xlfn.IFNA(VLOOKUP($B65,'Node Details'!$B:$U,C$1,0),"Check"),"")</f>
        <v>0000AXZ03-AXZ030102</v>
      </c>
      <c r="D65" s="107" t="str">
        <f>IF($B65&lt;&gt;"",_xlfn.IFNA(VLOOKUP($B65,'Node Details'!$B:$U,D$1,0),"Check"),"")</f>
        <v>AXZ</v>
      </c>
      <c r="E65" s="107" t="str">
        <f>IF($B65&lt;&gt;"",_xlfn.IFNA(VLOOKUP($B65,'Node Details'!$B:$U,E$1,0),"Check"),"")</f>
        <v>Airtel</v>
      </c>
      <c r="F65" s="108">
        <v>46110</v>
      </c>
      <c r="G65" s="110"/>
      <c r="H65" s="109" t="s">
        <v>184</v>
      </c>
      <c r="I65" s="81">
        <v>1</v>
      </c>
      <c r="J65" s="81">
        <v>48</v>
      </c>
      <c r="K65" s="107">
        <f t="shared" si="0"/>
        <v>48</v>
      </c>
      <c r="L65" s="83">
        <v>46110</v>
      </c>
      <c r="M65" s="110"/>
      <c r="N65" s="100" t="s">
        <v>186</v>
      </c>
      <c r="O65" s="101">
        <v>46094</v>
      </c>
      <c r="P65" s="111">
        <f t="shared" si="7"/>
        <v>48</v>
      </c>
      <c r="Q65" s="111">
        <f t="shared" si="8"/>
        <v>48</v>
      </c>
      <c r="R65" s="111"/>
      <c r="S65" s="100" t="s">
        <v>187</v>
      </c>
      <c r="T65" s="101"/>
      <c r="U65" s="111">
        <f t="shared" si="9"/>
        <v>48</v>
      </c>
      <c r="V65" s="111">
        <f t="shared" si="10"/>
        <v>1</v>
      </c>
      <c r="W65" s="110">
        <f t="shared" si="11"/>
        <v>48</v>
      </c>
      <c r="X65" s="100" t="s">
        <v>188</v>
      </c>
      <c r="Y65" s="112" t="s">
        <v>181</v>
      </c>
      <c r="Z65" s="112" t="s">
        <v>176</v>
      </c>
    </row>
    <row r="66" spans="1:26" s="112" customFormat="1" ht="15" customHeight="1" x14ac:dyDescent="0.25">
      <c r="A66" s="106">
        <f t="shared" si="6"/>
        <v>64</v>
      </c>
      <c r="B66" s="92" t="s">
        <v>162</v>
      </c>
      <c r="C66" s="107" t="str">
        <f>IF($B66&lt;&gt;"",_xlfn.IFNA(VLOOKUP($B66,'Node Details'!$B:$U,C$1,0),"Check"),"")</f>
        <v>0000AXZ03-AXZ030104</v>
      </c>
      <c r="D66" s="107" t="str">
        <f>IF($B66&lt;&gt;"",_xlfn.IFNA(VLOOKUP($B66,'Node Details'!$B:$U,D$1,0),"Check"),"")</f>
        <v>AXZ</v>
      </c>
      <c r="E66" s="107" t="str">
        <f>IF($B66&lt;&gt;"",_xlfn.IFNA(VLOOKUP($B66,'Node Details'!$B:$U,E$1,0),"Check"),"")</f>
        <v>Airtel</v>
      </c>
      <c r="F66" s="108">
        <v>46110</v>
      </c>
      <c r="G66" s="110"/>
      <c r="H66" s="109" t="s">
        <v>184</v>
      </c>
      <c r="I66" s="81">
        <v>1</v>
      </c>
      <c r="J66" s="81">
        <v>48</v>
      </c>
      <c r="K66" s="107">
        <f t="shared" si="0"/>
        <v>48</v>
      </c>
      <c r="L66" s="83">
        <v>46110</v>
      </c>
      <c r="M66" s="110"/>
      <c r="N66" s="100" t="s">
        <v>186</v>
      </c>
      <c r="O66" s="101">
        <v>46094</v>
      </c>
      <c r="P66" s="111">
        <f t="shared" si="7"/>
        <v>48</v>
      </c>
      <c r="Q66" s="111">
        <f t="shared" si="8"/>
        <v>48</v>
      </c>
      <c r="R66" s="111"/>
      <c r="S66" s="100" t="s">
        <v>187</v>
      </c>
      <c r="T66" s="101"/>
      <c r="U66" s="111">
        <f t="shared" si="9"/>
        <v>48</v>
      </c>
      <c r="V66" s="111">
        <f t="shared" si="10"/>
        <v>1</v>
      </c>
      <c r="W66" s="110">
        <f t="shared" si="11"/>
        <v>48</v>
      </c>
      <c r="X66" s="100" t="s">
        <v>188</v>
      </c>
      <c r="Y66" s="112" t="s">
        <v>181</v>
      </c>
      <c r="Z66" s="112" t="s">
        <v>176</v>
      </c>
    </row>
    <row r="67" spans="1:26" s="112" customFormat="1" ht="15" customHeight="1" x14ac:dyDescent="0.25">
      <c r="A67" s="106">
        <f t="shared" si="6"/>
        <v>65</v>
      </c>
      <c r="B67" s="92" t="s">
        <v>163</v>
      </c>
      <c r="C67" s="107" t="str">
        <f>IF($B67&lt;&gt;"",_xlfn.IFNA(VLOOKUP($B67,'Node Details'!$B:$U,C$1,0),"Check"),"")</f>
        <v>0000AXZ03-AXZ030104</v>
      </c>
      <c r="D67" s="107" t="str">
        <f>IF($B67&lt;&gt;"",_xlfn.IFNA(VLOOKUP($B67,'Node Details'!$B:$U,D$1,0),"Check"),"")</f>
        <v>AXZ</v>
      </c>
      <c r="E67" s="107" t="str">
        <f>IF($B67&lt;&gt;"",_xlfn.IFNA(VLOOKUP($B67,'Node Details'!$B:$U,E$1,0),"Check"),"")</f>
        <v>Airtel</v>
      </c>
      <c r="F67" s="108">
        <v>46110</v>
      </c>
      <c r="G67" s="110"/>
      <c r="H67" s="109" t="s">
        <v>184</v>
      </c>
      <c r="I67" s="81">
        <v>1</v>
      </c>
      <c r="J67" s="81">
        <v>48</v>
      </c>
      <c r="K67" s="107">
        <f t="shared" ref="K67:K78" si="12">IF(I67&lt;&gt;"",J67*I67,0)</f>
        <v>48</v>
      </c>
      <c r="L67" s="83">
        <v>46110</v>
      </c>
      <c r="M67" s="110"/>
      <c r="N67" s="100" t="s">
        <v>186</v>
      </c>
      <c r="O67" s="101">
        <v>46094</v>
      </c>
      <c r="P67" s="111">
        <f t="shared" si="7"/>
        <v>48</v>
      </c>
      <c r="Q67" s="111">
        <f t="shared" si="8"/>
        <v>48</v>
      </c>
      <c r="R67" s="111"/>
      <c r="S67" s="100" t="s">
        <v>187</v>
      </c>
      <c r="T67" s="101"/>
      <c r="U67" s="111">
        <f t="shared" si="9"/>
        <v>48</v>
      </c>
      <c r="V67" s="111">
        <f t="shared" si="10"/>
        <v>1</v>
      </c>
      <c r="W67" s="110">
        <f t="shared" si="11"/>
        <v>48</v>
      </c>
      <c r="X67" s="100" t="s">
        <v>188</v>
      </c>
      <c r="Y67" s="112" t="s">
        <v>181</v>
      </c>
      <c r="Z67" s="112" t="s">
        <v>176</v>
      </c>
    </row>
    <row r="68" spans="1:26" s="112" customFormat="1" ht="15" customHeight="1" x14ac:dyDescent="0.25">
      <c r="A68" s="106">
        <f t="shared" ref="A68:A92" si="13">A67+1</f>
        <v>66</v>
      </c>
      <c r="B68" s="92" t="s">
        <v>164</v>
      </c>
      <c r="C68" s="107" t="str">
        <f>IF($B68&lt;&gt;"",_xlfn.IFNA(VLOOKUP($B68,'Node Details'!$B:$U,C$1,0),"Check"),"")</f>
        <v>AXZ030104-AXZ030106</v>
      </c>
      <c r="D68" s="107" t="str">
        <f>IF($B68&lt;&gt;"",_xlfn.IFNA(VLOOKUP($B68,'Node Details'!$B:$U,D$1,0),"Check"),"")</f>
        <v>AXZ</v>
      </c>
      <c r="E68" s="107" t="str">
        <f>IF($B68&lt;&gt;"",_xlfn.IFNA(VLOOKUP($B68,'Node Details'!$B:$U,E$1,0),"Check"),"")</f>
        <v>Airtel</v>
      </c>
      <c r="F68" s="108">
        <v>46110</v>
      </c>
      <c r="G68" s="110"/>
      <c r="H68" s="109" t="s">
        <v>184</v>
      </c>
      <c r="I68" s="81">
        <v>1</v>
      </c>
      <c r="J68" s="81">
        <v>48</v>
      </c>
      <c r="K68" s="107">
        <f t="shared" si="12"/>
        <v>48</v>
      </c>
      <c r="L68" s="83">
        <v>46110</v>
      </c>
      <c r="M68" s="110"/>
      <c r="N68" s="100" t="s">
        <v>186</v>
      </c>
      <c r="O68" s="101">
        <v>46094</v>
      </c>
      <c r="P68" s="111">
        <f t="shared" ref="P68:P78" si="14">J68</f>
        <v>48</v>
      </c>
      <c r="Q68" s="111">
        <f t="shared" ref="Q68:Q78" si="15">P68*I68</f>
        <v>48</v>
      </c>
      <c r="R68" s="111"/>
      <c r="S68" s="100" t="s">
        <v>187</v>
      </c>
      <c r="T68" s="101"/>
      <c r="U68" s="111">
        <f t="shared" ref="U68:U78" si="16">J68</f>
        <v>48</v>
      </c>
      <c r="V68" s="111">
        <f t="shared" ref="V68:V77" si="17">I68</f>
        <v>1</v>
      </c>
      <c r="W68" s="110">
        <f t="shared" ref="W68:W77" si="18">IF(V68&lt;&gt;"",V68*U68,0)</f>
        <v>48</v>
      </c>
      <c r="X68" s="100" t="s">
        <v>188</v>
      </c>
      <c r="Y68" s="112" t="s">
        <v>181</v>
      </c>
      <c r="Z68" s="112" t="s">
        <v>176</v>
      </c>
    </row>
    <row r="69" spans="1:26" s="112" customFormat="1" ht="15" customHeight="1" x14ac:dyDescent="0.25">
      <c r="A69" s="106">
        <f t="shared" si="13"/>
        <v>67</v>
      </c>
      <c r="B69" s="92" t="s">
        <v>165</v>
      </c>
      <c r="C69" s="107" t="str">
        <f>IF($B69&lt;&gt;"",_xlfn.IFNA(VLOOKUP($B69,'Node Details'!$B:$U,C$1,0),"Check"),"")</f>
        <v>AXZ030104-AXZ030106</v>
      </c>
      <c r="D69" s="107" t="str">
        <f>IF($B69&lt;&gt;"",_xlfn.IFNA(VLOOKUP($B69,'Node Details'!$B:$U,D$1,0),"Check"),"")</f>
        <v>AXZ</v>
      </c>
      <c r="E69" s="107" t="str">
        <f>IF($B69&lt;&gt;"",_xlfn.IFNA(VLOOKUP($B69,'Node Details'!$B:$U,E$1,0),"Check"),"")</f>
        <v>Airtel</v>
      </c>
      <c r="F69" s="108">
        <v>46110</v>
      </c>
      <c r="G69" s="110"/>
      <c r="H69" s="109" t="s">
        <v>184</v>
      </c>
      <c r="I69" s="81">
        <v>1</v>
      </c>
      <c r="J69" s="81">
        <v>48</v>
      </c>
      <c r="K69" s="107">
        <f t="shared" si="12"/>
        <v>48</v>
      </c>
      <c r="L69" s="83">
        <v>46110</v>
      </c>
      <c r="M69" s="110"/>
      <c r="N69" s="100" t="s">
        <v>186</v>
      </c>
      <c r="O69" s="101">
        <v>46094</v>
      </c>
      <c r="P69" s="111">
        <f t="shared" si="14"/>
        <v>48</v>
      </c>
      <c r="Q69" s="111">
        <f t="shared" si="15"/>
        <v>48</v>
      </c>
      <c r="R69" s="111"/>
      <c r="S69" s="100" t="s">
        <v>187</v>
      </c>
      <c r="T69" s="101"/>
      <c r="U69" s="111">
        <f t="shared" si="16"/>
        <v>48</v>
      </c>
      <c r="V69" s="111">
        <f t="shared" si="17"/>
        <v>1</v>
      </c>
      <c r="W69" s="110">
        <f t="shared" si="18"/>
        <v>48</v>
      </c>
      <c r="X69" s="100" t="s">
        <v>188</v>
      </c>
      <c r="Y69" s="112" t="s">
        <v>181</v>
      </c>
      <c r="Z69" s="112" t="s">
        <v>176</v>
      </c>
    </row>
    <row r="70" spans="1:26" s="112" customFormat="1" ht="15" customHeight="1" x14ac:dyDescent="0.25">
      <c r="A70" s="106">
        <f t="shared" si="13"/>
        <v>68</v>
      </c>
      <c r="B70" s="92" t="s">
        <v>166</v>
      </c>
      <c r="C70" s="107" t="str">
        <f>IF($B70&lt;&gt;"",_xlfn.IFNA(VLOOKUP($B70,'Node Details'!$B:$U,C$1,0),"Check"),"")</f>
        <v>0000AXZ03-AXZ030201</v>
      </c>
      <c r="D70" s="107" t="str">
        <f>IF($B70&lt;&gt;"",_xlfn.IFNA(VLOOKUP($B70,'Node Details'!$B:$U,D$1,0),"Check"),"")</f>
        <v>AXZ</v>
      </c>
      <c r="E70" s="107" t="str">
        <f>IF($B70&lt;&gt;"",_xlfn.IFNA(VLOOKUP($B70,'Node Details'!$B:$U,E$1,0),"Check"),"")</f>
        <v>Airtel</v>
      </c>
      <c r="F70" s="108">
        <v>46110</v>
      </c>
      <c r="G70" s="110"/>
      <c r="H70" s="109" t="s">
        <v>184</v>
      </c>
      <c r="I70" s="81">
        <v>1</v>
      </c>
      <c r="J70" s="81">
        <v>48</v>
      </c>
      <c r="K70" s="107">
        <f t="shared" si="12"/>
        <v>48</v>
      </c>
      <c r="L70" s="83">
        <v>46110</v>
      </c>
      <c r="M70" s="110"/>
      <c r="N70" s="100" t="s">
        <v>186</v>
      </c>
      <c r="O70" s="101">
        <v>46094</v>
      </c>
      <c r="P70" s="111">
        <f t="shared" si="14"/>
        <v>48</v>
      </c>
      <c r="Q70" s="111">
        <f t="shared" si="15"/>
        <v>48</v>
      </c>
      <c r="R70" s="111"/>
      <c r="S70" s="100" t="s">
        <v>187</v>
      </c>
      <c r="T70" s="101"/>
      <c r="U70" s="111">
        <f t="shared" si="16"/>
        <v>48</v>
      </c>
      <c r="V70" s="111">
        <f t="shared" si="17"/>
        <v>1</v>
      </c>
      <c r="W70" s="110">
        <f t="shared" si="18"/>
        <v>48</v>
      </c>
      <c r="X70" s="100" t="s">
        <v>188</v>
      </c>
      <c r="Y70" s="112" t="s">
        <v>181</v>
      </c>
      <c r="Z70" s="112" t="s">
        <v>176</v>
      </c>
    </row>
    <row r="71" spans="1:26" s="112" customFormat="1" ht="15" customHeight="1" x14ac:dyDescent="0.25">
      <c r="A71" s="106">
        <f t="shared" si="13"/>
        <v>69</v>
      </c>
      <c r="B71" s="92" t="s">
        <v>167</v>
      </c>
      <c r="C71" s="107" t="str">
        <f>IF($B71&lt;&gt;"",_xlfn.IFNA(VLOOKUP($B71,'Node Details'!$B:$U,C$1,0),"Check"),"")</f>
        <v>0000AXZ03-AXZ030201</v>
      </c>
      <c r="D71" s="107" t="str">
        <f>IF($B71&lt;&gt;"",_xlfn.IFNA(VLOOKUP($B71,'Node Details'!$B:$U,D$1,0),"Check"),"")</f>
        <v>AXZ</v>
      </c>
      <c r="E71" s="107" t="str">
        <f>IF($B71&lt;&gt;"",_xlfn.IFNA(VLOOKUP($B71,'Node Details'!$B:$U,E$1,0),"Check"),"")</f>
        <v>Airtel</v>
      </c>
      <c r="F71" s="108">
        <v>46110</v>
      </c>
      <c r="G71" s="110"/>
      <c r="H71" s="109" t="s">
        <v>184</v>
      </c>
      <c r="I71" s="81">
        <v>1</v>
      </c>
      <c r="J71" s="81">
        <v>48</v>
      </c>
      <c r="K71" s="107">
        <f t="shared" si="12"/>
        <v>48</v>
      </c>
      <c r="L71" s="83">
        <v>46110</v>
      </c>
      <c r="M71" s="110"/>
      <c r="N71" s="100" t="s">
        <v>186</v>
      </c>
      <c r="O71" s="101">
        <v>46094</v>
      </c>
      <c r="P71" s="111">
        <f t="shared" si="14"/>
        <v>48</v>
      </c>
      <c r="Q71" s="111">
        <f t="shared" si="15"/>
        <v>48</v>
      </c>
      <c r="R71" s="111"/>
      <c r="S71" s="100" t="s">
        <v>187</v>
      </c>
      <c r="T71" s="101"/>
      <c r="U71" s="111">
        <f t="shared" si="16"/>
        <v>48</v>
      </c>
      <c r="V71" s="111">
        <f t="shared" si="17"/>
        <v>1</v>
      </c>
      <c r="W71" s="110">
        <f t="shared" si="18"/>
        <v>48</v>
      </c>
      <c r="X71" s="100" t="s">
        <v>188</v>
      </c>
      <c r="Y71" s="112" t="s">
        <v>181</v>
      </c>
      <c r="Z71" s="112" t="s">
        <v>176</v>
      </c>
    </row>
    <row r="72" spans="1:26" s="112" customFormat="1" ht="15" customHeight="1" x14ac:dyDescent="0.25">
      <c r="A72" s="106">
        <f t="shared" si="13"/>
        <v>70</v>
      </c>
      <c r="B72" s="92" t="s">
        <v>168</v>
      </c>
      <c r="C72" s="107" t="str">
        <f>IF($B72&lt;&gt;"",_xlfn.IFNA(VLOOKUP($B72,'Node Details'!$B:$U,C$1,0),"Check"),"")</f>
        <v>0000AXZ03-AXZ030201</v>
      </c>
      <c r="D72" s="107" t="str">
        <f>IF($B72&lt;&gt;"",_xlfn.IFNA(VLOOKUP($B72,'Node Details'!$B:$U,D$1,0),"Check"),"")</f>
        <v>AXZ</v>
      </c>
      <c r="E72" s="107" t="str">
        <f>IF($B72&lt;&gt;"",_xlfn.IFNA(VLOOKUP($B72,'Node Details'!$B:$U,E$1,0),"Check"),"")</f>
        <v>Airtel</v>
      </c>
      <c r="F72" s="108">
        <v>46110</v>
      </c>
      <c r="G72" s="110"/>
      <c r="H72" s="109" t="s">
        <v>184</v>
      </c>
      <c r="I72" s="81">
        <v>1</v>
      </c>
      <c r="J72" s="81">
        <v>48</v>
      </c>
      <c r="K72" s="107">
        <f t="shared" si="12"/>
        <v>48</v>
      </c>
      <c r="L72" s="83">
        <v>46110</v>
      </c>
      <c r="M72" s="110"/>
      <c r="N72" s="100" t="s">
        <v>186</v>
      </c>
      <c r="O72" s="101">
        <v>46094</v>
      </c>
      <c r="P72" s="111">
        <f t="shared" si="14"/>
        <v>48</v>
      </c>
      <c r="Q72" s="111">
        <f t="shared" si="15"/>
        <v>48</v>
      </c>
      <c r="R72" s="111"/>
      <c r="S72" s="100" t="s">
        <v>187</v>
      </c>
      <c r="T72" s="101"/>
      <c r="U72" s="111">
        <f t="shared" si="16"/>
        <v>48</v>
      </c>
      <c r="V72" s="111">
        <f t="shared" si="17"/>
        <v>1</v>
      </c>
      <c r="W72" s="110">
        <f t="shared" si="18"/>
        <v>48</v>
      </c>
      <c r="X72" s="100" t="s">
        <v>188</v>
      </c>
      <c r="Y72" s="112" t="s">
        <v>181</v>
      </c>
      <c r="Z72" s="112" t="s">
        <v>176</v>
      </c>
    </row>
    <row r="73" spans="1:26" s="112" customFormat="1" ht="15" customHeight="1" x14ac:dyDescent="0.2">
      <c r="A73" s="106">
        <f t="shared" si="13"/>
        <v>71</v>
      </c>
      <c r="B73" s="79" t="s">
        <v>169</v>
      </c>
      <c r="C73" s="107" t="str">
        <f>IF($B73&lt;&gt;"",_xlfn.IFNA(VLOOKUP($B73,'Node Details'!$B:$U,C$1,0),"Check"),"")</f>
        <v>AXZ030201-AXZ030205</v>
      </c>
      <c r="D73" s="107" t="str">
        <f>IF($B73&lt;&gt;"",_xlfn.IFNA(VLOOKUP($B73,'Node Details'!$B:$U,D$1,0),"Check"),"")</f>
        <v>AXZ</v>
      </c>
      <c r="E73" s="107" t="str">
        <f>IF($B73&lt;&gt;"",_xlfn.IFNA(VLOOKUP($B73,'Node Details'!$B:$U,E$1,0),"Check"),"")</f>
        <v>Airtel</v>
      </c>
      <c r="F73" s="108">
        <v>46110</v>
      </c>
      <c r="G73" s="110"/>
      <c r="H73" s="109" t="s">
        <v>184</v>
      </c>
      <c r="I73" s="81">
        <v>1</v>
      </c>
      <c r="J73" s="81">
        <v>48</v>
      </c>
      <c r="K73" s="107">
        <f t="shared" si="12"/>
        <v>48</v>
      </c>
      <c r="L73" s="83">
        <v>46110</v>
      </c>
      <c r="M73" s="110"/>
      <c r="N73" s="100" t="s">
        <v>186</v>
      </c>
      <c r="O73" s="101">
        <v>46094</v>
      </c>
      <c r="P73" s="111">
        <f t="shared" si="14"/>
        <v>48</v>
      </c>
      <c r="Q73" s="111">
        <f t="shared" si="15"/>
        <v>48</v>
      </c>
      <c r="R73" s="111"/>
      <c r="S73" s="100" t="s">
        <v>187</v>
      </c>
      <c r="T73" s="101"/>
      <c r="U73" s="111">
        <f t="shared" si="16"/>
        <v>48</v>
      </c>
      <c r="V73" s="111">
        <f t="shared" si="17"/>
        <v>1</v>
      </c>
      <c r="W73" s="110">
        <f t="shared" si="18"/>
        <v>48</v>
      </c>
      <c r="X73" s="100" t="s">
        <v>188</v>
      </c>
      <c r="Y73" s="112" t="s">
        <v>181</v>
      </c>
      <c r="Z73" s="112" t="s">
        <v>176</v>
      </c>
    </row>
    <row r="74" spans="1:26" s="112" customFormat="1" ht="15" customHeight="1" x14ac:dyDescent="0.2">
      <c r="A74" s="106">
        <f t="shared" si="13"/>
        <v>72</v>
      </c>
      <c r="B74" s="79" t="s">
        <v>170</v>
      </c>
      <c r="C74" s="107" t="str">
        <f>IF($B74&lt;&gt;"",_xlfn.IFNA(VLOOKUP($B74,'Node Details'!$B:$U,C$1,0),"Check"),"")</f>
        <v>AXZ030201-AXZ030205</v>
      </c>
      <c r="D74" s="107" t="str">
        <f>IF($B74&lt;&gt;"",_xlfn.IFNA(VLOOKUP($B74,'Node Details'!$B:$U,D$1,0),"Check"),"")</f>
        <v>AXZ</v>
      </c>
      <c r="E74" s="107" t="str">
        <f>IF($B74&lt;&gt;"",_xlfn.IFNA(VLOOKUP($B74,'Node Details'!$B:$U,E$1,0),"Check"),"")</f>
        <v>Airtel</v>
      </c>
      <c r="F74" s="108">
        <v>46110</v>
      </c>
      <c r="G74" s="110"/>
      <c r="H74" s="109" t="s">
        <v>184</v>
      </c>
      <c r="I74" s="81">
        <v>1</v>
      </c>
      <c r="J74" s="81">
        <v>48</v>
      </c>
      <c r="K74" s="107">
        <f t="shared" si="12"/>
        <v>48</v>
      </c>
      <c r="L74" s="83">
        <v>46110</v>
      </c>
      <c r="M74" s="110"/>
      <c r="N74" s="100" t="s">
        <v>186</v>
      </c>
      <c r="O74" s="101">
        <v>46094</v>
      </c>
      <c r="P74" s="111">
        <f t="shared" si="14"/>
        <v>48</v>
      </c>
      <c r="Q74" s="111">
        <f t="shared" si="15"/>
        <v>48</v>
      </c>
      <c r="R74" s="111"/>
      <c r="S74" s="100" t="s">
        <v>187</v>
      </c>
      <c r="T74" s="101"/>
      <c r="U74" s="111">
        <f t="shared" si="16"/>
        <v>48</v>
      </c>
      <c r="V74" s="111">
        <f t="shared" si="17"/>
        <v>1</v>
      </c>
      <c r="W74" s="110">
        <f t="shared" si="18"/>
        <v>48</v>
      </c>
      <c r="X74" s="100" t="s">
        <v>188</v>
      </c>
      <c r="Y74" s="112" t="s">
        <v>181</v>
      </c>
      <c r="Z74" s="112" t="s">
        <v>176</v>
      </c>
    </row>
    <row r="75" spans="1:26" s="112" customFormat="1" ht="15" customHeight="1" x14ac:dyDescent="0.2">
      <c r="A75" s="106">
        <f t="shared" si="13"/>
        <v>73</v>
      </c>
      <c r="B75" s="79" t="s">
        <v>171</v>
      </c>
      <c r="C75" s="107" t="str">
        <f>IF($B75&lt;&gt;"",_xlfn.IFNA(VLOOKUP($B75,'Node Details'!$B:$U,C$1,0),"Check"),"")</f>
        <v>AXZ030201-AXZ030205</v>
      </c>
      <c r="D75" s="107" t="str">
        <f>IF($B75&lt;&gt;"",_xlfn.IFNA(VLOOKUP($B75,'Node Details'!$B:$U,D$1,0),"Check"),"")</f>
        <v>AXZ</v>
      </c>
      <c r="E75" s="107" t="str">
        <f>IF($B75&lt;&gt;"",_xlfn.IFNA(VLOOKUP($B75,'Node Details'!$B:$U,E$1,0),"Check"),"")</f>
        <v>Airtel</v>
      </c>
      <c r="F75" s="108">
        <v>46110</v>
      </c>
      <c r="G75" s="110"/>
      <c r="H75" s="109" t="s">
        <v>184</v>
      </c>
      <c r="I75" s="81">
        <v>1</v>
      </c>
      <c r="J75" s="81">
        <v>48</v>
      </c>
      <c r="K75" s="107">
        <f t="shared" si="12"/>
        <v>48</v>
      </c>
      <c r="L75" s="83">
        <v>46110</v>
      </c>
      <c r="M75" s="110"/>
      <c r="N75" s="100" t="s">
        <v>186</v>
      </c>
      <c r="O75" s="101">
        <v>46094</v>
      </c>
      <c r="P75" s="111">
        <f t="shared" si="14"/>
        <v>48</v>
      </c>
      <c r="Q75" s="111">
        <f t="shared" si="15"/>
        <v>48</v>
      </c>
      <c r="R75" s="111"/>
      <c r="S75" s="100" t="s">
        <v>187</v>
      </c>
      <c r="T75" s="101"/>
      <c r="U75" s="111">
        <f t="shared" si="16"/>
        <v>48</v>
      </c>
      <c r="V75" s="111">
        <f t="shared" si="17"/>
        <v>1</v>
      </c>
      <c r="W75" s="110">
        <f t="shared" si="18"/>
        <v>48</v>
      </c>
      <c r="X75" s="100" t="s">
        <v>188</v>
      </c>
      <c r="Y75" s="112" t="s">
        <v>181</v>
      </c>
      <c r="Z75" s="112" t="s">
        <v>176</v>
      </c>
    </row>
    <row r="76" spans="1:26" s="112" customFormat="1" ht="15" customHeight="1" x14ac:dyDescent="0.2">
      <c r="A76" s="106">
        <f t="shared" si="13"/>
        <v>74</v>
      </c>
      <c r="B76" s="79" t="s">
        <v>172</v>
      </c>
      <c r="C76" s="107" t="str">
        <f>IF($B76&lt;&gt;"",_xlfn.IFNA(VLOOKUP($B76,'Node Details'!$B:$U,C$1,0),"Check"),"")</f>
        <v>AXZ030201-AXZ030205</v>
      </c>
      <c r="D76" s="107" t="str">
        <f>IF($B76&lt;&gt;"",_xlfn.IFNA(VLOOKUP($B76,'Node Details'!$B:$U,D$1,0),"Check"),"")</f>
        <v>AXZ</v>
      </c>
      <c r="E76" s="107" t="str">
        <f>IF($B76&lt;&gt;"",_xlfn.IFNA(VLOOKUP($B76,'Node Details'!$B:$U,E$1,0),"Check"),"")</f>
        <v>Airtel</v>
      </c>
      <c r="F76" s="108">
        <v>46110</v>
      </c>
      <c r="G76" s="110"/>
      <c r="H76" s="109" t="s">
        <v>184</v>
      </c>
      <c r="I76" s="81">
        <v>1</v>
      </c>
      <c r="J76" s="81">
        <v>48</v>
      </c>
      <c r="K76" s="107">
        <f t="shared" si="12"/>
        <v>48</v>
      </c>
      <c r="L76" s="83">
        <v>46110</v>
      </c>
      <c r="M76" s="110"/>
      <c r="N76" s="100" t="s">
        <v>186</v>
      </c>
      <c r="O76" s="101">
        <v>46094</v>
      </c>
      <c r="P76" s="111">
        <f t="shared" si="14"/>
        <v>48</v>
      </c>
      <c r="Q76" s="111">
        <f t="shared" si="15"/>
        <v>48</v>
      </c>
      <c r="R76" s="111"/>
      <c r="S76" s="100" t="s">
        <v>187</v>
      </c>
      <c r="T76" s="101"/>
      <c r="U76" s="111">
        <f t="shared" si="16"/>
        <v>48</v>
      </c>
      <c r="V76" s="111">
        <f t="shared" si="17"/>
        <v>1</v>
      </c>
      <c r="W76" s="110">
        <f t="shared" si="18"/>
        <v>48</v>
      </c>
      <c r="X76" s="100" t="s">
        <v>188</v>
      </c>
      <c r="Y76" s="112" t="s">
        <v>181</v>
      </c>
      <c r="Z76" s="112" t="s">
        <v>176</v>
      </c>
    </row>
    <row r="77" spans="1:26" s="112" customFormat="1" ht="15" customHeight="1" x14ac:dyDescent="0.2">
      <c r="A77" s="106">
        <f t="shared" si="13"/>
        <v>75</v>
      </c>
      <c r="B77" s="79" t="s">
        <v>134</v>
      </c>
      <c r="C77" s="107" t="str">
        <f>IF($B77&lt;&gt;"",_xlfn.IFNA(VLOOKUP($B77,'Node Details'!$B:$U,C$1,0),"Check"),"")</f>
        <v>000000AXZ-0000AXZ01</v>
      </c>
      <c r="D77" s="107" t="str">
        <f>IF($B77&lt;&gt;"",_xlfn.IFNA(VLOOKUP($B77,'Node Details'!$B:$U,D$1,0),"Check"),"")</f>
        <v>AXZ</v>
      </c>
      <c r="E77" s="107" t="str">
        <f>IF($B77&lt;&gt;"",_xlfn.IFNA(VLOOKUP($B77,'Node Details'!$B:$U,E$1,0),"Check"),"")</f>
        <v>Airtel</v>
      </c>
      <c r="F77" s="108">
        <v>46110</v>
      </c>
      <c r="G77" s="110"/>
      <c r="H77" s="109" t="s">
        <v>185</v>
      </c>
      <c r="I77" s="81">
        <v>1</v>
      </c>
      <c r="J77" s="81">
        <v>2400</v>
      </c>
      <c r="K77" s="107">
        <f t="shared" si="12"/>
        <v>2400</v>
      </c>
      <c r="L77" s="83">
        <v>46110</v>
      </c>
      <c r="M77" s="110"/>
      <c r="N77" s="100" t="s">
        <v>186</v>
      </c>
      <c r="O77" s="101">
        <v>46094</v>
      </c>
      <c r="P77" s="111">
        <f t="shared" si="14"/>
        <v>2400</v>
      </c>
      <c r="Q77" s="111">
        <f t="shared" si="15"/>
        <v>2400</v>
      </c>
      <c r="R77" s="111"/>
      <c r="S77" s="100" t="s">
        <v>187</v>
      </c>
      <c r="T77" s="101"/>
      <c r="U77" s="111">
        <f t="shared" si="16"/>
        <v>2400</v>
      </c>
      <c r="V77" s="111">
        <f t="shared" si="17"/>
        <v>1</v>
      </c>
      <c r="W77" s="110">
        <f t="shared" si="18"/>
        <v>2400</v>
      </c>
      <c r="X77" s="100" t="s">
        <v>188</v>
      </c>
      <c r="Y77" s="112" t="s">
        <v>181</v>
      </c>
      <c r="Z77" s="112" t="s">
        <v>176</v>
      </c>
    </row>
    <row r="78" spans="1:26" s="112" customFormat="1" ht="15" customHeight="1" x14ac:dyDescent="0.2">
      <c r="A78" s="106">
        <f t="shared" si="13"/>
        <v>76</v>
      </c>
      <c r="B78" s="79" t="s">
        <v>136</v>
      </c>
      <c r="C78" s="107"/>
      <c r="D78" s="107"/>
      <c r="E78" s="107"/>
      <c r="F78" s="108">
        <v>46110</v>
      </c>
      <c r="G78" s="110"/>
      <c r="H78" s="109" t="s">
        <v>191</v>
      </c>
      <c r="I78" s="81">
        <v>18</v>
      </c>
      <c r="J78" s="81">
        <v>50</v>
      </c>
      <c r="K78" s="107">
        <f t="shared" si="12"/>
        <v>900</v>
      </c>
      <c r="L78" s="83">
        <v>46110</v>
      </c>
      <c r="M78" s="110"/>
      <c r="N78" s="100" t="s">
        <v>186</v>
      </c>
      <c r="O78" s="101">
        <v>46094</v>
      </c>
      <c r="P78" s="111">
        <f t="shared" ref="P78:P92" si="19">J78</f>
        <v>50</v>
      </c>
      <c r="Q78" s="111">
        <f t="shared" ref="Q78:Q92" si="20">P78*I78</f>
        <v>900</v>
      </c>
      <c r="R78" s="111"/>
      <c r="S78" s="100" t="s">
        <v>187</v>
      </c>
      <c r="T78" s="101"/>
      <c r="U78" s="111">
        <f t="shared" ref="U78:U92" si="21">J78</f>
        <v>50</v>
      </c>
      <c r="V78" s="111">
        <f t="shared" ref="V78:V92" si="22">I78</f>
        <v>18</v>
      </c>
      <c r="W78" s="110">
        <f t="shared" ref="W78:W92" si="23">IF(V78&lt;&gt;"",V78*U78,0)</f>
        <v>900</v>
      </c>
      <c r="X78" s="100" t="s">
        <v>188</v>
      </c>
      <c r="Y78" s="112" t="s">
        <v>181</v>
      </c>
      <c r="Z78" s="112" t="s">
        <v>176</v>
      </c>
    </row>
    <row r="79" spans="1:26" s="112" customFormat="1" ht="15" customHeight="1" x14ac:dyDescent="0.2">
      <c r="A79" s="106">
        <f t="shared" si="13"/>
        <v>77</v>
      </c>
      <c r="B79" s="79" t="s">
        <v>142</v>
      </c>
      <c r="C79" s="107"/>
      <c r="D79" s="107"/>
      <c r="E79" s="107"/>
      <c r="F79" s="108">
        <v>46110</v>
      </c>
      <c r="G79" s="110"/>
      <c r="H79" s="109" t="s">
        <v>191</v>
      </c>
      <c r="I79" s="81">
        <v>4</v>
      </c>
      <c r="J79" s="81">
        <v>50</v>
      </c>
      <c r="K79" s="107">
        <f t="shared" ref="K79:K92" si="24">IF(I79&lt;&gt;"",J79*I79,0)</f>
        <v>200</v>
      </c>
      <c r="L79" s="83">
        <v>46110</v>
      </c>
      <c r="M79" s="110"/>
      <c r="N79" s="100" t="s">
        <v>186</v>
      </c>
      <c r="O79" s="101">
        <v>46094</v>
      </c>
      <c r="P79" s="111">
        <f t="shared" si="19"/>
        <v>50</v>
      </c>
      <c r="Q79" s="111">
        <f t="shared" si="20"/>
        <v>200</v>
      </c>
      <c r="R79" s="111"/>
      <c r="S79" s="100" t="s">
        <v>187</v>
      </c>
      <c r="T79" s="101"/>
      <c r="U79" s="111">
        <f t="shared" si="21"/>
        <v>50</v>
      </c>
      <c r="V79" s="111">
        <f t="shared" si="22"/>
        <v>4</v>
      </c>
      <c r="W79" s="110">
        <f t="shared" si="23"/>
        <v>200</v>
      </c>
      <c r="X79" s="100" t="s">
        <v>188</v>
      </c>
      <c r="Y79" s="112" t="s">
        <v>181</v>
      </c>
      <c r="Z79" s="112" t="s">
        <v>176</v>
      </c>
    </row>
    <row r="80" spans="1:26" s="112" customFormat="1" ht="15" customHeight="1" x14ac:dyDescent="0.2">
      <c r="A80" s="106">
        <f t="shared" si="13"/>
        <v>78</v>
      </c>
      <c r="B80" s="79" t="s">
        <v>143</v>
      </c>
      <c r="C80" s="107"/>
      <c r="D80" s="107"/>
      <c r="E80" s="107"/>
      <c r="F80" s="108">
        <v>46110</v>
      </c>
      <c r="G80" s="110"/>
      <c r="H80" s="109" t="s">
        <v>191</v>
      </c>
      <c r="I80" s="81">
        <v>2</v>
      </c>
      <c r="J80" s="81">
        <v>50</v>
      </c>
      <c r="K80" s="107">
        <f t="shared" si="24"/>
        <v>100</v>
      </c>
      <c r="L80" s="83">
        <v>46110</v>
      </c>
      <c r="M80" s="110"/>
      <c r="N80" s="100" t="s">
        <v>186</v>
      </c>
      <c r="O80" s="101">
        <v>46094</v>
      </c>
      <c r="P80" s="111">
        <f t="shared" si="19"/>
        <v>50</v>
      </c>
      <c r="Q80" s="111">
        <f t="shared" si="20"/>
        <v>100</v>
      </c>
      <c r="R80" s="111"/>
      <c r="S80" s="100" t="s">
        <v>187</v>
      </c>
      <c r="T80" s="101"/>
      <c r="U80" s="111">
        <f t="shared" si="21"/>
        <v>50</v>
      </c>
      <c r="V80" s="111">
        <f t="shared" si="22"/>
        <v>2</v>
      </c>
      <c r="W80" s="110">
        <f t="shared" si="23"/>
        <v>100</v>
      </c>
      <c r="X80" s="100" t="s">
        <v>188</v>
      </c>
      <c r="Y80" s="112" t="s">
        <v>181</v>
      </c>
      <c r="Z80" s="112" t="s">
        <v>176</v>
      </c>
    </row>
    <row r="81" spans="1:26" s="112" customFormat="1" ht="15" customHeight="1" x14ac:dyDescent="0.2">
      <c r="A81" s="106">
        <f t="shared" si="13"/>
        <v>79</v>
      </c>
      <c r="B81" s="79" t="s">
        <v>147</v>
      </c>
      <c r="C81" s="107"/>
      <c r="D81" s="107"/>
      <c r="E81" s="107"/>
      <c r="F81" s="108">
        <v>46110</v>
      </c>
      <c r="G81" s="110"/>
      <c r="H81" s="109" t="s">
        <v>191</v>
      </c>
      <c r="I81" s="81">
        <v>7</v>
      </c>
      <c r="J81" s="81">
        <v>50</v>
      </c>
      <c r="K81" s="107">
        <f t="shared" si="24"/>
        <v>350</v>
      </c>
      <c r="L81" s="83">
        <v>46110</v>
      </c>
      <c r="M81" s="110"/>
      <c r="N81" s="100" t="s">
        <v>186</v>
      </c>
      <c r="O81" s="101">
        <v>46094</v>
      </c>
      <c r="P81" s="111">
        <f t="shared" si="19"/>
        <v>50</v>
      </c>
      <c r="Q81" s="111">
        <f t="shared" si="20"/>
        <v>350</v>
      </c>
      <c r="R81" s="111"/>
      <c r="S81" s="100" t="s">
        <v>187</v>
      </c>
      <c r="T81" s="101"/>
      <c r="U81" s="111">
        <f t="shared" si="21"/>
        <v>50</v>
      </c>
      <c r="V81" s="111">
        <f t="shared" si="22"/>
        <v>7</v>
      </c>
      <c r="W81" s="110">
        <f t="shared" si="23"/>
        <v>350</v>
      </c>
      <c r="X81" s="100" t="s">
        <v>188</v>
      </c>
      <c r="Y81" s="112" t="s">
        <v>181</v>
      </c>
      <c r="Z81" s="112" t="s">
        <v>176</v>
      </c>
    </row>
    <row r="82" spans="1:26" s="112" customFormat="1" ht="15" customHeight="1" x14ac:dyDescent="0.2">
      <c r="A82" s="106">
        <f t="shared" si="13"/>
        <v>80</v>
      </c>
      <c r="B82" s="79" t="s">
        <v>151</v>
      </c>
      <c r="C82" s="107"/>
      <c r="D82" s="107"/>
      <c r="E82" s="107"/>
      <c r="F82" s="108">
        <v>46110</v>
      </c>
      <c r="G82" s="110"/>
      <c r="H82" s="109" t="s">
        <v>191</v>
      </c>
      <c r="I82" s="81">
        <v>10</v>
      </c>
      <c r="J82" s="81">
        <v>50</v>
      </c>
      <c r="K82" s="107">
        <f t="shared" si="24"/>
        <v>500</v>
      </c>
      <c r="L82" s="83">
        <v>46110</v>
      </c>
      <c r="M82" s="110"/>
      <c r="N82" s="100" t="s">
        <v>186</v>
      </c>
      <c r="O82" s="101">
        <v>46094</v>
      </c>
      <c r="P82" s="111">
        <f t="shared" si="19"/>
        <v>50</v>
      </c>
      <c r="Q82" s="111">
        <f t="shared" si="20"/>
        <v>500</v>
      </c>
      <c r="R82" s="111"/>
      <c r="S82" s="100" t="s">
        <v>187</v>
      </c>
      <c r="T82" s="101"/>
      <c r="U82" s="111">
        <f t="shared" si="21"/>
        <v>50</v>
      </c>
      <c r="V82" s="111">
        <f t="shared" si="22"/>
        <v>10</v>
      </c>
      <c r="W82" s="110">
        <f t="shared" si="23"/>
        <v>500</v>
      </c>
      <c r="X82" s="100" t="s">
        <v>188</v>
      </c>
      <c r="Y82" s="112" t="s">
        <v>181</v>
      </c>
      <c r="Z82" s="112" t="s">
        <v>176</v>
      </c>
    </row>
    <row r="83" spans="1:26" s="112" customFormat="1" ht="15" customHeight="1" x14ac:dyDescent="0.2">
      <c r="A83" s="106">
        <f t="shared" si="13"/>
        <v>81</v>
      </c>
      <c r="B83" s="79" t="s">
        <v>152</v>
      </c>
      <c r="C83" s="107"/>
      <c r="D83" s="107"/>
      <c r="E83" s="107"/>
      <c r="F83" s="108">
        <v>46110</v>
      </c>
      <c r="G83" s="110"/>
      <c r="H83" s="109" t="s">
        <v>191</v>
      </c>
      <c r="I83" s="81">
        <v>8</v>
      </c>
      <c r="J83" s="81">
        <v>50</v>
      </c>
      <c r="K83" s="107">
        <f t="shared" si="24"/>
        <v>400</v>
      </c>
      <c r="L83" s="83">
        <v>46110</v>
      </c>
      <c r="M83" s="110"/>
      <c r="N83" s="100" t="s">
        <v>186</v>
      </c>
      <c r="O83" s="101">
        <v>46094</v>
      </c>
      <c r="P83" s="111">
        <f t="shared" si="19"/>
        <v>50</v>
      </c>
      <c r="Q83" s="111">
        <f t="shared" si="20"/>
        <v>400</v>
      </c>
      <c r="R83" s="111"/>
      <c r="S83" s="100" t="s">
        <v>187</v>
      </c>
      <c r="T83" s="101"/>
      <c r="U83" s="111">
        <f t="shared" si="21"/>
        <v>50</v>
      </c>
      <c r="V83" s="111">
        <f t="shared" si="22"/>
        <v>8</v>
      </c>
      <c r="W83" s="110">
        <f t="shared" si="23"/>
        <v>400</v>
      </c>
      <c r="X83" s="100" t="s">
        <v>188</v>
      </c>
      <c r="Y83" s="112" t="s">
        <v>181</v>
      </c>
      <c r="Z83" s="112" t="s">
        <v>176</v>
      </c>
    </row>
    <row r="84" spans="1:26" s="112" customFormat="1" ht="15" customHeight="1" x14ac:dyDescent="0.2">
      <c r="A84" s="106">
        <f t="shared" si="13"/>
        <v>82</v>
      </c>
      <c r="B84" s="79" t="s">
        <v>153</v>
      </c>
      <c r="C84" s="107"/>
      <c r="D84" s="107"/>
      <c r="E84" s="107"/>
      <c r="F84" s="108">
        <v>46110</v>
      </c>
      <c r="G84" s="110"/>
      <c r="H84" s="109" t="s">
        <v>191</v>
      </c>
      <c r="I84" s="81">
        <v>6</v>
      </c>
      <c r="J84" s="81">
        <v>50</v>
      </c>
      <c r="K84" s="107">
        <f t="shared" si="24"/>
        <v>300</v>
      </c>
      <c r="L84" s="83">
        <v>46110</v>
      </c>
      <c r="M84" s="110"/>
      <c r="N84" s="100" t="s">
        <v>186</v>
      </c>
      <c r="O84" s="101">
        <v>46094</v>
      </c>
      <c r="P84" s="111">
        <f t="shared" si="19"/>
        <v>50</v>
      </c>
      <c r="Q84" s="111">
        <f t="shared" si="20"/>
        <v>300</v>
      </c>
      <c r="R84" s="111"/>
      <c r="S84" s="100" t="s">
        <v>187</v>
      </c>
      <c r="T84" s="101"/>
      <c r="U84" s="111">
        <f t="shared" si="21"/>
        <v>50</v>
      </c>
      <c r="V84" s="111">
        <f t="shared" si="22"/>
        <v>6</v>
      </c>
      <c r="W84" s="110">
        <f t="shared" si="23"/>
        <v>300</v>
      </c>
      <c r="X84" s="100" t="s">
        <v>188</v>
      </c>
      <c r="Y84" s="112" t="s">
        <v>181</v>
      </c>
      <c r="Z84" s="112" t="s">
        <v>176</v>
      </c>
    </row>
    <row r="85" spans="1:26" s="112" customFormat="1" ht="15" customHeight="1" x14ac:dyDescent="0.2">
      <c r="A85" s="106">
        <f t="shared" si="13"/>
        <v>83</v>
      </c>
      <c r="B85" s="79" t="s">
        <v>154</v>
      </c>
      <c r="C85" s="107"/>
      <c r="D85" s="107"/>
      <c r="E85" s="107"/>
      <c r="F85" s="108">
        <v>46110</v>
      </c>
      <c r="G85" s="110"/>
      <c r="H85" s="109" t="s">
        <v>191</v>
      </c>
      <c r="I85" s="81">
        <v>4</v>
      </c>
      <c r="J85" s="81">
        <v>50</v>
      </c>
      <c r="K85" s="107">
        <f t="shared" si="24"/>
        <v>200</v>
      </c>
      <c r="L85" s="83">
        <v>46110</v>
      </c>
      <c r="M85" s="110"/>
      <c r="N85" s="100" t="s">
        <v>186</v>
      </c>
      <c r="O85" s="101">
        <v>46094</v>
      </c>
      <c r="P85" s="111">
        <f t="shared" si="19"/>
        <v>50</v>
      </c>
      <c r="Q85" s="111">
        <f t="shared" si="20"/>
        <v>200</v>
      </c>
      <c r="R85" s="111"/>
      <c r="S85" s="100" t="s">
        <v>187</v>
      </c>
      <c r="T85" s="101"/>
      <c r="U85" s="111">
        <f t="shared" si="21"/>
        <v>50</v>
      </c>
      <c r="V85" s="111">
        <f t="shared" si="22"/>
        <v>4</v>
      </c>
      <c r="W85" s="110">
        <f t="shared" si="23"/>
        <v>200</v>
      </c>
      <c r="X85" s="100" t="s">
        <v>188</v>
      </c>
      <c r="Y85" s="112" t="s">
        <v>181</v>
      </c>
      <c r="Z85" s="112" t="s">
        <v>176</v>
      </c>
    </row>
    <row r="86" spans="1:26" s="112" customFormat="1" ht="15" customHeight="1" x14ac:dyDescent="0.2">
      <c r="A86" s="106">
        <f t="shared" si="13"/>
        <v>84</v>
      </c>
      <c r="B86" s="79" t="s">
        <v>155</v>
      </c>
      <c r="C86" s="107"/>
      <c r="D86" s="107"/>
      <c r="E86" s="107"/>
      <c r="F86" s="108">
        <v>46110</v>
      </c>
      <c r="G86" s="110"/>
      <c r="H86" s="109" t="s">
        <v>191</v>
      </c>
      <c r="I86" s="81">
        <v>2</v>
      </c>
      <c r="J86" s="81">
        <v>50</v>
      </c>
      <c r="K86" s="107">
        <f t="shared" si="24"/>
        <v>100</v>
      </c>
      <c r="L86" s="83">
        <v>46110</v>
      </c>
      <c r="M86" s="110"/>
      <c r="N86" s="100" t="s">
        <v>186</v>
      </c>
      <c r="O86" s="101">
        <v>46094</v>
      </c>
      <c r="P86" s="111">
        <f t="shared" si="19"/>
        <v>50</v>
      </c>
      <c r="Q86" s="111">
        <f t="shared" si="20"/>
        <v>100</v>
      </c>
      <c r="R86" s="111"/>
      <c r="S86" s="100" t="s">
        <v>187</v>
      </c>
      <c r="T86" s="101"/>
      <c r="U86" s="111">
        <f t="shared" si="21"/>
        <v>50</v>
      </c>
      <c r="V86" s="111">
        <f t="shared" si="22"/>
        <v>2</v>
      </c>
      <c r="W86" s="110">
        <f t="shared" si="23"/>
        <v>100</v>
      </c>
      <c r="X86" s="100" t="s">
        <v>188</v>
      </c>
      <c r="Y86" s="112" t="s">
        <v>181</v>
      </c>
      <c r="Z86" s="112" t="s">
        <v>176</v>
      </c>
    </row>
    <row r="87" spans="1:26" s="112" customFormat="1" ht="15" customHeight="1" x14ac:dyDescent="0.2">
      <c r="A87" s="106">
        <f t="shared" si="13"/>
        <v>85</v>
      </c>
      <c r="B87" s="79" t="s">
        <v>159</v>
      </c>
      <c r="C87" s="107"/>
      <c r="D87" s="107"/>
      <c r="E87" s="107"/>
      <c r="F87" s="108">
        <v>46110</v>
      </c>
      <c r="G87" s="110"/>
      <c r="H87" s="109" t="s">
        <v>191</v>
      </c>
      <c r="I87" s="81">
        <v>9</v>
      </c>
      <c r="J87" s="81">
        <v>50</v>
      </c>
      <c r="K87" s="107">
        <f t="shared" si="24"/>
        <v>450</v>
      </c>
      <c r="L87" s="83">
        <v>46110</v>
      </c>
      <c r="M87" s="110"/>
      <c r="N87" s="100" t="s">
        <v>186</v>
      </c>
      <c r="O87" s="101">
        <v>46094</v>
      </c>
      <c r="P87" s="111">
        <f t="shared" si="19"/>
        <v>50</v>
      </c>
      <c r="Q87" s="111">
        <f t="shared" si="20"/>
        <v>450</v>
      </c>
      <c r="R87" s="111"/>
      <c r="S87" s="100" t="s">
        <v>187</v>
      </c>
      <c r="T87" s="101"/>
      <c r="U87" s="111">
        <f t="shared" si="21"/>
        <v>50</v>
      </c>
      <c r="V87" s="111">
        <f t="shared" si="22"/>
        <v>9</v>
      </c>
      <c r="W87" s="110">
        <f t="shared" si="23"/>
        <v>450</v>
      </c>
      <c r="X87" s="100" t="s">
        <v>188</v>
      </c>
      <c r="Y87" s="112" t="s">
        <v>181</v>
      </c>
      <c r="Z87" s="112" t="s">
        <v>176</v>
      </c>
    </row>
    <row r="88" spans="1:26" s="112" customFormat="1" ht="15" customHeight="1" x14ac:dyDescent="0.2">
      <c r="A88" s="106">
        <f t="shared" si="13"/>
        <v>86</v>
      </c>
      <c r="B88" s="79" t="s">
        <v>162</v>
      </c>
      <c r="C88" s="107"/>
      <c r="D88" s="107"/>
      <c r="E88" s="107"/>
      <c r="F88" s="108">
        <v>46110</v>
      </c>
      <c r="G88" s="110"/>
      <c r="H88" s="109" t="s">
        <v>191</v>
      </c>
      <c r="I88" s="81">
        <v>2</v>
      </c>
      <c r="J88" s="81">
        <v>50</v>
      </c>
      <c r="K88" s="107">
        <f t="shared" si="24"/>
        <v>100</v>
      </c>
      <c r="L88" s="83">
        <v>46110</v>
      </c>
      <c r="M88" s="110"/>
      <c r="N88" s="100" t="s">
        <v>186</v>
      </c>
      <c r="O88" s="101">
        <v>46094</v>
      </c>
      <c r="P88" s="111">
        <f t="shared" si="19"/>
        <v>50</v>
      </c>
      <c r="Q88" s="111">
        <f t="shared" si="20"/>
        <v>100</v>
      </c>
      <c r="R88" s="111"/>
      <c r="S88" s="100" t="s">
        <v>187</v>
      </c>
      <c r="T88" s="101"/>
      <c r="U88" s="111">
        <f t="shared" si="21"/>
        <v>50</v>
      </c>
      <c r="V88" s="111">
        <f t="shared" si="22"/>
        <v>2</v>
      </c>
      <c r="W88" s="110">
        <f t="shared" si="23"/>
        <v>100</v>
      </c>
      <c r="X88" s="100" t="s">
        <v>188</v>
      </c>
      <c r="Y88" s="112" t="s">
        <v>181</v>
      </c>
      <c r="Z88" s="112" t="s">
        <v>176</v>
      </c>
    </row>
    <row r="89" spans="1:26" s="112" customFormat="1" ht="15" customHeight="1" x14ac:dyDescent="0.2">
      <c r="A89" s="106">
        <f t="shared" si="13"/>
        <v>87</v>
      </c>
      <c r="B89" s="79" t="s">
        <v>166</v>
      </c>
      <c r="C89" s="107"/>
      <c r="D89" s="107"/>
      <c r="E89" s="107"/>
      <c r="F89" s="108">
        <v>46110</v>
      </c>
      <c r="G89" s="110"/>
      <c r="H89" s="109" t="s">
        <v>191</v>
      </c>
      <c r="I89" s="81">
        <v>8</v>
      </c>
      <c r="J89" s="81">
        <v>50</v>
      </c>
      <c r="K89" s="107">
        <f t="shared" si="24"/>
        <v>400</v>
      </c>
      <c r="L89" s="83">
        <v>46110</v>
      </c>
      <c r="M89" s="110"/>
      <c r="N89" s="100" t="s">
        <v>186</v>
      </c>
      <c r="O89" s="101">
        <v>46094</v>
      </c>
      <c r="P89" s="111">
        <f t="shared" si="19"/>
        <v>50</v>
      </c>
      <c r="Q89" s="111">
        <f t="shared" si="20"/>
        <v>400</v>
      </c>
      <c r="R89" s="111"/>
      <c r="S89" s="100" t="s">
        <v>187</v>
      </c>
      <c r="T89" s="101"/>
      <c r="U89" s="111">
        <f t="shared" si="21"/>
        <v>50</v>
      </c>
      <c r="V89" s="111">
        <f t="shared" si="22"/>
        <v>8</v>
      </c>
      <c r="W89" s="110">
        <f t="shared" si="23"/>
        <v>400</v>
      </c>
      <c r="X89" s="100" t="s">
        <v>188</v>
      </c>
      <c r="Y89" s="112" t="s">
        <v>181</v>
      </c>
      <c r="Z89" s="112" t="s">
        <v>176</v>
      </c>
    </row>
    <row r="90" spans="1:26" s="112" customFormat="1" ht="15" customHeight="1" x14ac:dyDescent="0.2">
      <c r="A90" s="106">
        <f t="shared" si="13"/>
        <v>88</v>
      </c>
      <c r="B90" s="79" t="s">
        <v>167</v>
      </c>
      <c r="C90" s="107"/>
      <c r="D90" s="107"/>
      <c r="E90" s="107"/>
      <c r="F90" s="108">
        <v>46110</v>
      </c>
      <c r="G90" s="110"/>
      <c r="H90" s="109" t="s">
        <v>191</v>
      </c>
      <c r="I90" s="81">
        <v>6</v>
      </c>
      <c r="J90" s="81">
        <v>50</v>
      </c>
      <c r="K90" s="107">
        <f t="shared" si="24"/>
        <v>300</v>
      </c>
      <c r="L90" s="83">
        <v>46110</v>
      </c>
      <c r="M90" s="110"/>
      <c r="N90" s="100" t="s">
        <v>186</v>
      </c>
      <c r="O90" s="101">
        <v>46094</v>
      </c>
      <c r="P90" s="111">
        <f t="shared" si="19"/>
        <v>50</v>
      </c>
      <c r="Q90" s="111">
        <f t="shared" si="20"/>
        <v>300</v>
      </c>
      <c r="R90" s="111"/>
      <c r="S90" s="100" t="s">
        <v>187</v>
      </c>
      <c r="T90" s="101"/>
      <c r="U90" s="111">
        <f t="shared" si="21"/>
        <v>50</v>
      </c>
      <c r="V90" s="111">
        <f t="shared" si="22"/>
        <v>6</v>
      </c>
      <c r="W90" s="110">
        <f t="shared" si="23"/>
        <v>300</v>
      </c>
      <c r="X90" s="100" t="s">
        <v>188</v>
      </c>
      <c r="Y90" s="112" t="s">
        <v>181</v>
      </c>
      <c r="Z90" s="112" t="s">
        <v>176</v>
      </c>
    </row>
    <row r="91" spans="1:26" s="112" customFormat="1" ht="15" customHeight="1" x14ac:dyDescent="0.2">
      <c r="A91" s="106">
        <f t="shared" si="13"/>
        <v>89</v>
      </c>
      <c r="B91" s="79" t="s">
        <v>168</v>
      </c>
      <c r="C91" s="107"/>
      <c r="D91" s="107"/>
      <c r="E91" s="107"/>
      <c r="F91" s="108">
        <v>46110</v>
      </c>
      <c r="G91" s="110"/>
      <c r="H91" s="109" t="s">
        <v>191</v>
      </c>
      <c r="I91" s="81">
        <v>4</v>
      </c>
      <c r="J91" s="81">
        <v>50</v>
      </c>
      <c r="K91" s="107">
        <f t="shared" si="24"/>
        <v>200</v>
      </c>
      <c r="L91" s="83">
        <v>46110</v>
      </c>
      <c r="M91" s="110"/>
      <c r="N91" s="100" t="s">
        <v>186</v>
      </c>
      <c r="O91" s="101">
        <v>46094</v>
      </c>
      <c r="P91" s="111">
        <f t="shared" si="19"/>
        <v>50</v>
      </c>
      <c r="Q91" s="111">
        <f t="shared" si="20"/>
        <v>200</v>
      </c>
      <c r="R91" s="111"/>
      <c r="S91" s="100" t="s">
        <v>187</v>
      </c>
      <c r="T91" s="101"/>
      <c r="U91" s="111">
        <f t="shared" si="21"/>
        <v>50</v>
      </c>
      <c r="V91" s="111">
        <f t="shared" si="22"/>
        <v>4</v>
      </c>
      <c r="W91" s="110">
        <f t="shared" si="23"/>
        <v>200</v>
      </c>
      <c r="X91" s="100" t="s">
        <v>188</v>
      </c>
      <c r="Y91" s="112" t="s">
        <v>181</v>
      </c>
      <c r="Z91" s="112" t="s">
        <v>176</v>
      </c>
    </row>
    <row r="92" spans="1:26" s="112" customFormat="1" ht="15" customHeight="1" x14ac:dyDescent="0.2">
      <c r="A92" s="106">
        <f t="shared" si="13"/>
        <v>90</v>
      </c>
      <c r="B92" s="79" t="s">
        <v>169</v>
      </c>
      <c r="C92" s="107"/>
      <c r="D92" s="107"/>
      <c r="E92" s="107"/>
      <c r="F92" s="108">
        <v>46110</v>
      </c>
      <c r="G92" s="110"/>
      <c r="H92" s="109" t="s">
        <v>191</v>
      </c>
      <c r="I92" s="81">
        <v>2</v>
      </c>
      <c r="J92" s="81">
        <v>50</v>
      </c>
      <c r="K92" s="107">
        <f t="shared" si="24"/>
        <v>100</v>
      </c>
      <c r="L92" s="83">
        <v>46110</v>
      </c>
      <c r="M92" s="110"/>
      <c r="N92" s="100" t="s">
        <v>186</v>
      </c>
      <c r="O92" s="101">
        <v>46094</v>
      </c>
      <c r="P92" s="111">
        <f t="shared" si="19"/>
        <v>50</v>
      </c>
      <c r="Q92" s="111">
        <f t="shared" si="20"/>
        <v>100</v>
      </c>
      <c r="R92" s="111"/>
      <c r="S92" s="100" t="s">
        <v>187</v>
      </c>
      <c r="T92" s="101"/>
      <c r="U92" s="111">
        <f t="shared" si="21"/>
        <v>50</v>
      </c>
      <c r="V92" s="111">
        <f t="shared" si="22"/>
        <v>2</v>
      </c>
      <c r="W92" s="110">
        <f t="shared" si="23"/>
        <v>100</v>
      </c>
      <c r="X92" s="100" t="s">
        <v>188</v>
      </c>
      <c r="Y92" s="112" t="s">
        <v>181</v>
      </c>
      <c r="Z92" s="112" t="s">
        <v>176</v>
      </c>
    </row>
  </sheetData>
  <conditionalFormatting sqref="B3:B61">
    <cfRule type="duplicateValues" dxfId="1" priority="7"/>
  </conditionalFormatting>
  <conditionalFormatting sqref="B73:B92">
    <cfRule type="duplicateValues" dxfId="0" priority="63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134C-5592-4D19-989A-3C9B6F971A3F}">
  <dimension ref="A1:V9"/>
  <sheetViews>
    <sheetView workbookViewId="0">
      <pane xSplit="4" ySplit="1" topLeftCell="E2" activePane="bottomRight" state="frozen"/>
      <selection pane="topRight" activeCell="J1" sqref="J1:K1048576"/>
      <selection pane="bottomLeft" activeCell="J1" sqref="J1:K1048576"/>
      <selection pane="bottomRight" activeCell="B2" sqref="B2:C9"/>
    </sheetView>
  </sheetViews>
  <sheetFormatPr defaultRowHeight="15" x14ac:dyDescent="0.25"/>
  <cols>
    <col min="8" max="8" width="10.28515625" bestFit="1" customWidth="1"/>
    <col min="9" max="13" width="10.28515625" customWidth="1"/>
    <col min="15" max="15" width="11.7109375" bestFit="1" customWidth="1"/>
  </cols>
  <sheetData>
    <row r="1" spans="1:22" ht="36" x14ac:dyDescent="0.25">
      <c r="A1" s="43" t="s">
        <v>89</v>
      </c>
      <c r="B1" s="43" t="s">
        <v>90</v>
      </c>
      <c r="C1" s="43" t="s">
        <v>52</v>
      </c>
      <c r="D1" s="43" t="s">
        <v>91</v>
      </c>
      <c r="E1" s="43" t="s">
        <v>92</v>
      </c>
      <c r="F1" s="43" t="s">
        <v>93</v>
      </c>
      <c r="G1" s="43" t="s">
        <v>94</v>
      </c>
      <c r="H1" s="43" t="s">
        <v>55</v>
      </c>
      <c r="I1" s="43" t="s">
        <v>95</v>
      </c>
      <c r="J1" s="43" t="s">
        <v>96</v>
      </c>
      <c r="K1" s="43" t="s">
        <v>97</v>
      </c>
      <c r="L1" s="43" t="s">
        <v>98</v>
      </c>
      <c r="M1" s="43" t="s">
        <v>99</v>
      </c>
      <c r="N1" s="43" t="s">
        <v>100</v>
      </c>
      <c r="O1" s="43" t="s">
        <v>101</v>
      </c>
      <c r="P1" s="43" t="s">
        <v>102</v>
      </c>
      <c r="Q1" s="43" t="s">
        <v>103</v>
      </c>
      <c r="R1" s="43" t="s">
        <v>104</v>
      </c>
      <c r="S1" s="43" t="s">
        <v>105</v>
      </c>
      <c r="T1" s="43" t="s">
        <v>106</v>
      </c>
      <c r="U1" s="43" t="s">
        <v>107</v>
      </c>
      <c r="V1" s="43" t="s">
        <v>108</v>
      </c>
    </row>
    <row r="2" spans="1:22" x14ac:dyDescent="0.25">
      <c r="A2" s="44">
        <v>1</v>
      </c>
      <c r="B2" s="45">
        <v>1</v>
      </c>
      <c r="C2" s="46">
        <v>45658</v>
      </c>
      <c r="D2" s="46"/>
      <c r="E2" s="47"/>
      <c r="F2" s="47"/>
      <c r="G2" s="47"/>
      <c r="H2" s="48" t="s">
        <v>109</v>
      </c>
      <c r="I2" s="47"/>
      <c r="J2" s="47"/>
      <c r="K2" s="47"/>
      <c r="L2" s="47"/>
      <c r="M2" s="47"/>
      <c r="N2" s="47"/>
      <c r="O2" s="47">
        <f>SUMIFS('Route-Details'!X:X,'Route-Details'!Z:Z,'PO Details'!B2,'Route-Details'!AA:AA,'PO Details'!C2,'Route-Details'!V:V,'PO Details'!H2)</f>
        <v>0</v>
      </c>
      <c r="P2" s="47"/>
      <c r="Q2" s="47"/>
      <c r="R2" s="47"/>
      <c r="S2" s="47"/>
      <c r="T2" s="47"/>
      <c r="U2" s="48"/>
      <c r="V2" s="48"/>
    </row>
    <row r="3" spans="1:22" x14ac:dyDescent="0.25">
      <c r="A3" s="44">
        <f>A2+1</f>
        <v>2</v>
      </c>
      <c r="B3" s="45">
        <v>1</v>
      </c>
      <c r="C3" s="46">
        <v>45658</v>
      </c>
      <c r="D3" s="46"/>
      <c r="E3" s="47"/>
      <c r="F3" s="47"/>
      <c r="G3" s="47"/>
      <c r="H3" s="48" t="s">
        <v>76</v>
      </c>
      <c r="I3" s="47"/>
      <c r="J3" s="47"/>
      <c r="K3" s="47"/>
      <c r="L3" s="47"/>
      <c r="M3" s="47"/>
      <c r="N3" s="47"/>
      <c r="O3" s="47">
        <f>SUMIFS('Route-Details'!X:X,'Route-Details'!Z:Z,'PO Details'!B3,'Route-Details'!AA:AA,'PO Details'!C3,'Route-Details'!V:V,'PO Details'!H3)</f>
        <v>0</v>
      </c>
      <c r="P3" s="47"/>
      <c r="Q3" s="47"/>
      <c r="R3" s="47"/>
      <c r="S3" s="47"/>
      <c r="T3" s="47"/>
      <c r="U3" s="48"/>
      <c r="V3" s="48"/>
    </row>
    <row r="4" spans="1:22" x14ac:dyDescent="0.25">
      <c r="A4" s="44">
        <f t="shared" ref="A4:A9" si="0">A3+1</f>
        <v>3</v>
      </c>
      <c r="B4" s="45">
        <v>1</v>
      </c>
      <c r="C4" s="46">
        <v>45658</v>
      </c>
      <c r="D4" s="46"/>
      <c r="E4" s="47"/>
      <c r="F4" s="47"/>
      <c r="G4" s="47"/>
      <c r="H4" s="48" t="s">
        <v>75</v>
      </c>
      <c r="I4" s="47"/>
      <c r="J4" s="47"/>
      <c r="K4" s="47"/>
      <c r="L4" s="47"/>
      <c r="M4" s="47"/>
      <c r="N4" s="47"/>
      <c r="O4" s="47">
        <f>SUMIFS('Route-Details'!X:X,'Route-Details'!Z:Z,'PO Details'!B4,'Route-Details'!AA:AA,'PO Details'!C4,'Route-Details'!V:V,'PO Details'!H4)</f>
        <v>0</v>
      </c>
      <c r="P4" s="47"/>
      <c r="Q4" s="47"/>
      <c r="R4" s="47"/>
      <c r="S4" s="47"/>
      <c r="T4" s="47"/>
      <c r="U4" s="48"/>
      <c r="V4" s="48"/>
    </row>
    <row r="5" spans="1:22" x14ac:dyDescent="0.25">
      <c r="A5" s="44">
        <f t="shared" si="0"/>
        <v>4</v>
      </c>
      <c r="B5" s="45">
        <v>1</v>
      </c>
      <c r="C5" s="46">
        <v>45658</v>
      </c>
      <c r="D5" s="46"/>
      <c r="E5" s="47"/>
      <c r="F5" s="47"/>
      <c r="G5" s="47"/>
      <c r="H5" s="48" t="s">
        <v>110</v>
      </c>
      <c r="I5" s="47"/>
      <c r="J5" s="47"/>
      <c r="K5" s="47"/>
      <c r="L5" s="47"/>
      <c r="M5" s="47"/>
      <c r="N5" s="47"/>
      <c r="O5" s="47">
        <f>SUMIFS('Route-Details'!X:X,'Route-Details'!Z:Z,'PO Details'!B5,'Route-Details'!AA:AA,'PO Details'!C5,'Route-Details'!V:V,'PO Details'!H5)</f>
        <v>0</v>
      </c>
      <c r="P5" s="47"/>
      <c r="Q5" s="47"/>
      <c r="R5" s="47"/>
      <c r="S5" s="47"/>
      <c r="T5" s="47"/>
      <c r="U5" s="48"/>
      <c r="V5" s="48"/>
    </row>
    <row r="6" spans="1:22" x14ac:dyDescent="0.25">
      <c r="A6" s="44">
        <f t="shared" si="0"/>
        <v>5</v>
      </c>
      <c r="B6" s="45">
        <v>2</v>
      </c>
      <c r="C6" s="46">
        <v>45690</v>
      </c>
      <c r="D6" s="46"/>
      <c r="E6" s="47"/>
      <c r="F6" s="47"/>
      <c r="G6" s="47"/>
      <c r="H6" s="48" t="s">
        <v>109</v>
      </c>
      <c r="I6" s="47"/>
      <c r="J6" s="47"/>
      <c r="K6" s="47"/>
      <c r="L6" s="47"/>
      <c r="M6" s="47"/>
      <c r="N6" s="47"/>
      <c r="O6" s="47">
        <f>SUMIFS('Route-Details'!X:X,'Route-Details'!Z:Z,'PO Details'!B6,'Route-Details'!AA:AA,'PO Details'!C6,'Route-Details'!V:V,'PO Details'!H6)</f>
        <v>0</v>
      </c>
      <c r="P6" s="47"/>
      <c r="Q6" s="47"/>
      <c r="R6" s="47"/>
      <c r="S6" s="47"/>
      <c r="T6" s="47"/>
      <c r="U6" s="48"/>
      <c r="V6" s="48"/>
    </row>
    <row r="7" spans="1:22" x14ac:dyDescent="0.25">
      <c r="A7" s="44">
        <f t="shared" si="0"/>
        <v>6</v>
      </c>
      <c r="B7" s="45">
        <v>2</v>
      </c>
      <c r="C7" s="46">
        <v>45690</v>
      </c>
      <c r="D7" s="46"/>
      <c r="E7" s="47"/>
      <c r="F7" s="47"/>
      <c r="G7" s="47"/>
      <c r="H7" s="48" t="s">
        <v>76</v>
      </c>
      <c r="I7" s="47"/>
      <c r="J7" s="47"/>
      <c r="K7" s="47"/>
      <c r="L7" s="47"/>
      <c r="M7" s="47"/>
      <c r="N7" s="47"/>
      <c r="O7" s="47">
        <f>SUMIFS('Route-Details'!X:X,'Route-Details'!Z:Z,'PO Details'!B7,'Route-Details'!AA:AA,'PO Details'!C7,'Route-Details'!V:V,'PO Details'!H7)</f>
        <v>0</v>
      </c>
      <c r="P7" s="47"/>
      <c r="Q7" s="47"/>
      <c r="R7" s="47"/>
      <c r="S7" s="47"/>
      <c r="T7" s="47"/>
      <c r="U7" s="48"/>
      <c r="V7" s="48"/>
    </row>
    <row r="8" spans="1:22" x14ac:dyDescent="0.25">
      <c r="A8" s="44">
        <f t="shared" si="0"/>
        <v>7</v>
      </c>
      <c r="B8" s="45">
        <v>2</v>
      </c>
      <c r="C8" s="46">
        <v>45690</v>
      </c>
      <c r="D8" s="46"/>
      <c r="E8" s="47"/>
      <c r="F8" s="47"/>
      <c r="G8" s="47"/>
      <c r="H8" s="48" t="s">
        <v>75</v>
      </c>
      <c r="I8" s="47"/>
      <c r="J8" s="47"/>
      <c r="K8" s="47"/>
      <c r="L8" s="47"/>
      <c r="M8" s="47"/>
      <c r="N8" s="47"/>
      <c r="O8" s="47">
        <f>SUMIFS('Route-Details'!X:X,'Route-Details'!Z:Z,'PO Details'!B8,'Route-Details'!AA:AA,'PO Details'!C8,'Route-Details'!V:V,'PO Details'!H8)</f>
        <v>0</v>
      </c>
      <c r="P8" s="47"/>
      <c r="Q8" s="47"/>
      <c r="R8" s="47"/>
      <c r="S8" s="47"/>
      <c r="T8" s="47"/>
      <c r="U8" s="48"/>
      <c r="V8" s="48"/>
    </row>
    <row r="9" spans="1:22" x14ac:dyDescent="0.25">
      <c r="A9" s="44">
        <f t="shared" si="0"/>
        <v>8</v>
      </c>
      <c r="B9" s="45">
        <v>2</v>
      </c>
      <c r="C9" s="46">
        <v>45690</v>
      </c>
      <c r="D9" s="46"/>
      <c r="E9" s="47"/>
      <c r="F9" s="47"/>
      <c r="G9" s="47"/>
      <c r="H9" s="48" t="s">
        <v>110</v>
      </c>
      <c r="I9" s="47"/>
      <c r="J9" s="47"/>
      <c r="K9" s="47"/>
      <c r="L9" s="47"/>
      <c r="M9" s="47"/>
      <c r="N9" s="47"/>
      <c r="O9" s="47">
        <f>SUMIFS('Route-Details'!X:X,'Route-Details'!Z:Z,'PO Details'!B9,'Route-Details'!AA:AA,'PO Details'!C9,'Route-Details'!V:V,'PO Details'!H9)</f>
        <v>0</v>
      </c>
      <c r="P9" s="47"/>
      <c r="Q9" s="47"/>
      <c r="R9" s="47"/>
      <c r="S9" s="47"/>
      <c r="T9" s="47"/>
      <c r="U9" s="48"/>
      <c r="V9" s="48"/>
    </row>
  </sheetData>
  <dataValidations count="3">
    <dataValidation type="list" allowBlank="1" showInputMessage="1" showErrorMessage="1" sqref="D2:D9" xr:uid="{9B9DE9DE-B3C6-43AF-91D8-572280FC6F0B}">
      <formula1>"Fresh, Renewal"</formula1>
    </dataValidation>
    <dataValidation type="list" allowBlank="1" showInputMessage="1" showErrorMessage="1" sqref="G2:G9" xr:uid="{ECDF4BBF-8D15-42BB-BC3F-26B6D6C71455}">
      <formula1>"1,2,3,5"</formula1>
    </dataValidation>
    <dataValidation type="list" allowBlank="1" showInputMessage="1" showErrorMessage="1" sqref="H2:H9" xr:uid="{18458188-6F1B-4F15-9B5C-8353A3617F39}">
      <formula1>"6F,12F,24F,48F"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F832-C178-4AF7-ADFB-42F21AE2FE6A}">
  <dimension ref="A1:K9"/>
  <sheetViews>
    <sheetView workbookViewId="0">
      <selection activeCell="B1" sqref="B1"/>
    </sheetView>
  </sheetViews>
  <sheetFormatPr defaultRowHeight="15" x14ac:dyDescent="0.25"/>
  <sheetData>
    <row r="1" spans="1:11" ht="24" x14ac:dyDescent="0.25">
      <c r="A1" s="43" t="s">
        <v>89</v>
      </c>
      <c r="B1" s="43" t="s">
        <v>85</v>
      </c>
      <c r="C1" s="43" t="s">
        <v>92</v>
      </c>
      <c r="D1" s="43" t="s">
        <v>41</v>
      </c>
      <c r="E1" s="43" t="s">
        <v>111</v>
      </c>
      <c r="F1" s="43" t="s">
        <v>9</v>
      </c>
      <c r="G1" s="43" t="s">
        <v>112</v>
      </c>
      <c r="H1" s="43" t="s">
        <v>113</v>
      </c>
      <c r="I1" s="43" t="s">
        <v>106</v>
      </c>
      <c r="J1" s="43" t="s">
        <v>107</v>
      </c>
      <c r="K1" s="43" t="s">
        <v>108</v>
      </c>
    </row>
    <row r="2" spans="1:11" x14ac:dyDescent="0.25">
      <c r="A2" s="44">
        <v>1</v>
      </c>
      <c r="B2" s="44"/>
      <c r="C2" s="45"/>
      <c r="D2" s="46"/>
      <c r="E2" s="46"/>
      <c r="F2" s="48"/>
      <c r="G2" s="48"/>
      <c r="H2" s="48"/>
      <c r="I2" s="48"/>
      <c r="J2" s="48"/>
      <c r="K2" s="48"/>
    </row>
    <row r="3" spans="1:11" x14ac:dyDescent="0.25">
      <c r="A3" s="44">
        <f>A2+1</f>
        <v>2</v>
      </c>
      <c r="B3" s="44"/>
      <c r="C3" s="45"/>
      <c r="D3" s="46"/>
      <c r="E3" s="46"/>
      <c r="F3" s="48"/>
      <c r="G3" s="48"/>
      <c r="H3" s="48"/>
      <c r="I3" s="48"/>
      <c r="J3" s="48"/>
      <c r="K3" s="48"/>
    </row>
    <row r="4" spans="1:11" x14ac:dyDescent="0.25">
      <c r="A4" s="44">
        <f t="shared" ref="A4:A9" si="0">A3+1</f>
        <v>3</v>
      </c>
      <c r="B4" s="44"/>
      <c r="C4" s="45"/>
      <c r="D4" s="46"/>
      <c r="E4" s="46"/>
      <c r="F4" s="48"/>
      <c r="G4" s="48"/>
      <c r="H4" s="48"/>
      <c r="I4" s="48"/>
      <c r="J4" s="48"/>
      <c r="K4" s="48"/>
    </row>
    <row r="5" spans="1:11" x14ac:dyDescent="0.25">
      <c r="A5" s="44">
        <f t="shared" si="0"/>
        <v>4</v>
      </c>
      <c r="B5" s="44"/>
      <c r="C5" s="45"/>
      <c r="D5" s="46"/>
      <c r="E5" s="46"/>
      <c r="F5" s="48"/>
      <c r="G5" s="48"/>
      <c r="H5" s="48"/>
      <c r="I5" s="48"/>
      <c r="J5" s="48"/>
      <c r="K5" s="48"/>
    </row>
    <row r="6" spans="1:11" x14ac:dyDescent="0.25">
      <c r="A6" s="44">
        <f t="shared" si="0"/>
        <v>5</v>
      </c>
      <c r="B6" s="44"/>
      <c r="C6" s="45"/>
      <c r="D6" s="46"/>
      <c r="E6" s="46"/>
      <c r="F6" s="48"/>
      <c r="G6" s="48"/>
      <c r="H6" s="48"/>
      <c r="I6" s="48"/>
      <c r="J6" s="48"/>
      <c r="K6" s="48"/>
    </row>
    <row r="7" spans="1:11" x14ac:dyDescent="0.25">
      <c r="A7" s="44">
        <f t="shared" si="0"/>
        <v>6</v>
      </c>
      <c r="B7" s="44"/>
      <c r="C7" s="45"/>
      <c r="D7" s="46"/>
      <c r="E7" s="46"/>
      <c r="F7" s="48"/>
      <c r="G7" s="48"/>
      <c r="H7" s="48"/>
      <c r="I7" s="48"/>
      <c r="J7" s="48"/>
      <c r="K7" s="48"/>
    </row>
    <row r="8" spans="1:11" x14ac:dyDescent="0.25">
      <c r="A8" s="44">
        <f t="shared" si="0"/>
        <v>7</v>
      </c>
      <c r="B8" s="44"/>
      <c r="C8" s="45"/>
      <c r="D8" s="46"/>
      <c r="E8" s="46"/>
      <c r="F8" s="48"/>
      <c r="G8" s="48"/>
      <c r="H8" s="48"/>
      <c r="I8" s="48"/>
      <c r="J8" s="48"/>
      <c r="K8" s="48"/>
    </row>
    <row r="9" spans="1:11" x14ac:dyDescent="0.25">
      <c r="A9" s="44">
        <f t="shared" si="0"/>
        <v>8</v>
      </c>
      <c r="B9" s="44"/>
      <c r="C9" s="45"/>
      <c r="D9" s="46"/>
      <c r="E9" s="46"/>
      <c r="F9" s="48"/>
      <c r="G9" s="48"/>
      <c r="H9" s="48"/>
      <c r="I9" s="48"/>
      <c r="J9" s="48"/>
      <c r="K9" s="4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E299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Q3" sqref="Q3"/>
    </sheetView>
  </sheetViews>
  <sheetFormatPr defaultRowHeight="15" x14ac:dyDescent="0.25"/>
  <cols>
    <col min="2" max="2" width="10.42578125" bestFit="1" customWidth="1"/>
    <col min="3" max="3" width="9.5703125" bestFit="1" customWidth="1"/>
    <col min="4" max="4" width="10.28515625" bestFit="1" customWidth="1"/>
    <col min="5" max="5" width="9.5703125" bestFit="1" customWidth="1"/>
    <col min="6" max="6" width="12" bestFit="1" customWidth="1"/>
    <col min="7" max="8" width="12" customWidth="1"/>
    <col min="9" max="9" width="10.5703125" customWidth="1"/>
    <col min="10" max="10" width="12" customWidth="1"/>
    <col min="11" max="11" width="8.85546875" customWidth="1"/>
    <col min="12" max="12" width="10.5703125" customWidth="1"/>
    <col min="13" max="14" width="14.140625" customWidth="1"/>
    <col min="15" max="15" width="7.85546875" bestFit="1" customWidth="1"/>
    <col min="16" max="16" width="7.85546875" customWidth="1"/>
    <col min="17" max="17" width="9" bestFit="1" customWidth="1"/>
    <col min="18" max="18" width="1.7109375" customWidth="1"/>
    <col min="19" max="19" width="15" customWidth="1"/>
    <col min="31" max="31" width="1.7109375" customWidth="1"/>
    <col min="32" max="32" width="12" customWidth="1"/>
    <col min="44" max="44" width="1.7109375" customWidth="1"/>
    <col min="45" max="45" width="12" customWidth="1"/>
    <col min="57" max="57" width="1.7109375" customWidth="1"/>
    <col min="58" max="58" width="12" customWidth="1"/>
    <col min="70" max="70" width="1.7109375" customWidth="1"/>
    <col min="71" max="71" width="12" customWidth="1"/>
    <col min="83" max="83" width="1.7109375" customWidth="1"/>
  </cols>
  <sheetData>
    <row r="1" spans="1:83" x14ac:dyDescent="0.25">
      <c r="C1" s="49" t="s">
        <v>114</v>
      </c>
      <c r="D1" s="50"/>
      <c r="E1" s="53"/>
      <c r="F1" s="50"/>
      <c r="G1" s="50"/>
      <c r="H1" s="50"/>
      <c r="I1" s="54"/>
      <c r="J1" s="50"/>
      <c r="K1" s="50"/>
      <c r="L1" s="54"/>
      <c r="M1" s="50"/>
      <c r="N1" s="50"/>
      <c r="O1" s="50"/>
      <c r="P1" s="50"/>
      <c r="Q1" s="50"/>
      <c r="S1" s="49" t="s">
        <v>115</v>
      </c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F1" s="49" t="s">
        <v>116</v>
      </c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S1" s="49" t="s">
        <v>117</v>
      </c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F1" s="49" t="s">
        <v>118</v>
      </c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S1" s="49" t="s">
        <v>119</v>
      </c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</row>
    <row r="2" spans="1:83" s="35" customFormat="1" ht="24" customHeight="1" x14ac:dyDescent="0.25">
      <c r="A2" s="31" t="s">
        <v>89</v>
      </c>
      <c r="B2" s="31" t="s">
        <v>85</v>
      </c>
      <c r="C2" s="32" t="s">
        <v>38</v>
      </c>
      <c r="D2" s="32" t="s">
        <v>55</v>
      </c>
      <c r="E2" s="32" t="s">
        <v>41</v>
      </c>
      <c r="F2" s="33" t="s">
        <v>120</v>
      </c>
      <c r="G2" s="32" t="s">
        <v>121</v>
      </c>
      <c r="H2" s="33" t="s">
        <v>122</v>
      </c>
      <c r="I2" s="34" t="s">
        <v>123</v>
      </c>
      <c r="J2" s="32" t="s">
        <v>124</v>
      </c>
      <c r="K2" s="33" t="s">
        <v>125</v>
      </c>
      <c r="L2" s="34" t="s">
        <v>126</v>
      </c>
      <c r="M2" s="34" t="s">
        <v>127</v>
      </c>
      <c r="N2" s="34" t="s">
        <v>128</v>
      </c>
      <c r="O2" s="32" t="s">
        <v>38</v>
      </c>
      <c r="P2" s="57" t="s">
        <v>135</v>
      </c>
      <c r="Q2" s="56" t="s">
        <v>129</v>
      </c>
      <c r="R2" s="51"/>
      <c r="S2" s="33" t="s">
        <v>130</v>
      </c>
      <c r="T2" s="33" t="s">
        <v>55</v>
      </c>
      <c r="U2" s="52" t="s">
        <v>131</v>
      </c>
      <c r="V2" s="33" t="s">
        <v>120</v>
      </c>
      <c r="W2" s="33" t="s">
        <v>121</v>
      </c>
      <c r="X2" s="33" t="s">
        <v>122</v>
      </c>
      <c r="Y2" s="34" t="s">
        <v>123</v>
      </c>
      <c r="Z2" s="33" t="s">
        <v>124</v>
      </c>
      <c r="AA2" s="33" t="s">
        <v>125</v>
      </c>
      <c r="AB2" s="34" t="s">
        <v>126</v>
      </c>
      <c r="AC2" s="34" t="s">
        <v>127</v>
      </c>
      <c r="AD2" s="34" t="s">
        <v>128</v>
      </c>
      <c r="AE2" s="51"/>
      <c r="AF2" s="33" t="s">
        <v>132</v>
      </c>
      <c r="AG2" s="33" t="s">
        <v>55</v>
      </c>
      <c r="AH2" s="52" t="s">
        <v>131</v>
      </c>
      <c r="AI2" s="33" t="s">
        <v>120</v>
      </c>
      <c r="AJ2" s="33" t="s">
        <v>121</v>
      </c>
      <c r="AK2" s="33" t="s">
        <v>122</v>
      </c>
      <c r="AL2" s="34" t="s">
        <v>123</v>
      </c>
      <c r="AM2" s="33" t="s">
        <v>124</v>
      </c>
      <c r="AN2" s="33" t="s">
        <v>125</v>
      </c>
      <c r="AO2" s="34" t="s">
        <v>126</v>
      </c>
      <c r="AP2" s="34" t="s">
        <v>127</v>
      </c>
      <c r="AQ2" s="34" t="s">
        <v>128</v>
      </c>
      <c r="AR2" s="51"/>
      <c r="AS2" s="33" t="s">
        <v>132</v>
      </c>
      <c r="AT2" s="33" t="s">
        <v>55</v>
      </c>
      <c r="AU2" s="52" t="s">
        <v>131</v>
      </c>
      <c r="AV2" s="33" t="s">
        <v>120</v>
      </c>
      <c r="AW2" s="33" t="s">
        <v>121</v>
      </c>
      <c r="AX2" s="33" t="s">
        <v>122</v>
      </c>
      <c r="AY2" s="34" t="s">
        <v>123</v>
      </c>
      <c r="AZ2" s="33" t="s">
        <v>124</v>
      </c>
      <c r="BA2" s="33" t="s">
        <v>125</v>
      </c>
      <c r="BB2" s="34" t="s">
        <v>126</v>
      </c>
      <c r="BC2" s="34" t="s">
        <v>127</v>
      </c>
      <c r="BD2" s="34" t="s">
        <v>128</v>
      </c>
      <c r="BE2" s="51"/>
      <c r="BF2" s="33" t="s">
        <v>132</v>
      </c>
      <c r="BG2" s="33" t="s">
        <v>55</v>
      </c>
      <c r="BH2" s="52" t="s">
        <v>131</v>
      </c>
      <c r="BI2" s="33" t="s">
        <v>120</v>
      </c>
      <c r="BJ2" s="33" t="s">
        <v>121</v>
      </c>
      <c r="BK2" s="33" t="s">
        <v>122</v>
      </c>
      <c r="BL2" s="34" t="s">
        <v>123</v>
      </c>
      <c r="BM2" s="33" t="s">
        <v>124</v>
      </c>
      <c r="BN2" s="33" t="s">
        <v>125</v>
      </c>
      <c r="BO2" s="34" t="s">
        <v>126</v>
      </c>
      <c r="BP2" s="34" t="s">
        <v>127</v>
      </c>
      <c r="BQ2" s="34" t="s">
        <v>128</v>
      </c>
      <c r="BR2" s="51"/>
      <c r="BS2" s="33" t="s">
        <v>132</v>
      </c>
      <c r="BT2" s="33" t="s">
        <v>55</v>
      </c>
      <c r="BU2" s="52" t="s">
        <v>131</v>
      </c>
      <c r="BV2" s="33" t="s">
        <v>120</v>
      </c>
      <c r="BW2" s="33" t="s">
        <v>121</v>
      </c>
      <c r="BX2" s="33" t="s">
        <v>122</v>
      </c>
      <c r="BY2" s="34" t="s">
        <v>123</v>
      </c>
      <c r="BZ2" s="33" t="s">
        <v>124</v>
      </c>
      <c r="CA2" s="33" t="s">
        <v>125</v>
      </c>
      <c r="CB2" s="34" t="s">
        <v>126</v>
      </c>
      <c r="CC2" s="34" t="s">
        <v>127</v>
      </c>
      <c r="CD2" s="34" t="s">
        <v>128</v>
      </c>
      <c r="CE2" s="51"/>
    </row>
    <row r="3" spans="1:83" s="24" customFormat="1" ht="11.25" x14ac:dyDescent="0.2">
      <c r="A3" s="58">
        <v>1</v>
      </c>
      <c r="B3" s="58" t="s">
        <v>133</v>
      </c>
      <c r="C3" s="25" t="s">
        <v>134</v>
      </c>
      <c r="D3" s="25" t="s">
        <v>109</v>
      </c>
      <c r="E3" s="59">
        <v>46110</v>
      </c>
      <c r="F3" s="25">
        <v>0</v>
      </c>
      <c r="G3" s="25">
        <v>34</v>
      </c>
      <c r="H3" s="25">
        <v>34</v>
      </c>
      <c r="I3" s="60">
        <f t="shared" ref="I3:I66" si="0">IF(H3&lt;&gt;"",H3/G3,"")</f>
        <v>1</v>
      </c>
      <c r="J3" s="25">
        <v>328</v>
      </c>
      <c r="K3" s="25">
        <v>328</v>
      </c>
      <c r="L3" s="60">
        <f t="shared" ref="L3:L66" si="1">IF(K3&lt;&gt;"",K3/J3,"")</f>
        <v>1</v>
      </c>
      <c r="M3" s="61">
        <f t="shared" ref="M3:M66" si="2">IF(L3&lt;&gt;"",MAX(I3,L3),"")</f>
        <v>1</v>
      </c>
      <c r="N3" s="61">
        <f t="shared" ref="N3:N66" si="3">IF($M3&lt;&gt;"",IF($M3&lt;50%,0%,IF($M3&lt;80%,$M3,100%)),"")</f>
        <v>1</v>
      </c>
      <c r="O3" s="62" t="s">
        <v>134</v>
      </c>
      <c r="P3" s="62" t="s">
        <v>134</v>
      </c>
      <c r="Q3" s="62" t="b">
        <f>IF(P3="","Check",_xlfn.XLOOKUP(P3,'Route-Details'!M:M,'Route-Details'!M:M)=P3)</f>
        <v>1</v>
      </c>
    </row>
    <row r="4" spans="1:83" s="24" customFormat="1" ht="11.25" x14ac:dyDescent="0.2">
      <c r="A4" s="58">
        <f t="shared" ref="A4:A67" si="4">IF(C4&lt;&gt;"",A3+1,"")</f>
        <v>2</v>
      </c>
      <c r="B4" s="58" t="s">
        <v>133</v>
      </c>
      <c r="C4" s="25" t="s">
        <v>134</v>
      </c>
      <c r="D4" s="25" t="s">
        <v>76</v>
      </c>
      <c r="E4" s="59">
        <v>46110</v>
      </c>
      <c r="F4" s="25">
        <v>1673</v>
      </c>
      <c r="G4" s="25">
        <v>34</v>
      </c>
      <c r="H4" s="25">
        <v>34</v>
      </c>
      <c r="I4" s="60">
        <f t="shared" si="0"/>
        <v>1</v>
      </c>
      <c r="J4" s="25">
        <v>328</v>
      </c>
      <c r="K4" s="25">
        <v>328</v>
      </c>
      <c r="L4" s="60">
        <f t="shared" si="1"/>
        <v>1</v>
      </c>
      <c r="M4" s="61">
        <f t="shared" si="2"/>
        <v>1</v>
      </c>
      <c r="N4" s="61">
        <f t="shared" si="3"/>
        <v>1</v>
      </c>
      <c r="O4" s="62" t="s">
        <v>134</v>
      </c>
      <c r="P4" s="62" t="s">
        <v>134</v>
      </c>
      <c r="Q4" s="62" t="b">
        <f>IF(P4="","Check",_xlfn.XLOOKUP(P4,'Route-Details'!M:M,'Route-Details'!M:M)=P4)</f>
        <v>1</v>
      </c>
    </row>
    <row r="5" spans="1:83" s="24" customFormat="1" ht="11.25" x14ac:dyDescent="0.2">
      <c r="A5" s="58">
        <f t="shared" si="4"/>
        <v>3</v>
      </c>
      <c r="B5" s="58" t="s">
        <v>133</v>
      </c>
      <c r="C5" s="25" t="s">
        <v>134</v>
      </c>
      <c r="D5" s="25" t="s">
        <v>75</v>
      </c>
      <c r="E5" s="59">
        <v>46110</v>
      </c>
      <c r="F5" s="25">
        <v>817</v>
      </c>
      <c r="G5" s="25">
        <v>34</v>
      </c>
      <c r="H5" s="25">
        <v>34</v>
      </c>
      <c r="I5" s="60">
        <f t="shared" si="0"/>
        <v>1</v>
      </c>
      <c r="J5" s="25">
        <v>328</v>
      </c>
      <c r="K5" s="25">
        <v>328</v>
      </c>
      <c r="L5" s="60">
        <f t="shared" si="1"/>
        <v>1</v>
      </c>
      <c r="M5" s="61">
        <f t="shared" si="2"/>
        <v>1</v>
      </c>
      <c r="N5" s="61">
        <f t="shared" si="3"/>
        <v>1</v>
      </c>
      <c r="O5" s="62" t="s">
        <v>134</v>
      </c>
      <c r="P5" s="62" t="s">
        <v>134</v>
      </c>
      <c r="Q5" s="62" t="b">
        <f>IF(P5="","Check",_xlfn.XLOOKUP(P5,'Route-Details'!M:M,'Route-Details'!M:M)=P5)</f>
        <v>1</v>
      </c>
    </row>
    <row r="6" spans="1:83" s="24" customFormat="1" ht="11.25" x14ac:dyDescent="0.2">
      <c r="A6" s="58">
        <f t="shared" si="4"/>
        <v>4</v>
      </c>
      <c r="B6" s="58" t="s">
        <v>133</v>
      </c>
      <c r="C6" s="25" t="s">
        <v>134</v>
      </c>
      <c r="D6" s="25" t="s">
        <v>110</v>
      </c>
      <c r="E6" s="59">
        <v>46110</v>
      </c>
      <c r="F6" s="25">
        <v>0</v>
      </c>
      <c r="G6" s="25">
        <v>34</v>
      </c>
      <c r="H6" s="25">
        <v>34</v>
      </c>
      <c r="I6" s="60">
        <f t="shared" si="0"/>
        <v>1</v>
      </c>
      <c r="J6" s="25">
        <v>328</v>
      </c>
      <c r="K6" s="25">
        <v>328</v>
      </c>
      <c r="L6" s="60">
        <f t="shared" si="1"/>
        <v>1</v>
      </c>
      <c r="M6" s="61">
        <f t="shared" si="2"/>
        <v>1</v>
      </c>
      <c r="N6" s="61">
        <f t="shared" si="3"/>
        <v>1</v>
      </c>
      <c r="O6" s="62" t="s">
        <v>134</v>
      </c>
      <c r="P6" s="62" t="s">
        <v>134</v>
      </c>
      <c r="Q6" s="62" t="b">
        <f>IF(P6="","Check",_xlfn.XLOOKUP(P6,'Route-Details'!M:M,'Route-Details'!M:M)=P6)</f>
        <v>1</v>
      </c>
    </row>
    <row r="7" spans="1:83" x14ac:dyDescent="0.25">
      <c r="A7" s="38" t="str">
        <f t="shared" si="4"/>
        <v/>
      </c>
      <c r="B7" s="38"/>
      <c r="C7" s="30"/>
      <c r="D7" s="30"/>
      <c r="E7" s="30"/>
      <c r="F7" s="30"/>
      <c r="G7" s="30"/>
      <c r="H7" s="30"/>
      <c r="I7" s="36" t="str">
        <f t="shared" si="0"/>
        <v/>
      </c>
      <c r="J7" s="30"/>
      <c r="K7" s="30"/>
      <c r="L7" s="36" t="str">
        <f t="shared" si="1"/>
        <v/>
      </c>
      <c r="M7" s="37" t="str">
        <f t="shared" si="2"/>
        <v/>
      </c>
      <c r="N7" s="37" t="str">
        <f t="shared" si="3"/>
        <v/>
      </c>
      <c r="O7" s="55"/>
      <c r="P7" s="55"/>
      <c r="Q7" s="55"/>
    </row>
    <row r="8" spans="1:83" x14ac:dyDescent="0.25">
      <c r="A8" s="38" t="str">
        <f t="shared" si="4"/>
        <v/>
      </c>
      <c r="B8" s="38"/>
      <c r="C8" s="30"/>
      <c r="D8" s="30"/>
      <c r="E8" s="30"/>
      <c r="F8" s="30"/>
      <c r="G8" s="30"/>
      <c r="H8" s="30"/>
      <c r="I8" s="36" t="str">
        <f t="shared" si="0"/>
        <v/>
      </c>
      <c r="J8" s="30"/>
      <c r="K8" s="30"/>
      <c r="L8" s="36" t="str">
        <f t="shared" si="1"/>
        <v/>
      </c>
      <c r="M8" s="37" t="str">
        <f t="shared" si="2"/>
        <v/>
      </c>
      <c r="N8" s="37" t="str">
        <f t="shared" si="3"/>
        <v/>
      </c>
      <c r="O8" s="55"/>
      <c r="P8" s="55"/>
      <c r="Q8" s="55"/>
    </row>
    <row r="9" spans="1:83" x14ac:dyDescent="0.25">
      <c r="A9" s="38" t="str">
        <f t="shared" si="4"/>
        <v/>
      </c>
      <c r="B9" s="38"/>
      <c r="C9" s="30"/>
      <c r="D9" s="30"/>
      <c r="E9" s="30"/>
      <c r="F9" s="30"/>
      <c r="G9" s="30"/>
      <c r="H9" s="30"/>
      <c r="I9" s="36" t="str">
        <f t="shared" si="0"/>
        <v/>
      </c>
      <c r="J9" s="30"/>
      <c r="K9" s="30"/>
      <c r="L9" s="36" t="str">
        <f t="shared" si="1"/>
        <v/>
      </c>
      <c r="M9" s="37" t="str">
        <f t="shared" si="2"/>
        <v/>
      </c>
      <c r="N9" s="37" t="str">
        <f t="shared" si="3"/>
        <v/>
      </c>
      <c r="O9" s="55"/>
      <c r="P9" s="55"/>
      <c r="Q9" s="55"/>
    </row>
    <row r="10" spans="1:83" x14ac:dyDescent="0.25">
      <c r="A10" s="38" t="str">
        <f t="shared" si="4"/>
        <v/>
      </c>
      <c r="B10" s="38"/>
      <c r="C10" s="30"/>
      <c r="D10" s="30"/>
      <c r="E10" s="30"/>
      <c r="F10" s="30"/>
      <c r="G10" s="30"/>
      <c r="H10" s="30"/>
      <c r="I10" s="36" t="str">
        <f t="shared" si="0"/>
        <v/>
      </c>
      <c r="J10" s="30"/>
      <c r="K10" s="30"/>
      <c r="L10" s="36" t="str">
        <f t="shared" si="1"/>
        <v/>
      </c>
      <c r="M10" s="37" t="str">
        <f t="shared" si="2"/>
        <v/>
      </c>
      <c r="N10" s="37" t="str">
        <f t="shared" si="3"/>
        <v/>
      </c>
      <c r="O10" s="55"/>
      <c r="P10" s="55"/>
      <c r="Q10" s="55"/>
    </row>
    <row r="11" spans="1:83" x14ac:dyDescent="0.25">
      <c r="A11" s="38" t="str">
        <f t="shared" si="4"/>
        <v/>
      </c>
      <c r="B11" s="38"/>
      <c r="C11" s="30"/>
      <c r="D11" s="30"/>
      <c r="E11" s="30"/>
      <c r="F11" s="30"/>
      <c r="G11" s="30"/>
      <c r="H11" s="30"/>
      <c r="I11" s="36" t="str">
        <f t="shared" si="0"/>
        <v/>
      </c>
      <c r="J11" s="30"/>
      <c r="K11" s="30"/>
      <c r="L11" s="36" t="str">
        <f t="shared" si="1"/>
        <v/>
      </c>
      <c r="M11" s="37" t="str">
        <f t="shared" si="2"/>
        <v/>
      </c>
      <c r="N11" s="37" t="str">
        <f t="shared" si="3"/>
        <v/>
      </c>
      <c r="O11" s="55"/>
      <c r="P11" s="55"/>
      <c r="Q11" s="55"/>
    </row>
    <row r="12" spans="1:83" x14ac:dyDescent="0.25">
      <c r="A12" s="38" t="str">
        <f t="shared" si="4"/>
        <v/>
      </c>
      <c r="B12" s="38"/>
      <c r="C12" s="30"/>
      <c r="D12" s="30"/>
      <c r="E12" s="30"/>
      <c r="F12" s="30"/>
      <c r="G12" s="30"/>
      <c r="H12" s="30"/>
      <c r="I12" s="36" t="str">
        <f t="shared" si="0"/>
        <v/>
      </c>
      <c r="J12" s="30"/>
      <c r="K12" s="30"/>
      <c r="L12" s="36" t="str">
        <f t="shared" si="1"/>
        <v/>
      </c>
      <c r="M12" s="37" t="str">
        <f t="shared" si="2"/>
        <v/>
      </c>
      <c r="N12" s="37" t="str">
        <f t="shared" si="3"/>
        <v/>
      </c>
      <c r="O12" s="55"/>
      <c r="P12" s="55"/>
      <c r="Q12" s="55"/>
    </row>
    <row r="13" spans="1:83" x14ac:dyDescent="0.25">
      <c r="A13" s="38" t="str">
        <f t="shared" si="4"/>
        <v/>
      </c>
      <c r="B13" s="38"/>
      <c r="C13" s="30"/>
      <c r="D13" s="30"/>
      <c r="E13" s="30"/>
      <c r="F13" s="30"/>
      <c r="G13" s="30"/>
      <c r="H13" s="30"/>
      <c r="I13" s="36" t="str">
        <f t="shared" si="0"/>
        <v/>
      </c>
      <c r="J13" s="30"/>
      <c r="K13" s="30"/>
      <c r="L13" s="36" t="str">
        <f t="shared" si="1"/>
        <v/>
      </c>
      <c r="M13" s="37" t="str">
        <f t="shared" si="2"/>
        <v/>
      </c>
      <c r="N13" s="37" t="str">
        <f t="shared" si="3"/>
        <v/>
      </c>
      <c r="O13" s="55"/>
      <c r="P13" s="55"/>
      <c r="Q13" s="55"/>
    </row>
    <row r="14" spans="1:83" x14ac:dyDescent="0.25">
      <c r="A14" s="38" t="str">
        <f t="shared" si="4"/>
        <v/>
      </c>
      <c r="B14" s="38"/>
      <c r="C14" s="30"/>
      <c r="D14" s="30"/>
      <c r="E14" s="30"/>
      <c r="F14" s="30"/>
      <c r="G14" s="30"/>
      <c r="H14" s="30"/>
      <c r="I14" s="36" t="str">
        <f t="shared" si="0"/>
        <v/>
      </c>
      <c r="J14" s="30"/>
      <c r="K14" s="30"/>
      <c r="L14" s="36" t="str">
        <f t="shared" si="1"/>
        <v/>
      </c>
      <c r="M14" s="37" t="str">
        <f t="shared" si="2"/>
        <v/>
      </c>
      <c r="N14" s="37" t="str">
        <f t="shared" si="3"/>
        <v/>
      </c>
      <c r="O14" s="55"/>
      <c r="P14" s="55"/>
      <c r="Q14" s="55"/>
    </row>
    <row r="15" spans="1:83" x14ac:dyDescent="0.25">
      <c r="A15" s="38" t="str">
        <f t="shared" si="4"/>
        <v/>
      </c>
      <c r="B15" s="38"/>
      <c r="C15" s="30"/>
      <c r="D15" s="30"/>
      <c r="E15" s="30"/>
      <c r="F15" s="30"/>
      <c r="G15" s="30"/>
      <c r="H15" s="30"/>
      <c r="I15" s="36" t="str">
        <f t="shared" si="0"/>
        <v/>
      </c>
      <c r="J15" s="30"/>
      <c r="K15" s="30"/>
      <c r="L15" s="36" t="str">
        <f t="shared" si="1"/>
        <v/>
      </c>
      <c r="M15" s="37" t="str">
        <f t="shared" si="2"/>
        <v/>
      </c>
      <c r="N15" s="37" t="str">
        <f t="shared" si="3"/>
        <v/>
      </c>
      <c r="O15" s="55"/>
      <c r="P15" s="55"/>
      <c r="Q15" s="55"/>
    </row>
    <row r="16" spans="1:83" x14ac:dyDescent="0.25">
      <c r="A16" s="38" t="str">
        <f t="shared" si="4"/>
        <v/>
      </c>
      <c r="B16" s="38"/>
      <c r="C16" s="30"/>
      <c r="D16" s="30"/>
      <c r="E16" s="30"/>
      <c r="F16" s="30"/>
      <c r="G16" s="30"/>
      <c r="H16" s="30"/>
      <c r="I16" s="36" t="str">
        <f t="shared" si="0"/>
        <v/>
      </c>
      <c r="J16" s="30"/>
      <c r="K16" s="30"/>
      <c r="L16" s="36" t="str">
        <f t="shared" si="1"/>
        <v/>
      </c>
      <c r="M16" s="37" t="str">
        <f t="shared" si="2"/>
        <v/>
      </c>
      <c r="N16" s="37" t="str">
        <f t="shared" si="3"/>
        <v/>
      </c>
      <c r="O16" s="55"/>
      <c r="P16" s="55"/>
      <c r="Q16" s="55"/>
    </row>
    <row r="17" spans="1:17" x14ac:dyDescent="0.25">
      <c r="A17" s="38" t="str">
        <f t="shared" si="4"/>
        <v/>
      </c>
      <c r="B17" s="38"/>
      <c r="C17" s="30"/>
      <c r="D17" s="30"/>
      <c r="E17" s="30"/>
      <c r="F17" s="30"/>
      <c r="G17" s="30"/>
      <c r="H17" s="30"/>
      <c r="I17" s="36" t="str">
        <f t="shared" si="0"/>
        <v/>
      </c>
      <c r="J17" s="30"/>
      <c r="K17" s="30"/>
      <c r="L17" s="36" t="str">
        <f t="shared" si="1"/>
        <v/>
      </c>
      <c r="M17" s="37" t="str">
        <f t="shared" si="2"/>
        <v/>
      </c>
      <c r="N17" s="37" t="str">
        <f t="shared" si="3"/>
        <v/>
      </c>
      <c r="O17" s="55"/>
      <c r="P17" s="55"/>
      <c r="Q17" s="55"/>
    </row>
    <row r="18" spans="1:17" x14ac:dyDescent="0.25">
      <c r="A18" s="38" t="str">
        <f t="shared" si="4"/>
        <v/>
      </c>
      <c r="B18" s="38"/>
      <c r="C18" s="30"/>
      <c r="D18" s="30"/>
      <c r="E18" s="30"/>
      <c r="F18" s="30"/>
      <c r="G18" s="30"/>
      <c r="H18" s="30"/>
      <c r="I18" s="36" t="str">
        <f t="shared" si="0"/>
        <v/>
      </c>
      <c r="J18" s="30"/>
      <c r="K18" s="30"/>
      <c r="L18" s="36" t="str">
        <f t="shared" si="1"/>
        <v/>
      </c>
      <c r="M18" s="37" t="str">
        <f t="shared" si="2"/>
        <v/>
      </c>
      <c r="N18" s="37" t="str">
        <f t="shared" si="3"/>
        <v/>
      </c>
      <c r="O18" s="55"/>
      <c r="P18" s="55"/>
      <c r="Q18" s="55"/>
    </row>
    <row r="19" spans="1:17" x14ac:dyDescent="0.25">
      <c r="A19" s="38" t="str">
        <f t="shared" si="4"/>
        <v/>
      </c>
      <c r="B19" s="38"/>
      <c r="C19" s="30"/>
      <c r="D19" s="30"/>
      <c r="E19" s="30"/>
      <c r="F19" s="30"/>
      <c r="G19" s="30"/>
      <c r="H19" s="30"/>
      <c r="I19" s="36" t="str">
        <f t="shared" si="0"/>
        <v/>
      </c>
      <c r="J19" s="30"/>
      <c r="K19" s="30"/>
      <c r="L19" s="36" t="str">
        <f t="shared" si="1"/>
        <v/>
      </c>
      <c r="M19" s="37" t="str">
        <f t="shared" si="2"/>
        <v/>
      </c>
      <c r="N19" s="37" t="str">
        <f t="shared" si="3"/>
        <v/>
      </c>
      <c r="O19" s="55"/>
      <c r="P19" s="55"/>
      <c r="Q19" s="55"/>
    </row>
    <row r="20" spans="1:17" x14ac:dyDescent="0.25">
      <c r="A20" s="38" t="str">
        <f t="shared" si="4"/>
        <v/>
      </c>
      <c r="B20" s="38"/>
      <c r="C20" s="30"/>
      <c r="D20" s="30"/>
      <c r="E20" s="30"/>
      <c r="F20" s="30"/>
      <c r="G20" s="30"/>
      <c r="H20" s="30"/>
      <c r="I20" s="36" t="str">
        <f t="shared" si="0"/>
        <v/>
      </c>
      <c r="J20" s="30"/>
      <c r="K20" s="30"/>
      <c r="L20" s="36" t="str">
        <f t="shared" si="1"/>
        <v/>
      </c>
      <c r="M20" s="37" t="str">
        <f t="shared" si="2"/>
        <v/>
      </c>
      <c r="N20" s="37" t="str">
        <f t="shared" si="3"/>
        <v/>
      </c>
      <c r="O20" s="55"/>
      <c r="P20" s="55"/>
      <c r="Q20" s="55"/>
    </row>
    <row r="21" spans="1:17" x14ac:dyDescent="0.25">
      <c r="A21" s="38" t="str">
        <f t="shared" si="4"/>
        <v/>
      </c>
      <c r="B21" s="38"/>
      <c r="C21" s="30"/>
      <c r="D21" s="30"/>
      <c r="E21" s="30"/>
      <c r="F21" s="30"/>
      <c r="G21" s="30"/>
      <c r="H21" s="30"/>
      <c r="I21" s="36" t="str">
        <f t="shared" si="0"/>
        <v/>
      </c>
      <c r="J21" s="30"/>
      <c r="K21" s="30"/>
      <c r="L21" s="36" t="str">
        <f t="shared" si="1"/>
        <v/>
      </c>
      <c r="M21" s="37" t="str">
        <f t="shared" si="2"/>
        <v/>
      </c>
      <c r="N21" s="37" t="str">
        <f t="shared" si="3"/>
        <v/>
      </c>
      <c r="O21" s="55"/>
      <c r="P21" s="55"/>
      <c r="Q21" s="55"/>
    </row>
    <row r="22" spans="1:17" x14ac:dyDescent="0.25">
      <c r="A22" s="38" t="str">
        <f t="shared" si="4"/>
        <v/>
      </c>
      <c r="B22" s="38"/>
      <c r="C22" s="30"/>
      <c r="D22" s="30"/>
      <c r="E22" s="30"/>
      <c r="F22" s="30"/>
      <c r="G22" s="30"/>
      <c r="H22" s="30"/>
      <c r="I22" s="36" t="str">
        <f t="shared" si="0"/>
        <v/>
      </c>
      <c r="J22" s="30"/>
      <c r="K22" s="30"/>
      <c r="L22" s="36" t="str">
        <f t="shared" si="1"/>
        <v/>
      </c>
      <c r="M22" s="37" t="str">
        <f t="shared" si="2"/>
        <v/>
      </c>
      <c r="N22" s="37" t="str">
        <f t="shared" si="3"/>
        <v/>
      </c>
      <c r="O22" s="55"/>
      <c r="P22" s="55"/>
      <c r="Q22" s="55"/>
    </row>
    <row r="23" spans="1:17" x14ac:dyDescent="0.25">
      <c r="A23" s="38" t="str">
        <f t="shared" si="4"/>
        <v/>
      </c>
      <c r="B23" s="38"/>
      <c r="C23" s="30"/>
      <c r="D23" s="30"/>
      <c r="E23" s="30"/>
      <c r="F23" s="30"/>
      <c r="G23" s="30"/>
      <c r="H23" s="30"/>
      <c r="I23" s="36" t="str">
        <f t="shared" si="0"/>
        <v/>
      </c>
      <c r="J23" s="30"/>
      <c r="K23" s="30"/>
      <c r="L23" s="36" t="str">
        <f t="shared" si="1"/>
        <v/>
      </c>
      <c r="M23" s="37" t="str">
        <f t="shared" si="2"/>
        <v/>
      </c>
      <c r="N23" s="37" t="str">
        <f t="shared" si="3"/>
        <v/>
      </c>
      <c r="O23" s="55"/>
      <c r="P23" s="55"/>
      <c r="Q23" s="55"/>
    </row>
    <row r="24" spans="1:17" x14ac:dyDescent="0.25">
      <c r="A24" s="38" t="str">
        <f t="shared" si="4"/>
        <v/>
      </c>
      <c r="B24" s="38"/>
      <c r="C24" s="30"/>
      <c r="D24" s="30"/>
      <c r="E24" s="30"/>
      <c r="F24" s="30"/>
      <c r="G24" s="30"/>
      <c r="H24" s="30"/>
      <c r="I24" s="36" t="str">
        <f t="shared" si="0"/>
        <v/>
      </c>
      <c r="J24" s="30"/>
      <c r="K24" s="30"/>
      <c r="L24" s="36" t="str">
        <f t="shared" si="1"/>
        <v/>
      </c>
      <c r="M24" s="37" t="str">
        <f t="shared" si="2"/>
        <v/>
      </c>
      <c r="N24" s="37" t="str">
        <f t="shared" si="3"/>
        <v/>
      </c>
      <c r="O24" s="55"/>
      <c r="P24" s="55"/>
      <c r="Q24" s="55"/>
    </row>
    <row r="25" spans="1:17" x14ac:dyDescent="0.25">
      <c r="A25" s="38" t="str">
        <f t="shared" si="4"/>
        <v/>
      </c>
      <c r="B25" s="38"/>
      <c r="C25" s="30"/>
      <c r="D25" s="30"/>
      <c r="E25" s="30"/>
      <c r="F25" s="30"/>
      <c r="G25" s="30"/>
      <c r="H25" s="30"/>
      <c r="I25" s="36" t="str">
        <f t="shared" si="0"/>
        <v/>
      </c>
      <c r="J25" s="30"/>
      <c r="K25" s="30"/>
      <c r="L25" s="36" t="str">
        <f t="shared" si="1"/>
        <v/>
      </c>
      <c r="M25" s="37" t="str">
        <f t="shared" si="2"/>
        <v/>
      </c>
      <c r="N25" s="37" t="str">
        <f t="shared" si="3"/>
        <v/>
      </c>
      <c r="O25" s="55"/>
      <c r="P25" s="55"/>
      <c r="Q25" s="55"/>
    </row>
    <row r="26" spans="1:17" x14ac:dyDescent="0.25">
      <c r="A26" s="38" t="str">
        <f t="shared" si="4"/>
        <v/>
      </c>
      <c r="B26" s="38"/>
      <c r="C26" s="30"/>
      <c r="D26" s="30"/>
      <c r="E26" s="30"/>
      <c r="F26" s="30"/>
      <c r="G26" s="30"/>
      <c r="H26" s="30"/>
      <c r="I26" s="36" t="str">
        <f t="shared" si="0"/>
        <v/>
      </c>
      <c r="J26" s="30"/>
      <c r="K26" s="30"/>
      <c r="L26" s="36" t="str">
        <f t="shared" si="1"/>
        <v/>
      </c>
      <c r="M26" s="37" t="str">
        <f t="shared" si="2"/>
        <v/>
      </c>
      <c r="N26" s="37" t="str">
        <f t="shared" si="3"/>
        <v/>
      </c>
      <c r="O26" s="55"/>
      <c r="P26" s="55"/>
      <c r="Q26" s="55"/>
    </row>
    <row r="27" spans="1:17" x14ac:dyDescent="0.25">
      <c r="A27" s="38" t="str">
        <f t="shared" si="4"/>
        <v/>
      </c>
      <c r="B27" s="38"/>
      <c r="C27" s="30"/>
      <c r="D27" s="30"/>
      <c r="E27" s="30"/>
      <c r="F27" s="30"/>
      <c r="G27" s="30"/>
      <c r="H27" s="30"/>
      <c r="I27" s="36" t="str">
        <f t="shared" si="0"/>
        <v/>
      </c>
      <c r="J27" s="30"/>
      <c r="K27" s="30"/>
      <c r="L27" s="36" t="str">
        <f t="shared" si="1"/>
        <v/>
      </c>
      <c r="M27" s="37" t="str">
        <f t="shared" si="2"/>
        <v/>
      </c>
      <c r="N27" s="37" t="str">
        <f t="shared" si="3"/>
        <v/>
      </c>
      <c r="O27" s="55"/>
      <c r="P27" s="55"/>
      <c r="Q27" s="55"/>
    </row>
    <row r="28" spans="1:17" x14ac:dyDescent="0.25">
      <c r="A28" s="38" t="str">
        <f t="shared" si="4"/>
        <v/>
      </c>
      <c r="B28" s="38"/>
      <c r="C28" s="30"/>
      <c r="D28" s="30"/>
      <c r="E28" s="30"/>
      <c r="F28" s="30"/>
      <c r="G28" s="30"/>
      <c r="H28" s="30"/>
      <c r="I28" s="36" t="str">
        <f t="shared" si="0"/>
        <v/>
      </c>
      <c r="J28" s="30"/>
      <c r="K28" s="30"/>
      <c r="L28" s="36" t="str">
        <f t="shared" si="1"/>
        <v/>
      </c>
      <c r="M28" s="37" t="str">
        <f t="shared" si="2"/>
        <v/>
      </c>
      <c r="N28" s="37" t="str">
        <f t="shared" si="3"/>
        <v/>
      </c>
      <c r="O28" s="55"/>
      <c r="P28" s="55"/>
      <c r="Q28" s="55"/>
    </row>
    <row r="29" spans="1:17" x14ac:dyDescent="0.25">
      <c r="A29" s="38" t="str">
        <f t="shared" si="4"/>
        <v/>
      </c>
      <c r="B29" s="38"/>
      <c r="C29" s="30"/>
      <c r="D29" s="30"/>
      <c r="E29" s="30"/>
      <c r="F29" s="30"/>
      <c r="G29" s="30"/>
      <c r="H29" s="30"/>
      <c r="I29" s="36" t="str">
        <f t="shared" si="0"/>
        <v/>
      </c>
      <c r="J29" s="30"/>
      <c r="K29" s="30"/>
      <c r="L29" s="36" t="str">
        <f t="shared" si="1"/>
        <v/>
      </c>
      <c r="M29" s="37" t="str">
        <f t="shared" si="2"/>
        <v/>
      </c>
      <c r="N29" s="37" t="str">
        <f t="shared" si="3"/>
        <v/>
      </c>
      <c r="O29" s="55"/>
      <c r="P29" s="55"/>
      <c r="Q29" s="55"/>
    </row>
    <row r="30" spans="1:17" x14ac:dyDescent="0.25">
      <c r="A30" s="38" t="str">
        <f t="shared" si="4"/>
        <v/>
      </c>
      <c r="B30" s="38"/>
      <c r="C30" s="30"/>
      <c r="D30" s="30"/>
      <c r="E30" s="30"/>
      <c r="F30" s="30"/>
      <c r="G30" s="30"/>
      <c r="H30" s="30"/>
      <c r="I30" s="36" t="str">
        <f t="shared" si="0"/>
        <v/>
      </c>
      <c r="J30" s="30"/>
      <c r="K30" s="30"/>
      <c r="L30" s="36" t="str">
        <f t="shared" si="1"/>
        <v/>
      </c>
      <c r="M30" s="37" t="str">
        <f t="shared" si="2"/>
        <v/>
      </c>
      <c r="N30" s="37" t="str">
        <f t="shared" si="3"/>
        <v/>
      </c>
      <c r="O30" s="55"/>
      <c r="P30" s="55"/>
      <c r="Q30" s="55"/>
    </row>
    <row r="31" spans="1:17" x14ac:dyDescent="0.25">
      <c r="A31" s="38" t="str">
        <f t="shared" si="4"/>
        <v/>
      </c>
      <c r="B31" s="38"/>
      <c r="C31" s="30"/>
      <c r="D31" s="30"/>
      <c r="E31" s="30"/>
      <c r="F31" s="30"/>
      <c r="G31" s="30"/>
      <c r="H31" s="30"/>
      <c r="I31" s="36" t="str">
        <f t="shared" si="0"/>
        <v/>
      </c>
      <c r="J31" s="30"/>
      <c r="K31" s="30"/>
      <c r="L31" s="36" t="str">
        <f t="shared" si="1"/>
        <v/>
      </c>
      <c r="M31" s="37" t="str">
        <f t="shared" si="2"/>
        <v/>
      </c>
      <c r="N31" s="37" t="str">
        <f t="shared" si="3"/>
        <v/>
      </c>
      <c r="O31" s="55"/>
      <c r="P31" s="55"/>
      <c r="Q31" s="55"/>
    </row>
    <row r="32" spans="1:17" x14ac:dyDescent="0.25">
      <c r="A32" s="38" t="str">
        <f t="shared" si="4"/>
        <v/>
      </c>
      <c r="B32" s="38"/>
      <c r="C32" s="30"/>
      <c r="D32" s="30"/>
      <c r="E32" s="30"/>
      <c r="F32" s="30"/>
      <c r="G32" s="30"/>
      <c r="H32" s="30"/>
      <c r="I32" s="36" t="str">
        <f t="shared" si="0"/>
        <v/>
      </c>
      <c r="J32" s="30"/>
      <c r="K32" s="30"/>
      <c r="L32" s="36" t="str">
        <f t="shared" si="1"/>
        <v/>
      </c>
      <c r="M32" s="37" t="str">
        <f t="shared" si="2"/>
        <v/>
      </c>
      <c r="N32" s="37" t="str">
        <f t="shared" si="3"/>
        <v/>
      </c>
      <c r="O32" s="55"/>
      <c r="P32" s="55"/>
      <c r="Q32" s="55"/>
    </row>
    <row r="33" spans="1:17" x14ac:dyDescent="0.25">
      <c r="A33" s="38" t="str">
        <f t="shared" si="4"/>
        <v/>
      </c>
      <c r="B33" s="38"/>
      <c r="C33" s="30"/>
      <c r="D33" s="30"/>
      <c r="E33" s="30"/>
      <c r="F33" s="30"/>
      <c r="G33" s="30"/>
      <c r="H33" s="30"/>
      <c r="I33" s="36" t="str">
        <f t="shared" si="0"/>
        <v/>
      </c>
      <c r="J33" s="30"/>
      <c r="K33" s="30"/>
      <c r="L33" s="36" t="str">
        <f t="shared" si="1"/>
        <v/>
      </c>
      <c r="M33" s="37" t="str">
        <f t="shared" si="2"/>
        <v/>
      </c>
      <c r="N33" s="37" t="str">
        <f t="shared" si="3"/>
        <v/>
      </c>
      <c r="O33" s="55"/>
      <c r="P33" s="55"/>
      <c r="Q33" s="55"/>
    </row>
    <row r="34" spans="1:17" x14ac:dyDescent="0.25">
      <c r="A34" s="38" t="str">
        <f t="shared" si="4"/>
        <v/>
      </c>
      <c r="B34" s="38"/>
      <c r="C34" s="30"/>
      <c r="D34" s="30"/>
      <c r="E34" s="30"/>
      <c r="F34" s="30"/>
      <c r="G34" s="30"/>
      <c r="H34" s="30"/>
      <c r="I34" s="36" t="str">
        <f t="shared" si="0"/>
        <v/>
      </c>
      <c r="J34" s="30"/>
      <c r="K34" s="30"/>
      <c r="L34" s="36" t="str">
        <f t="shared" si="1"/>
        <v/>
      </c>
      <c r="M34" s="37" t="str">
        <f t="shared" si="2"/>
        <v/>
      </c>
      <c r="N34" s="37" t="str">
        <f t="shared" si="3"/>
        <v/>
      </c>
      <c r="O34" s="55"/>
      <c r="P34" s="55"/>
      <c r="Q34" s="55"/>
    </row>
    <row r="35" spans="1:17" x14ac:dyDescent="0.25">
      <c r="A35" s="38" t="str">
        <f t="shared" si="4"/>
        <v/>
      </c>
      <c r="B35" s="38"/>
      <c r="C35" s="30"/>
      <c r="D35" s="30"/>
      <c r="E35" s="30"/>
      <c r="F35" s="30"/>
      <c r="G35" s="30"/>
      <c r="H35" s="30"/>
      <c r="I35" s="36" t="str">
        <f t="shared" si="0"/>
        <v/>
      </c>
      <c r="J35" s="30"/>
      <c r="K35" s="30"/>
      <c r="L35" s="36" t="str">
        <f t="shared" si="1"/>
        <v/>
      </c>
      <c r="M35" s="37" t="str">
        <f t="shared" si="2"/>
        <v/>
      </c>
      <c r="N35" s="37" t="str">
        <f t="shared" si="3"/>
        <v/>
      </c>
      <c r="O35" s="55"/>
      <c r="P35" s="55"/>
      <c r="Q35" s="55"/>
    </row>
    <row r="36" spans="1:17" x14ac:dyDescent="0.25">
      <c r="A36" s="38" t="str">
        <f t="shared" si="4"/>
        <v/>
      </c>
      <c r="B36" s="38"/>
      <c r="C36" s="30"/>
      <c r="D36" s="30"/>
      <c r="E36" s="30"/>
      <c r="F36" s="30"/>
      <c r="G36" s="30"/>
      <c r="H36" s="30"/>
      <c r="I36" s="36" t="str">
        <f t="shared" si="0"/>
        <v/>
      </c>
      <c r="J36" s="30"/>
      <c r="K36" s="30"/>
      <c r="L36" s="36" t="str">
        <f t="shared" si="1"/>
        <v/>
      </c>
      <c r="M36" s="37" t="str">
        <f t="shared" si="2"/>
        <v/>
      </c>
      <c r="N36" s="37" t="str">
        <f t="shared" si="3"/>
        <v/>
      </c>
      <c r="O36" s="55"/>
      <c r="P36" s="55"/>
      <c r="Q36" s="55"/>
    </row>
    <row r="37" spans="1:17" x14ac:dyDescent="0.25">
      <c r="A37" s="38" t="str">
        <f t="shared" si="4"/>
        <v/>
      </c>
      <c r="B37" s="38"/>
      <c r="C37" s="30"/>
      <c r="D37" s="30"/>
      <c r="E37" s="30"/>
      <c r="F37" s="30"/>
      <c r="G37" s="30"/>
      <c r="H37" s="30"/>
      <c r="I37" s="36" t="str">
        <f t="shared" si="0"/>
        <v/>
      </c>
      <c r="J37" s="30"/>
      <c r="K37" s="30"/>
      <c r="L37" s="36" t="str">
        <f t="shared" si="1"/>
        <v/>
      </c>
      <c r="M37" s="37" t="str">
        <f t="shared" si="2"/>
        <v/>
      </c>
      <c r="N37" s="37" t="str">
        <f t="shared" si="3"/>
        <v/>
      </c>
      <c r="O37" s="55"/>
      <c r="P37" s="55"/>
      <c r="Q37" s="55"/>
    </row>
    <row r="38" spans="1:17" x14ac:dyDescent="0.25">
      <c r="A38" s="38" t="str">
        <f t="shared" si="4"/>
        <v/>
      </c>
      <c r="B38" s="38"/>
      <c r="C38" s="30"/>
      <c r="D38" s="30"/>
      <c r="E38" s="30"/>
      <c r="F38" s="30"/>
      <c r="G38" s="30"/>
      <c r="H38" s="30"/>
      <c r="I38" s="36" t="str">
        <f t="shared" si="0"/>
        <v/>
      </c>
      <c r="J38" s="30"/>
      <c r="K38" s="30"/>
      <c r="L38" s="36" t="str">
        <f t="shared" si="1"/>
        <v/>
      </c>
      <c r="M38" s="37" t="str">
        <f t="shared" si="2"/>
        <v/>
      </c>
      <c r="N38" s="37" t="str">
        <f t="shared" si="3"/>
        <v/>
      </c>
      <c r="O38" s="55"/>
      <c r="P38" s="55"/>
      <c r="Q38" s="55"/>
    </row>
    <row r="39" spans="1:17" x14ac:dyDescent="0.25">
      <c r="A39" s="38" t="str">
        <f t="shared" si="4"/>
        <v/>
      </c>
      <c r="B39" s="38"/>
      <c r="C39" s="30"/>
      <c r="D39" s="30"/>
      <c r="E39" s="30"/>
      <c r="F39" s="30"/>
      <c r="G39" s="30"/>
      <c r="H39" s="30"/>
      <c r="I39" s="36" t="str">
        <f t="shared" si="0"/>
        <v/>
      </c>
      <c r="J39" s="30"/>
      <c r="K39" s="30"/>
      <c r="L39" s="36" t="str">
        <f t="shared" si="1"/>
        <v/>
      </c>
      <c r="M39" s="37" t="str">
        <f t="shared" si="2"/>
        <v/>
      </c>
      <c r="N39" s="37" t="str">
        <f t="shared" si="3"/>
        <v/>
      </c>
      <c r="O39" s="55"/>
      <c r="P39" s="55"/>
      <c r="Q39" s="55"/>
    </row>
    <row r="40" spans="1:17" x14ac:dyDescent="0.25">
      <c r="A40" s="38" t="str">
        <f t="shared" si="4"/>
        <v/>
      </c>
      <c r="B40" s="38"/>
      <c r="C40" s="30"/>
      <c r="D40" s="30"/>
      <c r="E40" s="30"/>
      <c r="F40" s="30"/>
      <c r="G40" s="30"/>
      <c r="H40" s="30"/>
      <c r="I40" s="36" t="str">
        <f t="shared" si="0"/>
        <v/>
      </c>
      <c r="J40" s="30"/>
      <c r="K40" s="30"/>
      <c r="L40" s="36" t="str">
        <f t="shared" si="1"/>
        <v/>
      </c>
      <c r="M40" s="37" t="str">
        <f t="shared" si="2"/>
        <v/>
      </c>
      <c r="N40" s="37" t="str">
        <f t="shared" si="3"/>
        <v/>
      </c>
      <c r="O40" s="55"/>
      <c r="P40" s="55"/>
      <c r="Q40" s="55"/>
    </row>
    <row r="41" spans="1:17" x14ac:dyDescent="0.25">
      <c r="A41" s="38" t="str">
        <f t="shared" si="4"/>
        <v/>
      </c>
      <c r="B41" s="38"/>
      <c r="C41" s="30"/>
      <c r="D41" s="30"/>
      <c r="E41" s="30"/>
      <c r="F41" s="30"/>
      <c r="G41" s="30"/>
      <c r="H41" s="30"/>
      <c r="I41" s="36" t="str">
        <f t="shared" si="0"/>
        <v/>
      </c>
      <c r="J41" s="30"/>
      <c r="K41" s="30"/>
      <c r="L41" s="36" t="str">
        <f t="shared" si="1"/>
        <v/>
      </c>
      <c r="M41" s="37" t="str">
        <f t="shared" si="2"/>
        <v/>
      </c>
      <c r="N41" s="37" t="str">
        <f t="shared" si="3"/>
        <v/>
      </c>
      <c r="O41" s="55"/>
      <c r="P41" s="55"/>
      <c r="Q41" s="55"/>
    </row>
    <row r="42" spans="1:17" x14ac:dyDescent="0.25">
      <c r="A42" s="38" t="str">
        <f t="shared" si="4"/>
        <v/>
      </c>
      <c r="B42" s="38"/>
      <c r="C42" s="30"/>
      <c r="D42" s="30"/>
      <c r="E42" s="30"/>
      <c r="F42" s="30"/>
      <c r="G42" s="30"/>
      <c r="H42" s="30"/>
      <c r="I42" s="36" t="str">
        <f t="shared" si="0"/>
        <v/>
      </c>
      <c r="J42" s="30"/>
      <c r="K42" s="30"/>
      <c r="L42" s="36" t="str">
        <f t="shared" si="1"/>
        <v/>
      </c>
      <c r="M42" s="37" t="str">
        <f t="shared" si="2"/>
        <v/>
      </c>
      <c r="N42" s="37" t="str">
        <f t="shared" si="3"/>
        <v/>
      </c>
      <c r="O42" s="55"/>
      <c r="P42" s="55"/>
      <c r="Q42" s="55"/>
    </row>
    <row r="43" spans="1:17" x14ac:dyDescent="0.25">
      <c r="A43" s="38" t="str">
        <f t="shared" si="4"/>
        <v/>
      </c>
      <c r="B43" s="38"/>
      <c r="C43" s="30"/>
      <c r="D43" s="30"/>
      <c r="E43" s="30"/>
      <c r="F43" s="30"/>
      <c r="G43" s="30"/>
      <c r="H43" s="30"/>
      <c r="I43" s="36" t="str">
        <f t="shared" si="0"/>
        <v/>
      </c>
      <c r="J43" s="30"/>
      <c r="K43" s="30"/>
      <c r="L43" s="36" t="str">
        <f t="shared" si="1"/>
        <v/>
      </c>
      <c r="M43" s="37" t="str">
        <f t="shared" si="2"/>
        <v/>
      </c>
      <c r="N43" s="37" t="str">
        <f t="shared" si="3"/>
        <v/>
      </c>
      <c r="O43" s="55"/>
      <c r="P43" s="55"/>
      <c r="Q43" s="55"/>
    </row>
    <row r="44" spans="1:17" x14ac:dyDescent="0.25">
      <c r="A44" s="38" t="str">
        <f t="shared" si="4"/>
        <v/>
      </c>
      <c r="B44" s="38"/>
      <c r="C44" s="30"/>
      <c r="D44" s="30"/>
      <c r="E44" s="30"/>
      <c r="F44" s="30"/>
      <c r="G44" s="30"/>
      <c r="H44" s="30"/>
      <c r="I44" s="36" t="str">
        <f t="shared" si="0"/>
        <v/>
      </c>
      <c r="J44" s="30"/>
      <c r="K44" s="30"/>
      <c r="L44" s="36" t="str">
        <f t="shared" si="1"/>
        <v/>
      </c>
      <c r="M44" s="37" t="str">
        <f t="shared" si="2"/>
        <v/>
      </c>
      <c r="N44" s="37" t="str">
        <f t="shared" si="3"/>
        <v/>
      </c>
      <c r="O44" s="55"/>
      <c r="P44" s="55"/>
      <c r="Q44" s="55"/>
    </row>
    <row r="45" spans="1:17" x14ac:dyDescent="0.25">
      <c r="A45" s="38" t="str">
        <f t="shared" si="4"/>
        <v/>
      </c>
      <c r="B45" s="38"/>
      <c r="C45" s="30"/>
      <c r="D45" s="30"/>
      <c r="E45" s="30"/>
      <c r="F45" s="30"/>
      <c r="G45" s="30"/>
      <c r="H45" s="30"/>
      <c r="I45" s="36" t="str">
        <f t="shared" si="0"/>
        <v/>
      </c>
      <c r="J45" s="30"/>
      <c r="K45" s="30"/>
      <c r="L45" s="36" t="str">
        <f t="shared" si="1"/>
        <v/>
      </c>
      <c r="M45" s="37" t="str">
        <f t="shared" si="2"/>
        <v/>
      </c>
      <c r="N45" s="37" t="str">
        <f t="shared" si="3"/>
        <v/>
      </c>
      <c r="O45" s="55"/>
      <c r="P45" s="55"/>
      <c r="Q45" s="55"/>
    </row>
    <row r="46" spans="1:17" x14ac:dyDescent="0.25">
      <c r="A46" s="38" t="str">
        <f t="shared" si="4"/>
        <v/>
      </c>
      <c r="B46" s="38"/>
      <c r="C46" s="30"/>
      <c r="D46" s="30"/>
      <c r="E46" s="30"/>
      <c r="F46" s="30"/>
      <c r="G46" s="30"/>
      <c r="H46" s="30"/>
      <c r="I46" s="36" t="str">
        <f t="shared" si="0"/>
        <v/>
      </c>
      <c r="J46" s="30"/>
      <c r="K46" s="30"/>
      <c r="L46" s="36" t="str">
        <f t="shared" si="1"/>
        <v/>
      </c>
      <c r="M46" s="37" t="str">
        <f t="shared" si="2"/>
        <v/>
      </c>
      <c r="N46" s="37" t="str">
        <f t="shared" si="3"/>
        <v/>
      </c>
      <c r="O46" s="55"/>
      <c r="P46" s="55"/>
      <c r="Q46" s="55"/>
    </row>
    <row r="47" spans="1:17" x14ac:dyDescent="0.25">
      <c r="A47" s="38" t="str">
        <f t="shared" si="4"/>
        <v/>
      </c>
      <c r="B47" s="38"/>
      <c r="C47" s="30"/>
      <c r="D47" s="30"/>
      <c r="E47" s="30"/>
      <c r="F47" s="30"/>
      <c r="G47" s="30"/>
      <c r="H47" s="30"/>
      <c r="I47" s="36" t="str">
        <f t="shared" si="0"/>
        <v/>
      </c>
      <c r="J47" s="30"/>
      <c r="K47" s="30"/>
      <c r="L47" s="36" t="str">
        <f t="shared" si="1"/>
        <v/>
      </c>
      <c r="M47" s="37" t="str">
        <f t="shared" si="2"/>
        <v/>
      </c>
      <c r="N47" s="37" t="str">
        <f t="shared" si="3"/>
        <v/>
      </c>
      <c r="O47" s="55"/>
      <c r="P47" s="55"/>
      <c r="Q47" s="55"/>
    </row>
    <row r="48" spans="1:17" x14ac:dyDescent="0.25">
      <c r="A48" s="38" t="str">
        <f t="shared" si="4"/>
        <v/>
      </c>
      <c r="B48" s="38"/>
      <c r="C48" s="30"/>
      <c r="D48" s="30"/>
      <c r="E48" s="30"/>
      <c r="F48" s="30"/>
      <c r="G48" s="30"/>
      <c r="H48" s="30"/>
      <c r="I48" s="36" t="str">
        <f t="shared" si="0"/>
        <v/>
      </c>
      <c r="J48" s="30"/>
      <c r="K48" s="30"/>
      <c r="L48" s="36" t="str">
        <f t="shared" si="1"/>
        <v/>
      </c>
      <c r="M48" s="37" t="str">
        <f t="shared" si="2"/>
        <v/>
      </c>
      <c r="N48" s="37" t="str">
        <f t="shared" si="3"/>
        <v/>
      </c>
      <c r="O48" s="55"/>
      <c r="P48" s="55"/>
      <c r="Q48" s="55"/>
    </row>
    <row r="49" spans="1:17" x14ac:dyDescent="0.25">
      <c r="A49" s="38" t="str">
        <f t="shared" si="4"/>
        <v/>
      </c>
      <c r="B49" s="38"/>
      <c r="C49" s="30"/>
      <c r="D49" s="30"/>
      <c r="E49" s="30"/>
      <c r="F49" s="30"/>
      <c r="G49" s="30"/>
      <c r="H49" s="30"/>
      <c r="I49" s="36" t="str">
        <f t="shared" si="0"/>
        <v/>
      </c>
      <c r="J49" s="30"/>
      <c r="K49" s="30"/>
      <c r="L49" s="36" t="str">
        <f t="shared" si="1"/>
        <v/>
      </c>
      <c r="M49" s="37" t="str">
        <f t="shared" si="2"/>
        <v/>
      </c>
      <c r="N49" s="37" t="str">
        <f t="shared" si="3"/>
        <v/>
      </c>
      <c r="O49" s="55"/>
      <c r="P49" s="55"/>
      <c r="Q49" s="55"/>
    </row>
    <row r="50" spans="1:17" x14ac:dyDescent="0.25">
      <c r="A50" s="38" t="str">
        <f t="shared" si="4"/>
        <v/>
      </c>
      <c r="B50" s="38"/>
      <c r="C50" s="30"/>
      <c r="D50" s="30"/>
      <c r="E50" s="30"/>
      <c r="F50" s="30"/>
      <c r="G50" s="30"/>
      <c r="H50" s="30"/>
      <c r="I50" s="36" t="str">
        <f t="shared" si="0"/>
        <v/>
      </c>
      <c r="J50" s="30"/>
      <c r="K50" s="30"/>
      <c r="L50" s="36" t="str">
        <f t="shared" si="1"/>
        <v/>
      </c>
      <c r="M50" s="37" t="str">
        <f t="shared" si="2"/>
        <v/>
      </c>
      <c r="N50" s="37" t="str">
        <f t="shared" si="3"/>
        <v/>
      </c>
      <c r="O50" s="55"/>
      <c r="P50" s="55"/>
      <c r="Q50" s="55"/>
    </row>
    <row r="51" spans="1:17" x14ac:dyDescent="0.25">
      <c r="A51" s="38" t="str">
        <f t="shared" si="4"/>
        <v/>
      </c>
      <c r="B51" s="38"/>
      <c r="C51" s="30"/>
      <c r="D51" s="30"/>
      <c r="E51" s="30"/>
      <c r="F51" s="30"/>
      <c r="G51" s="30"/>
      <c r="H51" s="30"/>
      <c r="I51" s="36" t="str">
        <f t="shared" si="0"/>
        <v/>
      </c>
      <c r="J51" s="30"/>
      <c r="K51" s="30"/>
      <c r="L51" s="36" t="str">
        <f t="shared" si="1"/>
        <v/>
      </c>
      <c r="M51" s="37" t="str">
        <f t="shared" si="2"/>
        <v/>
      </c>
      <c r="N51" s="37" t="str">
        <f t="shared" si="3"/>
        <v/>
      </c>
      <c r="O51" s="55"/>
      <c r="P51" s="55"/>
      <c r="Q51" s="55"/>
    </row>
    <row r="52" spans="1:17" x14ac:dyDescent="0.25">
      <c r="A52" s="38" t="str">
        <f t="shared" si="4"/>
        <v/>
      </c>
      <c r="B52" s="38"/>
      <c r="C52" s="30"/>
      <c r="D52" s="30"/>
      <c r="E52" s="30"/>
      <c r="F52" s="30"/>
      <c r="G52" s="30"/>
      <c r="H52" s="30"/>
      <c r="I52" s="36" t="str">
        <f t="shared" si="0"/>
        <v/>
      </c>
      <c r="J52" s="30"/>
      <c r="K52" s="30"/>
      <c r="L52" s="36" t="str">
        <f t="shared" si="1"/>
        <v/>
      </c>
      <c r="M52" s="37" t="str">
        <f t="shared" si="2"/>
        <v/>
      </c>
      <c r="N52" s="37" t="str">
        <f t="shared" si="3"/>
        <v/>
      </c>
      <c r="O52" s="55"/>
      <c r="P52" s="55"/>
      <c r="Q52" s="55"/>
    </row>
    <row r="53" spans="1:17" x14ac:dyDescent="0.25">
      <c r="A53" s="38" t="str">
        <f t="shared" si="4"/>
        <v/>
      </c>
      <c r="B53" s="38"/>
      <c r="C53" s="30"/>
      <c r="D53" s="30"/>
      <c r="E53" s="30"/>
      <c r="F53" s="30"/>
      <c r="G53" s="30"/>
      <c r="H53" s="30"/>
      <c r="I53" s="36" t="str">
        <f t="shared" si="0"/>
        <v/>
      </c>
      <c r="J53" s="30"/>
      <c r="K53" s="30"/>
      <c r="L53" s="36" t="str">
        <f t="shared" si="1"/>
        <v/>
      </c>
      <c r="M53" s="37" t="str">
        <f t="shared" si="2"/>
        <v/>
      </c>
      <c r="N53" s="37" t="str">
        <f t="shared" si="3"/>
        <v/>
      </c>
      <c r="O53" s="55"/>
      <c r="P53" s="55"/>
      <c r="Q53" s="55"/>
    </row>
    <row r="54" spans="1:17" x14ac:dyDescent="0.25">
      <c r="A54" s="38" t="str">
        <f t="shared" si="4"/>
        <v/>
      </c>
      <c r="B54" s="38"/>
      <c r="C54" s="30"/>
      <c r="D54" s="30"/>
      <c r="E54" s="30"/>
      <c r="F54" s="30"/>
      <c r="G54" s="30"/>
      <c r="H54" s="30"/>
      <c r="I54" s="36" t="str">
        <f t="shared" si="0"/>
        <v/>
      </c>
      <c r="J54" s="30"/>
      <c r="K54" s="30"/>
      <c r="L54" s="36" t="str">
        <f t="shared" si="1"/>
        <v/>
      </c>
      <c r="M54" s="37" t="str">
        <f t="shared" si="2"/>
        <v/>
      </c>
      <c r="N54" s="37" t="str">
        <f t="shared" si="3"/>
        <v/>
      </c>
      <c r="O54" s="55"/>
      <c r="P54" s="55"/>
      <c r="Q54" s="55"/>
    </row>
    <row r="55" spans="1:17" x14ac:dyDescent="0.25">
      <c r="A55" s="38" t="str">
        <f t="shared" si="4"/>
        <v/>
      </c>
      <c r="B55" s="38"/>
      <c r="C55" s="30"/>
      <c r="D55" s="30"/>
      <c r="E55" s="30"/>
      <c r="F55" s="30"/>
      <c r="G55" s="30"/>
      <c r="H55" s="30"/>
      <c r="I55" s="36" t="str">
        <f t="shared" si="0"/>
        <v/>
      </c>
      <c r="J55" s="30"/>
      <c r="K55" s="30"/>
      <c r="L55" s="36" t="str">
        <f t="shared" si="1"/>
        <v/>
      </c>
      <c r="M55" s="37" t="str">
        <f t="shared" si="2"/>
        <v/>
      </c>
      <c r="N55" s="37" t="str">
        <f t="shared" si="3"/>
        <v/>
      </c>
      <c r="O55" s="55"/>
      <c r="P55" s="55"/>
      <c r="Q55" s="55"/>
    </row>
    <row r="56" spans="1:17" x14ac:dyDescent="0.25">
      <c r="A56" s="38" t="str">
        <f t="shared" si="4"/>
        <v/>
      </c>
      <c r="B56" s="38"/>
      <c r="C56" s="30"/>
      <c r="D56" s="30"/>
      <c r="E56" s="30"/>
      <c r="F56" s="30"/>
      <c r="G56" s="30"/>
      <c r="H56" s="30"/>
      <c r="I56" s="36" t="str">
        <f t="shared" si="0"/>
        <v/>
      </c>
      <c r="J56" s="30"/>
      <c r="K56" s="30"/>
      <c r="L56" s="36" t="str">
        <f t="shared" si="1"/>
        <v/>
      </c>
      <c r="M56" s="37" t="str">
        <f t="shared" si="2"/>
        <v/>
      </c>
      <c r="N56" s="37" t="str">
        <f t="shared" si="3"/>
        <v/>
      </c>
      <c r="O56" s="55"/>
      <c r="P56" s="55"/>
      <c r="Q56" s="55"/>
    </row>
    <row r="57" spans="1:17" x14ac:dyDescent="0.25">
      <c r="A57" s="38" t="str">
        <f t="shared" si="4"/>
        <v/>
      </c>
      <c r="B57" s="38"/>
      <c r="C57" s="30"/>
      <c r="D57" s="30"/>
      <c r="E57" s="30"/>
      <c r="F57" s="30"/>
      <c r="G57" s="30"/>
      <c r="H57" s="30"/>
      <c r="I57" s="36" t="str">
        <f t="shared" si="0"/>
        <v/>
      </c>
      <c r="J57" s="30"/>
      <c r="K57" s="30"/>
      <c r="L57" s="36" t="str">
        <f t="shared" si="1"/>
        <v/>
      </c>
      <c r="M57" s="37" t="str">
        <f t="shared" si="2"/>
        <v/>
      </c>
      <c r="N57" s="37" t="str">
        <f t="shared" si="3"/>
        <v/>
      </c>
      <c r="O57" s="55"/>
      <c r="P57" s="55"/>
      <c r="Q57" s="55"/>
    </row>
    <row r="58" spans="1:17" x14ac:dyDescent="0.25">
      <c r="A58" s="38" t="str">
        <f t="shared" si="4"/>
        <v/>
      </c>
      <c r="B58" s="38"/>
      <c r="C58" s="30"/>
      <c r="D58" s="30"/>
      <c r="E58" s="30"/>
      <c r="F58" s="30"/>
      <c r="G58" s="30"/>
      <c r="H58" s="30"/>
      <c r="I58" s="36" t="str">
        <f t="shared" si="0"/>
        <v/>
      </c>
      <c r="J58" s="30"/>
      <c r="K58" s="30"/>
      <c r="L58" s="36" t="str">
        <f t="shared" si="1"/>
        <v/>
      </c>
      <c r="M58" s="37" t="str">
        <f t="shared" si="2"/>
        <v/>
      </c>
      <c r="N58" s="37" t="str">
        <f t="shared" si="3"/>
        <v/>
      </c>
      <c r="O58" s="55"/>
      <c r="P58" s="55"/>
      <c r="Q58" s="55"/>
    </row>
    <row r="59" spans="1:17" x14ac:dyDescent="0.25">
      <c r="A59" s="38" t="str">
        <f t="shared" si="4"/>
        <v/>
      </c>
      <c r="B59" s="38"/>
      <c r="C59" s="30"/>
      <c r="D59" s="30"/>
      <c r="E59" s="30"/>
      <c r="F59" s="30"/>
      <c r="G59" s="30"/>
      <c r="H59" s="30"/>
      <c r="I59" s="36" t="str">
        <f t="shared" si="0"/>
        <v/>
      </c>
      <c r="J59" s="30"/>
      <c r="K59" s="30"/>
      <c r="L59" s="36" t="str">
        <f t="shared" si="1"/>
        <v/>
      </c>
      <c r="M59" s="37" t="str">
        <f t="shared" si="2"/>
        <v/>
      </c>
      <c r="N59" s="37" t="str">
        <f t="shared" si="3"/>
        <v/>
      </c>
      <c r="O59" s="55"/>
      <c r="P59" s="55"/>
      <c r="Q59" s="55"/>
    </row>
    <row r="60" spans="1:17" x14ac:dyDescent="0.25">
      <c r="A60" s="38" t="str">
        <f t="shared" si="4"/>
        <v/>
      </c>
      <c r="B60" s="38"/>
      <c r="C60" s="30"/>
      <c r="D60" s="30"/>
      <c r="E60" s="30"/>
      <c r="F60" s="30"/>
      <c r="G60" s="30"/>
      <c r="H60" s="30"/>
      <c r="I60" s="36" t="str">
        <f t="shared" si="0"/>
        <v/>
      </c>
      <c r="J60" s="30"/>
      <c r="K60" s="30"/>
      <c r="L60" s="36" t="str">
        <f t="shared" si="1"/>
        <v/>
      </c>
      <c r="M60" s="37" t="str">
        <f t="shared" si="2"/>
        <v/>
      </c>
      <c r="N60" s="37" t="str">
        <f t="shared" si="3"/>
        <v/>
      </c>
      <c r="O60" s="55"/>
      <c r="P60" s="55"/>
      <c r="Q60" s="55"/>
    </row>
    <row r="61" spans="1:17" x14ac:dyDescent="0.25">
      <c r="A61" s="38" t="str">
        <f t="shared" si="4"/>
        <v/>
      </c>
      <c r="B61" s="38"/>
      <c r="C61" s="30"/>
      <c r="D61" s="30"/>
      <c r="E61" s="30"/>
      <c r="F61" s="30"/>
      <c r="G61" s="30"/>
      <c r="H61" s="30"/>
      <c r="I61" s="36" t="str">
        <f t="shared" si="0"/>
        <v/>
      </c>
      <c r="J61" s="30"/>
      <c r="K61" s="30"/>
      <c r="L61" s="36" t="str">
        <f t="shared" si="1"/>
        <v/>
      </c>
      <c r="M61" s="37" t="str">
        <f t="shared" si="2"/>
        <v/>
      </c>
      <c r="N61" s="37" t="str">
        <f t="shared" si="3"/>
        <v/>
      </c>
      <c r="O61" s="55"/>
      <c r="P61" s="55"/>
      <c r="Q61" s="55"/>
    </row>
    <row r="62" spans="1:17" x14ac:dyDescent="0.25">
      <c r="A62" s="38" t="str">
        <f t="shared" si="4"/>
        <v/>
      </c>
      <c r="B62" s="38"/>
      <c r="C62" s="30"/>
      <c r="D62" s="30"/>
      <c r="E62" s="30"/>
      <c r="F62" s="30"/>
      <c r="G62" s="30"/>
      <c r="H62" s="30"/>
      <c r="I62" s="36" t="str">
        <f t="shared" si="0"/>
        <v/>
      </c>
      <c r="J62" s="30"/>
      <c r="K62" s="30"/>
      <c r="L62" s="36" t="str">
        <f t="shared" si="1"/>
        <v/>
      </c>
      <c r="M62" s="37" t="str">
        <f t="shared" si="2"/>
        <v/>
      </c>
      <c r="N62" s="37" t="str">
        <f t="shared" si="3"/>
        <v/>
      </c>
      <c r="O62" s="55"/>
      <c r="P62" s="55"/>
      <c r="Q62" s="55"/>
    </row>
    <row r="63" spans="1:17" x14ac:dyDescent="0.25">
      <c r="A63" s="38" t="str">
        <f t="shared" si="4"/>
        <v/>
      </c>
      <c r="B63" s="38"/>
      <c r="C63" s="30"/>
      <c r="D63" s="30"/>
      <c r="E63" s="30"/>
      <c r="F63" s="30"/>
      <c r="G63" s="30"/>
      <c r="H63" s="30"/>
      <c r="I63" s="36" t="str">
        <f t="shared" si="0"/>
        <v/>
      </c>
      <c r="J63" s="30"/>
      <c r="K63" s="30"/>
      <c r="L63" s="36" t="str">
        <f t="shared" si="1"/>
        <v/>
      </c>
      <c r="M63" s="37" t="str">
        <f t="shared" si="2"/>
        <v/>
      </c>
      <c r="N63" s="37" t="str">
        <f t="shared" si="3"/>
        <v/>
      </c>
      <c r="O63" s="55"/>
      <c r="P63" s="55"/>
      <c r="Q63" s="55"/>
    </row>
    <row r="64" spans="1:17" x14ac:dyDescent="0.25">
      <c r="A64" s="38" t="str">
        <f t="shared" si="4"/>
        <v/>
      </c>
      <c r="B64" s="38"/>
      <c r="C64" s="30"/>
      <c r="D64" s="30"/>
      <c r="E64" s="30"/>
      <c r="F64" s="30"/>
      <c r="G64" s="30"/>
      <c r="H64" s="30"/>
      <c r="I64" s="36" t="str">
        <f t="shared" si="0"/>
        <v/>
      </c>
      <c r="J64" s="30"/>
      <c r="K64" s="30"/>
      <c r="L64" s="36" t="str">
        <f t="shared" si="1"/>
        <v/>
      </c>
      <c r="M64" s="37" t="str">
        <f t="shared" si="2"/>
        <v/>
      </c>
      <c r="N64" s="37" t="str">
        <f t="shared" si="3"/>
        <v/>
      </c>
      <c r="O64" s="55"/>
      <c r="P64" s="55"/>
      <c r="Q64" s="55"/>
    </row>
    <row r="65" spans="1:17" x14ac:dyDescent="0.25">
      <c r="A65" s="38" t="str">
        <f t="shared" si="4"/>
        <v/>
      </c>
      <c r="B65" s="38"/>
      <c r="C65" s="30"/>
      <c r="D65" s="30"/>
      <c r="E65" s="30"/>
      <c r="F65" s="30"/>
      <c r="G65" s="30"/>
      <c r="H65" s="30"/>
      <c r="I65" s="36" t="str">
        <f t="shared" si="0"/>
        <v/>
      </c>
      <c r="J65" s="30"/>
      <c r="K65" s="30"/>
      <c r="L65" s="36" t="str">
        <f t="shared" si="1"/>
        <v/>
      </c>
      <c r="M65" s="37" t="str">
        <f t="shared" si="2"/>
        <v/>
      </c>
      <c r="N65" s="37" t="str">
        <f t="shared" si="3"/>
        <v/>
      </c>
      <c r="O65" s="55"/>
      <c r="P65" s="55"/>
      <c r="Q65" s="55"/>
    </row>
    <row r="66" spans="1:17" x14ac:dyDescent="0.25">
      <c r="A66" s="38" t="str">
        <f t="shared" si="4"/>
        <v/>
      </c>
      <c r="B66" s="38"/>
      <c r="C66" s="30"/>
      <c r="D66" s="30"/>
      <c r="E66" s="30"/>
      <c r="F66" s="30"/>
      <c r="G66" s="30"/>
      <c r="H66" s="30"/>
      <c r="I66" s="36" t="str">
        <f t="shared" si="0"/>
        <v/>
      </c>
      <c r="J66" s="30"/>
      <c r="K66" s="30"/>
      <c r="L66" s="36" t="str">
        <f t="shared" si="1"/>
        <v/>
      </c>
      <c r="M66" s="37" t="str">
        <f t="shared" si="2"/>
        <v/>
      </c>
      <c r="N66" s="37" t="str">
        <f t="shared" si="3"/>
        <v/>
      </c>
      <c r="O66" s="55"/>
      <c r="P66" s="55"/>
      <c r="Q66" s="55"/>
    </row>
    <row r="67" spans="1:17" x14ac:dyDescent="0.25">
      <c r="A67" s="38" t="str">
        <f t="shared" si="4"/>
        <v/>
      </c>
      <c r="B67" s="38"/>
      <c r="C67" s="30"/>
      <c r="D67" s="30"/>
      <c r="E67" s="30"/>
      <c r="F67" s="30"/>
      <c r="G67" s="30"/>
      <c r="H67" s="30"/>
      <c r="I67" s="36" t="str">
        <f t="shared" ref="I67:I130" si="5">IF(H67&lt;&gt;"",H67/G67,"")</f>
        <v/>
      </c>
      <c r="J67" s="30"/>
      <c r="K67" s="30"/>
      <c r="L67" s="36" t="str">
        <f t="shared" ref="L67:L130" si="6">IF(K67&lt;&gt;"",K67/J67,"")</f>
        <v/>
      </c>
      <c r="M67" s="37" t="str">
        <f t="shared" ref="M67:M130" si="7">IF(L67&lt;&gt;"",MAX(I67,L67),"")</f>
        <v/>
      </c>
      <c r="N67" s="37" t="str">
        <f t="shared" ref="N67:N130" si="8">IF($M67&lt;&gt;"",IF($M67&lt;50%,0%,IF($M67&lt;80%,$M67,100%)),"")</f>
        <v/>
      </c>
      <c r="O67" s="55"/>
      <c r="P67" s="55"/>
      <c r="Q67" s="55"/>
    </row>
    <row r="68" spans="1:17" x14ac:dyDescent="0.25">
      <c r="A68" s="38" t="str">
        <f t="shared" ref="A68:A131" si="9">IF(C68&lt;&gt;"",A67+1,"")</f>
        <v/>
      </c>
      <c r="B68" s="38"/>
      <c r="C68" s="30"/>
      <c r="D68" s="30"/>
      <c r="E68" s="30"/>
      <c r="F68" s="30"/>
      <c r="G68" s="30"/>
      <c r="H68" s="30"/>
      <c r="I68" s="36" t="str">
        <f t="shared" si="5"/>
        <v/>
      </c>
      <c r="J68" s="30"/>
      <c r="K68" s="30"/>
      <c r="L68" s="36" t="str">
        <f t="shared" si="6"/>
        <v/>
      </c>
      <c r="M68" s="37" t="str">
        <f t="shared" si="7"/>
        <v/>
      </c>
      <c r="N68" s="37" t="str">
        <f t="shared" si="8"/>
        <v/>
      </c>
      <c r="O68" s="55"/>
      <c r="P68" s="55"/>
      <c r="Q68" s="55"/>
    </row>
    <row r="69" spans="1:17" x14ac:dyDescent="0.25">
      <c r="A69" s="38" t="str">
        <f t="shared" si="9"/>
        <v/>
      </c>
      <c r="B69" s="38"/>
      <c r="C69" s="30"/>
      <c r="D69" s="30"/>
      <c r="E69" s="30"/>
      <c r="F69" s="30"/>
      <c r="G69" s="30"/>
      <c r="H69" s="30"/>
      <c r="I69" s="36" t="str">
        <f t="shared" si="5"/>
        <v/>
      </c>
      <c r="J69" s="30"/>
      <c r="K69" s="30"/>
      <c r="L69" s="36" t="str">
        <f t="shared" si="6"/>
        <v/>
      </c>
      <c r="M69" s="37" t="str">
        <f t="shared" si="7"/>
        <v/>
      </c>
      <c r="N69" s="37" t="str">
        <f t="shared" si="8"/>
        <v/>
      </c>
      <c r="O69" s="55"/>
      <c r="P69" s="55"/>
      <c r="Q69" s="55"/>
    </row>
    <row r="70" spans="1:17" x14ac:dyDescent="0.25">
      <c r="A70" s="38" t="str">
        <f t="shared" si="9"/>
        <v/>
      </c>
      <c r="B70" s="38"/>
      <c r="C70" s="30"/>
      <c r="D70" s="30"/>
      <c r="E70" s="30"/>
      <c r="F70" s="30"/>
      <c r="G70" s="30"/>
      <c r="H70" s="30"/>
      <c r="I70" s="36" t="str">
        <f t="shared" si="5"/>
        <v/>
      </c>
      <c r="J70" s="30"/>
      <c r="K70" s="30"/>
      <c r="L70" s="36" t="str">
        <f t="shared" si="6"/>
        <v/>
      </c>
      <c r="M70" s="37" t="str">
        <f t="shared" si="7"/>
        <v/>
      </c>
      <c r="N70" s="37" t="str">
        <f t="shared" si="8"/>
        <v/>
      </c>
      <c r="O70" s="55"/>
      <c r="P70" s="55"/>
      <c r="Q70" s="55"/>
    </row>
    <row r="71" spans="1:17" x14ac:dyDescent="0.25">
      <c r="A71" s="38" t="str">
        <f t="shared" si="9"/>
        <v/>
      </c>
      <c r="B71" s="38"/>
      <c r="C71" s="30"/>
      <c r="D71" s="30"/>
      <c r="E71" s="30"/>
      <c r="F71" s="30"/>
      <c r="G71" s="30"/>
      <c r="H71" s="30"/>
      <c r="I71" s="36" t="str">
        <f t="shared" si="5"/>
        <v/>
      </c>
      <c r="J71" s="30"/>
      <c r="K71" s="30"/>
      <c r="L71" s="36" t="str">
        <f t="shared" si="6"/>
        <v/>
      </c>
      <c r="M71" s="37" t="str">
        <f t="shared" si="7"/>
        <v/>
      </c>
      <c r="N71" s="37" t="str">
        <f t="shared" si="8"/>
        <v/>
      </c>
      <c r="O71" s="55"/>
      <c r="P71" s="55"/>
      <c r="Q71" s="55"/>
    </row>
    <row r="72" spans="1:17" x14ac:dyDescent="0.25">
      <c r="A72" s="38" t="str">
        <f t="shared" si="9"/>
        <v/>
      </c>
      <c r="B72" s="38"/>
      <c r="C72" s="30"/>
      <c r="D72" s="30"/>
      <c r="E72" s="30"/>
      <c r="F72" s="30"/>
      <c r="G72" s="30"/>
      <c r="H72" s="30"/>
      <c r="I72" s="36" t="str">
        <f t="shared" si="5"/>
        <v/>
      </c>
      <c r="J72" s="30"/>
      <c r="K72" s="30"/>
      <c r="L72" s="36" t="str">
        <f t="shared" si="6"/>
        <v/>
      </c>
      <c r="M72" s="37" t="str">
        <f t="shared" si="7"/>
        <v/>
      </c>
      <c r="N72" s="37" t="str">
        <f t="shared" si="8"/>
        <v/>
      </c>
      <c r="O72" s="55"/>
      <c r="P72" s="55"/>
      <c r="Q72" s="55"/>
    </row>
    <row r="73" spans="1:17" x14ac:dyDescent="0.25">
      <c r="A73" s="38" t="str">
        <f t="shared" si="9"/>
        <v/>
      </c>
      <c r="B73" s="38"/>
      <c r="C73" s="30"/>
      <c r="D73" s="30"/>
      <c r="E73" s="30"/>
      <c r="F73" s="30"/>
      <c r="G73" s="30"/>
      <c r="H73" s="30"/>
      <c r="I73" s="36" t="str">
        <f t="shared" si="5"/>
        <v/>
      </c>
      <c r="J73" s="30"/>
      <c r="K73" s="30"/>
      <c r="L73" s="36" t="str">
        <f t="shared" si="6"/>
        <v/>
      </c>
      <c r="M73" s="37" t="str">
        <f t="shared" si="7"/>
        <v/>
      </c>
      <c r="N73" s="37" t="str">
        <f t="shared" si="8"/>
        <v/>
      </c>
      <c r="O73" s="55"/>
      <c r="P73" s="55"/>
      <c r="Q73" s="55"/>
    </row>
    <row r="74" spans="1:17" x14ac:dyDescent="0.25">
      <c r="A74" s="38" t="str">
        <f t="shared" si="9"/>
        <v/>
      </c>
      <c r="B74" s="38"/>
      <c r="C74" s="30"/>
      <c r="D74" s="30"/>
      <c r="E74" s="30"/>
      <c r="F74" s="30"/>
      <c r="G74" s="30"/>
      <c r="H74" s="30"/>
      <c r="I74" s="36" t="str">
        <f t="shared" si="5"/>
        <v/>
      </c>
      <c r="J74" s="30"/>
      <c r="K74" s="30"/>
      <c r="L74" s="36" t="str">
        <f t="shared" si="6"/>
        <v/>
      </c>
      <c r="M74" s="37" t="str">
        <f t="shared" si="7"/>
        <v/>
      </c>
      <c r="N74" s="37" t="str">
        <f t="shared" si="8"/>
        <v/>
      </c>
      <c r="O74" s="55"/>
      <c r="P74" s="55"/>
      <c r="Q74" s="55"/>
    </row>
    <row r="75" spans="1:17" x14ac:dyDescent="0.25">
      <c r="A75" s="38" t="str">
        <f t="shared" si="9"/>
        <v/>
      </c>
      <c r="B75" s="38"/>
      <c r="C75" s="30"/>
      <c r="D75" s="30"/>
      <c r="E75" s="30"/>
      <c r="F75" s="30"/>
      <c r="G75" s="30"/>
      <c r="H75" s="30"/>
      <c r="I75" s="36" t="str">
        <f t="shared" si="5"/>
        <v/>
      </c>
      <c r="J75" s="30"/>
      <c r="K75" s="30"/>
      <c r="L75" s="36" t="str">
        <f t="shared" si="6"/>
        <v/>
      </c>
      <c r="M75" s="37" t="str">
        <f t="shared" si="7"/>
        <v/>
      </c>
      <c r="N75" s="37" t="str">
        <f t="shared" si="8"/>
        <v/>
      </c>
      <c r="O75" s="55"/>
      <c r="P75" s="55"/>
      <c r="Q75" s="55"/>
    </row>
    <row r="76" spans="1:17" x14ac:dyDescent="0.25">
      <c r="A76" s="38" t="str">
        <f t="shared" si="9"/>
        <v/>
      </c>
      <c r="B76" s="38"/>
      <c r="C76" s="30"/>
      <c r="D76" s="30"/>
      <c r="E76" s="30"/>
      <c r="F76" s="30"/>
      <c r="G76" s="30"/>
      <c r="H76" s="30"/>
      <c r="I76" s="36" t="str">
        <f t="shared" si="5"/>
        <v/>
      </c>
      <c r="J76" s="30"/>
      <c r="K76" s="30"/>
      <c r="L76" s="36" t="str">
        <f t="shared" si="6"/>
        <v/>
      </c>
      <c r="M76" s="37" t="str">
        <f t="shared" si="7"/>
        <v/>
      </c>
      <c r="N76" s="37" t="str">
        <f t="shared" si="8"/>
        <v/>
      </c>
      <c r="O76" s="55"/>
      <c r="P76" s="55"/>
      <c r="Q76" s="55"/>
    </row>
    <row r="77" spans="1:17" x14ac:dyDescent="0.25">
      <c r="A77" s="38" t="str">
        <f t="shared" si="9"/>
        <v/>
      </c>
      <c r="B77" s="38"/>
      <c r="C77" s="30"/>
      <c r="D77" s="30"/>
      <c r="E77" s="30"/>
      <c r="F77" s="30"/>
      <c r="G77" s="30"/>
      <c r="H77" s="30"/>
      <c r="I77" s="36" t="str">
        <f t="shared" si="5"/>
        <v/>
      </c>
      <c r="J77" s="30"/>
      <c r="K77" s="30"/>
      <c r="L77" s="36" t="str">
        <f t="shared" si="6"/>
        <v/>
      </c>
      <c r="M77" s="37" t="str">
        <f t="shared" si="7"/>
        <v/>
      </c>
      <c r="N77" s="37" t="str">
        <f t="shared" si="8"/>
        <v/>
      </c>
      <c r="O77" s="55"/>
      <c r="P77" s="55"/>
      <c r="Q77" s="55"/>
    </row>
    <row r="78" spans="1:17" x14ac:dyDescent="0.25">
      <c r="A78" s="38" t="str">
        <f t="shared" si="9"/>
        <v/>
      </c>
      <c r="B78" s="38"/>
      <c r="C78" s="30"/>
      <c r="D78" s="30"/>
      <c r="E78" s="30"/>
      <c r="F78" s="30"/>
      <c r="G78" s="30"/>
      <c r="H78" s="30"/>
      <c r="I78" s="36" t="str">
        <f t="shared" si="5"/>
        <v/>
      </c>
      <c r="J78" s="30"/>
      <c r="K78" s="30"/>
      <c r="L78" s="36" t="str">
        <f t="shared" si="6"/>
        <v/>
      </c>
      <c r="M78" s="37" t="str">
        <f t="shared" si="7"/>
        <v/>
      </c>
      <c r="N78" s="37" t="str">
        <f t="shared" si="8"/>
        <v/>
      </c>
      <c r="O78" s="55"/>
      <c r="P78" s="55"/>
      <c r="Q78" s="55"/>
    </row>
    <row r="79" spans="1:17" x14ac:dyDescent="0.25">
      <c r="A79" s="38" t="str">
        <f t="shared" si="9"/>
        <v/>
      </c>
      <c r="B79" s="38"/>
      <c r="C79" s="30"/>
      <c r="D79" s="30"/>
      <c r="E79" s="30"/>
      <c r="F79" s="30"/>
      <c r="G79" s="30"/>
      <c r="H79" s="30"/>
      <c r="I79" s="36" t="str">
        <f t="shared" si="5"/>
        <v/>
      </c>
      <c r="J79" s="30"/>
      <c r="K79" s="30"/>
      <c r="L79" s="36" t="str">
        <f t="shared" si="6"/>
        <v/>
      </c>
      <c r="M79" s="37" t="str">
        <f t="shared" si="7"/>
        <v/>
      </c>
      <c r="N79" s="37" t="str">
        <f t="shared" si="8"/>
        <v/>
      </c>
      <c r="O79" s="55"/>
      <c r="P79" s="55"/>
      <c r="Q79" s="55"/>
    </row>
    <row r="80" spans="1:17" x14ac:dyDescent="0.25">
      <c r="A80" s="38" t="str">
        <f t="shared" si="9"/>
        <v/>
      </c>
      <c r="B80" s="38"/>
      <c r="C80" s="30"/>
      <c r="D80" s="30"/>
      <c r="E80" s="30"/>
      <c r="F80" s="30"/>
      <c r="G80" s="30"/>
      <c r="H80" s="30"/>
      <c r="I80" s="36" t="str">
        <f t="shared" si="5"/>
        <v/>
      </c>
      <c r="J80" s="30"/>
      <c r="K80" s="30"/>
      <c r="L80" s="36" t="str">
        <f t="shared" si="6"/>
        <v/>
      </c>
      <c r="M80" s="37" t="str">
        <f t="shared" si="7"/>
        <v/>
      </c>
      <c r="N80" s="37" t="str">
        <f t="shared" si="8"/>
        <v/>
      </c>
      <c r="O80" s="55"/>
      <c r="P80" s="55"/>
      <c r="Q80" s="55"/>
    </row>
    <row r="81" spans="1:17" x14ac:dyDescent="0.25">
      <c r="A81" s="38" t="str">
        <f t="shared" si="9"/>
        <v/>
      </c>
      <c r="B81" s="38"/>
      <c r="C81" s="30"/>
      <c r="D81" s="30"/>
      <c r="E81" s="30"/>
      <c r="F81" s="30"/>
      <c r="G81" s="30"/>
      <c r="H81" s="30"/>
      <c r="I81" s="36" t="str">
        <f t="shared" si="5"/>
        <v/>
      </c>
      <c r="J81" s="30"/>
      <c r="K81" s="30"/>
      <c r="L81" s="36" t="str">
        <f t="shared" si="6"/>
        <v/>
      </c>
      <c r="M81" s="37" t="str">
        <f t="shared" si="7"/>
        <v/>
      </c>
      <c r="N81" s="37" t="str">
        <f t="shared" si="8"/>
        <v/>
      </c>
      <c r="O81" s="55"/>
      <c r="P81" s="55"/>
      <c r="Q81" s="55"/>
    </row>
    <row r="82" spans="1:17" x14ac:dyDescent="0.25">
      <c r="A82" s="38" t="str">
        <f t="shared" si="9"/>
        <v/>
      </c>
      <c r="B82" s="38"/>
      <c r="C82" s="30"/>
      <c r="D82" s="30"/>
      <c r="E82" s="30"/>
      <c r="F82" s="30"/>
      <c r="G82" s="30"/>
      <c r="H82" s="30"/>
      <c r="I82" s="36" t="str">
        <f t="shared" si="5"/>
        <v/>
      </c>
      <c r="J82" s="30"/>
      <c r="K82" s="30"/>
      <c r="L82" s="36" t="str">
        <f t="shared" si="6"/>
        <v/>
      </c>
      <c r="M82" s="37" t="str">
        <f t="shared" si="7"/>
        <v/>
      </c>
      <c r="N82" s="37" t="str">
        <f t="shared" si="8"/>
        <v/>
      </c>
      <c r="O82" s="55"/>
      <c r="P82" s="55"/>
      <c r="Q82" s="55"/>
    </row>
    <row r="83" spans="1:17" x14ac:dyDescent="0.25">
      <c r="A83" s="38" t="str">
        <f t="shared" si="9"/>
        <v/>
      </c>
      <c r="B83" s="38"/>
      <c r="C83" s="30"/>
      <c r="D83" s="30"/>
      <c r="E83" s="30"/>
      <c r="F83" s="30"/>
      <c r="G83" s="30"/>
      <c r="H83" s="30"/>
      <c r="I83" s="36" t="str">
        <f t="shared" si="5"/>
        <v/>
      </c>
      <c r="J83" s="30"/>
      <c r="K83" s="30"/>
      <c r="L83" s="36" t="str">
        <f t="shared" si="6"/>
        <v/>
      </c>
      <c r="M83" s="37" t="str">
        <f t="shared" si="7"/>
        <v/>
      </c>
      <c r="N83" s="37" t="str">
        <f t="shared" si="8"/>
        <v/>
      </c>
      <c r="O83" s="55"/>
      <c r="P83" s="55"/>
      <c r="Q83" s="55"/>
    </row>
    <row r="84" spans="1:17" x14ac:dyDescent="0.25">
      <c r="A84" s="38" t="str">
        <f t="shared" si="9"/>
        <v/>
      </c>
      <c r="B84" s="38"/>
      <c r="C84" s="30"/>
      <c r="D84" s="30"/>
      <c r="E84" s="30"/>
      <c r="F84" s="30"/>
      <c r="G84" s="30"/>
      <c r="H84" s="30"/>
      <c r="I84" s="36" t="str">
        <f t="shared" si="5"/>
        <v/>
      </c>
      <c r="J84" s="30"/>
      <c r="K84" s="30"/>
      <c r="L84" s="36" t="str">
        <f t="shared" si="6"/>
        <v/>
      </c>
      <c r="M84" s="37" t="str">
        <f t="shared" si="7"/>
        <v/>
      </c>
      <c r="N84" s="37" t="str">
        <f t="shared" si="8"/>
        <v/>
      </c>
      <c r="O84" s="55"/>
      <c r="P84" s="55"/>
      <c r="Q84" s="55"/>
    </row>
    <row r="85" spans="1:17" x14ac:dyDescent="0.25">
      <c r="A85" s="38" t="str">
        <f t="shared" si="9"/>
        <v/>
      </c>
      <c r="B85" s="38"/>
      <c r="C85" s="30"/>
      <c r="D85" s="30"/>
      <c r="E85" s="30"/>
      <c r="F85" s="30"/>
      <c r="G85" s="30"/>
      <c r="H85" s="30"/>
      <c r="I85" s="36" t="str">
        <f t="shared" si="5"/>
        <v/>
      </c>
      <c r="J85" s="30"/>
      <c r="K85" s="30"/>
      <c r="L85" s="36" t="str">
        <f t="shared" si="6"/>
        <v/>
      </c>
      <c r="M85" s="37" t="str">
        <f t="shared" si="7"/>
        <v/>
      </c>
      <c r="N85" s="37" t="str">
        <f t="shared" si="8"/>
        <v/>
      </c>
      <c r="O85" s="55"/>
      <c r="P85" s="55"/>
      <c r="Q85" s="55"/>
    </row>
    <row r="86" spans="1:17" x14ac:dyDescent="0.25">
      <c r="A86" s="38" t="str">
        <f t="shared" si="9"/>
        <v/>
      </c>
      <c r="B86" s="38"/>
      <c r="C86" s="30"/>
      <c r="D86" s="30"/>
      <c r="E86" s="30"/>
      <c r="F86" s="30"/>
      <c r="G86" s="30"/>
      <c r="H86" s="30"/>
      <c r="I86" s="36" t="str">
        <f t="shared" si="5"/>
        <v/>
      </c>
      <c r="J86" s="30"/>
      <c r="K86" s="30"/>
      <c r="L86" s="36" t="str">
        <f t="shared" si="6"/>
        <v/>
      </c>
      <c r="M86" s="37" t="str">
        <f t="shared" si="7"/>
        <v/>
      </c>
      <c r="N86" s="37" t="str">
        <f t="shared" si="8"/>
        <v/>
      </c>
      <c r="O86" s="55"/>
      <c r="P86" s="55"/>
      <c r="Q86" s="55"/>
    </row>
    <row r="87" spans="1:17" x14ac:dyDescent="0.25">
      <c r="A87" s="38" t="str">
        <f t="shared" si="9"/>
        <v/>
      </c>
      <c r="B87" s="38"/>
      <c r="C87" s="30"/>
      <c r="D87" s="30"/>
      <c r="E87" s="30"/>
      <c r="F87" s="30"/>
      <c r="G87" s="30"/>
      <c r="H87" s="30"/>
      <c r="I87" s="36" t="str">
        <f t="shared" si="5"/>
        <v/>
      </c>
      <c r="J87" s="30"/>
      <c r="K87" s="30"/>
      <c r="L87" s="36" t="str">
        <f t="shared" si="6"/>
        <v/>
      </c>
      <c r="M87" s="37" t="str">
        <f t="shared" si="7"/>
        <v/>
      </c>
      <c r="N87" s="37" t="str">
        <f t="shared" si="8"/>
        <v/>
      </c>
      <c r="O87" s="55"/>
      <c r="P87" s="55"/>
      <c r="Q87" s="55"/>
    </row>
    <row r="88" spans="1:17" x14ac:dyDescent="0.25">
      <c r="A88" s="38" t="str">
        <f t="shared" si="9"/>
        <v/>
      </c>
      <c r="B88" s="38"/>
      <c r="C88" s="30"/>
      <c r="D88" s="30"/>
      <c r="E88" s="30"/>
      <c r="F88" s="30"/>
      <c r="G88" s="30"/>
      <c r="H88" s="30"/>
      <c r="I88" s="36" t="str">
        <f t="shared" si="5"/>
        <v/>
      </c>
      <c r="J88" s="30"/>
      <c r="K88" s="30"/>
      <c r="L88" s="36" t="str">
        <f t="shared" si="6"/>
        <v/>
      </c>
      <c r="M88" s="37" t="str">
        <f t="shared" si="7"/>
        <v/>
      </c>
      <c r="N88" s="37" t="str">
        <f t="shared" si="8"/>
        <v/>
      </c>
      <c r="O88" s="55"/>
      <c r="P88" s="55"/>
      <c r="Q88" s="55"/>
    </row>
    <row r="89" spans="1:17" x14ac:dyDescent="0.25">
      <c r="A89" s="38" t="str">
        <f t="shared" si="9"/>
        <v/>
      </c>
      <c r="B89" s="38"/>
      <c r="C89" s="30"/>
      <c r="D89" s="30"/>
      <c r="E89" s="30"/>
      <c r="F89" s="30"/>
      <c r="G89" s="30"/>
      <c r="H89" s="30"/>
      <c r="I89" s="36" t="str">
        <f t="shared" si="5"/>
        <v/>
      </c>
      <c r="J89" s="30"/>
      <c r="K89" s="30"/>
      <c r="L89" s="36" t="str">
        <f t="shared" si="6"/>
        <v/>
      </c>
      <c r="M89" s="37" t="str">
        <f t="shared" si="7"/>
        <v/>
      </c>
      <c r="N89" s="37" t="str">
        <f t="shared" si="8"/>
        <v/>
      </c>
      <c r="O89" s="55"/>
      <c r="P89" s="55"/>
      <c r="Q89" s="55"/>
    </row>
    <row r="90" spans="1:17" x14ac:dyDescent="0.25">
      <c r="A90" s="38" t="str">
        <f t="shared" si="9"/>
        <v/>
      </c>
      <c r="B90" s="38"/>
      <c r="C90" s="30"/>
      <c r="D90" s="30"/>
      <c r="E90" s="30"/>
      <c r="F90" s="30"/>
      <c r="G90" s="30"/>
      <c r="H90" s="30"/>
      <c r="I90" s="36" t="str">
        <f t="shared" si="5"/>
        <v/>
      </c>
      <c r="J90" s="30"/>
      <c r="K90" s="30"/>
      <c r="L90" s="36" t="str">
        <f t="shared" si="6"/>
        <v/>
      </c>
      <c r="M90" s="37" t="str">
        <f t="shared" si="7"/>
        <v/>
      </c>
      <c r="N90" s="37" t="str">
        <f t="shared" si="8"/>
        <v/>
      </c>
      <c r="O90" s="55"/>
      <c r="P90" s="55"/>
      <c r="Q90" s="55"/>
    </row>
    <row r="91" spans="1:17" x14ac:dyDescent="0.25">
      <c r="A91" s="38" t="str">
        <f t="shared" si="9"/>
        <v/>
      </c>
      <c r="B91" s="38"/>
      <c r="C91" s="30"/>
      <c r="D91" s="30"/>
      <c r="E91" s="30"/>
      <c r="F91" s="30"/>
      <c r="G91" s="30"/>
      <c r="H91" s="30"/>
      <c r="I91" s="36" t="str">
        <f t="shared" si="5"/>
        <v/>
      </c>
      <c r="J91" s="30"/>
      <c r="K91" s="30"/>
      <c r="L91" s="36" t="str">
        <f t="shared" si="6"/>
        <v/>
      </c>
      <c r="M91" s="37" t="str">
        <f t="shared" si="7"/>
        <v/>
      </c>
      <c r="N91" s="37" t="str">
        <f t="shared" si="8"/>
        <v/>
      </c>
      <c r="O91" s="55"/>
      <c r="P91" s="55"/>
      <c r="Q91" s="55"/>
    </row>
    <row r="92" spans="1:17" x14ac:dyDescent="0.25">
      <c r="A92" s="38" t="str">
        <f t="shared" si="9"/>
        <v/>
      </c>
      <c r="B92" s="38"/>
      <c r="C92" s="30"/>
      <c r="D92" s="30"/>
      <c r="E92" s="30"/>
      <c r="F92" s="30"/>
      <c r="G92" s="30"/>
      <c r="H92" s="30"/>
      <c r="I92" s="36" t="str">
        <f t="shared" si="5"/>
        <v/>
      </c>
      <c r="J92" s="30"/>
      <c r="K92" s="30"/>
      <c r="L92" s="36" t="str">
        <f t="shared" si="6"/>
        <v/>
      </c>
      <c r="M92" s="37" t="str">
        <f t="shared" si="7"/>
        <v/>
      </c>
      <c r="N92" s="37" t="str">
        <f t="shared" si="8"/>
        <v/>
      </c>
      <c r="O92" s="55"/>
      <c r="P92" s="55"/>
      <c r="Q92" s="55"/>
    </row>
    <row r="93" spans="1:17" x14ac:dyDescent="0.25">
      <c r="A93" s="38" t="str">
        <f t="shared" si="9"/>
        <v/>
      </c>
      <c r="B93" s="38"/>
      <c r="C93" s="30"/>
      <c r="D93" s="30"/>
      <c r="E93" s="30"/>
      <c r="F93" s="30"/>
      <c r="G93" s="30"/>
      <c r="H93" s="30"/>
      <c r="I93" s="36" t="str">
        <f t="shared" si="5"/>
        <v/>
      </c>
      <c r="J93" s="30"/>
      <c r="K93" s="30"/>
      <c r="L93" s="36" t="str">
        <f t="shared" si="6"/>
        <v/>
      </c>
      <c r="M93" s="37" t="str">
        <f t="shared" si="7"/>
        <v/>
      </c>
      <c r="N93" s="37" t="str">
        <f t="shared" si="8"/>
        <v/>
      </c>
      <c r="O93" s="55"/>
      <c r="P93" s="55"/>
      <c r="Q93" s="55"/>
    </row>
    <row r="94" spans="1:17" x14ac:dyDescent="0.25">
      <c r="A94" s="38" t="str">
        <f t="shared" si="9"/>
        <v/>
      </c>
      <c r="B94" s="38"/>
      <c r="C94" s="30"/>
      <c r="D94" s="30"/>
      <c r="E94" s="30"/>
      <c r="F94" s="30"/>
      <c r="G94" s="30"/>
      <c r="H94" s="30"/>
      <c r="I94" s="36" t="str">
        <f t="shared" si="5"/>
        <v/>
      </c>
      <c r="J94" s="30"/>
      <c r="K94" s="30"/>
      <c r="L94" s="36" t="str">
        <f t="shared" si="6"/>
        <v/>
      </c>
      <c r="M94" s="37" t="str">
        <f t="shared" si="7"/>
        <v/>
      </c>
      <c r="N94" s="37" t="str">
        <f t="shared" si="8"/>
        <v/>
      </c>
      <c r="O94" s="55"/>
      <c r="P94" s="55"/>
      <c r="Q94" s="55"/>
    </row>
    <row r="95" spans="1:17" x14ac:dyDescent="0.25">
      <c r="A95" s="38" t="str">
        <f t="shared" si="9"/>
        <v/>
      </c>
      <c r="B95" s="38"/>
      <c r="C95" s="30"/>
      <c r="D95" s="30"/>
      <c r="E95" s="30"/>
      <c r="F95" s="30"/>
      <c r="G95" s="30"/>
      <c r="H95" s="30"/>
      <c r="I95" s="36" t="str">
        <f t="shared" si="5"/>
        <v/>
      </c>
      <c r="J95" s="30"/>
      <c r="K95" s="30"/>
      <c r="L95" s="36" t="str">
        <f t="shared" si="6"/>
        <v/>
      </c>
      <c r="M95" s="37" t="str">
        <f t="shared" si="7"/>
        <v/>
      </c>
      <c r="N95" s="37" t="str">
        <f t="shared" si="8"/>
        <v/>
      </c>
      <c r="O95" s="55"/>
      <c r="P95" s="55"/>
      <c r="Q95" s="55"/>
    </row>
    <row r="96" spans="1:17" x14ac:dyDescent="0.25">
      <c r="A96" s="38" t="str">
        <f t="shared" si="9"/>
        <v/>
      </c>
      <c r="B96" s="38"/>
      <c r="C96" s="30"/>
      <c r="D96" s="30"/>
      <c r="E96" s="30"/>
      <c r="F96" s="30"/>
      <c r="G96" s="30"/>
      <c r="H96" s="30"/>
      <c r="I96" s="36" t="str">
        <f t="shared" si="5"/>
        <v/>
      </c>
      <c r="J96" s="30"/>
      <c r="K96" s="30"/>
      <c r="L96" s="36" t="str">
        <f t="shared" si="6"/>
        <v/>
      </c>
      <c r="M96" s="37" t="str">
        <f t="shared" si="7"/>
        <v/>
      </c>
      <c r="N96" s="37" t="str">
        <f t="shared" si="8"/>
        <v/>
      </c>
      <c r="O96" s="55"/>
      <c r="P96" s="55"/>
      <c r="Q96" s="55"/>
    </row>
    <row r="97" spans="1:17" x14ac:dyDescent="0.25">
      <c r="A97" s="38" t="str">
        <f t="shared" si="9"/>
        <v/>
      </c>
      <c r="B97" s="38"/>
      <c r="C97" s="30"/>
      <c r="D97" s="30"/>
      <c r="E97" s="30"/>
      <c r="F97" s="30"/>
      <c r="G97" s="30"/>
      <c r="H97" s="30"/>
      <c r="I97" s="36" t="str">
        <f t="shared" si="5"/>
        <v/>
      </c>
      <c r="J97" s="30"/>
      <c r="K97" s="30"/>
      <c r="L97" s="36" t="str">
        <f t="shared" si="6"/>
        <v/>
      </c>
      <c r="M97" s="37" t="str">
        <f t="shared" si="7"/>
        <v/>
      </c>
      <c r="N97" s="37" t="str">
        <f t="shared" si="8"/>
        <v/>
      </c>
      <c r="O97" s="55"/>
      <c r="P97" s="55"/>
      <c r="Q97" s="55"/>
    </row>
    <row r="98" spans="1:17" x14ac:dyDescent="0.25">
      <c r="A98" s="38" t="str">
        <f t="shared" si="9"/>
        <v/>
      </c>
      <c r="B98" s="38"/>
      <c r="C98" s="30"/>
      <c r="D98" s="30"/>
      <c r="E98" s="30"/>
      <c r="F98" s="30"/>
      <c r="G98" s="30"/>
      <c r="H98" s="30"/>
      <c r="I98" s="36" t="str">
        <f t="shared" si="5"/>
        <v/>
      </c>
      <c r="J98" s="30"/>
      <c r="K98" s="30"/>
      <c r="L98" s="36" t="str">
        <f t="shared" si="6"/>
        <v/>
      </c>
      <c r="M98" s="37" t="str">
        <f t="shared" si="7"/>
        <v/>
      </c>
      <c r="N98" s="37" t="str">
        <f t="shared" si="8"/>
        <v/>
      </c>
      <c r="O98" s="55"/>
      <c r="P98" s="55"/>
      <c r="Q98" s="55"/>
    </row>
    <row r="99" spans="1:17" x14ac:dyDescent="0.25">
      <c r="A99" s="38" t="str">
        <f t="shared" si="9"/>
        <v/>
      </c>
      <c r="B99" s="38"/>
      <c r="C99" s="30"/>
      <c r="D99" s="30"/>
      <c r="E99" s="30"/>
      <c r="F99" s="30"/>
      <c r="G99" s="30"/>
      <c r="H99" s="30"/>
      <c r="I99" s="36" t="str">
        <f t="shared" si="5"/>
        <v/>
      </c>
      <c r="J99" s="30"/>
      <c r="K99" s="30"/>
      <c r="L99" s="36" t="str">
        <f t="shared" si="6"/>
        <v/>
      </c>
      <c r="M99" s="37" t="str">
        <f t="shared" si="7"/>
        <v/>
      </c>
      <c r="N99" s="37" t="str">
        <f t="shared" si="8"/>
        <v/>
      </c>
      <c r="O99" s="55"/>
      <c r="P99" s="55"/>
      <c r="Q99" s="55"/>
    </row>
    <row r="100" spans="1:17" x14ac:dyDescent="0.25">
      <c r="A100" s="38" t="str">
        <f t="shared" si="9"/>
        <v/>
      </c>
      <c r="B100" s="38"/>
      <c r="C100" s="30"/>
      <c r="D100" s="30"/>
      <c r="E100" s="30"/>
      <c r="F100" s="30"/>
      <c r="G100" s="30"/>
      <c r="H100" s="30"/>
      <c r="I100" s="36" t="str">
        <f t="shared" si="5"/>
        <v/>
      </c>
      <c r="J100" s="30"/>
      <c r="K100" s="30"/>
      <c r="L100" s="36" t="str">
        <f t="shared" si="6"/>
        <v/>
      </c>
      <c r="M100" s="37" t="str">
        <f t="shared" si="7"/>
        <v/>
      </c>
      <c r="N100" s="37" t="str">
        <f t="shared" si="8"/>
        <v/>
      </c>
      <c r="O100" s="55"/>
      <c r="P100" s="55"/>
      <c r="Q100" s="55"/>
    </row>
    <row r="101" spans="1:17" x14ac:dyDescent="0.25">
      <c r="A101" s="38" t="str">
        <f t="shared" si="9"/>
        <v/>
      </c>
      <c r="B101" s="38"/>
      <c r="C101" s="30"/>
      <c r="D101" s="30"/>
      <c r="E101" s="30"/>
      <c r="F101" s="30"/>
      <c r="G101" s="30"/>
      <c r="H101" s="30"/>
      <c r="I101" s="36" t="str">
        <f t="shared" si="5"/>
        <v/>
      </c>
      <c r="J101" s="30"/>
      <c r="K101" s="30"/>
      <c r="L101" s="36" t="str">
        <f t="shared" si="6"/>
        <v/>
      </c>
      <c r="M101" s="37" t="str">
        <f t="shared" si="7"/>
        <v/>
      </c>
      <c r="N101" s="37" t="str">
        <f t="shared" si="8"/>
        <v/>
      </c>
      <c r="O101" s="55"/>
      <c r="P101" s="55"/>
      <c r="Q101" s="55"/>
    </row>
    <row r="102" spans="1:17" x14ac:dyDescent="0.25">
      <c r="A102" s="38" t="str">
        <f t="shared" si="9"/>
        <v/>
      </c>
      <c r="B102" s="38"/>
      <c r="C102" s="30"/>
      <c r="D102" s="30"/>
      <c r="E102" s="30"/>
      <c r="F102" s="30"/>
      <c r="G102" s="30"/>
      <c r="H102" s="30"/>
      <c r="I102" s="36" t="str">
        <f t="shared" si="5"/>
        <v/>
      </c>
      <c r="J102" s="30"/>
      <c r="K102" s="30"/>
      <c r="L102" s="36" t="str">
        <f t="shared" si="6"/>
        <v/>
      </c>
      <c r="M102" s="37" t="str">
        <f t="shared" si="7"/>
        <v/>
      </c>
      <c r="N102" s="37" t="str">
        <f t="shared" si="8"/>
        <v/>
      </c>
      <c r="O102" s="55"/>
      <c r="P102" s="55"/>
      <c r="Q102" s="55"/>
    </row>
    <row r="103" spans="1:17" x14ac:dyDescent="0.25">
      <c r="A103" s="38" t="str">
        <f t="shared" si="9"/>
        <v/>
      </c>
      <c r="B103" s="38"/>
      <c r="C103" s="30"/>
      <c r="D103" s="30"/>
      <c r="E103" s="30"/>
      <c r="F103" s="30"/>
      <c r="G103" s="30"/>
      <c r="H103" s="30"/>
      <c r="I103" s="36" t="str">
        <f t="shared" si="5"/>
        <v/>
      </c>
      <c r="J103" s="30"/>
      <c r="K103" s="30"/>
      <c r="L103" s="36" t="str">
        <f t="shared" si="6"/>
        <v/>
      </c>
      <c r="M103" s="37" t="str">
        <f t="shared" si="7"/>
        <v/>
      </c>
      <c r="N103" s="37" t="str">
        <f t="shared" si="8"/>
        <v/>
      </c>
      <c r="O103" s="55"/>
      <c r="P103" s="55"/>
      <c r="Q103" s="55"/>
    </row>
    <row r="104" spans="1:17" x14ac:dyDescent="0.25">
      <c r="A104" s="38" t="str">
        <f t="shared" si="9"/>
        <v/>
      </c>
      <c r="B104" s="38"/>
      <c r="C104" s="30"/>
      <c r="D104" s="30"/>
      <c r="E104" s="30"/>
      <c r="F104" s="30"/>
      <c r="G104" s="30"/>
      <c r="H104" s="30"/>
      <c r="I104" s="36" t="str">
        <f t="shared" si="5"/>
        <v/>
      </c>
      <c r="J104" s="30"/>
      <c r="K104" s="30"/>
      <c r="L104" s="36" t="str">
        <f t="shared" si="6"/>
        <v/>
      </c>
      <c r="M104" s="37" t="str">
        <f t="shared" si="7"/>
        <v/>
      </c>
      <c r="N104" s="37" t="str">
        <f t="shared" si="8"/>
        <v/>
      </c>
      <c r="O104" s="55"/>
      <c r="P104" s="55"/>
      <c r="Q104" s="55"/>
    </row>
    <row r="105" spans="1:17" x14ac:dyDescent="0.25">
      <c r="A105" s="38" t="str">
        <f t="shared" si="9"/>
        <v/>
      </c>
      <c r="B105" s="38"/>
      <c r="C105" s="30"/>
      <c r="D105" s="30"/>
      <c r="E105" s="30"/>
      <c r="F105" s="30"/>
      <c r="G105" s="30"/>
      <c r="H105" s="30"/>
      <c r="I105" s="36" t="str">
        <f t="shared" si="5"/>
        <v/>
      </c>
      <c r="J105" s="30"/>
      <c r="K105" s="30"/>
      <c r="L105" s="36" t="str">
        <f t="shared" si="6"/>
        <v/>
      </c>
      <c r="M105" s="37" t="str">
        <f t="shared" si="7"/>
        <v/>
      </c>
      <c r="N105" s="37" t="str">
        <f t="shared" si="8"/>
        <v/>
      </c>
      <c r="O105" s="55"/>
      <c r="P105" s="55"/>
      <c r="Q105" s="55"/>
    </row>
    <row r="106" spans="1:17" x14ac:dyDescent="0.25">
      <c r="A106" s="38" t="str">
        <f t="shared" si="9"/>
        <v/>
      </c>
      <c r="B106" s="38"/>
      <c r="C106" s="30"/>
      <c r="D106" s="30"/>
      <c r="E106" s="30"/>
      <c r="F106" s="30"/>
      <c r="G106" s="30"/>
      <c r="H106" s="30"/>
      <c r="I106" s="36" t="str">
        <f t="shared" si="5"/>
        <v/>
      </c>
      <c r="J106" s="30"/>
      <c r="K106" s="30"/>
      <c r="L106" s="36" t="str">
        <f t="shared" si="6"/>
        <v/>
      </c>
      <c r="M106" s="37" t="str">
        <f t="shared" si="7"/>
        <v/>
      </c>
      <c r="N106" s="37" t="str">
        <f t="shared" si="8"/>
        <v/>
      </c>
      <c r="O106" s="55"/>
      <c r="P106" s="55"/>
      <c r="Q106" s="55"/>
    </row>
    <row r="107" spans="1:17" x14ac:dyDescent="0.25">
      <c r="A107" s="38" t="str">
        <f t="shared" si="9"/>
        <v/>
      </c>
      <c r="B107" s="38"/>
      <c r="C107" s="30"/>
      <c r="D107" s="30"/>
      <c r="E107" s="30"/>
      <c r="F107" s="30"/>
      <c r="G107" s="30"/>
      <c r="H107" s="30"/>
      <c r="I107" s="36" t="str">
        <f t="shared" si="5"/>
        <v/>
      </c>
      <c r="J107" s="30"/>
      <c r="K107" s="30"/>
      <c r="L107" s="36" t="str">
        <f t="shared" si="6"/>
        <v/>
      </c>
      <c r="M107" s="37" t="str">
        <f t="shared" si="7"/>
        <v/>
      </c>
      <c r="N107" s="37" t="str">
        <f t="shared" si="8"/>
        <v/>
      </c>
      <c r="O107" s="55"/>
      <c r="P107" s="55"/>
      <c r="Q107" s="55"/>
    </row>
    <row r="108" spans="1:17" x14ac:dyDescent="0.25">
      <c r="A108" s="38" t="str">
        <f t="shared" si="9"/>
        <v/>
      </c>
      <c r="B108" s="38"/>
      <c r="C108" s="30"/>
      <c r="D108" s="30"/>
      <c r="E108" s="30"/>
      <c r="F108" s="30"/>
      <c r="G108" s="30"/>
      <c r="H108" s="30"/>
      <c r="I108" s="36" t="str">
        <f t="shared" si="5"/>
        <v/>
      </c>
      <c r="J108" s="30"/>
      <c r="K108" s="30"/>
      <c r="L108" s="36" t="str">
        <f t="shared" si="6"/>
        <v/>
      </c>
      <c r="M108" s="37" t="str">
        <f t="shared" si="7"/>
        <v/>
      </c>
      <c r="N108" s="37" t="str">
        <f t="shared" si="8"/>
        <v/>
      </c>
      <c r="O108" s="55"/>
      <c r="P108" s="55"/>
      <c r="Q108" s="55"/>
    </row>
    <row r="109" spans="1:17" x14ac:dyDescent="0.25">
      <c r="A109" s="38" t="str">
        <f t="shared" si="9"/>
        <v/>
      </c>
      <c r="B109" s="38"/>
      <c r="C109" s="30"/>
      <c r="D109" s="30"/>
      <c r="E109" s="30"/>
      <c r="F109" s="30"/>
      <c r="G109" s="30"/>
      <c r="H109" s="30"/>
      <c r="I109" s="36" t="str">
        <f t="shared" si="5"/>
        <v/>
      </c>
      <c r="J109" s="30"/>
      <c r="K109" s="30"/>
      <c r="L109" s="36" t="str">
        <f t="shared" si="6"/>
        <v/>
      </c>
      <c r="M109" s="37" t="str">
        <f t="shared" si="7"/>
        <v/>
      </c>
      <c r="N109" s="37" t="str">
        <f t="shared" si="8"/>
        <v/>
      </c>
      <c r="O109" s="55"/>
      <c r="P109" s="55"/>
      <c r="Q109" s="55"/>
    </row>
    <row r="110" spans="1:17" x14ac:dyDescent="0.25">
      <c r="A110" s="38" t="str">
        <f t="shared" si="9"/>
        <v/>
      </c>
      <c r="B110" s="38"/>
      <c r="C110" s="30"/>
      <c r="D110" s="30"/>
      <c r="E110" s="30"/>
      <c r="F110" s="30"/>
      <c r="G110" s="30"/>
      <c r="H110" s="30"/>
      <c r="I110" s="36" t="str">
        <f t="shared" si="5"/>
        <v/>
      </c>
      <c r="J110" s="30"/>
      <c r="K110" s="30"/>
      <c r="L110" s="36" t="str">
        <f t="shared" si="6"/>
        <v/>
      </c>
      <c r="M110" s="37" t="str">
        <f t="shared" si="7"/>
        <v/>
      </c>
      <c r="N110" s="37" t="str">
        <f t="shared" si="8"/>
        <v/>
      </c>
      <c r="O110" s="55"/>
      <c r="P110" s="55"/>
      <c r="Q110" s="55"/>
    </row>
    <row r="111" spans="1:17" x14ac:dyDescent="0.25">
      <c r="A111" s="38" t="str">
        <f t="shared" si="9"/>
        <v/>
      </c>
      <c r="B111" s="38"/>
      <c r="C111" s="30"/>
      <c r="D111" s="30"/>
      <c r="E111" s="30"/>
      <c r="F111" s="30"/>
      <c r="G111" s="30"/>
      <c r="H111" s="30"/>
      <c r="I111" s="36" t="str">
        <f t="shared" si="5"/>
        <v/>
      </c>
      <c r="J111" s="30"/>
      <c r="K111" s="30"/>
      <c r="L111" s="36" t="str">
        <f t="shared" si="6"/>
        <v/>
      </c>
      <c r="M111" s="37" t="str">
        <f t="shared" si="7"/>
        <v/>
      </c>
      <c r="N111" s="37" t="str">
        <f t="shared" si="8"/>
        <v/>
      </c>
      <c r="O111" s="55"/>
      <c r="P111" s="55"/>
      <c r="Q111" s="55"/>
    </row>
    <row r="112" spans="1:17" x14ac:dyDescent="0.25">
      <c r="A112" s="38" t="str">
        <f t="shared" si="9"/>
        <v/>
      </c>
      <c r="B112" s="38"/>
      <c r="C112" s="30"/>
      <c r="D112" s="30"/>
      <c r="E112" s="30"/>
      <c r="F112" s="30"/>
      <c r="G112" s="30"/>
      <c r="H112" s="30"/>
      <c r="I112" s="36" t="str">
        <f t="shared" si="5"/>
        <v/>
      </c>
      <c r="J112" s="30"/>
      <c r="K112" s="30"/>
      <c r="L112" s="36" t="str">
        <f t="shared" si="6"/>
        <v/>
      </c>
      <c r="M112" s="37" t="str">
        <f t="shared" si="7"/>
        <v/>
      </c>
      <c r="N112" s="37" t="str">
        <f t="shared" si="8"/>
        <v/>
      </c>
      <c r="O112" s="55"/>
      <c r="P112" s="55"/>
      <c r="Q112" s="55"/>
    </row>
    <row r="113" spans="1:17" x14ac:dyDescent="0.25">
      <c r="A113" s="38" t="str">
        <f t="shared" si="9"/>
        <v/>
      </c>
      <c r="B113" s="38"/>
      <c r="C113" s="30"/>
      <c r="D113" s="30"/>
      <c r="E113" s="30"/>
      <c r="F113" s="30"/>
      <c r="G113" s="30"/>
      <c r="H113" s="30"/>
      <c r="I113" s="36" t="str">
        <f t="shared" si="5"/>
        <v/>
      </c>
      <c r="J113" s="30"/>
      <c r="K113" s="30"/>
      <c r="L113" s="36" t="str">
        <f t="shared" si="6"/>
        <v/>
      </c>
      <c r="M113" s="37" t="str">
        <f t="shared" si="7"/>
        <v/>
      </c>
      <c r="N113" s="37" t="str">
        <f t="shared" si="8"/>
        <v/>
      </c>
      <c r="O113" s="55"/>
      <c r="P113" s="55"/>
      <c r="Q113" s="55"/>
    </row>
    <row r="114" spans="1:17" x14ac:dyDescent="0.25">
      <c r="A114" s="38" t="str">
        <f t="shared" si="9"/>
        <v/>
      </c>
      <c r="B114" s="38"/>
      <c r="C114" s="30"/>
      <c r="D114" s="30"/>
      <c r="E114" s="30"/>
      <c r="F114" s="30"/>
      <c r="G114" s="30"/>
      <c r="H114" s="30"/>
      <c r="I114" s="36" t="str">
        <f t="shared" si="5"/>
        <v/>
      </c>
      <c r="J114" s="30"/>
      <c r="K114" s="30"/>
      <c r="L114" s="36" t="str">
        <f t="shared" si="6"/>
        <v/>
      </c>
      <c r="M114" s="37" t="str">
        <f t="shared" si="7"/>
        <v/>
      </c>
      <c r="N114" s="37" t="str">
        <f t="shared" si="8"/>
        <v/>
      </c>
      <c r="O114" s="55"/>
      <c r="P114" s="55"/>
      <c r="Q114" s="55"/>
    </row>
    <row r="115" spans="1:17" x14ac:dyDescent="0.25">
      <c r="A115" s="38" t="str">
        <f t="shared" si="9"/>
        <v/>
      </c>
      <c r="B115" s="38"/>
      <c r="C115" s="30"/>
      <c r="D115" s="30"/>
      <c r="E115" s="30"/>
      <c r="F115" s="30"/>
      <c r="G115" s="30"/>
      <c r="H115" s="30"/>
      <c r="I115" s="36" t="str">
        <f t="shared" si="5"/>
        <v/>
      </c>
      <c r="J115" s="30"/>
      <c r="K115" s="30"/>
      <c r="L115" s="36" t="str">
        <f t="shared" si="6"/>
        <v/>
      </c>
      <c r="M115" s="37" t="str">
        <f t="shared" si="7"/>
        <v/>
      </c>
      <c r="N115" s="37" t="str">
        <f t="shared" si="8"/>
        <v/>
      </c>
      <c r="O115" s="55"/>
      <c r="P115" s="55"/>
      <c r="Q115" s="55"/>
    </row>
    <row r="116" spans="1:17" x14ac:dyDescent="0.25">
      <c r="A116" s="38" t="str">
        <f t="shared" si="9"/>
        <v/>
      </c>
      <c r="B116" s="38"/>
      <c r="C116" s="30"/>
      <c r="D116" s="30"/>
      <c r="E116" s="30"/>
      <c r="F116" s="30"/>
      <c r="G116" s="30"/>
      <c r="H116" s="30"/>
      <c r="I116" s="36" t="str">
        <f t="shared" si="5"/>
        <v/>
      </c>
      <c r="J116" s="30"/>
      <c r="K116" s="30"/>
      <c r="L116" s="36" t="str">
        <f t="shared" si="6"/>
        <v/>
      </c>
      <c r="M116" s="37" t="str">
        <f t="shared" si="7"/>
        <v/>
      </c>
      <c r="N116" s="37" t="str">
        <f t="shared" si="8"/>
        <v/>
      </c>
      <c r="O116" s="55"/>
      <c r="P116" s="55"/>
      <c r="Q116" s="55"/>
    </row>
    <row r="117" spans="1:17" x14ac:dyDescent="0.25">
      <c r="A117" s="38" t="str">
        <f t="shared" si="9"/>
        <v/>
      </c>
      <c r="B117" s="38"/>
      <c r="C117" s="30"/>
      <c r="D117" s="30"/>
      <c r="E117" s="30"/>
      <c r="F117" s="30"/>
      <c r="G117" s="30"/>
      <c r="H117" s="30"/>
      <c r="I117" s="36" t="str">
        <f t="shared" si="5"/>
        <v/>
      </c>
      <c r="J117" s="30"/>
      <c r="K117" s="30"/>
      <c r="L117" s="36" t="str">
        <f t="shared" si="6"/>
        <v/>
      </c>
      <c r="M117" s="37" t="str">
        <f t="shared" si="7"/>
        <v/>
      </c>
      <c r="N117" s="37" t="str">
        <f t="shared" si="8"/>
        <v/>
      </c>
      <c r="O117" s="55"/>
      <c r="P117" s="55"/>
      <c r="Q117" s="55"/>
    </row>
    <row r="118" spans="1:17" x14ac:dyDescent="0.25">
      <c r="A118" s="38" t="str">
        <f t="shared" si="9"/>
        <v/>
      </c>
      <c r="B118" s="38"/>
      <c r="C118" s="30"/>
      <c r="D118" s="30"/>
      <c r="E118" s="30"/>
      <c r="F118" s="30"/>
      <c r="G118" s="30"/>
      <c r="H118" s="30"/>
      <c r="I118" s="36" t="str">
        <f t="shared" si="5"/>
        <v/>
      </c>
      <c r="J118" s="30"/>
      <c r="K118" s="30"/>
      <c r="L118" s="36" t="str">
        <f t="shared" si="6"/>
        <v/>
      </c>
      <c r="M118" s="37" t="str">
        <f t="shared" si="7"/>
        <v/>
      </c>
      <c r="N118" s="37" t="str">
        <f t="shared" si="8"/>
        <v/>
      </c>
      <c r="O118" s="55"/>
      <c r="P118" s="55"/>
      <c r="Q118" s="55"/>
    </row>
    <row r="119" spans="1:17" x14ac:dyDescent="0.25">
      <c r="A119" s="38" t="str">
        <f t="shared" si="9"/>
        <v/>
      </c>
      <c r="B119" s="38"/>
      <c r="C119" s="30"/>
      <c r="D119" s="30"/>
      <c r="E119" s="30"/>
      <c r="F119" s="30"/>
      <c r="G119" s="30"/>
      <c r="H119" s="30"/>
      <c r="I119" s="36" t="str">
        <f t="shared" si="5"/>
        <v/>
      </c>
      <c r="J119" s="30"/>
      <c r="K119" s="30"/>
      <c r="L119" s="36" t="str">
        <f t="shared" si="6"/>
        <v/>
      </c>
      <c r="M119" s="37" t="str">
        <f t="shared" si="7"/>
        <v/>
      </c>
      <c r="N119" s="37" t="str">
        <f t="shared" si="8"/>
        <v/>
      </c>
      <c r="O119" s="55"/>
      <c r="P119" s="55"/>
      <c r="Q119" s="55"/>
    </row>
    <row r="120" spans="1:17" x14ac:dyDescent="0.25">
      <c r="A120" s="38" t="str">
        <f t="shared" si="9"/>
        <v/>
      </c>
      <c r="B120" s="38"/>
      <c r="C120" s="30"/>
      <c r="D120" s="30"/>
      <c r="E120" s="30"/>
      <c r="F120" s="30"/>
      <c r="G120" s="30"/>
      <c r="H120" s="30"/>
      <c r="I120" s="36" t="str">
        <f t="shared" si="5"/>
        <v/>
      </c>
      <c r="J120" s="30"/>
      <c r="K120" s="30"/>
      <c r="L120" s="36" t="str">
        <f t="shared" si="6"/>
        <v/>
      </c>
      <c r="M120" s="37" t="str">
        <f t="shared" si="7"/>
        <v/>
      </c>
      <c r="N120" s="37" t="str">
        <f t="shared" si="8"/>
        <v/>
      </c>
      <c r="O120" s="55"/>
      <c r="P120" s="55"/>
      <c r="Q120" s="55"/>
    </row>
    <row r="121" spans="1:17" x14ac:dyDescent="0.25">
      <c r="A121" s="38" t="str">
        <f t="shared" si="9"/>
        <v/>
      </c>
      <c r="B121" s="38"/>
      <c r="C121" s="30"/>
      <c r="D121" s="30"/>
      <c r="E121" s="30"/>
      <c r="F121" s="30"/>
      <c r="G121" s="30"/>
      <c r="H121" s="30"/>
      <c r="I121" s="36" t="str">
        <f t="shared" si="5"/>
        <v/>
      </c>
      <c r="J121" s="30"/>
      <c r="K121" s="30"/>
      <c r="L121" s="36" t="str">
        <f t="shared" si="6"/>
        <v/>
      </c>
      <c r="M121" s="37" t="str">
        <f t="shared" si="7"/>
        <v/>
      </c>
      <c r="N121" s="37" t="str">
        <f t="shared" si="8"/>
        <v/>
      </c>
      <c r="O121" s="55"/>
      <c r="P121" s="55"/>
      <c r="Q121" s="55"/>
    </row>
    <row r="122" spans="1:17" x14ac:dyDescent="0.25">
      <c r="A122" s="38" t="str">
        <f t="shared" si="9"/>
        <v/>
      </c>
      <c r="B122" s="38"/>
      <c r="C122" s="30"/>
      <c r="D122" s="30"/>
      <c r="E122" s="30"/>
      <c r="F122" s="30"/>
      <c r="G122" s="30"/>
      <c r="H122" s="30"/>
      <c r="I122" s="36" t="str">
        <f t="shared" si="5"/>
        <v/>
      </c>
      <c r="J122" s="30"/>
      <c r="K122" s="30"/>
      <c r="L122" s="36" t="str">
        <f t="shared" si="6"/>
        <v/>
      </c>
      <c r="M122" s="37" t="str">
        <f t="shared" si="7"/>
        <v/>
      </c>
      <c r="N122" s="37" t="str">
        <f t="shared" si="8"/>
        <v/>
      </c>
      <c r="O122" s="55"/>
      <c r="P122" s="55"/>
      <c r="Q122" s="55"/>
    </row>
    <row r="123" spans="1:17" x14ac:dyDescent="0.25">
      <c r="A123" s="38" t="str">
        <f t="shared" si="9"/>
        <v/>
      </c>
      <c r="B123" s="38"/>
      <c r="C123" s="30"/>
      <c r="D123" s="30"/>
      <c r="E123" s="30"/>
      <c r="F123" s="30"/>
      <c r="G123" s="30"/>
      <c r="H123" s="30"/>
      <c r="I123" s="36" t="str">
        <f t="shared" si="5"/>
        <v/>
      </c>
      <c r="J123" s="30"/>
      <c r="K123" s="30"/>
      <c r="L123" s="36" t="str">
        <f t="shared" si="6"/>
        <v/>
      </c>
      <c r="M123" s="37" t="str">
        <f t="shared" si="7"/>
        <v/>
      </c>
      <c r="N123" s="37" t="str">
        <f t="shared" si="8"/>
        <v/>
      </c>
      <c r="O123" s="55"/>
      <c r="P123" s="55"/>
      <c r="Q123" s="55"/>
    </row>
    <row r="124" spans="1:17" x14ac:dyDescent="0.25">
      <c r="A124" s="38" t="str">
        <f t="shared" si="9"/>
        <v/>
      </c>
      <c r="B124" s="38"/>
      <c r="C124" s="30"/>
      <c r="D124" s="30"/>
      <c r="E124" s="30"/>
      <c r="F124" s="30"/>
      <c r="G124" s="30"/>
      <c r="H124" s="30"/>
      <c r="I124" s="36" t="str">
        <f t="shared" si="5"/>
        <v/>
      </c>
      <c r="J124" s="30"/>
      <c r="K124" s="30"/>
      <c r="L124" s="36" t="str">
        <f t="shared" si="6"/>
        <v/>
      </c>
      <c r="M124" s="37" t="str">
        <f t="shared" si="7"/>
        <v/>
      </c>
      <c r="N124" s="37" t="str">
        <f t="shared" si="8"/>
        <v/>
      </c>
      <c r="O124" s="55"/>
      <c r="P124" s="55"/>
      <c r="Q124" s="55"/>
    </row>
    <row r="125" spans="1:17" x14ac:dyDescent="0.25">
      <c r="A125" s="38" t="str">
        <f t="shared" si="9"/>
        <v/>
      </c>
      <c r="B125" s="38"/>
      <c r="C125" s="30"/>
      <c r="D125" s="30"/>
      <c r="E125" s="30"/>
      <c r="F125" s="30"/>
      <c r="G125" s="30"/>
      <c r="H125" s="30"/>
      <c r="I125" s="36" t="str">
        <f t="shared" si="5"/>
        <v/>
      </c>
      <c r="J125" s="30"/>
      <c r="K125" s="30"/>
      <c r="L125" s="36" t="str">
        <f t="shared" si="6"/>
        <v/>
      </c>
      <c r="M125" s="37" t="str">
        <f t="shared" si="7"/>
        <v/>
      </c>
      <c r="N125" s="37" t="str">
        <f t="shared" si="8"/>
        <v/>
      </c>
      <c r="O125" s="55"/>
      <c r="P125" s="55"/>
      <c r="Q125" s="55"/>
    </row>
    <row r="126" spans="1:17" x14ac:dyDescent="0.25">
      <c r="A126" s="38" t="str">
        <f t="shared" si="9"/>
        <v/>
      </c>
      <c r="B126" s="38"/>
      <c r="C126" s="30"/>
      <c r="D126" s="30"/>
      <c r="E126" s="30"/>
      <c r="F126" s="30"/>
      <c r="G126" s="30"/>
      <c r="H126" s="30"/>
      <c r="I126" s="36" t="str">
        <f t="shared" si="5"/>
        <v/>
      </c>
      <c r="J126" s="30"/>
      <c r="K126" s="30"/>
      <c r="L126" s="36" t="str">
        <f t="shared" si="6"/>
        <v/>
      </c>
      <c r="M126" s="37" t="str">
        <f t="shared" si="7"/>
        <v/>
      </c>
      <c r="N126" s="37" t="str">
        <f t="shared" si="8"/>
        <v/>
      </c>
      <c r="O126" s="55"/>
      <c r="P126" s="55"/>
      <c r="Q126" s="55"/>
    </row>
    <row r="127" spans="1:17" x14ac:dyDescent="0.25">
      <c r="A127" s="38" t="str">
        <f t="shared" si="9"/>
        <v/>
      </c>
      <c r="B127" s="38"/>
      <c r="C127" s="30"/>
      <c r="D127" s="30"/>
      <c r="E127" s="30"/>
      <c r="F127" s="30"/>
      <c r="G127" s="30"/>
      <c r="H127" s="30"/>
      <c r="I127" s="36" t="str">
        <f t="shared" si="5"/>
        <v/>
      </c>
      <c r="J127" s="30"/>
      <c r="K127" s="30"/>
      <c r="L127" s="36" t="str">
        <f t="shared" si="6"/>
        <v/>
      </c>
      <c r="M127" s="37" t="str">
        <f t="shared" si="7"/>
        <v/>
      </c>
      <c r="N127" s="37" t="str">
        <f t="shared" si="8"/>
        <v/>
      </c>
      <c r="O127" s="55"/>
      <c r="P127" s="55"/>
      <c r="Q127" s="55"/>
    </row>
    <row r="128" spans="1:17" x14ac:dyDescent="0.25">
      <c r="A128" s="38" t="str">
        <f t="shared" si="9"/>
        <v/>
      </c>
      <c r="B128" s="38"/>
      <c r="C128" s="30"/>
      <c r="D128" s="30"/>
      <c r="E128" s="30"/>
      <c r="F128" s="30"/>
      <c r="G128" s="30"/>
      <c r="H128" s="30"/>
      <c r="I128" s="36" t="str">
        <f t="shared" si="5"/>
        <v/>
      </c>
      <c r="J128" s="30"/>
      <c r="K128" s="30"/>
      <c r="L128" s="36" t="str">
        <f t="shared" si="6"/>
        <v/>
      </c>
      <c r="M128" s="37" t="str">
        <f t="shared" si="7"/>
        <v/>
      </c>
      <c r="N128" s="37" t="str">
        <f t="shared" si="8"/>
        <v/>
      </c>
      <c r="O128" s="55"/>
      <c r="P128" s="55"/>
      <c r="Q128" s="55"/>
    </row>
    <row r="129" spans="1:17" x14ac:dyDescent="0.25">
      <c r="A129" s="38" t="str">
        <f t="shared" si="9"/>
        <v/>
      </c>
      <c r="B129" s="38"/>
      <c r="C129" s="30"/>
      <c r="D129" s="30"/>
      <c r="E129" s="30"/>
      <c r="F129" s="30"/>
      <c r="G129" s="30"/>
      <c r="H129" s="30"/>
      <c r="I129" s="36" t="str">
        <f t="shared" si="5"/>
        <v/>
      </c>
      <c r="J129" s="30"/>
      <c r="K129" s="30"/>
      <c r="L129" s="36" t="str">
        <f t="shared" si="6"/>
        <v/>
      </c>
      <c r="M129" s="37" t="str">
        <f t="shared" si="7"/>
        <v/>
      </c>
      <c r="N129" s="37" t="str">
        <f t="shared" si="8"/>
        <v/>
      </c>
      <c r="O129" s="55"/>
      <c r="P129" s="55"/>
      <c r="Q129" s="55"/>
    </row>
    <row r="130" spans="1:17" x14ac:dyDescent="0.25">
      <c r="A130" s="38" t="str">
        <f t="shared" si="9"/>
        <v/>
      </c>
      <c r="B130" s="38"/>
      <c r="C130" s="30"/>
      <c r="D130" s="30"/>
      <c r="E130" s="30"/>
      <c r="F130" s="30"/>
      <c r="G130" s="30"/>
      <c r="H130" s="30"/>
      <c r="I130" s="36" t="str">
        <f t="shared" si="5"/>
        <v/>
      </c>
      <c r="J130" s="30"/>
      <c r="K130" s="30"/>
      <c r="L130" s="36" t="str">
        <f t="shared" si="6"/>
        <v/>
      </c>
      <c r="M130" s="37" t="str">
        <f t="shared" si="7"/>
        <v/>
      </c>
      <c r="N130" s="37" t="str">
        <f t="shared" si="8"/>
        <v/>
      </c>
      <c r="O130" s="55"/>
      <c r="P130" s="55"/>
      <c r="Q130" s="55"/>
    </row>
    <row r="131" spans="1:17" x14ac:dyDescent="0.25">
      <c r="A131" s="38" t="str">
        <f t="shared" si="9"/>
        <v/>
      </c>
      <c r="B131" s="38"/>
      <c r="C131" s="30"/>
      <c r="D131" s="30"/>
      <c r="E131" s="30"/>
      <c r="F131" s="30"/>
      <c r="G131" s="30"/>
      <c r="H131" s="30"/>
      <c r="I131" s="36" t="str">
        <f t="shared" ref="I131:I194" si="10">IF(H131&lt;&gt;"",H131/G131,"")</f>
        <v/>
      </c>
      <c r="J131" s="30"/>
      <c r="K131" s="30"/>
      <c r="L131" s="36" t="str">
        <f t="shared" ref="L131:L194" si="11">IF(K131&lt;&gt;"",K131/J131,"")</f>
        <v/>
      </c>
      <c r="M131" s="37" t="str">
        <f t="shared" ref="M131:M194" si="12">IF(L131&lt;&gt;"",MAX(I131,L131),"")</f>
        <v/>
      </c>
      <c r="N131" s="37" t="str">
        <f t="shared" ref="N131:N194" si="13">IF($M131&lt;&gt;"",IF($M131&lt;50%,0%,IF($M131&lt;80%,$M131,100%)),"")</f>
        <v/>
      </c>
      <c r="O131" s="55"/>
      <c r="P131" s="55"/>
      <c r="Q131" s="55"/>
    </row>
    <row r="132" spans="1:17" x14ac:dyDescent="0.25">
      <c r="A132" s="38" t="str">
        <f t="shared" ref="A132:A195" si="14">IF(C132&lt;&gt;"",A131+1,"")</f>
        <v/>
      </c>
      <c r="B132" s="38"/>
      <c r="C132" s="30"/>
      <c r="D132" s="30"/>
      <c r="E132" s="30"/>
      <c r="F132" s="30"/>
      <c r="G132" s="30"/>
      <c r="H132" s="30"/>
      <c r="I132" s="36" t="str">
        <f t="shared" si="10"/>
        <v/>
      </c>
      <c r="J132" s="30"/>
      <c r="K132" s="30"/>
      <c r="L132" s="36" t="str">
        <f t="shared" si="11"/>
        <v/>
      </c>
      <c r="M132" s="37" t="str">
        <f t="shared" si="12"/>
        <v/>
      </c>
      <c r="N132" s="37" t="str">
        <f t="shared" si="13"/>
        <v/>
      </c>
      <c r="O132" s="55"/>
      <c r="P132" s="55"/>
      <c r="Q132" s="55"/>
    </row>
    <row r="133" spans="1:17" x14ac:dyDescent="0.25">
      <c r="A133" s="38" t="str">
        <f t="shared" si="14"/>
        <v/>
      </c>
      <c r="B133" s="38"/>
      <c r="C133" s="30"/>
      <c r="D133" s="30"/>
      <c r="E133" s="30"/>
      <c r="F133" s="30"/>
      <c r="G133" s="30"/>
      <c r="H133" s="30"/>
      <c r="I133" s="36" t="str">
        <f t="shared" si="10"/>
        <v/>
      </c>
      <c r="J133" s="30"/>
      <c r="K133" s="30"/>
      <c r="L133" s="36" t="str">
        <f t="shared" si="11"/>
        <v/>
      </c>
      <c r="M133" s="37" t="str">
        <f t="shared" si="12"/>
        <v/>
      </c>
      <c r="N133" s="37" t="str">
        <f t="shared" si="13"/>
        <v/>
      </c>
      <c r="O133" s="55"/>
      <c r="P133" s="55"/>
      <c r="Q133" s="55"/>
    </row>
    <row r="134" spans="1:17" x14ac:dyDescent="0.25">
      <c r="A134" s="38" t="str">
        <f t="shared" si="14"/>
        <v/>
      </c>
      <c r="B134" s="38"/>
      <c r="C134" s="30"/>
      <c r="D134" s="30"/>
      <c r="E134" s="30"/>
      <c r="F134" s="30"/>
      <c r="G134" s="30"/>
      <c r="H134" s="30"/>
      <c r="I134" s="36" t="str">
        <f t="shared" si="10"/>
        <v/>
      </c>
      <c r="J134" s="30"/>
      <c r="K134" s="30"/>
      <c r="L134" s="36" t="str">
        <f t="shared" si="11"/>
        <v/>
      </c>
      <c r="M134" s="37" t="str">
        <f t="shared" si="12"/>
        <v/>
      </c>
      <c r="N134" s="37" t="str">
        <f t="shared" si="13"/>
        <v/>
      </c>
      <c r="O134" s="55"/>
      <c r="P134" s="55"/>
      <c r="Q134" s="55"/>
    </row>
    <row r="135" spans="1:17" x14ac:dyDescent="0.25">
      <c r="A135" s="38" t="str">
        <f t="shared" si="14"/>
        <v/>
      </c>
      <c r="B135" s="38"/>
      <c r="C135" s="30"/>
      <c r="D135" s="30"/>
      <c r="E135" s="30"/>
      <c r="F135" s="30"/>
      <c r="G135" s="30"/>
      <c r="H135" s="30"/>
      <c r="I135" s="36" t="str">
        <f t="shared" si="10"/>
        <v/>
      </c>
      <c r="J135" s="30"/>
      <c r="K135" s="30"/>
      <c r="L135" s="36" t="str">
        <f t="shared" si="11"/>
        <v/>
      </c>
      <c r="M135" s="37" t="str">
        <f t="shared" si="12"/>
        <v/>
      </c>
      <c r="N135" s="37" t="str">
        <f t="shared" si="13"/>
        <v/>
      </c>
      <c r="O135" s="55"/>
      <c r="P135" s="55"/>
      <c r="Q135" s="55"/>
    </row>
    <row r="136" spans="1:17" x14ac:dyDescent="0.25">
      <c r="A136" s="38" t="str">
        <f t="shared" si="14"/>
        <v/>
      </c>
      <c r="B136" s="38"/>
      <c r="C136" s="30"/>
      <c r="D136" s="30"/>
      <c r="E136" s="30"/>
      <c r="F136" s="30"/>
      <c r="G136" s="30"/>
      <c r="H136" s="30"/>
      <c r="I136" s="36" t="str">
        <f t="shared" si="10"/>
        <v/>
      </c>
      <c r="J136" s="30"/>
      <c r="K136" s="30"/>
      <c r="L136" s="36" t="str">
        <f t="shared" si="11"/>
        <v/>
      </c>
      <c r="M136" s="37" t="str">
        <f t="shared" si="12"/>
        <v/>
      </c>
      <c r="N136" s="37" t="str">
        <f t="shared" si="13"/>
        <v/>
      </c>
      <c r="O136" s="55"/>
      <c r="P136" s="55"/>
      <c r="Q136" s="55"/>
    </row>
    <row r="137" spans="1:17" x14ac:dyDescent="0.25">
      <c r="A137" s="38" t="str">
        <f t="shared" si="14"/>
        <v/>
      </c>
      <c r="B137" s="38"/>
      <c r="C137" s="30"/>
      <c r="D137" s="30"/>
      <c r="E137" s="30"/>
      <c r="F137" s="30"/>
      <c r="G137" s="30"/>
      <c r="H137" s="30"/>
      <c r="I137" s="36" t="str">
        <f t="shared" si="10"/>
        <v/>
      </c>
      <c r="J137" s="30"/>
      <c r="K137" s="30"/>
      <c r="L137" s="36" t="str">
        <f t="shared" si="11"/>
        <v/>
      </c>
      <c r="M137" s="37" t="str">
        <f t="shared" si="12"/>
        <v/>
      </c>
      <c r="N137" s="37" t="str">
        <f t="shared" si="13"/>
        <v/>
      </c>
      <c r="O137" s="55"/>
      <c r="P137" s="55"/>
      <c r="Q137" s="55"/>
    </row>
    <row r="138" spans="1:17" x14ac:dyDescent="0.25">
      <c r="A138" s="38" t="str">
        <f t="shared" si="14"/>
        <v/>
      </c>
      <c r="B138" s="38"/>
      <c r="C138" s="30"/>
      <c r="D138" s="30"/>
      <c r="E138" s="30"/>
      <c r="F138" s="30"/>
      <c r="G138" s="30"/>
      <c r="H138" s="30"/>
      <c r="I138" s="36" t="str">
        <f t="shared" si="10"/>
        <v/>
      </c>
      <c r="J138" s="30"/>
      <c r="K138" s="30"/>
      <c r="L138" s="36" t="str">
        <f t="shared" si="11"/>
        <v/>
      </c>
      <c r="M138" s="37" t="str">
        <f t="shared" si="12"/>
        <v/>
      </c>
      <c r="N138" s="37" t="str">
        <f t="shared" si="13"/>
        <v/>
      </c>
      <c r="O138" s="55"/>
      <c r="P138" s="55"/>
      <c r="Q138" s="55"/>
    </row>
    <row r="139" spans="1:17" x14ac:dyDescent="0.25">
      <c r="A139" s="38" t="str">
        <f t="shared" si="14"/>
        <v/>
      </c>
      <c r="B139" s="38"/>
      <c r="C139" s="30"/>
      <c r="D139" s="30"/>
      <c r="E139" s="30"/>
      <c r="F139" s="30"/>
      <c r="G139" s="30"/>
      <c r="H139" s="30"/>
      <c r="I139" s="36" t="str">
        <f t="shared" si="10"/>
        <v/>
      </c>
      <c r="J139" s="30"/>
      <c r="K139" s="30"/>
      <c r="L139" s="36" t="str">
        <f t="shared" si="11"/>
        <v/>
      </c>
      <c r="M139" s="37" t="str">
        <f t="shared" si="12"/>
        <v/>
      </c>
      <c r="N139" s="37" t="str">
        <f t="shared" si="13"/>
        <v/>
      </c>
      <c r="O139" s="55"/>
      <c r="P139" s="55"/>
      <c r="Q139" s="55"/>
    </row>
    <row r="140" spans="1:17" x14ac:dyDescent="0.25">
      <c r="A140" s="38" t="str">
        <f t="shared" si="14"/>
        <v/>
      </c>
      <c r="B140" s="38"/>
      <c r="C140" s="30"/>
      <c r="D140" s="30"/>
      <c r="E140" s="30"/>
      <c r="F140" s="30"/>
      <c r="G140" s="30"/>
      <c r="H140" s="30"/>
      <c r="I140" s="36" t="str">
        <f t="shared" si="10"/>
        <v/>
      </c>
      <c r="J140" s="30"/>
      <c r="K140" s="30"/>
      <c r="L140" s="36" t="str">
        <f t="shared" si="11"/>
        <v/>
      </c>
      <c r="M140" s="37" t="str">
        <f t="shared" si="12"/>
        <v/>
      </c>
      <c r="N140" s="37" t="str">
        <f t="shared" si="13"/>
        <v/>
      </c>
      <c r="O140" s="55"/>
      <c r="P140" s="55"/>
      <c r="Q140" s="55"/>
    </row>
    <row r="141" spans="1:17" x14ac:dyDescent="0.25">
      <c r="A141" s="38" t="str">
        <f t="shared" si="14"/>
        <v/>
      </c>
      <c r="B141" s="38"/>
      <c r="C141" s="30"/>
      <c r="D141" s="30"/>
      <c r="E141" s="30"/>
      <c r="F141" s="30"/>
      <c r="G141" s="30"/>
      <c r="H141" s="30"/>
      <c r="I141" s="36" t="str">
        <f t="shared" si="10"/>
        <v/>
      </c>
      <c r="J141" s="30"/>
      <c r="K141" s="30"/>
      <c r="L141" s="36" t="str">
        <f t="shared" si="11"/>
        <v/>
      </c>
      <c r="M141" s="37" t="str">
        <f t="shared" si="12"/>
        <v/>
      </c>
      <c r="N141" s="37" t="str">
        <f t="shared" si="13"/>
        <v/>
      </c>
      <c r="O141" s="55"/>
      <c r="P141" s="55"/>
      <c r="Q141" s="55"/>
    </row>
    <row r="142" spans="1:17" x14ac:dyDescent="0.25">
      <c r="A142" s="38" t="str">
        <f t="shared" si="14"/>
        <v/>
      </c>
      <c r="B142" s="38"/>
      <c r="C142" s="30"/>
      <c r="D142" s="30"/>
      <c r="E142" s="30"/>
      <c r="F142" s="30"/>
      <c r="G142" s="30"/>
      <c r="H142" s="30"/>
      <c r="I142" s="36" t="str">
        <f t="shared" si="10"/>
        <v/>
      </c>
      <c r="J142" s="30"/>
      <c r="K142" s="30"/>
      <c r="L142" s="36" t="str">
        <f t="shared" si="11"/>
        <v/>
      </c>
      <c r="M142" s="37" t="str">
        <f t="shared" si="12"/>
        <v/>
      </c>
      <c r="N142" s="37" t="str">
        <f t="shared" si="13"/>
        <v/>
      </c>
      <c r="O142" s="55"/>
      <c r="P142" s="55"/>
      <c r="Q142" s="55"/>
    </row>
    <row r="143" spans="1:17" x14ac:dyDescent="0.25">
      <c r="A143" s="38" t="str">
        <f t="shared" si="14"/>
        <v/>
      </c>
      <c r="B143" s="38"/>
      <c r="C143" s="30"/>
      <c r="D143" s="30"/>
      <c r="E143" s="30"/>
      <c r="F143" s="30"/>
      <c r="G143" s="30"/>
      <c r="H143" s="30"/>
      <c r="I143" s="36" t="str">
        <f t="shared" si="10"/>
        <v/>
      </c>
      <c r="J143" s="30"/>
      <c r="K143" s="30"/>
      <c r="L143" s="36" t="str">
        <f t="shared" si="11"/>
        <v/>
      </c>
      <c r="M143" s="37" t="str">
        <f t="shared" si="12"/>
        <v/>
      </c>
      <c r="N143" s="37" t="str">
        <f t="shared" si="13"/>
        <v/>
      </c>
      <c r="O143" s="55"/>
      <c r="P143" s="55"/>
      <c r="Q143" s="55"/>
    </row>
    <row r="144" spans="1:17" x14ac:dyDescent="0.25">
      <c r="A144" s="38" t="str">
        <f t="shared" si="14"/>
        <v/>
      </c>
      <c r="B144" s="38"/>
      <c r="C144" s="30"/>
      <c r="D144" s="30"/>
      <c r="E144" s="30"/>
      <c r="F144" s="30"/>
      <c r="G144" s="30"/>
      <c r="H144" s="30"/>
      <c r="I144" s="36" t="str">
        <f t="shared" si="10"/>
        <v/>
      </c>
      <c r="J144" s="30"/>
      <c r="K144" s="30"/>
      <c r="L144" s="36" t="str">
        <f t="shared" si="11"/>
        <v/>
      </c>
      <c r="M144" s="37" t="str">
        <f t="shared" si="12"/>
        <v/>
      </c>
      <c r="N144" s="37" t="str">
        <f t="shared" si="13"/>
        <v/>
      </c>
      <c r="O144" s="55"/>
      <c r="P144" s="55"/>
      <c r="Q144" s="55"/>
    </row>
    <row r="145" spans="1:17" x14ac:dyDescent="0.25">
      <c r="A145" s="38" t="str">
        <f t="shared" si="14"/>
        <v/>
      </c>
      <c r="B145" s="38"/>
      <c r="C145" s="30"/>
      <c r="D145" s="30"/>
      <c r="E145" s="30"/>
      <c r="F145" s="30"/>
      <c r="G145" s="30"/>
      <c r="H145" s="30"/>
      <c r="I145" s="36" t="str">
        <f t="shared" si="10"/>
        <v/>
      </c>
      <c r="J145" s="30"/>
      <c r="K145" s="30"/>
      <c r="L145" s="36" t="str">
        <f t="shared" si="11"/>
        <v/>
      </c>
      <c r="M145" s="37" t="str">
        <f t="shared" si="12"/>
        <v/>
      </c>
      <c r="N145" s="37" t="str">
        <f t="shared" si="13"/>
        <v/>
      </c>
      <c r="O145" s="55"/>
      <c r="P145" s="55"/>
      <c r="Q145" s="55"/>
    </row>
    <row r="146" spans="1:17" x14ac:dyDescent="0.25">
      <c r="A146" s="38" t="str">
        <f t="shared" si="14"/>
        <v/>
      </c>
      <c r="B146" s="38"/>
      <c r="C146" s="30"/>
      <c r="D146" s="30"/>
      <c r="E146" s="30"/>
      <c r="F146" s="30"/>
      <c r="G146" s="30"/>
      <c r="H146" s="30"/>
      <c r="I146" s="36" t="str">
        <f t="shared" si="10"/>
        <v/>
      </c>
      <c r="J146" s="30"/>
      <c r="K146" s="30"/>
      <c r="L146" s="36" t="str">
        <f t="shared" si="11"/>
        <v/>
      </c>
      <c r="M146" s="37" t="str">
        <f t="shared" si="12"/>
        <v/>
      </c>
      <c r="N146" s="37" t="str">
        <f t="shared" si="13"/>
        <v/>
      </c>
      <c r="O146" s="55"/>
      <c r="P146" s="55"/>
      <c r="Q146" s="55"/>
    </row>
    <row r="147" spans="1:17" x14ac:dyDescent="0.25">
      <c r="A147" s="38" t="str">
        <f t="shared" si="14"/>
        <v/>
      </c>
      <c r="B147" s="38"/>
      <c r="C147" s="30"/>
      <c r="D147" s="30"/>
      <c r="E147" s="30"/>
      <c r="F147" s="30"/>
      <c r="G147" s="30"/>
      <c r="H147" s="30"/>
      <c r="I147" s="36" t="str">
        <f t="shared" si="10"/>
        <v/>
      </c>
      <c r="J147" s="30"/>
      <c r="K147" s="30"/>
      <c r="L147" s="36" t="str">
        <f t="shared" si="11"/>
        <v/>
      </c>
      <c r="M147" s="37" t="str">
        <f t="shared" si="12"/>
        <v/>
      </c>
      <c r="N147" s="37" t="str">
        <f t="shared" si="13"/>
        <v/>
      </c>
      <c r="O147" s="55"/>
      <c r="P147" s="55"/>
      <c r="Q147" s="55"/>
    </row>
    <row r="148" spans="1:17" x14ac:dyDescent="0.25">
      <c r="A148" s="38" t="str">
        <f t="shared" si="14"/>
        <v/>
      </c>
      <c r="B148" s="38"/>
      <c r="C148" s="30"/>
      <c r="D148" s="30"/>
      <c r="E148" s="30"/>
      <c r="F148" s="30"/>
      <c r="G148" s="30"/>
      <c r="H148" s="30"/>
      <c r="I148" s="36" t="str">
        <f t="shared" si="10"/>
        <v/>
      </c>
      <c r="J148" s="30"/>
      <c r="K148" s="30"/>
      <c r="L148" s="36" t="str">
        <f t="shared" si="11"/>
        <v/>
      </c>
      <c r="M148" s="37" t="str">
        <f t="shared" si="12"/>
        <v/>
      </c>
      <c r="N148" s="37" t="str">
        <f t="shared" si="13"/>
        <v/>
      </c>
      <c r="O148" s="55"/>
      <c r="P148" s="55"/>
      <c r="Q148" s="55"/>
    </row>
    <row r="149" spans="1:17" x14ac:dyDescent="0.25">
      <c r="A149" s="38" t="str">
        <f t="shared" si="14"/>
        <v/>
      </c>
      <c r="B149" s="38"/>
      <c r="C149" s="30"/>
      <c r="D149" s="30"/>
      <c r="E149" s="30"/>
      <c r="F149" s="30"/>
      <c r="G149" s="30"/>
      <c r="H149" s="30"/>
      <c r="I149" s="36" t="str">
        <f t="shared" si="10"/>
        <v/>
      </c>
      <c r="J149" s="30"/>
      <c r="K149" s="30"/>
      <c r="L149" s="36" t="str">
        <f t="shared" si="11"/>
        <v/>
      </c>
      <c r="M149" s="37" t="str">
        <f t="shared" si="12"/>
        <v/>
      </c>
      <c r="N149" s="37" t="str">
        <f t="shared" si="13"/>
        <v/>
      </c>
      <c r="O149" s="55"/>
      <c r="P149" s="55"/>
      <c r="Q149" s="55"/>
    </row>
    <row r="150" spans="1:17" x14ac:dyDescent="0.25">
      <c r="A150" s="38" t="str">
        <f t="shared" si="14"/>
        <v/>
      </c>
      <c r="B150" s="38"/>
      <c r="C150" s="30"/>
      <c r="D150" s="30"/>
      <c r="E150" s="30"/>
      <c r="F150" s="30"/>
      <c r="G150" s="30"/>
      <c r="H150" s="30"/>
      <c r="I150" s="36" t="str">
        <f t="shared" si="10"/>
        <v/>
      </c>
      <c r="J150" s="30"/>
      <c r="K150" s="30"/>
      <c r="L150" s="36" t="str">
        <f t="shared" si="11"/>
        <v/>
      </c>
      <c r="M150" s="37" t="str">
        <f t="shared" si="12"/>
        <v/>
      </c>
      <c r="N150" s="37" t="str">
        <f t="shared" si="13"/>
        <v/>
      </c>
      <c r="O150" s="55"/>
      <c r="P150" s="55"/>
      <c r="Q150" s="55"/>
    </row>
    <row r="151" spans="1:17" x14ac:dyDescent="0.25">
      <c r="A151" s="38" t="str">
        <f t="shared" si="14"/>
        <v/>
      </c>
      <c r="B151" s="38"/>
      <c r="C151" s="30"/>
      <c r="D151" s="30"/>
      <c r="E151" s="30"/>
      <c r="F151" s="30"/>
      <c r="G151" s="30"/>
      <c r="H151" s="30"/>
      <c r="I151" s="36" t="str">
        <f t="shared" si="10"/>
        <v/>
      </c>
      <c r="J151" s="30"/>
      <c r="K151" s="30"/>
      <c r="L151" s="36" t="str">
        <f t="shared" si="11"/>
        <v/>
      </c>
      <c r="M151" s="37" t="str">
        <f t="shared" si="12"/>
        <v/>
      </c>
      <c r="N151" s="37" t="str">
        <f t="shared" si="13"/>
        <v/>
      </c>
      <c r="O151" s="55"/>
      <c r="P151" s="55"/>
      <c r="Q151" s="55"/>
    </row>
    <row r="152" spans="1:17" x14ac:dyDescent="0.25">
      <c r="A152" s="38" t="str">
        <f t="shared" si="14"/>
        <v/>
      </c>
      <c r="B152" s="38"/>
      <c r="C152" s="30"/>
      <c r="D152" s="30"/>
      <c r="E152" s="30"/>
      <c r="F152" s="30"/>
      <c r="G152" s="30"/>
      <c r="H152" s="30"/>
      <c r="I152" s="36" t="str">
        <f t="shared" si="10"/>
        <v/>
      </c>
      <c r="J152" s="30"/>
      <c r="K152" s="30"/>
      <c r="L152" s="36" t="str">
        <f t="shared" si="11"/>
        <v/>
      </c>
      <c r="M152" s="37" t="str">
        <f t="shared" si="12"/>
        <v/>
      </c>
      <c r="N152" s="37" t="str">
        <f t="shared" si="13"/>
        <v/>
      </c>
      <c r="O152" s="55"/>
      <c r="P152" s="55"/>
      <c r="Q152" s="55"/>
    </row>
    <row r="153" spans="1:17" x14ac:dyDescent="0.25">
      <c r="A153" s="38" t="str">
        <f t="shared" si="14"/>
        <v/>
      </c>
      <c r="B153" s="38"/>
      <c r="C153" s="30"/>
      <c r="D153" s="30"/>
      <c r="E153" s="30"/>
      <c r="F153" s="30"/>
      <c r="G153" s="30"/>
      <c r="H153" s="30"/>
      <c r="I153" s="36" t="str">
        <f t="shared" si="10"/>
        <v/>
      </c>
      <c r="J153" s="30"/>
      <c r="K153" s="30"/>
      <c r="L153" s="36" t="str">
        <f t="shared" si="11"/>
        <v/>
      </c>
      <c r="M153" s="37" t="str">
        <f t="shared" si="12"/>
        <v/>
      </c>
      <c r="N153" s="37" t="str">
        <f t="shared" si="13"/>
        <v/>
      </c>
      <c r="O153" s="55"/>
      <c r="P153" s="55"/>
      <c r="Q153" s="55"/>
    </row>
    <row r="154" spans="1:17" x14ac:dyDescent="0.25">
      <c r="A154" s="38" t="str">
        <f t="shared" si="14"/>
        <v/>
      </c>
      <c r="B154" s="38"/>
      <c r="C154" s="30"/>
      <c r="D154" s="30"/>
      <c r="E154" s="30"/>
      <c r="F154" s="30"/>
      <c r="G154" s="30"/>
      <c r="H154" s="30"/>
      <c r="I154" s="36" t="str">
        <f t="shared" si="10"/>
        <v/>
      </c>
      <c r="J154" s="30"/>
      <c r="K154" s="30"/>
      <c r="L154" s="36" t="str">
        <f t="shared" si="11"/>
        <v/>
      </c>
      <c r="M154" s="37" t="str">
        <f t="shared" si="12"/>
        <v/>
      </c>
      <c r="N154" s="37" t="str">
        <f t="shared" si="13"/>
        <v/>
      </c>
      <c r="O154" s="55"/>
      <c r="P154" s="55"/>
      <c r="Q154" s="55"/>
    </row>
    <row r="155" spans="1:17" x14ac:dyDescent="0.25">
      <c r="A155" s="38" t="str">
        <f t="shared" si="14"/>
        <v/>
      </c>
      <c r="B155" s="38"/>
      <c r="C155" s="30"/>
      <c r="D155" s="30"/>
      <c r="E155" s="30"/>
      <c r="F155" s="30"/>
      <c r="G155" s="30"/>
      <c r="H155" s="30"/>
      <c r="I155" s="36" t="str">
        <f t="shared" si="10"/>
        <v/>
      </c>
      <c r="J155" s="30"/>
      <c r="K155" s="30"/>
      <c r="L155" s="36" t="str">
        <f t="shared" si="11"/>
        <v/>
      </c>
      <c r="M155" s="37" t="str">
        <f t="shared" si="12"/>
        <v/>
      </c>
      <c r="N155" s="37" t="str">
        <f t="shared" si="13"/>
        <v/>
      </c>
      <c r="O155" s="55"/>
      <c r="P155" s="55"/>
      <c r="Q155" s="55"/>
    </row>
    <row r="156" spans="1:17" x14ac:dyDescent="0.25">
      <c r="A156" s="38" t="str">
        <f t="shared" si="14"/>
        <v/>
      </c>
      <c r="B156" s="38"/>
      <c r="C156" s="30"/>
      <c r="D156" s="30"/>
      <c r="E156" s="30"/>
      <c r="F156" s="30"/>
      <c r="G156" s="30"/>
      <c r="H156" s="30"/>
      <c r="I156" s="36" t="str">
        <f t="shared" si="10"/>
        <v/>
      </c>
      <c r="J156" s="30"/>
      <c r="K156" s="30"/>
      <c r="L156" s="36" t="str">
        <f t="shared" si="11"/>
        <v/>
      </c>
      <c r="M156" s="37" t="str">
        <f t="shared" si="12"/>
        <v/>
      </c>
      <c r="N156" s="37" t="str">
        <f t="shared" si="13"/>
        <v/>
      </c>
      <c r="O156" s="55"/>
      <c r="P156" s="55"/>
      <c r="Q156" s="55"/>
    </row>
    <row r="157" spans="1:17" x14ac:dyDescent="0.25">
      <c r="A157" s="38" t="str">
        <f t="shared" si="14"/>
        <v/>
      </c>
      <c r="B157" s="38"/>
      <c r="C157" s="30"/>
      <c r="D157" s="30"/>
      <c r="E157" s="30"/>
      <c r="F157" s="30"/>
      <c r="G157" s="30"/>
      <c r="H157" s="30"/>
      <c r="I157" s="36" t="str">
        <f t="shared" si="10"/>
        <v/>
      </c>
      <c r="J157" s="30"/>
      <c r="K157" s="30"/>
      <c r="L157" s="36" t="str">
        <f t="shared" si="11"/>
        <v/>
      </c>
      <c r="M157" s="37" t="str">
        <f t="shared" si="12"/>
        <v/>
      </c>
      <c r="N157" s="37" t="str">
        <f t="shared" si="13"/>
        <v/>
      </c>
      <c r="O157" s="55"/>
      <c r="P157" s="55"/>
      <c r="Q157" s="55"/>
    </row>
    <row r="158" spans="1:17" x14ac:dyDescent="0.25">
      <c r="A158" s="38" t="str">
        <f t="shared" si="14"/>
        <v/>
      </c>
      <c r="B158" s="38"/>
      <c r="C158" s="30"/>
      <c r="D158" s="30"/>
      <c r="E158" s="30"/>
      <c r="F158" s="30"/>
      <c r="G158" s="30"/>
      <c r="H158" s="30"/>
      <c r="I158" s="36" t="str">
        <f t="shared" si="10"/>
        <v/>
      </c>
      <c r="J158" s="30"/>
      <c r="K158" s="30"/>
      <c r="L158" s="36" t="str">
        <f t="shared" si="11"/>
        <v/>
      </c>
      <c r="M158" s="37" t="str">
        <f t="shared" si="12"/>
        <v/>
      </c>
      <c r="N158" s="37" t="str">
        <f t="shared" si="13"/>
        <v/>
      </c>
      <c r="O158" s="55"/>
      <c r="P158" s="55"/>
      <c r="Q158" s="55"/>
    </row>
    <row r="159" spans="1:17" x14ac:dyDescent="0.25">
      <c r="A159" s="38" t="str">
        <f t="shared" si="14"/>
        <v/>
      </c>
      <c r="B159" s="38"/>
      <c r="C159" s="30"/>
      <c r="D159" s="30"/>
      <c r="E159" s="30"/>
      <c r="F159" s="30"/>
      <c r="G159" s="30"/>
      <c r="H159" s="30"/>
      <c r="I159" s="36" t="str">
        <f t="shared" si="10"/>
        <v/>
      </c>
      <c r="J159" s="30"/>
      <c r="K159" s="30"/>
      <c r="L159" s="36" t="str">
        <f t="shared" si="11"/>
        <v/>
      </c>
      <c r="M159" s="37" t="str">
        <f t="shared" si="12"/>
        <v/>
      </c>
      <c r="N159" s="37" t="str">
        <f t="shared" si="13"/>
        <v/>
      </c>
      <c r="O159" s="55"/>
      <c r="P159" s="55"/>
      <c r="Q159" s="55"/>
    </row>
    <row r="160" spans="1:17" x14ac:dyDescent="0.25">
      <c r="A160" s="38" t="str">
        <f t="shared" si="14"/>
        <v/>
      </c>
      <c r="B160" s="38"/>
      <c r="C160" s="30"/>
      <c r="D160" s="30"/>
      <c r="E160" s="30"/>
      <c r="F160" s="30"/>
      <c r="G160" s="30"/>
      <c r="H160" s="30"/>
      <c r="I160" s="36" t="str">
        <f t="shared" si="10"/>
        <v/>
      </c>
      <c r="J160" s="30"/>
      <c r="K160" s="30"/>
      <c r="L160" s="36" t="str">
        <f t="shared" si="11"/>
        <v/>
      </c>
      <c r="M160" s="37" t="str">
        <f t="shared" si="12"/>
        <v/>
      </c>
      <c r="N160" s="37" t="str">
        <f t="shared" si="13"/>
        <v/>
      </c>
      <c r="O160" s="55"/>
      <c r="P160" s="55"/>
      <c r="Q160" s="55"/>
    </row>
    <row r="161" spans="1:17" x14ac:dyDescent="0.25">
      <c r="A161" s="38" t="str">
        <f t="shared" si="14"/>
        <v/>
      </c>
      <c r="B161" s="38"/>
      <c r="C161" s="30"/>
      <c r="D161" s="30"/>
      <c r="E161" s="30"/>
      <c r="F161" s="30"/>
      <c r="G161" s="30"/>
      <c r="H161" s="30"/>
      <c r="I161" s="36" t="str">
        <f t="shared" si="10"/>
        <v/>
      </c>
      <c r="J161" s="30"/>
      <c r="K161" s="30"/>
      <c r="L161" s="36" t="str">
        <f t="shared" si="11"/>
        <v/>
      </c>
      <c r="M161" s="37" t="str">
        <f t="shared" si="12"/>
        <v/>
      </c>
      <c r="N161" s="37" t="str">
        <f t="shared" si="13"/>
        <v/>
      </c>
      <c r="O161" s="55"/>
      <c r="P161" s="55"/>
      <c r="Q161" s="55"/>
    </row>
    <row r="162" spans="1:17" x14ac:dyDescent="0.25">
      <c r="A162" s="38" t="str">
        <f t="shared" si="14"/>
        <v/>
      </c>
      <c r="B162" s="38"/>
      <c r="C162" s="30"/>
      <c r="D162" s="30"/>
      <c r="E162" s="30"/>
      <c r="F162" s="30"/>
      <c r="G162" s="30"/>
      <c r="H162" s="30"/>
      <c r="I162" s="36" t="str">
        <f t="shared" si="10"/>
        <v/>
      </c>
      <c r="J162" s="30"/>
      <c r="K162" s="30"/>
      <c r="L162" s="36" t="str">
        <f t="shared" si="11"/>
        <v/>
      </c>
      <c r="M162" s="37" t="str">
        <f t="shared" si="12"/>
        <v/>
      </c>
      <c r="N162" s="37" t="str">
        <f t="shared" si="13"/>
        <v/>
      </c>
      <c r="O162" s="55"/>
      <c r="P162" s="55"/>
      <c r="Q162" s="55"/>
    </row>
    <row r="163" spans="1:17" x14ac:dyDescent="0.25">
      <c r="A163" s="38" t="str">
        <f t="shared" si="14"/>
        <v/>
      </c>
      <c r="B163" s="38"/>
      <c r="C163" s="30"/>
      <c r="D163" s="30"/>
      <c r="E163" s="30"/>
      <c r="F163" s="30"/>
      <c r="G163" s="30"/>
      <c r="H163" s="30"/>
      <c r="I163" s="36" t="str">
        <f t="shared" si="10"/>
        <v/>
      </c>
      <c r="J163" s="30"/>
      <c r="K163" s="30"/>
      <c r="L163" s="36" t="str">
        <f t="shared" si="11"/>
        <v/>
      </c>
      <c r="M163" s="37" t="str">
        <f t="shared" si="12"/>
        <v/>
      </c>
      <c r="N163" s="37" t="str">
        <f t="shared" si="13"/>
        <v/>
      </c>
      <c r="O163" s="55"/>
      <c r="P163" s="55"/>
      <c r="Q163" s="55"/>
    </row>
    <row r="164" spans="1:17" x14ac:dyDescent="0.25">
      <c r="A164" s="38" t="str">
        <f t="shared" si="14"/>
        <v/>
      </c>
      <c r="B164" s="38"/>
      <c r="C164" s="30"/>
      <c r="D164" s="30"/>
      <c r="E164" s="30"/>
      <c r="F164" s="30"/>
      <c r="G164" s="30"/>
      <c r="H164" s="30"/>
      <c r="I164" s="36" t="str">
        <f t="shared" si="10"/>
        <v/>
      </c>
      <c r="J164" s="30"/>
      <c r="K164" s="30"/>
      <c r="L164" s="36" t="str">
        <f t="shared" si="11"/>
        <v/>
      </c>
      <c r="M164" s="37" t="str">
        <f t="shared" si="12"/>
        <v/>
      </c>
      <c r="N164" s="37" t="str">
        <f t="shared" si="13"/>
        <v/>
      </c>
      <c r="O164" s="55"/>
      <c r="P164" s="55"/>
      <c r="Q164" s="55"/>
    </row>
    <row r="165" spans="1:17" x14ac:dyDescent="0.25">
      <c r="A165" s="38" t="str">
        <f t="shared" si="14"/>
        <v/>
      </c>
      <c r="B165" s="38"/>
      <c r="C165" s="30"/>
      <c r="D165" s="30"/>
      <c r="E165" s="30"/>
      <c r="F165" s="30"/>
      <c r="G165" s="30"/>
      <c r="H165" s="30"/>
      <c r="I165" s="36" t="str">
        <f t="shared" si="10"/>
        <v/>
      </c>
      <c r="J165" s="30"/>
      <c r="K165" s="30"/>
      <c r="L165" s="36" t="str">
        <f t="shared" si="11"/>
        <v/>
      </c>
      <c r="M165" s="37" t="str">
        <f t="shared" si="12"/>
        <v/>
      </c>
      <c r="N165" s="37" t="str">
        <f t="shared" si="13"/>
        <v/>
      </c>
      <c r="O165" s="55"/>
      <c r="P165" s="55"/>
      <c r="Q165" s="55"/>
    </row>
    <row r="166" spans="1:17" x14ac:dyDescent="0.25">
      <c r="A166" s="38" t="str">
        <f t="shared" si="14"/>
        <v/>
      </c>
      <c r="B166" s="38"/>
      <c r="C166" s="30"/>
      <c r="D166" s="30"/>
      <c r="E166" s="30"/>
      <c r="F166" s="30"/>
      <c r="G166" s="30"/>
      <c r="H166" s="30"/>
      <c r="I166" s="36" t="str">
        <f t="shared" si="10"/>
        <v/>
      </c>
      <c r="J166" s="30"/>
      <c r="K166" s="30"/>
      <c r="L166" s="36" t="str">
        <f t="shared" si="11"/>
        <v/>
      </c>
      <c r="M166" s="37" t="str">
        <f t="shared" si="12"/>
        <v/>
      </c>
      <c r="N166" s="37" t="str">
        <f t="shared" si="13"/>
        <v/>
      </c>
      <c r="O166" s="55"/>
      <c r="P166" s="55"/>
      <c r="Q166" s="55"/>
    </row>
    <row r="167" spans="1:17" x14ac:dyDescent="0.25">
      <c r="A167" s="38" t="str">
        <f t="shared" si="14"/>
        <v/>
      </c>
      <c r="B167" s="38"/>
      <c r="C167" s="30"/>
      <c r="D167" s="30"/>
      <c r="E167" s="30"/>
      <c r="F167" s="30"/>
      <c r="G167" s="30"/>
      <c r="H167" s="30"/>
      <c r="I167" s="36" t="str">
        <f t="shared" si="10"/>
        <v/>
      </c>
      <c r="J167" s="30"/>
      <c r="K167" s="30"/>
      <c r="L167" s="36" t="str">
        <f t="shared" si="11"/>
        <v/>
      </c>
      <c r="M167" s="37" t="str">
        <f t="shared" si="12"/>
        <v/>
      </c>
      <c r="N167" s="37" t="str">
        <f t="shared" si="13"/>
        <v/>
      </c>
      <c r="O167" s="55"/>
      <c r="P167" s="55"/>
      <c r="Q167" s="55"/>
    </row>
    <row r="168" spans="1:17" x14ac:dyDescent="0.25">
      <c r="A168" s="38" t="str">
        <f t="shared" si="14"/>
        <v/>
      </c>
      <c r="B168" s="38"/>
      <c r="C168" s="30"/>
      <c r="D168" s="30"/>
      <c r="E168" s="30"/>
      <c r="F168" s="30"/>
      <c r="G168" s="30"/>
      <c r="H168" s="30"/>
      <c r="I168" s="36" t="str">
        <f t="shared" si="10"/>
        <v/>
      </c>
      <c r="J168" s="30"/>
      <c r="K168" s="30"/>
      <c r="L168" s="36" t="str">
        <f t="shared" si="11"/>
        <v/>
      </c>
      <c r="M168" s="37" t="str">
        <f t="shared" si="12"/>
        <v/>
      </c>
      <c r="N168" s="37" t="str">
        <f t="shared" si="13"/>
        <v/>
      </c>
      <c r="O168" s="55"/>
      <c r="P168" s="55"/>
      <c r="Q168" s="55"/>
    </row>
    <row r="169" spans="1:17" x14ac:dyDescent="0.25">
      <c r="A169" s="38" t="str">
        <f t="shared" si="14"/>
        <v/>
      </c>
      <c r="B169" s="38"/>
      <c r="C169" s="30"/>
      <c r="D169" s="30"/>
      <c r="E169" s="30"/>
      <c r="F169" s="30"/>
      <c r="G169" s="30"/>
      <c r="H169" s="30"/>
      <c r="I169" s="36" t="str">
        <f t="shared" si="10"/>
        <v/>
      </c>
      <c r="J169" s="30"/>
      <c r="K169" s="30"/>
      <c r="L169" s="36" t="str">
        <f t="shared" si="11"/>
        <v/>
      </c>
      <c r="M169" s="37" t="str">
        <f t="shared" si="12"/>
        <v/>
      </c>
      <c r="N169" s="37" t="str">
        <f t="shared" si="13"/>
        <v/>
      </c>
      <c r="O169" s="55"/>
      <c r="P169" s="55"/>
      <c r="Q169" s="55"/>
    </row>
    <row r="170" spans="1:17" x14ac:dyDescent="0.25">
      <c r="A170" s="38" t="str">
        <f t="shared" si="14"/>
        <v/>
      </c>
      <c r="B170" s="38"/>
      <c r="C170" s="30"/>
      <c r="D170" s="30"/>
      <c r="E170" s="30"/>
      <c r="F170" s="30"/>
      <c r="G170" s="30"/>
      <c r="H170" s="30"/>
      <c r="I170" s="36" t="str">
        <f t="shared" si="10"/>
        <v/>
      </c>
      <c r="J170" s="30"/>
      <c r="K170" s="30"/>
      <c r="L170" s="36" t="str">
        <f t="shared" si="11"/>
        <v/>
      </c>
      <c r="M170" s="37" t="str">
        <f t="shared" si="12"/>
        <v/>
      </c>
      <c r="N170" s="37" t="str">
        <f t="shared" si="13"/>
        <v/>
      </c>
      <c r="O170" s="55"/>
      <c r="P170" s="55"/>
      <c r="Q170" s="55"/>
    </row>
    <row r="171" spans="1:17" x14ac:dyDescent="0.25">
      <c r="A171" s="38" t="str">
        <f t="shared" si="14"/>
        <v/>
      </c>
      <c r="B171" s="38"/>
      <c r="C171" s="30"/>
      <c r="D171" s="30"/>
      <c r="E171" s="30"/>
      <c r="F171" s="30"/>
      <c r="G171" s="30"/>
      <c r="H171" s="30"/>
      <c r="I171" s="36" t="str">
        <f t="shared" si="10"/>
        <v/>
      </c>
      <c r="J171" s="30"/>
      <c r="K171" s="30"/>
      <c r="L171" s="36" t="str">
        <f t="shared" si="11"/>
        <v/>
      </c>
      <c r="M171" s="37" t="str">
        <f t="shared" si="12"/>
        <v/>
      </c>
      <c r="N171" s="37" t="str">
        <f t="shared" si="13"/>
        <v/>
      </c>
      <c r="O171" s="55"/>
      <c r="P171" s="55"/>
      <c r="Q171" s="55"/>
    </row>
    <row r="172" spans="1:17" x14ac:dyDescent="0.25">
      <c r="A172" s="38" t="str">
        <f t="shared" si="14"/>
        <v/>
      </c>
      <c r="B172" s="38"/>
      <c r="C172" s="30"/>
      <c r="D172" s="30"/>
      <c r="E172" s="30"/>
      <c r="F172" s="30"/>
      <c r="G172" s="30"/>
      <c r="H172" s="30"/>
      <c r="I172" s="36" t="str">
        <f t="shared" si="10"/>
        <v/>
      </c>
      <c r="J172" s="30"/>
      <c r="K172" s="30"/>
      <c r="L172" s="36" t="str">
        <f t="shared" si="11"/>
        <v/>
      </c>
      <c r="M172" s="37" t="str">
        <f t="shared" si="12"/>
        <v/>
      </c>
      <c r="N172" s="37" t="str">
        <f t="shared" si="13"/>
        <v/>
      </c>
      <c r="O172" s="55"/>
      <c r="P172" s="55"/>
      <c r="Q172" s="55"/>
    </row>
    <row r="173" spans="1:17" x14ac:dyDescent="0.25">
      <c r="A173" s="38" t="str">
        <f t="shared" si="14"/>
        <v/>
      </c>
      <c r="B173" s="38"/>
      <c r="C173" s="30"/>
      <c r="D173" s="30"/>
      <c r="E173" s="30"/>
      <c r="F173" s="30"/>
      <c r="G173" s="30"/>
      <c r="H173" s="30"/>
      <c r="I173" s="36" t="str">
        <f t="shared" si="10"/>
        <v/>
      </c>
      <c r="J173" s="30"/>
      <c r="K173" s="30"/>
      <c r="L173" s="36" t="str">
        <f t="shared" si="11"/>
        <v/>
      </c>
      <c r="M173" s="37" t="str">
        <f t="shared" si="12"/>
        <v/>
      </c>
      <c r="N173" s="37" t="str">
        <f t="shared" si="13"/>
        <v/>
      </c>
      <c r="O173" s="55"/>
      <c r="P173" s="55"/>
      <c r="Q173" s="55"/>
    </row>
    <row r="174" spans="1:17" x14ac:dyDescent="0.25">
      <c r="A174" s="38" t="str">
        <f t="shared" si="14"/>
        <v/>
      </c>
      <c r="B174" s="38"/>
      <c r="C174" s="30"/>
      <c r="D174" s="30"/>
      <c r="E174" s="30"/>
      <c r="F174" s="30"/>
      <c r="G174" s="30"/>
      <c r="H174" s="30"/>
      <c r="I174" s="36" t="str">
        <f t="shared" si="10"/>
        <v/>
      </c>
      <c r="J174" s="30"/>
      <c r="K174" s="30"/>
      <c r="L174" s="36" t="str">
        <f t="shared" si="11"/>
        <v/>
      </c>
      <c r="M174" s="37" t="str">
        <f t="shared" si="12"/>
        <v/>
      </c>
      <c r="N174" s="37" t="str">
        <f t="shared" si="13"/>
        <v/>
      </c>
      <c r="O174" s="55"/>
      <c r="P174" s="55"/>
      <c r="Q174" s="55"/>
    </row>
    <row r="175" spans="1:17" x14ac:dyDescent="0.25">
      <c r="A175" s="38" t="str">
        <f t="shared" si="14"/>
        <v/>
      </c>
      <c r="B175" s="38"/>
      <c r="C175" s="30"/>
      <c r="D175" s="30"/>
      <c r="E175" s="30"/>
      <c r="F175" s="30"/>
      <c r="G175" s="30"/>
      <c r="H175" s="30"/>
      <c r="I175" s="36" t="str">
        <f t="shared" si="10"/>
        <v/>
      </c>
      <c r="J175" s="30"/>
      <c r="K175" s="30"/>
      <c r="L175" s="36" t="str">
        <f t="shared" si="11"/>
        <v/>
      </c>
      <c r="M175" s="37" t="str">
        <f t="shared" si="12"/>
        <v/>
      </c>
      <c r="N175" s="37" t="str">
        <f t="shared" si="13"/>
        <v/>
      </c>
      <c r="O175" s="55"/>
      <c r="P175" s="55"/>
      <c r="Q175" s="55"/>
    </row>
    <row r="176" spans="1:17" x14ac:dyDescent="0.25">
      <c r="A176" s="38" t="str">
        <f t="shared" si="14"/>
        <v/>
      </c>
      <c r="B176" s="38"/>
      <c r="C176" s="30"/>
      <c r="D176" s="30"/>
      <c r="E176" s="30"/>
      <c r="F176" s="30"/>
      <c r="G176" s="30"/>
      <c r="H176" s="30"/>
      <c r="I176" s="36" t="str">
        <f t="shared" si="10"/>
        <v/>
      </c>
      <c r="J176" s="30"/>
      <c r="K176" s="30"/>
      <c r="L176" s="36" t="str">
        <f t="shared" si="11"/>
        <v/>
      </c>
      <c r="M176" s="37" t="str">
        <f t="shared" si="12"/>
        <v/>
      </c>
      <c r="N176" s="37" t="str">
        <f t="shared" si="13"/>
        <v/>
      </c>
      <c r="O176" s="55"/>
      <c r="P176" s="55"/>
      <c r="Q176" s="55"/>
    </row>
    <row r="177" spans="1:17" x14ac:dyDescent="0.25">
      <c r="A177" s="38" t="str">
        <f t="shared" si="14"/>
        <v/>
      </c>
      <c r="B177" s="38"/>
      <c r="C177" s="30"/>
      <c r="D177" s="30"/>
      <c r="E177" s="30"/>
      <c r="F177" s="30"/>
      <c r="G177" s="30"/>
      <c r="H177" s="30"/>
      <c r="I177" s="36" t="str">
        <f t="shared" si="10"/>
        <v/>
      </c>
      <c r="J177" s="30"/>
      <c r="K177" s="30"/>
      <c r="L177" s="36" t="str">
        <f t="shared" si="11"/>
        <v/>
      </c>
      <c r="M177" s="37" t="str">
        <f t="shared" si="12"/>
        <v/>
      </c>
      <c r="N177" s="37" t="str">
        <f t="shared" si="13"/>
        <v/>
      </c>
      <c r="O177" s="55"/>
      <c r="P177" s="55"/>
      <c r="Q177" s="55"/>
    </row>
    <row r="178" spans="1:17" x14ac:dyDescent="0.25">
      <c r="A178" s="38" t="str">
        <f t="shared" si="14"/>
        <v/>
      </c>
      <c r="B178" s="38"/>
      <c r="C178" s="30"/>
      <c r="D178" s="30"/>
      <c r="E178" s="30"/>
      <c r="F178" s="30"/>
      <c r="G178" s="30"/>
      <c r="H178" s="30"/>
      <c r="I178" s="36" t="str">
        <f t="shared" si="10"/>
        <v/>
      </c>
      <c r="J178" s="30"/>
      <c r="K178" s="30"/>
      <c r="L178" s="36" t="str">
        <f t="shared" si="11"/>
        <v/>
      </c>
      <c r="M178" s="37" t="str">
        <f t="shared" si="12"/>
        <v/>
      </c>
      <c r="N178" s="37" t="str">
        <f t="shared" si="13"/>
        <v/>
      </c>
      <c r="O178" s="55"/>
      <c r="P178" s="55"/>
      <c r="Q178" s="55"/>
    </row>
    <row r="179" spans="1:17" x14ac:dyDescent="0.25">
      <c r="A179" s="38" t="str">
        <f t="shared" si="14"/>
        <v/>
      </c>
      <c r="B179" s="38"/>
      <c r="C179" s="30"/>
      <c r="D179" s="30"/>
      <c r="E179" s="30"/>
      <c r="F179" s="30"/>
      <c r="G179" s="30"/>
      <c r="H179" s="30"/>
      <c r="I179" s="36" t="str">
        <f t="shared" si="10"/>
        <v/>
      </c>
      <c r="J179" s="30"/>
      <c r="K179" s="30"/>
      <c r="L179" s="36" t="str">
        <f t="shared" si="11"/>
        <v/>
      </c>
      <c r="M179" s="37" t="str">
        <f t="shared" si="12"/>
        <v/>
      </c>
      <c r="N179" s="37" t="str">
        <f t="shared" si="13"/>
        <v/>
      </c>
      <c r="O179" s="55"/>
      <c r="P179" s="55"/>
      <c r="Q179" s="55"/>
    </row>
    <row r="180" spans="1:17" x14ac:dyDescent="0.25">
      <c r="A180" s="38" t="str">
        <f t="shared" si="14"/>
        <v/>
      </c>
      <c r="B180" s="38"/>
      <c r="C180" s="30"/>
      <c r="D180" s="30"/>
      <c r="E180" s="30"/>
      <c r="F180" s="30"/>
      <c r="G180" s="30"/>
      <c r="H180" s="30"/>
      <c r="I180" s="36" t="str">
        <f t="shared" si="10"/>
        <v/>
      </c>
      <c r="J180" s="30"/>
      <c r="K180" s="30"/>
      <c r="L180" s="36" t="str">
        <f t="shared" si="11"/>
        <v/>
      </c>
      <c r="M180" s="37" t="str">
        <f t="shared" si="12"/>
        <v/>
      </c>
      <c r="N180" s="37" t="str">
        <f t="shared" si="13"/>
        <v/>
      </c>
      <c r="O180" s="55"/>
      <c r="P180" s="55"/>
      <c r="Q180" s="55"/>
    </row>
    <row r="181" spans="1:17" x14ac:dyDescent="0.25">
      <c r="A181" s="38" t="str">
        <f t="shared" si="14"/>
        <v/>
      </c>
      <c r="B181" s="38"/>
      <c r="C181" s="30"/>
      <c r="D181" s="30"/>
      <c r="E181" s="30"/>
      <c r="F181" s="30"/>
      <c r="G181" s="30"/>
      <c r="H181" s="30"/>
      <c r="I181" s="36" t="str">
        <f t="shared" si="10"/>
        <v/>
      </c>
      <c r="J181" s="30"/>
      <c r="K181" s="30"/>
      <c r="L181" s="36" t="str">
        <f t="shared" si="11"/>
        <v/>
      </c>
      <c r="M181" s="37" t="str">
        <f t="shared" si="12"/>
        <v/>
      </c>
      <c r="N181" s="37" t="str">
        <f t="shared" si="13"/>
        <v/>
      </c>
      <c r="O181" s="55"/>
      <c r="P181" s="55"/>
      <c r="Q181" s="55"/>
    </row>
    <row r="182" spans="1:17" x14ac:dyDescent="0.25">
      <c r="A182" s="38" t="str">
        <f t="shared" si="14"/>
        <v/>
      </c>
      <c r="B182" s="38"/>
      <c r="C182" s="30"/>
      <c r="D182" s="30"/>
      <c r="E182" s="30"/>
      <c r="F182" s="30"/>
      <c r="G182" s="30"/>
      <c r="H182" s="30"/>
      <c r="I182" s="36" t="str">
        <f t="shared" si="10"/>
        <v/>
      </c>
      <c r="J182" s="30"/>
      <c r="K182" s="30"/>
      <c r="L182" s="36" t="str">
        <f t="shared" si="11"/>
        <v/>
      </c>
      <c r="M182" s="37" t="str">
        <f t="shared" si="12"/>
        <v/>
      </c>
      <c r="N182" s="37" t="str">
        <f t="shared" si="13"/>
        <v/>
      </c>
      <c r="O182" s="55"/>
      <c r="P182" s="55"/>
      <c r="Q182" s="55"/>
    </row>
    <row r="183" spans="1:17" x14ac:dyDescent="0.25">
      <c r="A183" s="38" t="str">
        <f t="shared" si="14"/>
        <v/>
      </c>
      <c r="B183" s="38"/>
      <c r="C183" s="30"/>
      <c r="D183" s="30"/>
      <c r="E183" s="30"/>
      <c r="F183" s="30"/>
      <c r="G183" s="30"/>
      <c r="H183" s="30"/>
      <c r="I183" s="36" t="str">
        <f t="shared" si="10"/>
        <v/>
      </c>
      <c r="J183" s="30"/>
      <c r="K183" s="30"/>
      <c r="L183" s="36" t="str">
        <f t="shared" si="11"/>
        <v/>
      </c>
      <c r="M183" s="37" t="str">
        <f t="shared" si="12"/>
        <v/>
      </c>
      <c r="N183" s="37" t="str">
        <f t="shared" si="13"/>
        <v/>
      </c>
      <c r="O183" s="55"/>
      <c r="P183" s="55"/>
      <c r="Q183" s="55"/>
    </row>
    <row r="184" spans="1:17" x14ac:dyDescent="0.25">
      <c r="A184" s="38" t="str">
        <f t="shared" si="14"/>
        <v/>
      </c>
      <c r="B184" s="38"/>
      <c r="C184" s="30"/>
      <c r="D184" s="30"/>
      <c r="E184" s="30"/>
      <c r="F184" s="30"/>
      <c r="G184" s="30"/>
      <c r="H184" s="30"/>
      <c r="I184" s="36" t="str">
        <f t="shared" si="10"/>
        <v/>
      </c>
      <c r="J184" s="30"/>
      <c r="K184" s="30"/>
      <c r="L184" s="36" t="str">
        <f t="shared" si="11"/>
        <v/>
      </c>
      <c r="M184" s="37" t="str">
        <f t="shared" si="12"/>
        <v/>
      </c>
      <c r="N184" s="37" t="str">
        <f t="shared" si="13"/>
        <v/>
      </c>
      <c r="O184" s="55"/>
      <c r="P184" s="55"/>
      <c r="Q184" s="55"/>
    </row>
    <row r="185" spans="1:17" x14ac:dyDescent="0.25">
      <c r="A185" s="38" t="str">
        <f t="shared" si="14"/>
        <v/>
      </c>
      <c r="B185" s="38"/>
      <c r="C185" s="30"/>
      <c r="D185" s="30"/>
      <c r="E185" s="30"/>
      <c r="F185" s="30"/>
      <c r="G185" s="30"/>
      <c r="H185" s="30"/>
      <c r="I185" s="36" t="str">
        <f t="shared" si="10"/>
        <v/>
      </c>
      <c r="J185" s="30"/>
      <c r="K185" s="30"/>
      <c r="L185" s="36" t="str">
        <f t="shared" si="11"/>
        <v/>
      </c>
      <c r="M185" s="37" t="str">
        <f t="shared" si="12"/>
        <v/>
      </c>
      <c r="N185" s="37" t="str">
        <f t="shared" si="13"/>
        <v/>
      </c>
      <c r="O185" s="55"/>
      <c r="P185" s="55"/>
      <c r="Q185" s="55"/>
    </row>
    <row r="186" spans="1:17" x14ac:dyDescent="0.25">
      <c r="A186" s="38" t="str">
        <f t="shared" si="14"/>
        <v/>
      </c>
      <c r="B186" s="38"/>
      <c r="C186" s="30"/>
      <c r="D186" s="30"/>
      <c r="E186" s="30"/>
      <c r="F186" s="30"/>
      <c r="G186" s="30"/>
      <c r="H186" s="30"/>
      <c r="I186" s="36" t="str">
        <f t="shared" si="10"/>
        <v/>
      </c>
      <c r="J186" s="30"/>
      <c r="K186" s="30"/>
      <c r="L186" s="36" t="str">
        <f t="shared" si="11"/>
        <v/>
      </c>
      <c r="M186" s="37" t="str">
        <f t="shared" si="12"/>
        <v/>
      </c>
      <c r="N186" s="37" t="str">
        <f t="shared" si="13"/>
        <v/>
      </c>
      <c r="O186" s="55"/>
      <c r="P186" s="55"/>
      <c r="Q186" s="55"/>
    </row>
    <row r="187" spans="1:17" x14ac:dyDescent="0.25">
      <c r="A187" s="38" t="str">
        <f t="shared" si="14"/>
        <v/>
      </c>
      <c r="B187" s="38"/>
      <c r="C187" s="30"/>
      <c r="D187" s="30"/>
      <c r="E187" s="30"/>
      <c r="F187" s="30"/>
      <c r="G187" s="30"/>
      <c r="H187" s="30"/>
      <c r="I187" s="36" t="str">
        <f t="shared" si="10"/>
        <v/>
      </c>
      <c r="J187" s="30"/>
      <c r="K187" s="30"/>
      <c r="L187" s="36" t="str">
        <f t="shared" si="11"/>
        <v/>
      </c>
      <c r="M187" s="37" t="str">
        <f t="shared" si="12"/>
        <v/>
      </c>
      <c r="N187" s="37" t="str">
        <f t="shared" si="13"/>
        <v/>
      </c>
      <c r="O187" s="55"/>
      <c r="P187" s="55"/>
      <c r="Q187" s="55"/>
    </row>
    <row r="188" spans="1:17" x14ac:dyDescent="0.25">
      <c r="A188" s="38" t="str">
        <f t="shared" si="14"/>
        <v/>
      </c>
      <c r="B188" s="38"/>
      <c r="C188" s="30"/>
      <c r="D188" s="30"/>
      <c r="E188" s="30"/>
      <c r="F188" s="30"/>
      <c r="G188" s="30"/>
      <c r="H188" s="30"/>
      <c r="I188" s="36" t="str">
        <f t="shared" si="10"/>
        <v/>
      </c>
      <c r="J188" s="30"/>
      <c r="K188" s="30"/>
      <c r="L188" s="36" t="str">
        <f t="shared" si="11"/>
        <v/>
      </c>
      <c r="M188" s="37" t="str">
        <f t="shared" si="12"/>
        <v/>
      </c>
      <c r="N188" s="37" t="str">
        <f t="shared" si="13"/>
        <v/>
      </c>
      <c r="O188" s="55"/>
      <c r="P188" s="55"/>
      <c r="Q188" s="55"/>
    </row>
    <row r="189" spans="1:17" x14ac:dyDescent="0.25">
      <c r="A189" s="38" t="str">
        <f t="shared" si="14"/>
        <v/>
      </c>
      <c r="B189" s="38"/>
      <c r="C189" s="30"/>
      <c r="D189" s="30"/>
      <c r="E189" s="30"/>
      <c r="F189" s="30"/>
      <c r="G189" s="30"/>
      <c r="H189" s="30"/>
      <c r="I189" s="36" t="str">
        <f t="shared" si="10"/>
        <v/>
      </c>
      <c r="J189" s="30"/>
      <c r="K189" s="30"/>
      <c r="L189" s="36" t="str">
        <f t="shared" si="11"/>
        <v/>
      </c>
      <c r="M189" s="37" t="str">
        <f t="shared" si="12"/>
        <v/>
      </c>
      <c r="N189" s="37" t="str">
        <f t="shared" si="13"/>
        <v/>
      </c>
      <c r="O189" s="55"/>
      <c r="P189" s="55"/>
      <c r="Q189" s="55"/>
    </row>
    <row r="190" spans="1:17" x14ac:dyDescent="0.25">
      <c r="A190" s="38" t="str">
        <f t="shared" si="14"/>
        <v/>
      </c>
      <c r="B190" s="38"/>
      <c r="C190" s="30"/>
      <c r="D190" s="30"/>
      <c r="E190" s="30"/>
      <c r="F190" s="30"/>
      <c r="G190" s="30"/>
      <c r="H190" s="30"/>
      <c r="I190" s="36" t="str">
        <f t="shared" si="10"/>
        <v/>
      </c>
      <c r="J190" s="30"/>
      <c r="K190" s="30"/>
      <c r="L190" s="36" t="str">
        <f t="shared" si="11"/>
        <v/>
      </c>
      <c r="M190" s="37" t="str">
        <f t="shared" si="12"/>
        <v/>
      </c>
      <c r="N190" s="37" t="str">
        <f t="shared" si="13"/>
        <v/>
      </c>
      <c r="O190" s="55"/>
      <c r="P190" s="55"/>
      <c r="Q190" s="55"/>
    </row>
    <row r="191" spans="1:17" x14ac:dyDescent="0.25">
      <c r="A191" s="38" t="str">
        <f t="shared" si="14"/>
        <v/>
      </c>
      <c r="B191" s="38"/>
      <c r="C191" s="30"/>
      <c r="D191" s="30"/>
      <c r="E191" s="30"/>
      <c r="F191" s="30"/>
      <c r="G191" s="30"/>
      <c r="H191" s="30"/>
      <c r="I191" s="36" t="str">
        <f t="shared" si="10"/>
        <v/>
      </c>
      <c r="J191" s="30"/>
      <c r="K191" s="30"/>
      <c r="L191" s="36" t="str">
        <f t="shared" si="11"/>
        <v/>
      </c>
      <c r="M191" s="37" t="str">
        <f t="shared" si="12"/>
        <v/>
      </c>
      <c r="N191" s="37" t="str">
        <f t="shared" si="13"/>
        <v/>
      </c>
      <c r="O191" s="55"/>
      <c r="P191" s="55"/>
      <c r="Q191" s="55"/>
    </row>
    <row r="192" spans="1:17" x14ac:dyDescent="0.25">
      <c r="A192" s="38" t="str">
        <f t="shared" si="14"/>
        <v/>
      </c>
      <c r="B192" s="38"/>
      <c r="C192" s="30"/>
      <c r="D192" s="30"/>
      <c r="E192" s="30"/>
      <c r="F192" s="30"/>
      <c r="G192" s="30"/>
      <c r="H192" s="30"/>
      <c r="I192" s="36" t="str">
        <f t="shared" si="10"/>
        <v/>
      </c>
      <c r="J192" s="30"/>
      <c r="K192" s="30"/>
      <c r="L192" s="36" t="str">
        <f t="shared" si="11"/>
        <v/>
      </c>
      <c r="M192" s="37" t="str">
        <f t="shared" si="12"/>
        <v/>
      </c>
      <c r="N192" s="37" t="str">
        <f t="shared" si="13"/>
        <v/>
      </c>
      <c r="O192" s="55"/>
      <c r="P192" s="55"/>
      <c r="Q192" s="55"/>
    </row>
    <row r="193" spans="1:17" x14ac:dyDescent="0.25">
      <c r="A193" s="38" t="str">
        <f t="shared" si="14"/>
        <v/>
      </c>
      <c r="B193" s="38"/>
      <c r="C193" s="30"/>
      <c r="D193" s="30"/>
      <c r="E193" s="30"/>
      <c r="F193" s="30"/>
      <c r="G193" s="30"/>
      <c r="H193" s="30"/>
      <c r="I193" s="36" t="str">
        <f t="shared" si="10"/>
        <v/>
      </c>
      <c r="J193" s="30"/>
      <c r="K193" s="30"/>
      <c r="L193" s="36" t="str">
        <f t="shared" si="11"/>
        <v/>
      </c>
      <c r="M193" s="37" t="str">
        <f t="shared" si="12"/>
        <v/>
      </c>
      <c r="N193" s="37" t="str">
        <f t="shared" si="13"/>
        <v/>
      </c>
      <c r="O193" s="55"/>
      <c r="P193" s="55"/>
      <c r="Q193" s="55"/>
    </row>
    <row r="194" spans="1:17" x14ac:dyDescent="0.25">
      <c r="A194" s="38" t="str">
        <f t="shared" si="14"/>
        <v/>
      </c>
      <c r="B194" s="38"/>
      <c r="C194" s="30"/>
      <c r="D194" s="30"/>
      <c r="E194" s="30"/>
      <c r="F194" s="30"/>
      <c r="G194" s="30"/>
      <c r="H194" s="30"/>
      <c r="I194" s="36" t="str">
        <f t="shared" si="10"/>
        <v/>
      </c>
      <c r="J194" s="30"/>
      <c r="K194" s="30"/>
      <c r="L194" s="36" t="str">
        <f t="shared" si="11"/>
        <v/>
      </c>
      <c r="M194" s="37" t="str">
        <f t="shared" si="12"/>
        <v/>
      </c>
      <c r="N194" s="37" t="str">
        <f t="shared" si="13"/>
        <v/>
      </c>
      <c r="O194" s="55"/>
      <c r="P194" s="55"/>
      <c r="Q194" s="55"/>
    </row>
    <row r="195" spans="1:17" x14ac:dyDescent="0.25">
      <c r="A195" s="38" t="str">
        <f t="shared" si="14"/>
        <v/>
      </c>
      <c r="B195" s="38"/>
      <c r="C195" s="30"/>
      <c r="D195" s="30"/>
      <c r="E195" s="30"/>
      <c r="F195" s="30"/>
      <c r="G195" s="30"/>
      <c r="H195" s="30"/>
      <c r="I195" s="36" t="str">
        <f t="shared" ref="I195:I258" si="15">IF(H195&lt;&gt;"",H195/G195,"")</f>
        <v/>
      </c>
      <c r="J195" s="30"/>
      <c r="K195" s="30"/>
      <c r="L195" s="36" t="str">
        <f t="shared" ref="L195:L258" si="16">IF(K195&lt;&gt;"",K195/J195,"")</f>
        <v/>
      </c>
      <c r="M195" s="37" t="str">
        <f t="shared" ref="M195:M258" si="17">IF(L195&lt;&gt;"",MAX(I195,L195),"")</f>
        <v/>
      </c>
      <c r="N195" s="37" t="str">
        <f t="shared" ref="N195:N258" si="18">IF($M195&lt;&gt;"",IF($M195&lt;50%,0%,IF($M195&lt;80%,$M195,100%)),"")</f>
        <v/>
      </c>
      <c r="O195" s="55"/>
      <c r="P195" s="55"/>
      <c r="Q195" s="55"/>
    </row>
    <row r="196" spans="1:17" x14ac:dyDescent="0.25">
      <c r="A196" s="38" t="str">
        <f t="shared" ref="A196:A259" si="19">IF(C196&lt;&gt;"",A195+1,"")</f>
        <v/>
      </c>
      <c r="B196" s="38"/>
      <c r="C196" s="30"/>
      <c r="D196" s="30"/>
      <c r="E196" s="30"/>
      <c r="F196" s="30"/>
      <c r="G196" s="30"/>
      <c r="H196" s="30"/>
      <c r="I196" s="36" t="str">
        <f t="shared" si="15"/>
        <v/>
      </c>
      <c r="J196" s="30"/>
      <c r="K196" s="30"/>
      <c r="L196" s="36" t="str">
        <f t="shared" si="16"/>
        <v/>
      </c>
      <c r="M196" s="37" t="str">
        <f t="shared" si="17"/>
        <v/>
      </c>
      <c r="N196" s="37" t="str">
        <f t="shared" si="18"/>
        <v/>
      </c>
      <c r="O196" s="55"/>
      <c r="P196" s="55"/>
      <c r="Q196" s="55"/>
    </row>
    <row r="197" spans="1:17" x14ac:dyDescent="0.25">
      <c r="A197" s="38" t="str">
        <f t="shared" si="19"/>
        <v/>
      </c>
      <c r="B197" s="38"/>
      <c r="C197" s="30"/>
      <c r="D197" s="30"/>
      <c r="E197" s="30"/>
      <c r="F197" s="30"/>
      <c r="G197" s="30"/>
      <c r="H197" s="30"/>
      <c r="I197" s="36" t="str">
        <f t="shared" si="15"/>
        <v/>
      </c>
      <c r="J197" s="30"/>
      <c r="K197" s="30"/>
      <c r="L197" s="36" t="str">
        <f t="shared" si="16"/>
        <v/>
      </c>
      <c r="M197" s="37" t="str">
        <f t="shared" si="17"/>
        <v/>
      </c>
      <c r="N197" s="37" t="str">
        <f t="shared" si="18"/>
        <v/>
      </c>
      <c r="O197" s="55"/>
      <c r="P197" s="55"/>
      <c r="Q197" s="55"/>
    </row>
    <row r="198" spans="1:17" x14ac:dyDescent="0.25">
      <c r="A198" s="38" t="str">
        <f t="shared" si="19"/>
        <v/>
      </c>
      <c r="B198" s="38"/>
      <c r="C198" s="30"/>
      <c r="D198" s="30"/>
      <c r="E198" s="30"/>
      <c r="F198" s="30"/>
      <c r="G198" s="30"/>
      <c r="H198" s="30"/>
      <c r="I198" s="36" t="str">
        <f t="shared" si="15"/>
        <v/>
      </c>
      <c r="J198" s="30"/>
      <c r="K198" s="30"/>
      <c r="L198" s="36" t="str">
        <f t="shared" si="16"/>
        <v/>
      </c>
      <c r="M198" s="37" t="str">
        <f t="shared" si="17"/>
        <v/>
      </c>
      <c r="N198" s="37" t="str">
        <f t="shared" si="18"/>
        <v/>
      </c>
      <c r="O198" s="55"/>
      <c r="P198" s="55"/>
      <c r="Q198" s="55"/>
    </row>
    <row r="199" spans="1:17" x14ac:dyDescent="0.25">
      <c r="A199" s="38" t="str">
        <f t="shared" si="19"/>
        <v/>
      </c>
      <c r="B199" s="38"/>
      <c r="C199" s="30"/>
      <c r="D199" s="30"/>
      <c r="E199" s="30"/>
      <c r="F199" s="30"/>
      <c r="G199" s="30"/>
      <c r="H199" s="30"/>
      <c r="I199" s="36" t="str">
        <f t="shared" si="15"/>
        <v/>
      </c>
      <c r="J199" s="30"/>
      <c r="K199" s="30"/>
      <c r="L199" s="36" t="str">
        <f t="shared" si="16"/>
        <v/>
      </c>
      <c r="M199" s="37" t="str">
        <f t="shared" si="17"/>
        <v/>
      </c>
      <c r="N199" s="37" t="str">
        <f t="shared" si="18"/>
        <v/>
      </c>
      <c r="O199" s="55"/>
      <c r="P199" s="55"/>
      <c r="Q199" s="55"/>
    </row>
    <row r="200" spans="1:17" x14ac:dyDescent="0.25">
      <c r="A200" s="38" t="str">
        <f t="shared" si="19"/>
        <v/>
      </c>
      <c r="B200" s="38"/>
      <c r="C200" s="30"/>
      <c r="D200" s="30"/>
      <c r="E200" s="30"/>
      <c r="F200" s="30"/>
      <c r="G200" s="30"/>
      <c r="H200" s="30"/>
      <c r="I200" s="36" t="str">
        <f t="shared" si="15"/>
        <v/>
      </c>
      <c r="J200" s="30"/>
      <c r="K200" s="30"/>
      <c r="L200" s="36" t="str">
        <f t="shared" si="16"/>
        <v/>
      </c>
      <c r="M200" s="37" t="str">
        <f t="shared" si="17"/>
        <v/>
      </c>
      <c r="N200" s="37" t="str">
        <f t="shared" si="18"/>
        <v/>
      </c>
      <c r="O200" s="55"/>
      <c r="P200" s="55"/>
      <c r="Q200" s="55"/>
    </row>
    <row r="201" spans="1:17" x14ac:dyDescent="0.25">
      <c r="A201" s="38" t="str">
        <f t="shared" si="19"/>
        <v/>
      </c>
      <c r="B201" s="38"/>
      <c r="C201" s="30"/>
      <c r="D201" s="30"/>
      <c r="E201" s="30"/>
      <c r="F201" s="30"/>
      <c r="G201" s="30"/>
      <c r="H201" s="30"/>
      <c r="I201" s="36" t="str">
        <f t="shared" si="15"/>
        <v/>
      </c>
      <c r="J201" s="30"/>
      <c r="K201" s="30"/>
      <c r="L201" s="36" t="str">
        <f t="shared" si="16"/>
        <v/>
      </c>
      <c r="M201" s="37" t="str">
        <f t="shared" si="17"/>
        <v/>
      </c>
      <c r="N201" s="37" t="str">
        <f t="shared" si="18"/>
        <v/>
      </c>
      <c r="O201" s="55"/>
      <c r="P201" s="55"/>
      <c r="Q201" s="55"/>
    </row>
    <row r="202" spans="1:17" x14ac:dyDescent="0.25">
      <c r="A202" s="38" t="str">
        <f t="shared" si="19"/>
        <v/>
      </c>
      <c r="B202" s="38"/>
      <c r="C202" s="30"/>
      <c r="D202" s="30"/>
      <c r="E202" s="30"/>
      <c r="F202" s="30"/>
      <c r="G202" s="30"/>
      <c r="H202" s="30"/>
      <c r="I202" s="36" t="str">
        <f t="shared" si="15"/>
        <v/>
      </c>
      <c r="J202" s="30"/>
      <c r="K202" s="30"/>
      <c r="L202" s="36" t="str">
        <f t="shared" si="16"/>
        <v/>
      </c>
      <c r="M202" s="37" t="str">
        <f t="shared" si="17"/>
        <v/>
      </c>
      <c r="N202" s="37" t="str">
        <f t="shared" si="18"/>
        <v/>
      </c>
      <c r="O202" s="55"/>
      <c r="P202" s="55"/>
      <c r="Q202" s="55"/>
    </row>
    <row r="203" spans="1:17" x14ac:dyDescent="0.25">
      <c r="A203" s="38" t="str">
        <f t="shared" si="19"/>
        <v/>
      </c>
      <c r="B203" s="38"/>
      <c r="C203" s="30"/>
      <c r="D203" s="30"/>
      <c r="E203" s="30"/>
      <c r="F203" s="30"/>
      <c r="G203" s="30"/>
      <c r="H203" s="30"/>
      <c r="I203" s="36" t="str">
        <f t="shared" si="15"/>
        <v/>
      </c>
      <c r="J203" s="30"/>
      <c r="K203" s="30"/>
      <c r="L203" s="36" t="str">
        <f t="shared" si="16"/>
        <v/>
      </c>
      <c r="M203" s="37" t="str">
        <f t="shared" si="17"/>
        <v/>
      </c>
      <c r="N203" s="37" t="str">
        <f t="shared" si="18"/>
        <v/>
      </c>
      <c r="O203" s="55"/>
      <c r="P203" s="55"/>
      <c r="Q203" s="55"/>
    </row>
    <row r="204" spans="1:17" x14ac:dyDescent="0.25">
      <c r="A204" s="38" t="str">
        <f t="shared" si="19"/>
        <v/>
      </c>
      <c r="B204" s="38"/>
      <c r="C204" s="30"/>
      <c r="D204" s="30"/>
      <c r="E204" s="30"/>
      <c r="F204" s="30"/>
      <c r="G204" s="30"/>
      <c r="H204" s="30"/>
      <c r="I204" s="36" t="str">
        <f t="shared" si="15"/>
        <v/>
      </c>
      <c r="J204" s="30"/>
      <c r="K204" s="30"/>
      <c r="L204" s="36" t="str">
        <f t="shared" si="16"/>
        <v/>
      </c>
      <c r="M204" s="37" t="str">
        <f t="shared" si="17"/>
        <v/>
      </c>
      <c r="N204" s="37" t="str">
        <f t="shared" si="18"/>
        <v/>
      </c>
      <c r="O204" s="55"/>
      <c r="P204" s="55"/>
      <c r="Q204" s="55"/>
    </row>
    <row r="205" spans="1:17" x14ac:dyDescent="0.25">
      <c r="A205" s="38" t="str">
        <f t="shared" si="19"/>
        <v/>
      </c>
      <c r="B205" s="38"/>
      <c r="C205" s="30"/>
      <c r="D205" s="30"/>
      <c r="E205" s="30"/>
      <c r="F205" s="30"/>
      <c r="G205" s="30"/>
      <c r="H205" s="30"/>
      <c r="I205" s="36" t="str">
        <f t="shared" si="15"/>
        <v/>
      </c>
      <c r="J205" s="30"/>
      <c r="K205" s="30"/>
      <c r="L205" s="36" t="str">
        <f t="shared" si="16"/>
        <v/>
      </c>
      <c r="M205" s="37" t="str">
        <f t="shared" si="17"/>
        <v/>
      </c>
      <c r="N205" s="37" t="str">
        <f t="shared" si="18"/>
        <v/>
      </c>
      <c r="O205" s="55"/>
      <c r="P205" s="55"/>
      <c r="Q205" s="55"/>
    </row>
    <row r="206" spans="1:17" x14ac:dyDescent="0.25">
      <c r="A206" s="38" t="str">
        <f t="shared" si="19"/>
        <v/>
      </c>
      <c r="B206" s="38"/>
      <c r="C206" s="30"/>
      <c r="D206" s="30"/>
      <c r="E206" s="30"/>
      <c r="F206" s="30"/>
      <c r="G206" s="30"/>
      <c r="H206" s="30"/>
      <c r="I206" s="36" t="str">
        <f t="shared" si="15"/>
        <v/>
      </c>
      <c r="J206" s="30"/>
      <c r="K206" s="30"/>
      <c r="L206" s="36" t="str">
        <f t="shared" si="16"/>
        <v/>
      </c>
      <c r="M206" s="37" t="str">
        <f t="shared" si="17"/>
        <v/>
      </c>
      <c r="N206" s="37" t="str">
        <f t="shared" si="18"/>
        <v/>
      </c>
      <c r="O206" s="55"/>
      <c r="P206" s="55"/>
      <c r="Q206" s="55"/>
    </row>
    <row r="207" spans="1:17" x14ac:dyDescent="0.25">
      <c r="A207" s="38" t="str">
        <f t="shared" si="19"/>
        <v/>
      </c>
      <c r="B207" s="38"/>
      <c r="C207" s="30"/>
      <c r="D207" s="30"/>
      <c r="E207" s="30"/>
      <c r="F207" s="30"/>
      <c r="G207" s="30"/>
      <c r="H207" s="30"/>
      <c r="I207" s="36" t="str">
        <f t="shared" si="15"/>
        <v/>
      </c>
      <c r="J207" s="30"/>
      <c r="K207" s="30"/>
      <c r="L207" s="36" t="str">
        <f t="shared" si="16"/>
        <v/>
      </c>
      <c r="M207" s="37" t="str">
        <f t="shared" si="17"/>
        <v/>
      </c>
      <c r="N207" s="37" t="str">
        <f t="shared" si="18"/>
        <v/>
      </c>
      <c r="O207" s="55"/>
      <c r="P207" s="55"/>
      <c r="Q207" s="55"/>
    </row>
    <row r="208" spans="1:17" x14ac:dyDescent="0.25">
      <c r="A208" s="38" t="str">
        <f t="shared" si="19"/>
        <v/>
      </c>
      <c r="B208" s="38"/>
      <c r="C208" s="30"/>
      <c r="D208" s="30"/>
      <c r="E208" s="30"/>
      <c r="F208" s="30"/>
      <c r="G208" s="30"/>
      <c r="H208" s="30"/>
      <c r="I208" s="36" t="str">
        <f t="shared" si="15"/>
        <v/>
      </c>
      <c r="J208" s="30"/>
      <c r="K208" s="30"/>
      <c r="L208" s="36" t="str">
        <f t="shared" si="16"/>
        <v/>
      </c>
      <c r="M208" s="37" t="str">
        <f t="shared" si="17"/>
        <v/>
      </c>
      <c r="N208" s="37" t="str">
        <f t="shared" si="18"/>
        <v/>
      </c>
      <c r="O208" s="55"/>
      <c r="P208" s="55"/>
      <c r="Q208" s="55"/>
    </row>
    <row r="209" spans="1:17" x14ac:dyDescent="0.25">
      <c r="A209" s="38" t="str">
        <f t="shared" si="19"/>
        <v/>
      </c>
      <c r="B209" s="38"/>
      <c r="C209" s="30"/>
      <c r="D209" s="30"/>
      <c r="E209" s="30"/>
      <c r="F209" s="30"/>
      <c r="G209" s="30"/>
      <c r="H209" s="30"/>
      <c r="I209" s="36" t="str">
        <f t="shared" si="15"/>
        <v/>
      </c>
      <c r="J209" s="30"/>
      <c r="K209" s="30"/>
      <c r="L209" s="36" t="str">
        <f t="shared" si="16"/>
        <v/>
      </c>
      <c r="M209" s="37" t="str">
        <f t="shared" si="17"/>
        <v/>
      </c>
      <c r="N209" s="37" t="str">
        <f t="shared" si="18"/>
        <v/>
      </c>
      <c r="O209" s="55"/>
      <c r="P209" s="55"/>
      <c r="Q209" s="55"/>
    </row>
    <row r="210" spans="1:17" x14ac:dyDescent="0.25">
      <c r="A210" s="38" t="str">
        <f t="shared" si="19"/>
        <v/>
      </c>
      <c r="B210" s="38"/>
      <c r="C210" s="30"/>
      <c r="D210" s="30"/>
      <c r="E210" s="30"/>
      <c r="F210" s="30"/>
      <c r="G210" s="30"/>
      <c r="H210" s="30"/>
      <c r="I210" s="36" t="str">
        <f t="shared" si="15"/>
        <v/>
      </c>
      <c r="J210" s="30"/>
      <c r="K210" s="30"/>
      <c r="L210" s="36" t="str">
        <f t="shared" si="16"/>
        <v/>
      </c>
      <c r="M210" s="37" t="str">
        <f t="shared" si="17"/>
        <v/>
      </c>
      <c r="N210" s="37" t="str">
        <f t="shared" si="18"/>
        <v/>
      </c>
      <c r="O210" s="55"/>
      <c r="P210" s="55"/>
      <c r="Q210" s="55"/>
    </row>
    <row r="211" spans="1:17" x14ac:dyDescent="0.25">
      <c r="A211" s="38" t="str">
        <f t="shared" si="19"/>
        <v/>
      </c>
      <c r="B211" s="38"/>
      <c r="C211" s="30"/>
      <c r="D211" s="30"/>
      <c r="E211" s="30"/>
      <c r="F211" s="30"/>
      <c r="G211" s="30"/>
      <c r="H211" s="30"/>
      <c r="I211" s="36" t="str">
        <f t="shared" si="15"/>
        <v/>
      </c>
      <c r="J211" s="30"/>
      <c r="K211" s="30"/>
      <c r="L211" s="36" t="str">
        <f t="shared" si="16"/>
        <v/>
      </c>
      <c r="M211" s="37" t="str">
        <f t="shared" si="17"/>
        <v/>
      </c>
      <c r="N211" s="37" t="str">
        <f t="shared" si="18"/>
        <v/>
      </c>
      <c r="O211" s="55"/>
      <c r="P211" s="55"/>
      <c r="Q211" s="55"/>
    </row>
    <row r="212" spans="1:17" x14ac:dyDescent="0.25">
      <c r="A212" s="38" t="str">
        <f t="shared" si="19"/>
        <v/>
      </c>
      <c r="B212" s="38"/>
      <c r="C212" s="30"/>
      <c r="D212" s="30"/>
      <c r="E212" s="30"/>
      <c r="F212" s="30"/>
      <c r="G212" s="30"/>
      <c r="H212" s="30"/>
      <c r="I212" s="36" t="str">
        <f t="shared" si="15"/>
        <v/>
      </c>
      <c r="J212" s="30"/>
      <c r="K212" s="30"/>
      <c r="L212" s="36" t="str">
        <f t="shared" si="16"/>
        <v/>
      </c>
      <c r="M212" s="37" t="str">
        <f t="shared" si="17"/>
        <v/>
      </c>
      <c r="N212" s="37" t="str">
        <f t="shared" si="18"/>
        <v/>
      </c>
      <c r="O212" s="55"/>
      <c r="P212" s="55"/>
      <c r="Q212" s="55"/>
    </row>
    <row r="213" spans="1:17" x14ac:dyDescent="0.25">
      <c r="A213" s="38" t="str">
        <f t="shared" si="19"/>
        <v/>
      </c>
      <c r="B213" s="38"/>
      <c r="C213" s="30"/>
      <c r="D213" s="30"/>
      <c r="E213" s="30"/>
      <c r="F213" s="30"/>
      <c r="G213" s="30"/>
      <c r="H213" s="30"/>
      <c r="I213" s="36" t="str">
        <f t="shared" si="15"/>
        <v/>
      </c>
      <c r="J213" s="30"/>
      <c r="K213" s="30"/>
      <c r="L213" s="36" t="str">
        <f t="shared" si="16"/>
        <v/>
      </c>
      <c r="M213" s="37" t="str">
        <f t="shared" si="17"/>
        <v/>
      </c>
      <c r="N213" s="37" t="str">
        <f t="shared" si="18"/>
        <v/>
      </c>
      <c r="O213" s="55"/>
      <c r="P213" s="55"/>
      <c r="Q213" s="55"/>
    </row>
    <row r="214" spans="1:17" x14ac:dyDescent="0.25">
      <c r="A214" s="38" t="str">
        <f t="shared" si="19"/>
        <v/>
      </c>
      <c r="B214" s="38"/>
      <c r="C214" s="30"/>
      <c r="D214" s="30"/>
      <c r="E214" s="30"/>
      <c r="F214" s="30"/>
      <c r="G214" s="30"/>
      <c r="H214" s="30"/>
      <c r="I214" s="36" t="str">
        <f t="shared" si="15"/>
        <v/>
      </c>
      <c r="J214" s="30"/>
      <c r="K214" s="30"/>
      <c r="L214" s="36" t="str">
        <f t="shared" si="16"/>
        <v/>
      </c>
      <c r="M214" s="37" t="str">
        <f t="shared" si="17"/>
        <v/>
      </c>
      <c r="N214" s="37" t="str">
        <f t="shared" si="18"/>
        <v/>
      </c>
      <c r="O214" s="55"/>
      <c r="P214" s="55"/>
      <c r="Q214" s="55"/>
    </row>
    <row r="215" spans="1:17" x14ac:dyDescent="0.25">
      <c r="A215" s="38" t="str">
        <f t="shared" si="19"/>
        <v/>
      </c>
      <c r="B215" s="38"/>
      <c r="C215" s="30"/>
      <c r="D215" s="30"/>
      <c r="E215" s="30"/>
      <c r="F215" s="30"/>
      <c r="G215" s="30"/>
      <c r="H215" s="30"/>
      <c r="I215" s="36" t="str">
        <f t="shared" si="15"/>
        <v/>
      </c>
      <c r="J215" s="30"/>
      <c r="K215" s="30"/>
      <c r="L215" s="36" t="str">
        <f t="shared" si="16"/>
        <v/>
      </c>
      <c r="M215" s="37" t="str">
        <f t="shared" si="17"/>
        <v/>
      </c>
      <c r="N215" s="37" t="str">
        <f t="shared" si="18"/>
        <v/>
      </c>
      <c r="O215" s="55"/>
      <c r="P215" s="55"/>
      <c r="Q215" s="55"/>
    </row>
    <row r="216" spans="1:17" x14ac:dyDescent="0.25">
      <c r="A216" s="38" t="str">
        <f t="shared" si="19"/>
        <v/>
      </c>
      <c r="B216" s="38"/>
      <c r="C216" s="30"/>
      <c r="D216" s="30"/>
      <c r="E216" s="30"/>
      <c r="F216" s="30"/>
      <c r="G216" s="30"/>
      <c r="H216" s="30"/>
      <c r="I216" s="36" t="str">
        <f t="shared" si="15"/>
        <v/>
      </c>
      <c r="J216" s="30"/>
      <c r="K216" s="30"/>
      <c r="L216" s="36" t="str">
        <f t="shared" si="16"/>
        <v/>
      </c>
      <c r="M216" s="37" t="str">
        <f t="shared" si="17"/>
        <v/>
      </c>
      <c r="N216" s="37" t="str">
        <f t="shared" si="18"/>
        <v/>
      </c>
      <c r="O216" s="55"/>
      <c r="P216" s="55"/>
      <c r="Q216" s="55"/>
    </row>
    <row r="217" spans="1:17" x14ac:dyDescent="0.25">
      <c r="A217" s="38" t="str">
        <f t="shared" si="19"/>
        <v/>
      </c>
      <c r="B217" s="38"/>
      <c r="C217" s="30"/>
      <c r="D217" s="30"/>
      <c r="E217" s="30"/>
      <c r="F217" s="30"/>
      <c r="G217" s="30"/>
      <c r="H217" s="30"/>
      <c r="I217" s="36" t="str">
        <f t="shared" si="15"/>
        <v/>
      </c>
      <c r="J217" s="30"/>
      <c r="K217" s="30"/>
      <c r="L217" s="36" t="str">
        <f t="shared" si="16"/>
        <v/>
      </c>
      <c r="M217" s="37" t="str">
        <f t="shared" si="17"/>
        <v/>
      </c>
      <c r="N217" s="37" t="str">
        <f t="shared" si="18"/>
        <v/>
      </c>
      <c r="O217" s="55"/>
      <c r="P217" s="55"/>
      <c r="Q217" s="55"/>
    </row>
    <row r="218" spans="1:17" x14ac:dyDescent="0.25">
      <c r="A218" s="38" t="str">
        <f t="shared" si="19"/>
        <v/>
      </c>
      <c r="B218" s="38"/>
      <c r="C218" s="30"/>
      <c r="D218" s="30"/>
      <c r="E218" s="30"/>
      <c r="F218" s="30"/>
      <c r="G218" s="30"/>
      <c r="H218" s="30"/>
      <c r="I218" s="36" t="str">
        <f t="shared" si="15"/>
        <v/>
      </c>
      <c r="J218" s="30"/>
      <c r="K218" s="30"/>
      <c r="L218" s="36" t="str">
        <f t="shared" si="16"/>
        <v/>
      </c>
      <c r="M218" s="37" t="str">
        <f t="shared" si="17"/>
        <v/>
      </c>
      <c r="N218" s="37" t="str">
        <f t="shared" si="18"/>
        <v/>
      </c>
      <c r="O218" s="55"/>
      <c r="P218" s="55"/>
      <c r="Q218" s="55"/>
    </row>
    <row r="219" spans="1:17" x14ac:dyDescent="0.25">
      <c r="A219" s="38" t="str">
        <f t="shared" si="19"/>
        <v/>
      </c>
      <c r="B219" s="38"/>
      <c r="C219" s="30"/>
      <c r="D219" s="30"/>
      <c r="E219" s="30"/>
      <c r="F219" s="30"/>
      <c r="G219" s="30"/>
      <c r="H219" s="30"/>
      <c r="I219" s="36" t="str">
        <f t="shared" si="15"/>
        <v/>
      </c>
      <c r="J219" s="30"/>
      <c r="K219" s="30"/>
      <c r="L219" s="36" t="str">
        <f t="shared" si="16"/>
        <v/>
      </c>
      <c r="M219" s="37" t="str">
        <f t="shared" si="17"/>
        <v/>
      </c>
      <c r="N219" s="37" t="str">
        <f t="shared" si="18"/>
        <v/>
      </c>
      <c r="O219" s="55"/>
      <c r="P219" s="55"/>
      <c r="Q219" s="55"/>
    </row>
    <row r="220" spans="1:17" x14ac:dyDescent="0.25">
      <c r="A220" s="38" t="str">
        <f t="shared" si="19"/>
        <v/>
      </c>
      <c r="B220" s="38"/>
      <c r="C220" s="30"/>
      <c r="D220" s="30"/>
      <c r="E220" s="30"/>
      <c r="F220" s="30"/>
      <c r="G220" s="30"/>
      <c r="H220" s="30"/>
      <c r="I220" s="36" t="str">
        <f t="shared" si="15"/>
        <v/>
      </c>
      <c r="J220" s="30"/>
      <c r="K220" s="30"/>
      <c r="L220" s="36" t="str">
        <f t="shared" si="16"/>
        <v/>
      </c>
      <c r="M220" s="37" t="str">
        <f t="shared" si="17"/>
        <v/>
      </c>
      <c r="N220" s="37" t="str">
        <f t="shared" si="18"/>
        <v/>
      </c>
      <c r="O220" s="55"/>
      <c r="P220" s="55"/>
      <c r="Q220" s="55"/>
    </row>
    <row r="221" spans="1:17" x14ac:dyDescent="0.25">
      <c r="A221" s="38" t="str">
        <f t="shared" si="19"/>
        <v/>
      </c>
      <c r="B221" s="38"/>
      <c r="C221" s="30"/>
      <c r="D221" s="30"/>
      <c r="E221" s="30"/>
      <c r="F221" s="30"/>
      <c r="G221" s="30"/>
      <c r="H221" s="30"/>
      <c r="I221" s="36" t="str">
        <f t="shared" si="15"/>
        <v/>
      </c>
      <c r="J221" s="30"/>
      <c r="K221" s="30"/>
      <c r="L221" s="36" t="str">
        <f t="shared" si="16"/>
        <v/>
      </c>
      <c r="M221" s="37" t="str">
        <f t="shared" si="17"/>
        <v/>
      </c>
      <c r="N221" s="37" t="str">
        <f t="shared" si="18"/>
        <v/>
      </c>
      <c r="O221" s="55"/>
      <c r="P221" s="55"/>
      <c r="Q221" s="55"/>
    </row>
    <row r="222" spans="1:17" x14ac:dyDescent="0.25">
      <c r="A222" s="38" t="str">
        <f t="shared" si="19"/>
        <v/>
      </c>
      <c r="B222" s="38"/>
      <c r="C222" s="30"/>
      <c r="D222" s="30"/>
      <c r="E222" s="30"/>
      <c r="F222" s="30"/>
      <c r="G222" s="30"/>
      <c r="H222" s="30"/>
      <c r="I222" s="36" t="str">
        <f t="shared" si="15"/>
        <v/>
      </c>
      <c r="J222" s="30"/>
      <c r="K222" s="30"/>
      <c r="L222" s="36" t="str">
        <f t="shared" si="16"/>
        <v/>
      </c>
      <c r="M222" s="37" t="str">
        <f t="shared" si="17"/>
        <v/>
      </c>
      <c r="N222" s="37" t="str">
        <f t="shared" si="18"/>
        <v/>
      </c>
      <c r="O222" s="55"/>
      <c r="P222" s="55"/>
      <c r="Q222" s="55"/>
    </row>
    <row r="223" spans="1:17" x14ac:dyDescent="0.25">
      <c r="A223" s="38" t="str">
        <f t="shared" si="19"/>
        <v/>
      </c>
      <c r="B223" s="38"/>
      <c r="C223" s="30"/>
      <c r="D223" s="30"/>
      <c r="E223" s="30"/>
      <c r="F223" s="30"/>
      <c r="G223" s="30"/>
      <c r="H223" s="30"/>
      <c r="I223" s="36" t="str">
        <f t="shared" si="15"/>
        <v/>
      </c>
      <c r="J223" s="30"/>
      <c r="K223" s="30"/>
      <c r="L223" s="36" t="str">
        <f t="shared" si="16"/>
        <v/>
      </c>
      <c r="M223" s="37" t="str">
        <f t="shared" si="17"/>
        <v/>
      </c>
      <c r="N223" s="37" t="str">
        <f t="shared" si="18"/>
        <v/>
      </c>
      <c r="O223" s="55"/>
      <c r="P223" s="55"/>
      <c r="Q223" s="55"/>
    </row>
    <row r="224" spans="1:17" x14ac:dyDescent="0.25">
      <c r="A224" s="38" t="str">
        <f t="shared" si="19"/>
        <v/>
      </c>
      <c r="B224" s="38"/>
      <c r="C224" s="30"/>
      <c r="D224" s="30"/>
      <c r="E224" s="30"/>
      <c r="F224" s="30"/>
      <c r="G224" s="30"/>
      <c r="H224" s="30"/>
      <c r="I224" s="36" t="str">
        <f t="shared" si="15"/>
        <v/>
      </c>
      <c r="J224" s="30"/>
      <c r="K224" s="30"/>
      <c r="L224" s="36" t="str">
        <f t="shared" si="16"/>
        <v/>
      </c>
      <c r="M224" s="37" t="str">
        <f t="shared" si="17"/>
        <v/>
      </c>
      <c r="N224" s="37" t="str">
        <f t="shared" si="18"/>
        <v/>
      </c>
      <c r="O224" s="55"/>
      <c r="P224" s="55"/>
      <c r="Q224" s="55"/>
    </row>
    <row r="225" spans="1:17" x14ac:dyDescent="0.25">
      <c r="A225" s="38" t="str">
        <f t="shared" si="19"/>
        <v/>
      </c>
      <c r="B225" s="38"/>
      <c r="C225" s="30"/>
      <c r="D225" s="30"/>
      <c r="E225" s="30"/>
      <c r="F225" s="30"/>
      <c r="G225" s="30"/>
      <c r="H225" s="30"/>
      <c r="I225" s="36" t="str">
        <f t="shared" si="15"/>
        <v/>
      </c>
      <c r="J225" s="30"/>
      <c r="K225" s="30"/>
      <c r="L225" s="36" t="str">
        <f t="shared" si="16"/>
        <v/>
      </c>
      <c r="M225" s="37" t="str">
        <f t="shared" si="17"/>
        <v/>
      </c>
      <c r="N225" s="37" t="str">
        <f t="shared" si="18"/>
        <v/>
      </c>
      <c r="O225" s="55"/>
      <c r="P225" s="55"/>
      <c r="Q225" s="55"/>
    </row>
    <row r="226" spans="1:17" x14ac:dyDescent="0.25">
      <c r="A226" s="38" t="str">
        <f t="shared" si="19"/>
        <v/>
      </c>
      <c r="B226" s="38"/>
      <c r="C226" s="30"/>
      <c r="D226" s="30"/>
      <c r="E226" s="30"/>
      <c r="F226" s="30"/>
      <c r="G226" s="30"/>
      <c r="H226" s="30"/>
      <c r="I226" s="36" t="str">
        <f t="shared" si="15"/>
        <v/>
      </c>
      <c r="J226" s="30"/>
      <c r="K226" s="30"/>
      <c r="L226" s="36" t="str">
        <f t="shared" si="16"/>
        <v/>
      </c>
      <c r="M226" s="37" t="str">
        <f t="shared" si="17"/>
        <v/>
      </c>
      <c r="N226" s="37" t="str">
        <f t="shared" si="18"/>
        <v/>
      </c>
      <c r="O226" s="55"/>
      <c r="P226" s="55"/>
      <c r="Q226" s="55"/>
    </row>
    <row r="227" spans="1:17" x14ac:dyDescent="0.25">
      <c r="A227" s="38" t="str">
        <f t="shared" si="19"/>
        <v/>
      </c>
      <c r="B227" s="38"/>
      <c r="C227" s="30"/>
      <c r="D227" s="30"/>
      <c r="E227" s="30"/>
      <c r="F227" s="30"/>
      <c r="G227" s="30"/>
      <c r="H227" s="30"/>
      <c r="I227" s="36" t="str">
        <f t="shared" si="15"/>
        <v/>
      </c>
      <c r="J227" s="30"/>
      <c r="K227" s="30"/>
      <c r="L227" s="36" t="str">
        <f t="shared" si="16"/>
        <v/>
      </c>
      <c r="M227" s="37" t="str">
        <f t="shared" si="17"/>
        <v/>
      </c>
      <c r="N227" s="37" t="str">
        <f t="shared" si="18"/>
        <v/>
      </c>
      <c r="O227" s="55"/>
      <c r="P227" s="55"/>
      <c r="Q227" s="55"/>
    </row>
    <row r="228" spans="1:17" x14ac:dyDescent="0.25">
      <c r="A228" s="38" t="str">
        <f t="shared" si="19"/>
        <v/>
      </c>
      <c r="B228" s="38"/>
      <c r="C228" s="30"/>
      <c r="D228" s="30"/>
      <c r="E228" s="30"/>
      <c r="F228" s="30"/>
      <c r="G228" s="30"/>
      <c r="H228" s="30"/>
      <c r="I228" s="36" t="str">
        <f t="shared" si="15"/>
        <v/>
      </c>
      <c r="J228" s="30"/>
      <c r="K228" s="30"/>
      <c r="L228" s="36" t="str">
        <f t="shared" si="16"/>
        <v/>
      </c>
      <c r="M228" s="37" t="str">
        <f t="shared" si="17"/>
        <v/>
      </c>
      <c r="N228" s="37" t="str">
        <f t="shared" si="18"/>
        <v/>
      </c>
      <c r="O228" s="55"/>
      <c r="P228" s="55"/>
      <c r="Q228" s="55"/>
    </row>
    <row r="229" spans="1:17" x14ac:dyDescent="0.25">
      <c r="A229" s="38" t="str">
        <f t="shared" si="19"/>
        <v/>
      </c>
      <c r="B229" s="38"/>
      <c r="C229" s="30"/>
      <c r="D229" s="30"/>
      <c r="E229" s="30"/>
      <c r="F229" s="30"/>
      <c r="G229" s="30"/>
      <c r="H229" s="30"/>
      <c r="I229" s="36" t="str">
        <f t="shared" si="15"/>
        <v/>
      </c>
      <c r="J229" s="30"/>
      <c r="K229" s="30"/>
      <c r="L229" s="36" t="str">
        <f t="shared" si="16"/>
        <v/>
      </c>
      <c r="M229" s="37" t="str">
        <f t="shared" si="17"/>
        <v/>
      </c>
      <c r="N229" s="37" t="str">
        <f t="shared" si="18"/>
        <v/>
      </c>
      <c r="O229" s="55"/>
      <c r="P229" s="55"/>
      <c r="Q229" s="55"/>
    </row>
    <row r="230" spans="1:17" x14ac:dyDescent="0.25">
      <c r="A230" s="38" t="str">
        <f t="shared" si="19"/>
        <v/>
      </c>
      <c r="B230" s="38"/>
      <c r="C230" s="30"/>
      <c r="D230" s="30"/>
      <c r="E230" s="30"/>
      <c r="F230" s="30"/>
      <c r="G230" s="30"/>
      <c r="H230" s="30"/>
      <c r="I230" s="36" t="str">
        <f t="shared" si="15"/>
        <v/>
      </c>
      <c r="J230" s="30"/>
      <c r="K230" s="30"/>
      <c r="L230" s="36" t="str">
        <f t="shared" si="16"/>
        <v/>
      </c>
      <c r="M230" s="37" t="str">
        <f t="shared" si="17"/>
        <v/>
      </c>
      <c r="N230" s="37" t="str">
        <f t="shared" si="18"/>
        <v/>
      </c>
      <c r="O230" s="55"/>
      <c r="P230" s="55"/>
      <c r="Q230" s="55"/>
    </row>
    <row r="231" spans="1:17" x14ac:dyDescent="0.25">
      <c r="A231" s="38" t="str">
        <f t="shared" si="19"/>
        <v/>
      </c>
      <c r="B231" s="38"/>
      <c r="C231" s="30"/>
      <c r="D231" s="30"/>
      <c r="E231" s="30"/>
      <c r="F231" s="30"/>
      <c r="G231" s="30"/>
      <c r="H231" s="30"/>
      <c r="I231" s="36" t="str">
        <f t="shared" si="15"/>
        <v/>
      </c>
      <c r="J231" s="30"/>
      <c r="K231" s="30"/>
      <c r="L231" s="36" t="str">
        <f t="shared" si="16"/>
        <v/>
      </c>
      <c r="M231" s="37" t="str">
        <f t="shared" si="17"/>
        <v/>
      </c>
      <c r="N231" s="37" t="str">
        <f t="shared" si="18"/>
        <v/>
      </c>
      <c r="O231" s="55"/>
      <c r="P231" s="55"/>
      <c r="Q231" s="55"/>
    </row>
    <row r="232" spans="1:17" x14ac:dyDescent="0.25">
      <c r="A232" s="38" t="str">
        <f t="shared" si="19"/>
        <v/>
      </c>
      <c r="B232" s="38"/>
      <c r="C232" s="30"/>
      <c r="D232" s="30"/>
      <c r="E232" s="30"/>
      <c r="F232" s="30"/>
      <c r="G232" s="30"/>
      <c r="H232" s="30"/>
      <c r="I232" s="36" t="str">
        <f t="shared" si="15"/>
        <v/>
      </c>
      <c r="J232" s="30"/>
      <c r="K232" s="30"/>
      <c r="L232" s="36" t="str">
        <f t="shared" si="16"/>
        <v/>
      </c>
      <c r="M232" s="37" t="str">
        <f t="shared" si="17"/>
        <v/>
      </c>
      <c r="N232" s="37" t="str">
        <f t="shared" si="18"/>
        <v/>
      </c>
      <c r="O232" s="55"/>
      <c r="P232" s="55"/>
      <c r="Q232" s="55"/>
    </row>
    <row r="233" spans="1:17" x14ac:dyDescent="0.25">
      <c r="A233" s="38" t="str">
        <f t="shared" si="19"/>
        <v/>
      </c>
      <c r="B233" s="38"/>
      <c r="C233" s="30"/>
      <c r="D233" s="30"/>
      <c r="E233" s="30"/>
      <c r="F233" s="30"/>
      <c r="G233" s="30"/>
      <c r="H233" s="30"/>
      <c r="I233" s="36" t="str">
        <f t="shared" si="15"/>
        <v/>
      </c>
      <c r="J233" s="30"/>
      <c r="K233" s="30"/>
      <c r="L233" s="36" t="str">
        <f t="shared" si="16"/>
        <v/>
      </c>
      <c r="M233" s="37" t="str">
        <f t="shared" si="17"/>
        <v/>
      </c>
      <c r="N233" s="37" t="str">
        <f t="shared" si="18"/>
        <v/>
      </c>
      <c r="O233" s="55"/>
      <c r="P233" s="55"/>
      <c r="Q233" s="55"/>
    </row>
    <row r="234" spans="1:17" x14ac:dyDescent="0.25">
      <c r="A234" s="38" t="str">
        <f t="shared" si="19"/>
        <v/>
      </c>
      <c r="B234" s="38"/>
      <c r="C234" s="30"/>
      <c r="D234" s="30"/>
      <c r="E234" s="30"/>
      <c r="F234" s="30"/>
      <c r="G234" s="30"/>
      <c r="H234" s="30"/>
      <c r="I234" s="36" t="str">
        <f t="shared" si="15"/>
        <v/>
      </c>
      <c r="J234" s="30"/>
      <c r="K234" s="30"/>
      <c r="L234" s="36" t="str">
        <f t="shared" si="16"/>
        <v/>
      </c>
      <c r="M234" s="37" t="str">
        <f t="shared" si="17"/>
        <v/>
      </c>
      <c r="N234" s="37" t="str">
        <f t="shared" si="18"/>
        <v/>
      </c>
      <c r="O234" s="55"/>
      <c r="P234" s="55"/>
      <c r="Q234" s="55"/>
    </row>
    <row r="235" spans="1:17" x14ac:dyDescent="0.25">
      <c r="A235" s="38" t="str">
        <f t="shared" si="19"/>
        <v/>
      </c>
      <c r="B235" s="38"/>
      <c r="C235" s="30"/>
      <c r="D235" s="30"/>
      <c r="E235" s="30"/>
      <c r="F235" s="30"/>
      <c r="G235" s="30"/>
      <c r="H235" s="30"/>
      <c r="I235" s="36" t="str">
        <f t="shared" si="15"/>
        <v/>
      </c>
      <c r="J235" s="30"/>
      <c r="K235" s="30"/>
      <c r="L235" s="36" t="str">
        <f t="shared" si="16"/>
        <v/>
      </c>
      <c r="M235" s="37" t="str">
        <f t="shared" si="17"/>
        <v/>
      </c>
      <c r="N235" s="37" t="str">
        <f t="shared" si="18"/>
        <v/>
      </c>
      <c r="O235" s="55"/>
      <c r="P235" s="55"/>
      <c r="Q235" s="55"/>
    </row>
    <row r="236" spans="1:17" x14ac:dyDescent="0.25">
      <c r="A236" s="38" t="str">
        <f t="shared" si="19"/>
        <v/>
      </c>
      <c r="B236" s="38"/>
      <c r="C236" s="30"/>
      <c r="D236" s="30"/>
      <c r="E236" s="30"/>
      <c r="F236" s="30"/>
      <c r="G236" s="30"/>
      <c r="H236" s="30"/>
      <c r="I236" s="36" t="str">
        <f t="shared" si="15"/>
        <v/>
      </c>
      <c r="J236" s="30"/>
      <c r="K236" s="30"/>
      <c r="L236" s="36" t="str">
        <f t="shared" si="16"/>
        <v/>
      </c>
      <c r="M236" s="37" t="str">
        <f t="shared" si="17"/>
        <v/>
      </c>
      <c r="N236" s="37" t="str">
        <f t="shared" si="18"/>
        <v/>
      </c>
      <c r="O236" s="55"/>
      <c r="P236" s="55"/>
      <c r="Q236" s="55"/>
    </row>
    <row r="237" spans="1:17" x14ac:dyDescent="0.25">
      <c r="A237" s="38" t="str">
        <f t="shared" si="19"/>
        <v/>
      </c>
      <c r="B237" s="38"/>
      <c r="C237" s="30"/>
      <c r="D237" s="30"/>
      <c r="E237" s="30"/>
      <c r="F237" s="30"/>
      <c r="G237" s="30"/>
      <c r="H237" s="30"/>
      <c r="I237" s="36" t="str">
        <f t="shared" si="15"/>
        <v/>
      </c>
      <c r="J237" s="30"/>
      <c r="K237" s="30"/>
      <c r="L237" s="36" t="str">
        <f t="shared" si="16"/>
        <v/>
      </c>
      <c r="M237" s="37" t="str">
        <f t="shared" si="17"/>
        <v/>
      </c>
      <c r="N237" s="37" t="str">
        <f t="shared" si="18"/>
        <v/>
      </c>
      <c r="O237" s="55"/>
      <c r="P237" s="55"/>
      <c r="Q237" s="55"/>
    </row>
    <row r="238" spans="1:17" x14ac:dyDescent="0.25">
      <c r="A238" s="38" t="str">
        <f t="shared" si="19"/>
        <v/>
      </c>
      <c r="B238" s="38"/>
      <c r="C238" s="30"/>
      <c r="D238" s="30"/>
      <c r="E238" s="30"/>
      <c r="F238" s="30"/>
      <c r="G238" s="30"/>
      <c r="H238" s="30"/>
      <c r="I238" s="36" t="str">
        <f t="shared" si="15"/>
        <v/>
      </c>
      <c r="J238" s="30"/>
      <c r="K238" s="30"/>
      <c r="L238" s="36" t="str">
        <f t="shared" si="16"/>
        <v/>
      </c>
      <c r="M238" s="37" t="str">
        <f t="shared" si="17"/>
        <v/>
      </c>
      <c r="N238" s="37" t="str">
        <f t="shared" si="18"/>
        <v/>
      </c>
      <c r="O238" s="55"/>
      <c r="P238" s="55"/>
      <c r="Q238" s="55"/>
    </row>
    <row r="239" spans="1:17" x14ac:dyDescent="0.25">
      <c r="A239" s="38" t="str">
        <f t="shared" si="19"/>
        <v/>
      </c>
      <c r="B239" s="38"/>
      <c r="C239" s="30"/>
      <c r="D239" s="30"/>
      <c r="E239" s="30"/>
      <c r="F239" s="30"/>
      <c r="G239" s="30"/>
      <c r="H239" s="30"/>
      <c r="I239" s="36" t="str">
        <f t="shared" si="15"/>
        <v/>
      </c>
      <c r="J239" s="30"/>
      <c r="K239" s="30"/>
      <c r="L239" s="36" t="str">
        <f t="shared" si="16"/>
        <v/>
      </c>
      <c r="M239" s="37" t="str">
        <f t="shared" si="17"/>
        <v/>
      </c>
      <c r="N239" s="37" t="str">
        <f t="shared" si="18"/>
        <v/>
      </c>
      <c r="O239" s="55"/>
      <c r="P239" s="55"/>
      <c r="Q239" s="55"/>
    </row>
    <row r="240" spans="1:17" x14ac:dyDescent="0.25">
      <c r="A240" s="38" t="str">
        <f t="shared" si="19"/>
        <v/>
      </c>
      <c r="B240" s="38"/>
      <c r="C240" s="30"/>
      <c r="D240" s="30"/>
      <c r="E240" s="30"/>
      <c r="F240" s="30"/>
      <c r="G240" s="30"/>
      <c r="H240" s="30"/>
      <c r="I240" s="36" t="str">
        <f t="shared" si="15"/>
        <v/>
      </c>
      <c r="J240" s="30"/>
      <c r="K240" s="30"/>
      <c r="L240" s="36" t="str">
        <f t="shared" si="16"/>
        <v/>
      </c>
      <c r="M240" s="37" t="str">
        <f t="shared" si="17"/>
        <v/>
      </c>
      <c r="N240" s="37" t="str">
        <f t="shared" si="18"/>
        <v/>
      </c>
      <c r="O240" s="55"/>
      <c r="P240" s="55"/>
      <c r="Q240" s="55"/>
    </row>
    <row r="241" spans="1:17" x14ac:dyDescent="0.25">
      <c r="A241" s="38" t="str">
        <f t="shared" si="19"/>
        <v/>
      </c>
      <c r="B241" s="38"/>
      <c r="C241" s="30"/>
      <c r="D241" s="30"/>
      <c r="E241" s="30"/>
      <c r="F241" s="30"/>
      <c r="G241" s="30"/>
      <c r="H241" s="30"/>
      <c r="I241" s="36" t="str">
        <f t="shared" si="15"/>
        <v/>
      </c>
      <c r="J241" s="30"/>
      <c r="K241" s="30"/>
      <c r="L241" s="36" t="str">
        <f t="shared" si="16"/>
        <v/>
      </c>
      <c r="M241" s="37" t="str">
        <f t="shared" si="17"/>
        <v/>
      </c>
      <c r="N241" s="37" t="str">
        <f t="shared" si="18"/>
        <v/>
      </c>
      <c r="O241" s="55"/>
      <c r="P241" s="55"/>
      <c r="Q241" s="55"/>
    </row>
    <row r="242" spans="1:17" x14ac:dyDescent="0.25">
      <c r="A242" s="38" t="str">
        <f t="shared" si="19"/>
        <v/>
      </c>
      <c r="B242" s="38"/>
      <c r="C242" s="30"/>
      <c r="D242" s="30"/>
      <c r="E242" s="30"/>
      <c r="F242" s="30"/>
      <c r="G242" s="30"/>
      <c r="H242" s="30"/>
      <c r="I242" s="36" t="str">
        <f t="shared" si="15"/>
        <v/>
      </c>
      <c r="J242" s="30"/>
      <c r="K242" s="30"/>
      <c r="L242" s="36" t="str">
        <f t="shared" si="16"/>
        <v/>
      </c>
      <c r="M242" s="37" t="str">
        <f t="shared" si="17"/>
        <v/>
      </c>
      <c r="N242" s="37" t="str">
        <f t="shared" si="18"/>
        <v/>
      </c>
      <c r="O242" s="55"/>
      <c r="P242" s="55"/>
      <c r="Q242" s="55"/>
    </row>
    <row r="243" spans="1:17" x14ac:dyDescent="0.25">
      <c r="A243" s="38" t="str">
        <f t="shared" si="19"/>
        <v/>
      </c>
      <c r="B243" s="38"/>
      <c r="C243" s="30"/>
      <c r="D243" s="30"/>
      <c r="E243" s="30"/>
      <c r="F243" s="30"/>
      <c r="G243" s="30"/>
      <c r="H243" s="30"/>
      <c r="I243" s="36" t="str">
        <f t="shared" si="15"/>
        <v/>
      </c>
      <c r="J243" s="30"/>
      <c r="K243" s="30"/>
      <c r="L243" s="36" t="str">
        <f t="shared" si="16"/>
        <v/>
      </c>
      <c r="M243" s="37" t="str">
        <f t="shared" si="17"/>
        <v/>
      </c>
      <c r="N243" s="37" t="str">
        <f t="shared" si="18"/>
        <v/>
      </c>
      <c r="O243" s="55"/>
      <c r="P243" s="55"/>
      <c r="Q243" s="55"/>
    </row>
    <row r="244" spans="1:17" x14ac:dyDescent="0.25">
      <c r="A244" s="38" t="str">
        <f t="shared" si="19"/>
        <v/>
      </c>
      <c r="B244" s="38"/>
      <c r="C244" s="30"/>
      <c r="D244" s="30"/>
      <c r="E244" s="30"/>
      <c r="F244" s="30"/>
      <c r="G244" s="30"/>
      <c r="H244" s="30"/>
      <c r="I244" s="36" t="str">
        <f t="shared" si="15"/>
        <v/>
      </c>
      <c r="J244" s="30"/>
      <c r="K244" s="30"/>
      <c r="L244" s="36" t="str">
        <f t="shared" si="16"/>
        <v/>
      </c>
      <c r="M244" s="37" t="str">
        <f t="shared" si="17"/>
        <v/>
      </c>
      <c r="N244" s="37" t="str">
        <f t="shared" si="18"/>
        <v/>
      </c>
      <c r="O244" s="55"/>
      <c r="P244" s="55"/>
      <c r="Q244" s="55"/>
    </row>
    <row r="245" spans="1:17" x14ac:dyDescent="0.25">
      <c r="A245" s="38" t="str">
        <f t="shared" si="19"/>
        <v/>
      </c>
      <c r="B245" s="38"/>
      <c r="C245" s="30"/>
      <c r="D245" s="30"/>
      <c r="E245" s="30"/>
      <c r="F245" s="30"/>
      <c r="G245" s="30"/>
      <c r="H245" s="30"/>
      <c r="I245" s="36" t="str">
        <f t="shared" si="15"/>
        <v/>
      </c>
      <c r="J245" s="30"/>
      <c r="K245" s="30"/>
      <c r="L245" s="36" t="str">
        <f t="shared" si="16"/>
        <v/>
      </c>
      <c r="M245" s="37" t="str">
        <f t="shared" si="17"/>
        <v/>
      </c>
      <c r="N245" s="37" t="str">
        <f t="shared" si="18"/>
        <v/>
      </c>
      <c r="O245" s="55"/>
      <c r="P245" s="55"/>
      <c r="Q245" s="55"/>
    </row>
    <row r="246" spans="1:17" x14ac:dyDescent="0.25">
      <c r="A246" s="38" t="str">
        <f t="shared" si="19"/>
        <v/>
      </c>
      <c r="B246" s="38"/>
      <c r="C246" s="30"/>
      <c r="D246" s="30"/>
      <c r="E246" s="30"/>
      <c r="F246" s="30"/>
      <c r="G246" s="30"/>
      <c r="H246" s="30"/>
      <c r="I246" s="36" t="str">
        <f t="shared" si="15"/>
        <v/>
      </c>
      <c r="J246" s="30"/>
      <c r="K246" s="30"/>
      <c r="L246" s="36" t="str">
        <f t="shared" si="16"/>
        <v/>
      </c>
      <c r="M246" s="37" t="str">
        <f t="shared" si="17"/>
        <v/>
      </c>
      <c r="N246" s="37" t="str">
        <f t="shared" si="18"/>
        <v/>
      </c>
      <c r="O246" s="55"/>
      <c r="P246" s="55"/>
      <c r="Q246" s="55"/>
    </row>
    <row r="247" spans="1:17" x14ac:dyDescent="0.25">
      <c r="A247" s="38" t="str">
        <f t="shared" si="19"/>
        <v/>
      </c>
      <c r="B247" s="38"/>
      <c r="C247" s="30"/>
      <c r="D247" s="30"/>
      <c r="E247" s="30"/>
      <c r="F247" s="30"/>
      <c r="G247" s="30"/>
      <c r="H247" s="30"/>
      <c r="I247" s="36" t="str">
        <f t="shared" si="15"/>
        <v/>
      </c>
      <c r="J247" s="30"/>
      <c r="K247" s="30"/>
      <c r="L247" s="36" t="str">
        <f t="shared" si="16"/>
        <v/>
      </c>
      <c r="M247" s="37" t="str">
        <f t="shared" si="17"/>
        <v/>
      </c>
      <c r="N247" s="37" t="str">
        <f t="shared" si="18"/>
        <v/>
      </c>
      <c r="O247" s="55"/>
      <c r="P247" s="55"/>
      <c r="Q247" s="55"/>
    </row>
    <row r="248" spans="1:17" x14ac:dyDescent="0.25">
      <c r="A248" s="38" t="str">
        <f t="shared" si="19"/>
        <v/>
      </c>
      <c r="B248" s="38"/>
      <c r="C248" s="30"/>
      <c r="D248" s="30"/>
      <c r="E248" s="30"/>
      <c r="F248" s="30"/>
      <c r="G248" s="30"/>
      <c r="H248" s="30"/>
      <c r="I248" s="36" t="str">
        <f t="shared" si="15"/>
        <v/>
      </c>
      <c r="J248" s="30"/>
      <c r="K248" s="30"/>
      <c r="L248" s="36" t="str">
        <f t="shared" si="16"/>
        <v/>
      </c>
      <c r="M248" s="37" t="str">
        <f t="shared" si="17"/>
        <v/>
      </c>
      <c r="N248" s="37" t="str">
        <f t="shared" si="18"/>
        <v/>
      </c>
      <c r="O248" s="55"/>
      <c r="P248" s="55"/>
      <c r="Q248" s="55"/>
    </row>
    <row r="249" spans="1:17" x14ac:dyDescent="0.25">
      <c r="A249" s="38" t="str">
        <f t="shared" si="19"/>
        <v/>
      </c>
      <c r="B249" s="38"/>
      <c r="C249" s="30"/>
      <c r="D249" s="30"/>
      <c r="E249" s="30"/>
      <c r="F249" s="30"/>
      <c r="G249" s="30"/>
      <c r="H249" s="30"/>
      <c r="I249" s="36" t="str">
        <f t="shared" si="15"/>
        <v/>
      </c>
      <c r="J249" s="30"/>
      <c r="K249" s="30"/>
      <c r="L249" s="36" t="str">
        <f t="shared" si="16"/>
        <v/>
      </c>
      <c r="M249" s="37" t="str">
        <f t="shared" si="17"/>
        <v/>
      </c>
      <c r="N249" s="37" t="str">
        <f t="shared" si="18"/>
        <v/>
      </c>
      <c r="O249" s="55"/>
      <c r="P249" s="55"/>
      <c r="Q249" s="55"/>
    </row>
    <row r="250" spans="1:17" x14ac:dyDescent="0.25">
      <c r="A250" s="38" t="str">
        <f t="shared" si="19"/>
        <v/>
      </c>
      <c r="B250" s="38"/>
      <c r="C250" s="30"/>
      <c r="D250" s="30"/>
      <c r="E250" s="30"/>
      <c r="F250" s="30"/>
      <c r="G250" s="30"/>
      <c r="H250" s="30"/>
      <c r="I250" s="36" t="str">
        <f t="shared" si="15"/>
        <v/>
      </c>
      <c r="J250" s="30"/>
      <c r="K250" s="30"/>
      <c r="L250" s="36" t="str">
        <f t="shared" si="16"/>
        <v/>
      </c>
      <c r="M250" s="37" t="str">
        <f t="shared" si="17"/>
        <v/>
      </c>
      <c r="N250" s="37" t="str">
        <f t="shared" si="18"/>
        <v/>
      </c>
      <c r="O250" s="55"/>
      <c r="P250" s="55"/>
      <c r="Q250" s="55"/>
    </row>
    <row r="251" spans="1:17" x14ac:dyDescent="0.25">
      <c r="A251" s="38" t="str">
        <f t="shared" si="19"/>
        <v/>
      </c>
      <c r="B251" s="38"/>
      <c r="C251" s="30"/>
      <c r="D251" s="30"/>
      <c r="E251" s="30"/>
      <c r="F251" s="30"/>
      <c r="G251" s="30"/>
      <c r="H251" s="30"/>
      <c r="I251" s="36" t="str">
        <f t="shared" si="15"/>
        <v/>
      </c>
      <c r="J251" s="30"/>
      <c r="K251" s="30"/>
      <c r="L251" s="36" t="str">
        <f t="shared" si="16"/>
        <v/>
      </c>
      <c r="M251" s="37" t="str">
        <f t="shared" si="17"/>
        <v/>
      </c>
      <c r="N251" s="37" t="str">
        <f t="shared" si="18"/>
        <v/>
      </c>
      <c r="O251" s="55"/>
      <c r="P251" s="55"/>
      <c r="Q251" s="55"/>
    </row>
    <row r="252" spans="1:17" x14ac:dyDescent="0.25">
      <c r="A252" s="38" t="str">
        <f t="shared" si="19"/>
        <v/>
      </c>
      <c r="B252" s="38"/>
      <c r="C252" s="30"/>
      <c r="D252" s="30"/>
      <c r="E252" s="30"/>
      <c r="F252" s="30"/>
      <c r="G252" s="30"/>
      <c r="H252" s="30"/>
      <c r="I252" s="36" t="str">
        <f t="shared" si="15"/>
        <v/>
      </c>
      <c r="J252" s="30"/>
      <c r="K252" s="30"/>
      <c r="L252" s="36" t="str">
        <f t="shared" si="16"/>
        <v/>
      </c>
      <c r="M252" s="37" t="str">
        <f t="shared" si="17"/>
        <v/>
      </c>
      <c r="N252" s="37" t="str">
        <f t="shared" si="18"/>
        <v/>
      </c>
      <c r="O252" s="55"/>
      <c r="P252" s="55"/>
      <c r="Q252" s="55"/>
    </row>
    <row r="253" spans="1:17" x14ac:dyDescent="0.25">
      <c r="A253" s="38" t="str">
        <f t="shared" si="19"/>
        <v/>
      </c>
      <c r="B253" s="38"/>
      <c r="C253" s="30"/>
      <c r="D253" s="30"/>
      <c r="E253" s="30"/>
      <c r="F253" s="30"/>
      <c r="G253" s="30"/>
      <c r="H253" s="30"/>
      <c r="I253" s="36" t="str">
        <f t="shared" si="15"/>
        <v/>
      </c>
      <c r="J253" s="30"/>
      <c r="K253" s="30"/>
      <c r="L253" s="36" t="str">
        <f t="shared" si="16"/>
        <v/>
      </c>
      <c r="M253" s="37" t="str">
        <f t="shared" si="17"/>
        <v/>
      </c>
      <c r="N253" s="37" t="str">
        <f t="shared" si="18"/>
        <v/>
      </c>
      <c r="O253" s="55"/>
      <c r="P253" s="55"/>
      <c r="Q253" s="55"/>
    </row>
    <row r="254" spans="1:17" x14ac:dyDescent="0.25">
      <c r="A254" s="38" t="str">
        <f t="shared" si="19"/>
        <v/>
      </c>
      <c r="B254" s="38"/>
      <c r="C254" s="30"/>
      <c r="D254" s="30"/>
      <c r="E254" s="30"/>
      <c r="F254" s="30"/>
      <c r="G254" s="30"/>
      <c r="H254" s="30"/>
      <c r="I254" s="36" t="str">
        <f t="shared" si="15"/>
        <v/>
      </c>
      <c r="J254" s="30"/>
      <c r="K254" s="30"/>
      <c r="L254" s="36" t="str">
        <f t="shared" si="16"/>
        <v/>
      </c>
      <c r="M254" s="37" t="str">
        <f t="shared" si="17"/>
        <v/>
      </c>
      <c r="N254" s="37" t="str">
        <f t="shared" si="18"/>
        <v/>
      </c>
      <c r="O254" s="55"/>
      <c r="P254" s="55"/>
      <c r="Q254" s="55"/>
    </row>
    <row r="255" spans="1:17" x14ac:dyDescent="0.25">
      <c r="A255" s="38" t="str">
        <f t="shared" si="19"/>
        <v/>
      </c>
      <c r="B255" s="38"/>
      <c r="C255" s="30"/>
      <c r="D255" s="30"/>
      <c r="E255" s="30"/>
      <c r="F255" s="30"/>
      <c r="G255" s="30"/>
      <c r="H255" s="30"/>
      <c r="I255" s="36" t="str">
        <f t="shared" si="15"/>
        <v/>
      </c>
      <c r="J255" s="30"/>
      <c r="K255" s="30"/>
      <c r="L255" s="36" t="str">
        <f t="shared" si="16"/>
        <v/>
      </c>
      <c r="M255" s="37" t="str">
        <f t="shared" si="17"/>
        <v/>
      </c>
      <c r="N255" s="37" t="str">
        <f t="shared" si="18"/>
        <v/>
      </c>
      <c r="O255" s="55"/>
      <c r="P255" s="55"/>
      <c r="Q255" s="55"/>
    </row>
    <row r="256" spans="1:17" x14ac:dyDescent="0.25">
      <c r="A256" s="38" t="str">
        <f t="shared" si="19"/>
        <v/>
      </c>
      <c r="B256" s="38"/>
      <c r="C256" s="30"/>
      <c r="D256" s="30"/>
      <c r="E256" s="30"/>
      <c r="F256" s="30"/>
      <c r="G256" s="30"/>
      <c r="H256" s="30"/>
      <c r="I256" s="36" t="str">
        <f t="shared" si="15"/>
        <v/>
      </c>
      <c r="J256" s="30"/>
      <c r="K256" s="30"/>
      <c r="L256" s="36" t="str">
        <f t="shared" si="16"/>
        <v/>
      </c>
      <c r="M256" s="37" t="str">
        <f t="shared" si="17"/>
        <v/>
      </c>
      <c r="N256" s="37" t="str">
        <f t="shared" si="18"/>
        <v/>
      </c>
      <c r="O256" s="55"/>
      <c r="P256" s="55"/>
      <c r="Q256" s="55"/>
    </row>
    <row r="257" spans="1:17" x14ac:dyDescent="0.25">
      <c r="A257" s="38" t="str">
        <f t="shared" si="19"/>
        <v/>
      </c>
      <c r="B257" s="38"/>
      <c r="C257" s="30"/>
      <c r="D257" s="30"/>
      <c r="E257" s="30"/>
      <c r="F257" s="30"/>
      <c r="G257" s="30"/>
      <c r="H257" s="30"/>
      <c r="I257" s="36" t="str">
        <f t="shared" si="15"/>
        <v/>
      </c>
      <c r="J257" s="30"/>
      <c r="K257" s="30"/>
      <c r="L257" s="36" t="str">
        <f t="shared" si="16"/>
        <v/>
      </c>
      <c r="M257" s="37" t="str">
        <f t="shared" si="17"/>
        <v/>
      </c>
      <c r="N257" s="37" t="str">
        <f t="shared" si="18"/>
        <v/>
      </c>
      <c r="O257" s="55"/>
      <c r="P257" s="55"/>
      <c r="Q257" s="55"/>
    </row>
    <row r="258" spans="1:17" x14ac:dyDescent="0.25">
      <c r="A258" s="38" t="str">
        <f t="shared" si="19"/>
        <v/>
      </c>
      <c r="B258" s="38"/>
      <c r="C258" s="30"/>
      <c r="D258" s="30"/>
      <c r="E258" s="30"/>
      <c r="F258" s="30"/>
      <c r="G258" s="30"/>
      <c r="H258" s="30"/>
      <c r="I258" s="36" t="str">
        <f t="shared" si="15"/>
        <v/>
      </c>
      <c r="J258" s="30"/>
      <c r="K258" s="30"/>
      <c r="L258" s="36" t="str">
        <f t="shared" si="16"/>
        <v/>
      </c>
      <c r="M258" s="37" t="str">
        <f t="shared" si="17"/>
        <v/>
      </c>
      <c r="N258" s="37" t="str">
        <f t="shared" si="18"/>
        <v/>
      </c>
      <c r="O258" s="55"/>
      <c r="P258" s="55"/>
      <c r="Q258" s="55"/>
    </row>
    <row r="259" spans="1:17" x14ac:dyDescent="0.25">
      <c r="A259" s="38" t="str">
        <f t="shared" si="19"/>
        <v/>
      </c>
      <c r="B259" s="38"/>
      <c r="C259" s="30"/>
      <c r="D259" s="30"/>
      <c r="E259" s="30"/>
      <c r="F259" s="30"/>
      <c r="G259" s="30"/>
      <c r="H259" s="30"/>
      <c r="I259" s="36" t="str">
        <f t="shared" ref="I259:I299" si="20">IF(H259&lt;&gt;"",H259/G259,"")</f>
        <v/>
      </c>
      <c r="J259" s="30"/>
      <c r="K259" s="30"/>
      <c r="L259" s="36" t="str">
        <f t="shared" ref="L259:L299" si="21">IF(K259&lt;&gt;"",K259/J259,"")</f>
        <v/>
      </c>
      <c r="M259" s="37" t="str">
        <f t="shared" ref="M259:M299" si="22">IF(L259&lt;&gt;"",MAX(I259,L259),"")</f>
        <v/>
      </c>
      <c r="N259" s="37" t="str">
        <f t="shared" ref="N259:N299" si="23">IF($M259&lt;&gt;"",IF($M259&lt;50%,0%,IF($M259&lt;80%,$M259,100%)),"")</f>
        <v/>
      </c>
      <c r="O259" s="55"/>
      <c r="P259" s="55"/>
      <c r="Q259" s="55"/>
    </row>
    <row r="260" spans="1:17" x14ac:dyDescent="0.25">
      <c r="A260" s="38" t="str">
        <f t="shared" ref="A260:A299" si="24">IF(C260&lt;&gt;"",A259+1,"")</f>
        <v/>
      </c>
      <c r="B260" s="38"/>
      <c r="C260" s="30"/>
      <c r="D260" s="30"/>
      <c r="E260" s="30"/>
      <c r="F260" s="30"/>
      <c r="G260" s="30"/>
      <c r="H260" s="30"/>
      <c r="I260" s="36" t="str">
        <f t="shared" si="20"/>
        <v/>
      </c>
      <c r="J260" s="30"/>
      <c r="K260" s="30"/>
      <c r="L260" s="36" t="str">
        <f t="shared" si="21"/>
        <v/>
      </c>
      <c r="M260" s="37" t="str">
        <f t="shared" si="22"/>
        <v/>
      </c>
      <c r="N260" s="37" t="str">
        <f t="shared" si="23"/>
        <v/>
      </c>
      <c r="O260" s="55"/>
      <c r="P260" s="55"/>
      <c r="Q260" s="55"/>
    </row>
    <row r="261" spans="1:17" x14ac:dyDescent="0.25">
      <c r="A261" s="38" t="str">
        <f t="shared" si="24"/>
        <v/>
      </c>
      <c r="B261" s="38"/>
      <c r="C261" s="30"/>
      <c r="D261" s="30"/>
      <c r="E261" s="30"/>
      <c r="F261" s="30"/>
      <c r="G261" s="30"/>
      <c r="H261" s="30"/>
      <c r="I261" s="36" t="str">
        <f t="shared" si="20"/>
        <v/>
      </c>
      <c r="J261" s="30"/>
      <c r="K261" s="30"/>
      <c r="L261" s="36" t="str">
        <f t="shared" si="21"/>
        <v/>
      </c>
      <c r="M261" s="37" t="str">
        <f t="shared" si="22"/>
        <v/>
      </c>
      <c r="N261" s="37" t="str">
        <f t="shared" si="23"/>
        <v/>
      </c>
      <c r="O261" s="55"/>
      <c r="P261" s="55"/>
      <c r="Q261" s="55"/>
    </row>
    <row r="262" spans="1:17" x14ac:dyDescent="0.25">
      <c r="A262" s="38" t="str">
        <f t="shared" si="24"/>
        <v/>
      </c>
      <c r="B262" s="38"/>
      <c r="C262" s="30"/>
      <c r="D262" s="30"/>
      <c r="E262" s="30"/>
      <c r="F262" s="30"/>
      <c r="G262" s="30"/>
      <c r="H262" s="30"/>
      <c r="I262" s="36" t="str">
        <f t="shared" si="20"/>
        <v/>
      </c>
      <c r="J262" s="30"/>
      <c r="K262" s="30"/>
      <c r="L262" s="36" t="str">
        <f t="shared" si="21"/>
        <v/>
      </c>
      <c r="M262" s="37" t="str">
        <f t="shared" si="22"/>
        <v/>
      </c>
      <c r="N262" s="37" t="str">
        <f t="shared" si="23"/>
        <v/>
      </c>
      <c r="O262" s="55"/>
      <c r="P262" s="55"/>
      <c r="Q262" s="55"/>
    </row>
    <row r="263" spans="1:17" x14ac:dyDescent="0.25">
      <c r="A263" s="38" t="str">
        <f t="shared" si="24"/>
        <v/>
      </c>
      <c r="B263" s="38"/>
      <c r="C263" s="30"/>
      <c r="D263" s="30"/>
      <c r="E263" s="30"/>
      <c r="F263" s="30"/>
      <c r="G263" s="30"/>
      <c r="H263" s="30"/>
      <c r="I263" s="36" t="str">
        <f t="shared" si="20"/>
        <v/>
      </c>
      <c r="J263" s="30"/>
      <c r="K263" s="30"/>
      <c r="L263" s="36" t="str">
        <f t="shared" si="21"/>
        <v/>
      </c>
      <c r="M263" s="37" t="str">
        <f t="shared" si="22"/>
        <v/>
      </c>
      <c r="N263" s="37" t="str">
        <f t="shared" si="23"/>
        <v/>
      </c>
      <c r="O263" s="55"/>
      <c r="P263" s="55"/>
      <c r="Q263" s="55"/>
    </row>
    <row r="264" spans="1:17" x14ac:dyDescent="0.25">
      <c r="A264" s="38" t="str">
        <f t="shared" si="24"/>
        <v/>
      </c>
      <c r="B264" s="38"/>
      <c r="C264" s="30"/>
      <c r="D264" s="30"/>
      <c r="E264" s="30"/>
      <c r="F264" s="30"/>
      <c r="G264" s="30"/>
      <c r="H264" s="30"/>
      <c r="I264" s="36" t="str">
        <f t="shared" si="20"/>
        <v/>
      </c>
      <c r="J264" s="30"/>
      <c r="K264" s="30"/>
      <c r="L264" s="36" t="str">
        <f t="shared" si="21"/>
        <v/>
      </c>
      <c r="M264" s="37" t="str">
        <f t="shared" si="22"/>
        <v/>
      </c>
      <c r="N264" s="37" t="str">
        <f t="shared" si="23"/>
        <v/>
      </c>
      <c r="O264" s="55"/>
      <c r="P264" s="55"/>
      <c r="Q264" s="55"/>
    </row>
    <row r="265" spans="1:17" x14ac:dyDescent="0.25">
      <c r="A265" s="38" t="str">
        <f t="shared" si="24"/>
        <v/>
      </c>
      <c r="B265" s="38"/>
      <c r="C265" s="30"/>
      <c r="D265" s="30"/>
      <c r="E265" s="30"/>
      <c r="F265" s="30"/>
      <c r="G265" s="30"/>
      <c r="H265" s="30"/>
      <c r="I265" s="36" t="str">
        <f t="shared" si="20"/>
        <v/>
      </c>
      <c r="J265" s="30"/>
      <c r="K265" s="30"/>
      <c r="L265" s="36" t="str">
        <f t="shared" si="21"/>
        <v/>
      </c>
      <c r="M265" s="37" t="str">
        <f t="shared" si="22"/>
        <v/>
      </c>
      <c r="N265" s="37" t="str">
        <f t="shared" si="23"/>
        <v/>
      </c>
      <c r="O265" s="55"/>
      <c r="P265" s="55"/>
      <c r="Q265" s="55"/>
    </row>
    <row r="266" spans="1:17" x14ac:dyDescent="0.25">
      <c r="A266" s="38" t="str">
        <f t="shared" si="24"/>
        <v/>
      </c>
      <c r="B266" s="38"/>
      <c r="C266" s="30"/>
      <c r="D266" s="30"/>
      <c r="E266" s="30"/>
      <c r="F266" s="30"/>
      <c r="G266" s="30"/>
      <c r="H266" s="30"/>
      <c r="I266" s="36" t="str">
        <f t="shared" si="20"/>
        <v/>
      </c>
      <c r="J266" s="30"/>
      <c r="K266" s="30"/>
      <c r="L266" s="36" t="str">
        <f t="shared" si="21"/>
        <v/>
      </c>
      <c r="M266" s="37" t="str">
        <f t="shared" si="22"/>
        <v/>
      </c>
      <c r="N266" s="37" t="str">
        <f t="shared" si="23"/>
        <v/>
      </c>
      <c r="O266" s="55"/>
      <c r="P266" s="55"/>
      <c r="Q266" s="55"/>
    </row>
    <row r="267" spans="1:17" x14ac:dyDescent="0.25">
      <c r="A267" s="38" t="str">
        <f t="shared" si="24"/>
        <v/>
      </c>
      <c r="B267" s="38"/>
      <c r="C267" s="30"/>
      <c r="D267" s="30"/>
      <c r="E267" s="30"/>
      <c r="F267" s="30"/>
      <c r="G267" s="30"/>
      <c r="H267" s="30"/>
      <c r="I267" s="36" t="str">
        <f t="shared" si="20"/>
        <v/>
      </c>
      <c r="J267" s="30"/>
      <c r="K267" s="30"/>
      <c r="L267" s="36" t="str">
        <f t="shared" si="21"/>
        <v/>
      </c>
      <c r="M267" s="37" t="str">
        <f t="shared" si="22"/>
        <v/>
      </c>
      <c r="N267" s="37" t="str">
        <f t="shared" si="23"/>
        <v/>
      </c>
      <c r="O267" s="55"/>
      <c r="P267" s="55"/>
      <c r="Q267" s="55"/>
    </row>
    <row r="268" spans="1:17" x14ac:dyDescent="0.25">
      <c r="A268" s="38" t="str">
        <f t="shared" si="24"/>
        <v/>
      </c>
      <c r="B268" s="38"/>
      <c r="C268" s="30"/>
      <c r="D268" s="30"/>
      <c r="E268" s="30"/>
      <c r="F268" s="30"/>
      <c r="G268" s="30"/>
      <c r="H268" s="30"/>
      <c r="I268" s="36" t="str">
        <f t="shared" si="20"/>
        <v/>
      </c>
      <c r="J268" s="30"/>
      <c r="K268" s="30"/>
      <c r="L268" s="36" t="str">
        <f t="shared" si="21"/>
        <v/>
      </c>
      <c r="M268" s="37" t="str">
        <f t="shared" si="22"/>
        <v/>
      </c>
      <c r="N268" s="37" t="str">
        <f t="shared" si="23"/>
        <v/>
      </c>
      <c r="O268" s="55"/>
      <c r="P268" s="55"/>
      <c r="Q268" s="55"/>
    </row>
    <row r="269" spans="1:17" x14ac:dyDescent="0.25">
      <c r="A269" s="38" t="str">
        <f t="shared" si="24"/>
        <v/>
      </c>
      <c r="B269" s="38"/>
      <c r="C269" s="30"/>
      <c r="D269" s="30"/>
      <c r="E269" s="30"/>
      <c r="F269" s="30"/>
      <c r="G269" s="30"/>
      <c r="H269" s="30"/>
      <c r="I269" s="36" t="str">
        <f t="shared" si="20"/>
        <v/>
      </c>
      <c r="J269" s="30"/>
      <c r="K269" s="30"/>
      <c r="L269" s="36" t="str">
        <f t="shared" si="21"/>
        <v/>
      </c>
      <c r="M269" s="37" t="str">
        <f t="shared" si="22"/>
        <v/>
      </c>
      <c r="N269" s="37" t="str">
        <f t="shared" si="23"/>
        <v/>
      </c>
      <c r="O269" s="55"/>
      <c r="P269" s="55"/>
      <c r="Q269" s="55"/>
    </row>
    <row r="270" spans="1:17" x14ac:dyDescent="0.25">
      <c r="A270" s="38" t="str">
        <f t="shared" si="24"/>
        <v/>
      </c>
      <c r="B270" s="38"/>
      <c r="C270" s="30"/>
      <c r="D270" s="30"/>
      <c r="E270" s="30"/>
      <c r="F270" s="30"/>
      <c r="G270" s="30"/>
      <c r="H270" s="30"/>
      <c r="I270" s="36" t="str">
        <f t="shared" si="20"/>
        <v/>
      </c>
      <c r="J270" s="30"/>
      <c r="K270" s="30"/>
      <c r="L270" s="36" t="str">
        <f t="shared" si="21"/>
        <v/>
      </c>
      <c r="M270" s="37" t="str">
        <f t="shared" si="22"/>
        <v/>
      </c>
      <c r="N270" s="37" t="str">
        <f t="shared" si="23"/>
        <v/>
      </c>
      <c r="O270" s="55"/>
      <c r="P270" s="55"/>
      <c r="Q270" s="55"/>
    </row>
    <row r="271" spans="1:17" x14ac:dyDescent="0.25">
      <c r="A271" s="38" t="str">
        <f t="shared" si="24"/>
        <v/>
      </c>
      <c r="B271" s="38"/>
      <c r="C271" s="30"/>
      <c r="D271" s="30"/>
      <c r="E271" s="30"/>
      <c r="F271" s="30"/>
      <c r="G271" s="30"/>
      <c r="H271" s="30"/>
      <c r="I271" s="36" t="str">
        <f t="shared" si="20"/>
        <v/>
      </c>
      <c r="J271" s="30"/>
      <c r="K271" s="30"/>
      <c r="L271" s="36" t="str">
        <f t="shared" si="21"/>
        <v/>
      </c>
      <c r="M271" s="37" t="str">
        <f t="shared" si="22"/>
        <v/>
      </c>
      <c r="N271" s="37" t="str">
        <f t="shared" si="23"/>
        <v/>
      </c>
      <c r="O271" s="55"/>
      <c r="P271" s="55"/>
      <c r="Q271" s="55"/>
    </row>
    <row r="272" spans="1:17" x14ac:dyDescent="0.25">
      <c r="A272" s="38" t="str">
        <f t="shared" si="24"/>
        <v/>
      </c>
      <c r="B272" s="38"/>
      <c r="C272" s="30"/>
      <c r="D272" s="30"/>
      <c r="E272" s="30"/>
      <c r="F272" s="30"/>
      <c r="G272" s="30"/>
      <c r="H272" s="30"/>
      <c r="I272" s="36" t="str">
        <f t="shared" si="20"/>
        <v/>
      </c>
      <c r="J272" s="30"/>
      <c r="K272" s="30"/>
      <c r="L272" s="36" t="str">
        <f t="shared" si="21"/>
        <v/>
      </c>
      <c r="M272" s="37" t="str">
        <f t="shared" si="22"/>
        <v/>
      </c>
      <c r="N272" s="37" t="str">
        <f t="shared" si="23"/>
        <v/>
      </c>
      <c r="O272" s="55"/>
      <c r="P272" s="55"/>
      <c r="Q272" s="55"/>
    </row>
    <row r="273" spans="1:17" x14ac:dyDescent="0.25">
      <c r="A273" s="38" t="str">
        <f t="shared" si="24"/>
        <v/>
      </c>
      <c r="B273" s="38"/>
      <c r="C273" s="30"/>
      <c r="D273" s="30"/>
      <c r="E273" s="30"/>
      <c r="F273" s="30"/>
      <c r="G273" s="30"/>
      <c r="H273" s="30"/>
      <c r="I273" s="36" t="str">
        <f t="shared" si="20"/>
        <v/>
      </c>
      <c r="J273" s="30"/>
      <c r="K273" s="30"/>
      <c r="L273" s="36" t="str">
        <f t="shared" si="21"/>
        <v/>
      </c>
      <c r="M273" s="37" t="str">
        <f t="shared" si="22"/>
        <v/>
      </c>
      <c r="N273" s="37" t="str">
        <f t="shared" si="23"/>
        <v/>
      </c>
      <c r="O273" s="55"/>
      <c r="P273" s="55"/>
      <c r="Q273" s="55"/>
    </row>
    <row r="274" spans="1:17" x14ac:dyDescent="0.25">
      <c r="A274" s="38" t="str">
        <f t="shared" si="24"/>
        <v/>
      </c>
      <c r="B274" s="38"/>
      <c r="C274" s="30"/>
      <c r="D274" s="30"/>
      <c r="E274" s="30"/>
      <c r="F274" s="30"/>
      <c r="G274" s="30"/>
      <c r="H274" s="30"/>
      <c r="I274" s="36" t="str">
        <f t="shared" si="20"/>
        <v/>
      </c>
      <c r="J274" s="30"/>
      <c r="K274" s="30"/>
      <c r="L274" s="36" t="str">
        <f t="shared" si="21"/>
        <v/>
      </c>
      <c r="M274" s="37" t="str">
        <f t="shared" si="22"/>
        <v/>
      </c>
      <c r="N274" s="37" t="str">
        <f t="shared" si="23"/>
        <v/>
      </c>
      <c r="O274" s="55"/>
      <c r="P274" s="55"/>
      <c r="Q274" s="55"/>
    </row>
    <row r="275" spans="1:17" x14ac:dyDescent="0.25">
      <c r="A275" s="38" t="str">
        <f t="shared" si="24"/>
        <v/>
      </c>
      <c r="B275" s="38"/>
      <c r="C275" s="30"/>
      <c r="D275" s="30"/>
      <c r="E275" s="30"/>
      <c r="F275" s="30"/>
      <c r="G275" s="30"/>
      <c r="H275" s="30"/>
      <c r="I275" s="36" t="str">
        <f t="shared" si="20"/>
        <v/>
      </c>
      <c r="J275" s="30"/>
      <c r="K275" s="30"/>
      <c r="L275" s="36" t="str">
        <f t="shared" si="21"/>
        <v/>
      </c>
      <c r="M275" s="37" t="str">
        <f t="shared" si="22"/>
        <v/>
      </c>
      <c r="N275" s="37" t="str">
        <f t="shared" si="23"/>
        <v/>
      </c>
      <c r="O275" s="55"/>
      <c r="P275" s="55"/>
      <c r="Q275" s="55"/>
    </row>
    <row r="276" spans="1:17" x14ac:dyDescent="0.25">
      <c r="A276" s="38" t="str">
        <f t="shared" si="24"/>
        <v/>
      </c>
      <c r="B276" s="38"/>
      <c r="C276" s="30"/>
      <c r="D276" s="30"/>
      <c r="E276" s="30"/>
      <c r="F276" s="30"/>
      <c r="G276" s="30"/>
      <c r="H276" s="30"/>
      <c r="I276" s="36" t="str">
        <f t="shared" si="20"/>
        <v/>
      </c>
      <c r="J276" s="30"/>
      <c r="K276" s="30"/>
      <c r="L276" s="36" t="str">
        <f t="shared" si="21"/>
        <v/>
      </c>
      <c r="M276" s="37" t="str">
        <f t="shared" si="22"/>
        <v/>
      </c>
      <c r="N276" s="37" t="str">
        <f t="shared" si="23"/>
        <v/>
      </c>
      <c r="O276" s="55"/>
      <c r="P276" s="55"/>
      <c r="Q276" s="55"/>
    </row>
    <row r="277" spans="1:17" x14ac:dyDescent="0.25">
      <c r="A277" s="38" t="str">
        <f t="shared" si="24"/>
        <v/>
      </c>
      <c r="B277" s="38"/>
      <c r="C277" s="30"/>
      <c r="D277" s="30"/>
      <c r="E277" s="30"/>
      <c r="F277" s="30"/>
      <c r="G277" s="30"/>
      <c r="H277" s="30"/>
      <c r="I277" s="36" t="str">
        <f t="shared" si="20"/>
        <v/>
      </c>
      <c r="J277" s="30"/>
      <c r="K277" s="30"/>
      <c r="L277" s="36" t="str">
        <f t="shared" si="21"/>
        <v/>
      </c>
      <c r="M277" s="37" t="str">
        <f t="shared" si="22"/>
        <v/>
      </c>
      <c r="N277" s="37" t="str">
        <f t="shared" si="23"/>
        <v/>
      </c>
      <c r="O277" s="55"/>
      <c r="P277" s="55"/>
      <c r="Q277" s="55"/>
    </row>
    <row r="278" spans="1:17" x14ac:dyDescent="0.25">
      <c r="A278" s="38" t="str">
        <f t="shared" si="24"/>
        <v/>
      </c>
      <c r="B278" s="38"/>
      <c r="C278" s="30"/>
      <c r="D278" s="30"/>
      <c r="E278" s="30"/>
      <c r="F278" s="30"/>
      <c r="G278" s="30"/>
      <c r="H278" s="30"/>
      <c r="I278" s="36" t="str">
        <f t="shared" si="20"/>
        <v/>
      </c>
      <c r="J278" s="30"/>
      <c r="K278" s="30"/>
      <c r="L278" s="36" t="str">
        <f t="shared" si="21"/>
        <v/>
      </c>
      <c r="M278" s="37" t="str">
        <f t="shared" si="22"/>
        <v/>
      </c>
      <c r="N278" s="37" t="str">
        <f t="shared" si="23"/>
        <v/>
      </c>
      <c r="O278" s="55"/>
      <c r="P278" s="55"/>
      <c r="Q278" s="55"/>
    </row>
    <row r="279" spans="1:17" x14ac:dyDescent="0.25">
      <c r="A279" s="38" t="str">
        <f t="shared" si="24"/>
        <v/>
      </c>
      <c r="B279" s="38"/>
      <c r="C279" s="30"/>
      <c r="D279" s="30"/>
      <c r="E279" s="30"/>
      <c r="F279" s="30"/>
      <c r="G279" s="30"/>
      <c r="H279" s="30"/>
      <c r="I279" s="36" t="str">
        <f t="shared" si="20"/>
        <v/>
      </c>
      <c r="J279" s="30"/>
      <c r="K279" s="30"/>
      <c r="L279" s="36" t="str">
        <f t="shared" si="21"/>
        <v/>
      </c>
      <c r="M279" s="37" t="str">
        <f t="shared" si="22"/>
        <v/>
      </c>
      <c r="N279" s="37" t="str">
        <f t="shared" si="23"/>
        <v/>
      </c>
      <c r="O279" s="55"/>
      <c r="P279" s="55"/>
      <c r="Q279" s="55"/>
    </row>
    <row r="280" spans="1:17" x14ac:dyDescent="0.25">
      <c r="A280" s="38" t="str">
        <f t="shared" si="24"/>
        <v/>
      </c>
      <c r="B280" s="38"/>
      <c r="C280" s="30"/>
      <c r="D280" s="30"/>
      <c r="E280" s="30"/>
      <c r="F280" s="30"/>
      <c r="G280" s="30"/>
      <c r="H280" s="30"/>
      <c r="I280" s="36" t="str">
        <f t="shared" si="20"/>
        <v/>
      </c>
      <c r="J280" s="30"/>
      <c r="K280" s="30"/>
      <c r="L280" s="36" t="str">
        <f t="shared" si="21"/>
        <v/>
      </c>
      <c r="M280" s="37" t="str">
        <f t="shared" si="22"/>
        <v/>
      </c>
      <c r="N280" s="37" t="str">
        <f t="shared" si="23"/>
        <v/>
      </c>
      <c r="O280" s="55"/>
      <c r="P280" s="55"/>
      <c r="Q280" s="55"/>
    </row>
    <row r="281" spans="1:17" x14ac:dyDescent="0.25">
      <c r="A281" s="38" t="str">
        <f t="shared" si="24"/>
        <v/>
      </c>
      <c r="B281" s="38"/>
      <c r="C281" s="30"/>
      <c r="D281" s="30"/>
      <c r="E281" s="30"/>
      <c r="F281" s="30"/>
      <c r="G281" s="30"/>
      <c r="H281" s="30"/>
      <c r="I281" s="36" t="str">
        <f t="shared" si="20"/>
        <v/>
      </c>
      <c r="J281" s="30"/>
      <c r="K281" s="30"/>
      <c r="L281" s="36" t="str">
        <f t="shared" si="21"/>
        <v/>
      </c>
      <c r="M281" s="37" t="str">
        <f t="shared" si="22"/>
        <v/>
      </c>
      <c r="N281" s="37" t="str">
        <f t="shared" si="23"/>
        <v/>
      </c>
      <c r="O281" s="55"/>
      <c r="P281" s="55"/>
      <c r="Q281" s="55"/>
    </row>
    <row r="282" spans="1:17" x14ac:dyDescent="0.25">
      <c r="A282" s="38" t="str">
        <f t="shared" si="24"/>
        <v/>
      </c>
      <c r="B282" s="38"/>
      <c r="C282" s="30"/>
      <c r="D282" s="30"/>
      <c r="E282" s="30"/>
      <c r="F282" s="30"/>
      <c r="G282" s="30"/>
      <c r="H282" s="30"/>
      <c r="I282" s="36" t="str">
        <f t="shared" si="20"/>
        <v/>
      </c>
      <c r="J282" s="30"/>
      <c r="K282" s="30"/>
      <c r="L282" s="36" t="str">
        <f t="shared" si="21"/>
        <v/>
      </c>
      <c r="M282" s="37" t="str">
        <f t="shared" si="22"/>
        <v/>
      </c>
      <c r="N282" s="37" t="str">
        <f t="shared" si="23"/>
        <v/>
      </c>
      <c r="O282" s="55"/>
      <c r="P282" s="55"/>
      <c r="Q282" s="55"/>
    </row>
    <row r="283" spans="1:17" x14ac:dyDescent="0.25">
      <c r="A283" s="38" t="str">
        <f t="shared" si="24"/>
        <v/>
      </c>
      <c r="B283" s="38"/>
      <c r="C283" s="30"/>
      <c r="D283" s="30"/>
      <c r="E283" s="30"/>
      <c r="F283" s="30"/>
      <c r="G283" s="30"/>
      <c r="H283" s="30"/>
      <c r="I283" s="36" t="str">
        <f t="shared" si="20"/>
        <v/>
      </c>
      <c r="J283" s="30"/>
      <c r="K283" s="30"/>
      <c r="L283" s="36" t="str">
        <f t="shared" si="21"/>
        <v/>
      </c>
      <c r="M283" s="37" t="str">
        <f t="shared" si="22"/>
        <v/>
      </c>
      <c r="N283" s="37" t="str">
        <f t="shared" si="23"/>
        <v/>
      </c>
      <c r="O283" s="55"/>
      <c r="P283" s="55"/>
      <c r="Q283" s="55"/>
    </row>
    <row r="284" spans="1:17" x14ac:dyDescent="0.25">
      <c r="A284" s="38" t="str">
        <f t="shared" si="24"/>
        <v/>
      </c>
      <c r="B284" s="38"/>
      <c r="C284" s="30"/>
      <c r="D284" s="30"/>
      <c r="E284" s="30"/>
      <c r="F284" s="30"/>
      <c r="G284" s="30"/>
      <c r="H284" s="30"/>
      <c r="I284" s="36" t="str">
        <f t="shared" si="20"/>
        <v/>
      </c>
      <c r="J284" s="30"/>
      <c r="K284" s="30"/>
      <c r="L284" s="36" t="str">
        <f t="shared" si="21"/>
        <v/>
      </c>
      <c r="M284" s="37" t="str">
        <f t="shared" si="22"/>
        <v/>
      </c>
      <c r="N284" s="37" t="str">
        <f t="shared" si="23"/>
        <v/>
      </c>
      <c r="O284" s="55"/>
      <c r="P284" s="55"/>
      <c r="Q284" s="55"/>
    </row>
    <row r="285" spans="1:17" x14ac:dyDescent="0.25">
      <c r="A285" s="38" t="str">
        <f t="shared" si="24"/>
        <v/>
      </c>
      <c r="B285" s="38"/>
      <c r="C285" s="30"/>
      <c r="D285" s="30"/>
      <c r="E285" s="30"/>
      <c r="F285" s="30"/>
      <c r="G285" s="30"/>
      <c r="H285" s="30"/>
      <c r="I285" s="36" t="str">
        <f t="shared" si="20"/>
        <v/>
      </c>
      <c r="J285" s="30"/>
      <c r="K285" s="30"/>
      <c r="L285" s="36" t="str">
        <f t="shared" si="21"/>
        <v/>
      </c>
      <c r="M285" s="37" t="str">
        <f t="shared" si="22"/>
        <v/>
      </c>
      <c r="N285" s="37" t="str">
        <f t="shared" si="23"/>
        <v/>
      </c>
      <c r="O285" s="55"/>
      <c r="P285" s="55"/>
      <c r="Q285" s="55"/>
    </row>
    <row r="286" spans="1:17" x14ac:dyDescent="0.25">
      <c r="A286" s="38" t="str">
        <f t="shared" si="24"/>
        <v/>
      </c>
      <c r="B286" s="38"/>
      <c r="C286" s="30"/>
      <c r="D286" s="30"/>
      <c r="E286" s="30"/>
      <c r="F286" s="30"/>
      <c r="G286" s="30"/>
      <c r="H286" s="30"/>
      <c r="I286" s="36" t="str">
        <f t="shared" si="20"/>
        <v/>
      </c>
      <c r="J286" s="30"/>
      <c r="K286" s="30"/>
      <c r="L286" s="36" t="str">
        <f t="shared" si="21"/>
        <v/>
      </c>
      <c r="M286" s="37" t="str">
        <f t="shared" si="22"/>
        <v/>
      </c>
      <c r="N286" s="37" t="str">
        <f t="shared" si="23"/>
        <v/>
      </c>
      <c r="O286" s="55"/>
      <c r="P286" s="55"/>
      <c r="Q286" s="55"/>
    </row>
    <row r="287" spans="1:17" x14ac:dyDescent="0.25">
      <c r="A287" s="38" t="str">
        <f t="shared" si="24"/>
        <v/>
      </c>
      <c r="B287" s="38"/>
      <c r="C287" s="30"/>
      <c r="D287" s="30"/>
      <c r="E287" s="30"/>
      <c r="F287" s="30"/>
      <c r="G287" s="30"/>
      <c r="H287" s="30"/>
      <c r="I287" s="36" t="str">
        <f t="shared" si="20"/>
        <v/>
      </c>
      <c r="J287" s="30"/>
      <c r="K287" s="30"/>
      <c r="L287" s="36" t="str">
        <f t="shared" si="21"/>
        <v/>
      </c>
      <c r="M287" s="37" t="str">
        <f t="shared" si="22"/>
        <v/>
      </c>
      <c r="N287" s="37" t="str">
        <f t="shared" si="23"/>
        <v/>
      </c>
      <c r="O287" s="55"/>
      <c r="P287" s="55"/>
      <c r="Q287" s="55"/>
    </row>
    <row r="288" spans="1:17" x14ac:dyDescent="0.25">
      <c r="A288" s="38" t="str">
        <f t="shared" si="24"/>
        <v/>
      </c>
      <c r="B288" s="38"/>
      <c r="C288" s="30"/>
      <c r="D288" s="30"/>
      <c r="E288" s="30"/>
      <c r="F288" s="30"/>
      <c r="G288" s="30"/>
      <c r="H288" s="30"/>
      <c r="I288" s="36" t="str">
        <f t="shared" si="20"/>
        <v/>
      </c>
      <c r="J288" s="30"/>
      <c r="K288" s="30"/>
      <c r="L288" s="36" t="str">
        <f t="shared" si="21"/>
        <v/>
      </c>
      <c r="M288" s="37" t="str">
        <f t="shared" si="22"/>
        <v/>
      </c>
      <c r="N288" s="37" t="str">
        <f t="shared" si="23"/>
        <v/>
      </c>
      <c r="O288" s="55"/>
      <c r="P288" s="55"/>
      <c r="Q288" s="55"/>
    </row>
    <row r="289" spans="1:17" x14ac:dyDescent="0.25">
      <c r="A289" s="38" t="str">
        <f t="shared" si="24"/>
        <v/>
      </c>
      <c r="B289" s="38"/>
      <c r="C289" s="30"/>
      <c r="D289" s="30"/>
      <c r="E289" s="30"/>
      <c r="F289" s="30"/>
      <c r="G289" s="30"/>
      <c r="H289" s="30"/>
      <c r="I289" s="36" t="str">
        <f t="shared" si="20"/>
        <v/>
      </c>
      <c r="J289" s="30"/>
      <c r="K289" s="30"/>
      <c r="L289" s="36" t="str">
        <f t="shared" si="21"/>
        <v/>
      </c>
      <c r="M289" s="37" t="str">
        <f t="shared" si="22"/>
        <v/>
      </c>
      <c r="N289" s="37" t="str">
        <f t="shared" si="23"/>
        <v/>
      </c>
      <c r="O289" s="55"/>
      <c r="P289" s="55"/>
      <c r="Q289" s="55"/>
    </row>
    <row r="290" spans="1:17" x14ac:dyDescent="0.25">
      <c r="A290" s="38" t="str">
        <f t="shared" si="24"/>
        <v/>
      </c>
      <c r="B290" s="38"/>
      <c r="C290" s="30"/>
      <c r="D290" s="30"/>
      <c r="E290" s="30"/>
      <c r="F290" s="30"/>
      <c r="G290" s="30"/>
      <c r="H290" s="30"/>
      <c r="I290" s="36" t="str">
        <f t="shared" si="20"/>
        <v/>
      </c>
      <c r="J290" s="30"/>
      <c r="K290" s="30"/>
      <c r="L290" s="36" t="str">
        <f t="shared" si="21"/>
        <v/>
      </c>
      <c r="M290" s="37" t="str">
        <f t="shared" si="22"/>
        <v/>
      </c>
      <c r="N290" s="37" t="str">
        <f t="shared" si="23"/>
        <v/>
      </c>
      <c r="O290" s="55"/>
      <c r="P290" s="55"/>
      <c r="Q290" s="55"/>
    </row>
    <row r="291" spans="1:17" x14ac:dyDescent="0.25">
      <c r="A291" s="38" t="str">
        <f t="shared" si="24"/>
        <v/>
      </c>
      <c r="B291" s="38"/>
      <c r="C291" s="30"/>
      <c r="D291" s="30"/>
      <c r="E291" s="30"/>
      <c r="F291" s="30"/>
      <c r="G291" s="30"/>
      <c r="H291" s="30"/>
      <c r="I291" s="36" t="str">
        <f t="shared" si="20"/>
        <v/>
      </c>
      <c r="J291" s="30"/>
      <c r="K291" s="30"/>
      <c r="L291" s="36" t="str">
        <f t="shared" si="21"/>
        <v/>
      </c>
      <c r="M291" s="37" t="str">
        <f t="shared" si="22"/>
        <v/>
      </c>
      <c r="N291" s="37" t="str">
        <f t="shared" si="23"/>
        <v/>
      </c>
      <c r="O291" s="55"/>
      <c r="P291" s="55"/>
      <c r="Q291" s="55"/>
    </row>
    <row r="292" spans="1:17" x14ac:dyDescent="0.25">
      <c r="A292" s="38" t="str">
        <f t="shared" si="24"/>
        <v/>
      </c>
      <c r="B292" s="38"/>
      <c r="C292" s="30"/>
      <c r="D292" s="30"/>
      <c r="E292" s="30"/>
      <c r="F292" s="30"/>
      <c r="G292" s="30"/>
      <c r="H292" s="30"/>
      <c r="I292" s="36" t="str">
        <f t="shared" si="20"/>
        <v/>
      </c>
      <c r="J292" s="30"/>
      <c r="K292" s="30"/>
      <c r="L292" s="36" t="str">
        <f t="shared" si="21"/>
        <v/>
      </c>
      <c r="M292" s="37" t="str">
        <f t="shared" si="22"/>
        <v/>
      </c>
      <c r="N292" s="37" t="str">
        <f t="shared" si="23"/>
        <v/>
      </c>
      <c r="O292" s="55"/>
      <c r="P292" s="55"/>
      <c r="Q292" s="55"/>
    </row>
    <row r="293" spans="1:17" x14ac:dyDescent="0.25">
      <c r="A293" s="38" t="str">
        <f t="shared" si="24"/>
        <v/>
      </c>
      <c r="B293" s="38"/>
      <c r="C293" s="30"/>
      <c r="D293" s="30"/>
      <c r="E293" s="30"/>
      <c r="F293" s="30"/>
      <c r="G293" s="30"/>
      <c r="H293" s="30"/>
      <c r="I293" s="36" t="str">
        <f t="shared" si="20"/>
        <v/>
      </c>
      <c r="J293" s="30"/>
      <c r="K293" s="30"/>
      <c r="L293" s="36" t="str">
        <f t="shared" si="21"/>
        <v/>
      </c>
      <c r="M293" s="37" t="str">
        <f t="shared" si="22"/>
        <v/>
      </c>
      <c r="N293" s="37" t="str">
        <f t="shared" si="23"/>
        <v/>
      </c>
      <c r="O293" s="55"/>
      <c r="P293" s="55"/>
      <c r="Q293" s="55"/>
    </row>
    <row r="294" spans="1:17" x14ac:dyDescent="0.25">
      <c r="A294" s="38" t="str">
        <f t="shared" si="24"/>
        <v/>
      </c>
      <c r="B294" s="38"/>
      <c r="C294" s="30"/>
      <c r="D294" s="30"/>
      <c r="E294" s="30"/>
      <c r="F294" s="30"/>
      <c r="G294" s="30"/>
      <c r="H294" s="30"/>
      <c r="I294" s="36" t="str">
        <f t="shared" si="20"/>
        <v/>
      </c>
      <c r="J294" s="30"/>
      <c r="K294" s="30"/>
      <c r="L294" s="36" t="str">
        <f t="shared" si="21"/>
        <v/>
      </c>
      <c r="M294" s="37" t="str">
        <f t="shared" si="22"/>
        <v/>
      </c>
      <c r="N294" s="37" t="str">
        <f t="shared" si="23"/>
        <v/>
      </c>
      <c r="O294" s="55"/>
      <c r="P294" s="55"/>
      <c r="Q294" s="55"/>
    </row>
    <row r="295" spans="1:17" x14ac:dyDescent="0.25">
      <c r="A295" s="38" t="str">
        <f t="shared" si="24"/>
        <v/>
      </c>
      <c r="B295" s="38"/>
      <c r="C295" s="30"/>
      <c r="D295" s="30"/>
      <c r="E295" s="30"/>
      <c r="F295" s="30"/>
      <c r="G295" s="30"/>
      <c r="H295" s="30"/>
      <c r="I295" s="36" t="str">
        <f t="shared" si="20"/>
        <v/>
      </c>
      <c r="J295" s="30"/>
      <c r="K295" s="30"/>
      <c r="L295" s="36" t="str">
        <f t="shared" si="21"/>
        <v/>
      </c>
      <c r="M295" s="37" t="str">
        <f t="shared" si="22"/>
        <v/>
      </c>
      <c r="N295" s="37" t="str">
        <f t="shared" si="23"/>
        <v/>
      </c>
      <c r="O295" s="55"/>
      <c r="P295" s="55"/>
      <c r="Q295" s="55"/>
    </row>
    <row r="296" spans="1:17" x14ac:dyDescent="0.25">
      <c r="A296" s="38" t="str">
        <f t="shared" si="24"/>
        <v/>
      </c>
      <c r="B296" s="38"/>
      <c r="C296" s="30"/>
      <c r="D296" s="30"/>
      <c r="E296" s="30"/>
      <c r="F296" s="30"/>
      <c r="G296" s="30"/>
      <c r="H296" s="30"/>
      <c r="I296" s="36" t="str">
        <f t="shared" si="20"/>
        <v/>
      </c>
      <c r="J296" s="30"/>
      <c r="K296" s="30"/>
      <c r="L296" s="36" t="str">
        <f t="shared" si="21"/>
        <v/>
      </c>
      <c r="M296" s="37" t="str">
        <f t="shared" si="22"/>
        <v/>
      </c>
      <c r="N296" s="37" t="str">
        <f t="shared" si="23"/>
        <v/>
      </c>
      <c r="O296" s="55"/>
      <c r="P296" s="55"/>
      <c r="Q296" s="55"/>
    </row>
    <row r="297" spans="1:17" x14ac:dyDescent="0.25">
      <c r="A297" s="38" t="str">
        <f t="shared" si="24"/>
        <v/>
      </c>
      <c r="B297" s="38"/>
      <c r="C297" s="30"/>
      <c r="D297" s="30"/>
      <c r="E297" s="30"/>
      <c r="F297" s="30"/>
      <c r="G297" s="30"/>
      <c r="H297" s="30"/>
      <c r="I297" s="36" t="str">
        <f t="shared" si="20"/>
        <v/>
      </c>
      <c r="J297" s="30"/>
      <c r="K297" s="30"/>
      <c r="L297" s="36" t="str">
        <f t="shared" si="21"/>
        <v/>
      </c>
      <c r="M297" s="37" t="str">
        <f t="shared" si="22"/>
        <v/>
      </c>
      <c r="N297" s="37" t="str">
        <f t="shared" si="23"/>
        <v/>
      </c>
      <c r="O297" s="55"/>
      <c r="P297" s="55"/>
      <c r="Q297" s="55"/>
    </row>
    <row r="298" spans="1:17" x14ac:dyDescent="0.25">
      <c r="A298" s="38" t="str">
        <f t="shared" si="24"/>
        <v/>
      </c>
      <c r="B298" s="38"/>
      <c r="C298" s="30"/>
      <c r="D298" s="30"/>
      <c r="E298" s="30"/>
      <c r="F298" s="30"/>
      <c r="G298" s="30"/>
      <c r="H298" s="30"/>
      <c r="I298" s="36" t="str">
        <f t="shared" si="20"/>
        <v/>
      </c>
      <c r="J298" s="30"/>
      <c r="K298" s="30"/>
      <c r="L298" s="36" t="str">
        <f t="shared" si="21"/>
        <v/>
      </c>
      <c r="M298" s="37" t="str">
        <f t="shared" si="22"/>
        <v/>
      </c>
      <c r="N298" s="37" t="str">
        <f t="shared" si="23"/>
        <v/>
      </c>
      <c r="O298" s="55"/>
      <c r="P298" s="55"/>
      <c r="Q298" s="55"/>
    </row>
    <row r="299" spans="1:17" x14ac:dyDescent="0.25">
      <c r="A299" s="38" t="str">
        <f t="shared" si="24"/>
        <v/>
      </c>
      <c r="B299" s="38"/>
      <c r="C299" s="30"/>
      <c r="D299" s="30"/>
      <c r="E299" s="30"/>
      <c r="F299" s="30"/>
      <c r="G299" s="30"/>
      <c r="H299" s="30"/>
      <c r="I299" s="36" t="str">
        <f t="shared" si="20"/>
        <v/>
      </c>
      <c r="J299" s="30"/>
      <c r="K299" s="30"/>
      <c r="L299" s="36" t="str">
        <f t="shared" si="21"/>
        <v/>
      </c>
      <c r="M299" s="37" t="str">
        <f t="shared" si="22"/>
        <v/>
      </c>
      <c r="N299" s="37" t="str">
        <f t="shared" si="23"/>
        <v/>
      </c>
      <c r="O299" s="55"/>
      <c r="P299" s="55"/>
      <c r="Q299" s="55"/>
    </row>
  </sheetData>
  <autoFilter ref="A2:CE2" xr:uid="{00000000-0001-0000-07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Terminologies</vt:lpstr>
      <vt:lpstr>Instructions</vt:lpstr>
      <vt:lpstr>Route-Details</vt:lpstr>
      <vt:lpstr>Node Details</vt:lpstr>
      <vt:lpstr>Other Material</vt:lpstr>
      <vt:lpstr>Other Services</vt:lpstr>
      <vt:lpstr>PO Details</vt:lpstr>
      <vt:lpstr>Other Revenue</vt:lpstr>
      <vt:lpstr>HP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Chintan Shah</dc:creator>
  <cp:keywords/>
  <dc:description/>
  <cp:lastModifiedBy>Vaishali Moon</cp:lastModifiedBy>
  <cp:revision/>
  <dcterms:created xsi:type="dcterms:W3CDTF">2022-10-14T07:42:24Z</dcterms:created>
  <dcterms:modified xsi:type="dcterms:W3CDTF">2026-04-13T07:17:40Z</dcterms:modified>
  <cp:category/>
  <cp:contentStatus/>
</cp:coreProperties>
</file>