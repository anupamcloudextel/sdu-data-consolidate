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etorg1056155-my.sharepoint.com/personal/k_prajapati_cloudextel_com/Documents/SDU/Master Tracker/"/>
    </mc:Choice>
  </mc:AlternateContent>
  <xr:revisionPtr revIDLastSave="39" documentId="11_807E594573C2759E3C21E57A123EAC0DF6310937" xr6:coauthVersionLast="47" xr6:coauthVersionMax="47" xr10:uidLastSave="{B7D47B91-A9BD-4402-A959-5A3390BAD543}"/>
  <bookViews>
    <workbookView xWindow="-120" yWindow="-120" windowWidth="20730" windowHeight="11040" tabRatio="796" firstSheet="1" activeTab="8" xr2:uid="{00000000-000D-0000-FFFF-FFFF00000000}"/>
  </bookViews>
  <sheets>
    <sheet name="Terminologies" sheetId="1" r:id="rId1"/>
    <sheet name="Instructions" sheetId="2" r:id="rId2"/>
    <sheet name="Route-Details" sheetId="4" r:id="rId3"/>
    <sheet name="Node Details" sheetId="5" r:id="rId4"/>
    <sheet name="Other Material" sheetId="6" r:id="rId5"/>
    <sheet name="Other Services" sheetId="7" r:id="rId6"/>
    <sheet name="PO Details" sheetId="9" r:id="rId7"/>
    <sheet name="Other Revenue" sheetId="10" r:id="rId8"/>
    <sheet name="HP" sheetId="8" r:id="rId9"/>
  </sheets>
  <definedNames>
    <definedName name="_xlnm._FilterDatabase" localSheetId="8" hidden="1">HP!$A$2:$CD$2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5" l="1"/>
  <c r="O9" i="9"/>
  <c r="O8" i="9"/>
  <c r="O7" i="9"/>
  <c r="O6" i="9"/>
  <c r="O5" i="9"/>
  <c r="O4" i="9"/>
  <c r="O3" i="9"/>
  <c r="O2" i="9"/>
  <c r="A3" i="10"/>
  <c r="A4" i="10" s="1"/>
  <c r="A5" i="10" s="1"/>
  <c r="A6" i="10" s="1"/>
  <c r="A7" i="10" s="1"/>
  <c r="A8" i="10" s="1"/>
  <c r="A9" i="10" s="1"/>
  <c r="A3" i="9"/>
  <c r="A4" i="9" s="1"/>
  <c r="A5" i="9" s="1"/>
  <c r="A6" i="9" s="1"/>
  <c r="A7" i="9" s="1"/>
  <c r="A8" i="9" s="1"/>
  <c r="A9" i="9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L299" i="8"/>
  <c r="M299" i="8" s="1"/>
  <c r="N299" i="8" s="1"/>
  <c r="I299" i="8"/>
  <c r="A299" i="8"/>
  <c r="L298" i="8"/>
  <c r="M298" i="8" s="1"/>
  <c r="N298" i="8" s="1"/>
  <c r="I298" i="8"/>
  <c r="A298" i="8"/>
  <c r="L297" i="8"/>
  <c r="M297" i="8" s="1"/>
  <c r="N297" i="8" s="1"/>
  <c r="I297" i="8"/>
  <c r="A297" i="8"/>
  <c r="L296" i="8"/>
  <c r="M296" i="8" s="1"/>
  <c r="N296" i="8" s="1"/>
  <c r="I296" i="8"/>
  <c r="A296" i="8"/>
  <c r="L295" i="8"/>
  <c r="M295" i="8" s="1"/>
  <c r="N295" i="8" s="1"/>
  <c r="I295" i="8"/>
  <c r="A295" i="8"/>
  <c r="L294" i="8"/>
  <c r="M294" i="8" s="1"/>
  <c r="N294" i="8" s="1"/>
  <c r="I294" i="8"/>
  <c r="A294" i="8"/>
  <c r="L293" i="8"/>
  <c r="M293" i="8" s="1"/>
  <c r="N293" i="8" s="1"/>
  <c r="I293" i="8"/>
  <c r="A293" i="8"/>
  <c r="L292" i="8"/>
  <c r="M292" i="8" s="1"/>
  <c r="N292" i="8" s="1"/>
  <c r="I292" i="8"/>
  <c r="A292" i="8"/>
  <c r="L291" i="8"/>
  <c r="M291" i="8" s="1"/>
  <c r="N291" i="8" s="1"/>
  <c r="I291" i="8"/>
  <c r="A291" i="8"/>
  <c r="M290" i="8"/>
  <c r="N290" i="8" s="1"/>
  <c r="L290" i="8"/>
  <c r="I290" i="8"/>
  <c r="A290" i="8"/>
  <c r="L289" i="8"/>
  <c r="M289" i="8" s="1"/>
  <c r="N289" i="8" s="1"/>
  <c r="I289" i="8"/>
  <c r="A289" i="8"/>
  <c r="L288" i="8"/>
  <c r="M288" i="8" s="1"/>
  <c r="N288" i="8" s="1"/>
  <c r="I288" i="8"/>
  <c r="A288" i="8"/>
  <c r="L287" i="8"/>
  <c r="M287" i="8" s="1"/>
  <c r="N287" i="8" s="1"/>
  <c r="I287" i="8"/>
  <c r="A287" i="8"/>
  <c r="L286" i="8"/>
  <c r="M286" i="8" s="1"/>
  <c r="N286" i="8" s="1"/>
  <c r="I286" i="8"/>
  <c r="A286" i="8"/>
  <c r="L285" i="8"/>
  <c r="M285" i="8" s="1"/>
  <c r="N285" i="8" s="1"/>
  <c r="I285" i="8"/>
  <c r="A285" i="8"/>
  <c r="L284" i="8"/>
  <c r="M284" i="8" s="1"/>
  <c r="N284" i="8" s="1"/>
  <c r="I284" i="8"/>
  <c r="A284" i="8"/>
  <c r="L283" i="8"/>
  <c r="M283" i="8" s="1"/>
  <c r="N283" i="8" s="1"/>
  <c r="I283" i="8"/>
  <c r="A283" i="8"/>
  <c r="L282" i="8"/>
  <c r="M282" i="8" s="1"/>
  <c r="N282" i="8" s="1"/>
  <c r="I282" i="8"/>
  <c r="A282" i="8"/>
  <c r="L281" i="8"/>
  <c r="M281" i="8" s="1"/>
  <c r="N281" i="8" s="1"/>
  <c r="I281" i="8"/>
  <c r="A281" i="8"/>
  <c r="L280" i="8"/>
  <c r="M280" i="8" s="1"/>
  <c r="N280" i="8" s="1"/>
  <c r="I280" i="8"/>
  <c r="A280" i="8"/>
  <c r="L279" i="8"/>
  <c r="M279" i="8" s="1"/>
  <c r="N279" i="8" s="1"/>
  <c r="I279" i="8"/>
  <c r="A279" i="8"/>
  <c r="L278" i="8"/>
  <c r="M278" i="8" s="1"/>
  <c r="N278" i="8" s="1"/>
  <c r="I278" i="8"/>
  <c r="A278" i="8"/>
  <c r="M277" i="8"/>
  <c r="N277" i="8" s="1"/>
  <c r="L277" i="8"/>
  <c r="I277" i="8"/>
  <c r="A277" i="8"/>
  <c r="L276" i="8"/>
  <c r="M276" i="8" s="1"/>
  <c r="N276" i="8" s="1"/>
  <c r="I276" i="8"/>
  <c r="A276" i="8"/>
  <c r="M275" i="8"/>
  <c r="N275" i="8" s="1"/>
  <c r="L275" i="8"/>
  <c r="I275" i="8"/>
  <c r="A275" i="8"/>
  <c r="L274" i="8"/>
  <c r="M274" i="8" s="1"/>
  <c r="N274" i="8" s="1"/>
  <c r="I274" i="8"/>
  <c r="A274" i="8"/>
  <c r="L273" i="8"/>
  <c r="M273" i="8" s="1"/>
  <c r="N273" i="8" s="1"/>
  <c r="I273" i="8"/>
  <c r="A273" i="8"/>
  <c r="N272" i="8"/>
  <c r="L272" i="8"/>
  <c r="M272" i="8" s="1"/>
  <c r="I272" i="8"/>
  <c r="A272" i="8"/>
  <c r="L271" i="8"/>
  <c r="M271" i="8" s="1"/>
  <c r="N271" i="8" s="1"/>
  <c r="I271" i="8"/>
  <c r="A271" i="8"/>
  <c r="L270" i="8"/>
  <c r="M270" i="8" s="1"/>
  <c r="N270" i="8" s="1"/>
  <c r="I270" i="8"/>
  <c r="A270" i="8"/>
  <c r="L269" i="8"/>
  <c r="M269" i="8" s="1"/>
  <c r="N269" i="8" s="1"/>
  <c r="I269" i="8"/>
  <c r="A269" i="8"/>
  <c r="L268" i="8"/>
  <c r="M268" i="8" s="1"/>
  <c r="N268" i="8" s="1"/>
  <c r="I268" i="8"/>
  <c r="A268" i="8"/>
  <c r="L267" i="8"/>
  <c r="M267" i="8" s="1"/>
  <c r="N267" i="8" s="1"/>
  <c r="I267" i="8"/>
  <c r="A267" i="8"/>
  <c r="L266" i="8"/>
  <c r="M266" i="8" s="1"/>
  <c r="N266" i="8" s="1"/>
  <c r="I266" i="8"/>
  <c r="A266" i="8"/>
  <c r="L265" i="8"/>
  <c r="M265" i="8" s="1"/>
  <c r="N265" i="8" s="1"/>
  <c r="I265" i="8"/>
  <c r="A265" i="8"/>
  <c r="L264" i="8"/>
  <c r="M264" i="8" s="1"/>
  <c r="N264" i="8" s="1"/>
  <c r="I264" i="8"/>
  <c r="A264" i="8"/>
  <c r="L263" i="8"/>
  <c r="M263" i="8" s="1"/>
  <c r="N263" i="8" s="1"/>
  <c r="I263" i="8"/>
  <c r="A263" i="8"/>
  <c r="L262" i="8"/>
  <c r="M262" i="8" s="1"/>
  <c r="N262" i="8" s="1"/>
  <c r="I262" i="8"/>
  <c r="A262" i="8"/>
  <c r="L261" i="8"/>
  <c r="M261" i="8" s="1"/>
  <c r="N261" i="8" s="1"/>
  <c r="I261" i="8"/>
  <c r="A261" i="8"/>
  <c r="L260" i="8"/>
  <c r="M260" i="8" s="1"/>
  <c r="N260" i="8" s="1"/>
  <c r="I260" i="8"/>
  <c r="A260" i="8"/>
  <c r="L259" i="8"/>
  <c r="M259" i="8" s="1"/>
  <c r="N259" i="8" s="1"/>
  <c r="I259" i="8"/>
  <c r="A259" i="8"/>
  <c r="L258" i="8"/>
  <c r="M258" i="8" s="1"/>
  <c r="N258" i="8" s="1"/>
  <c r="I258" i="8"/>
  <c r="A258" i="8"/>
  <c r="L257" i="8"/>
  <c r="M257" i="8" s="1"/>
  <c r="N257" i="8" s="1"/>
  <c r="I257" i="8"/>
  <c r="A257" i="8"/>
  <c r="L256" i="8"/>
  <c r="M256" i="8" s="1"/>
  <c r="N256" i="8" s="1"/>
  <c r="I256" i="8"/>
  <c r="A256" i="8"/>
  <c r="L255" i="8"/>
  <c r="M255" i="8" s="1"/>
  <c r="N255" i="8" s="1"/>
  <c r="I255" i="8"/>
  <c r="A255" i="8"/>
  <c r="L254" i="8"/>
  <c r="M254" i="8" s="1"/>
  <c r="N254" i="8" s="1"/>
  <c r="I254" i="8"/>
  <c r="A254" i="8"/>
  <c r="L253" i="8"/>
  <c r="M253" i="8" s="1"/>
  <c r="N253" i="8" s="1"/>
  <c r="I253" i="8"/>
  <c r="A253" i="8"/>
  <c r="L252" i="8"/>
  <c r="M252" i="8" s="1"/>
  <c r="N252" i="8" s="1"/>
  <c r="I252" i="8"/>
  <c r="A252" i="8"/>
  <c r="L251" i="8"/>
  <c r="M251" i="8" s="1"/>
  <c r="N251" i="8" s="1"/>
  <c r="I251" i="8"/>
  <c r="A251" i="8"/>
  <c r="L250" i="8"/>
  <c r="M250" i="8" s="1"/>
  <c r="N250" i="8" s="1"/>
  <c r="I250" i="8"/>
  <c r="A250" i="8"/>
  <c r="L249" i="8"/>
  <c r="M249" i="8" s="1"/>
  <c r="N249" i="8" s="1"/>
  <c r="I249" i="8"/>
  <c r="A249" i="8"/>
  <c r="L248" i="8"/>
  <c r="M248" i="8" s="1"/>
  <c r="N248" i="8" s="1"/>
  <c r="I248" i="8"/>
  <c r="A248" i="8"/>
  <c r="L247" i="8"/>
  <c r="M247" i="8" s="1"/>
  <c r="N247" i="8" s="1"/>
  <c r="I247" i="8"/>
  <c r="A247" i="8"/>
  <c r="L246" i="8"/>
  <c r="M246" i="8" s="1"/>
  <c r="N246" i="8" s="1"/>
  <c r="I246" i="8"/>
  <c r="A246" i="8"/>
  <c r="M245" i="8"/>
  <c r="N245" i="8" s="1"/>
  <c r="L245" i="8"/>
  <c r="I245" i="8"/>
  <c r="A245" i="8"/>
  <c r="L244" i="8"/>
  <c r="M244" i="8" s="1"/>
  <c r="N244" i="8" s="1"/>
  <c r="I244" i="8"/>
  <c r="A244" i="8"/>
  <c r="L243" i="8"/>
  <c r="M243" i="8" s="1"/>
  <c r="N243" i="8" s="1"/>
  <c r="I243" i="8"/>
  <c r="A243" i="8"/>
  <c r="L242" i="8"/>
  <c r="M242" i="8" s="1"/>
  <c r="N242" i="8" s="1"/>
  <c r="I242" i="8"/>
  <c r="A242" i="8"/>
  <c r="L241" i="8"/>
  <c r="M241" i="8" s="1"/>
  <c r="N241" i="8" s="1"/>
  <c r="I241" i="8"/>
  <c r="A241" i="8"/>
  <c r="L240" i="8"/>
  <c r="M240" i="8" s="1"/>
  <c r="N240" i="8" s="1"/>
  <c r="I240" i="8"/>
  <c r="A240" i="8"/>
  <c r="L239" i="8"/>
  <c r="M239" i="8" s="1"/>
  <c r="N239" i="8" s="1"/>
  <c r="I239" i="8"/>
  <c r="A239" i="8"/>
  <c r="L238" i="8"/>
  <c r="M238" i="8" s="1"/>
  <c r="N238" i="8" s="1"/>
  <c r="I238" i="8"/>
  <c r="A238" i="8"/>
  <c r="L237" i="8"/>
  <c r="M237" i="8" s="1"/>
  <c r="N237" i="8" s="1"/>
  <c r="I237" i="8"/>
  <c r="A237" i="8"/>
  <c r="L236" i="8"/>
  <c r="M236" i="8" s="1"/>
  <c r="N236" i="8" s="1"/>
  <c r="I236" i="8"/>
  <c r="A236" i="8"/>
  <c r="L235" i="8"/>
  <c r="M235" i="8" s="1"/>
  <c r="N235" i="8" s="1"/>
  <c r="I235" i="8"/>
  <c r="A235" i="8"/>
  <c r="L234" i="8"/>
  <c r="M234" i="8" s="1"/>
  <c r="N234" i="8" s="1"/>
  <c r="I234" i="8"/>
  <c r="A234" i="8"/>
  <c r="L233" i="8"/>
  <c r="M233" i="8" s="1"/>
  <c r="N233" i="8" s="1"/>
  <c r="I233" i="8"/>
  <c r="A233" i="8"/>
  <c r="L232" i="8"/>
  <c r="M232" i="8" s="1"/>
  <c r="N232" i="8" s="1"/>
  <c r="I232" i="8"/>
  <c r="A232" i="8"/>
  <c r="L231" i="8"/>
  <c r="M231" i="8" s="1"/>
  <c r="N231" i="8" s="1"/>
  <c r="I231" i="8"/>
  <c r="A231" i="8"/>
  <c r="L230" i="8"/>
  <c r="M230" i="8" s="1"/>
  <c r="N230" i="8" s="1"/>
  <c r="I230" i="8"/>
  <c r="A230" i="8"/>
  <c r="L229" i="8"/>
  <c r="M229" i="8" s="1"/>
  <c r="N229" i="8" s="1"/>
  <c r="I229" i="8"/>
  <c r="A229" i="8"/>
  <c r="L228" i="8"/>
  <c r="M228" i="8" s="1"/>
  <c r="N228" i="8" s="1"/>
  <c r="I228" i="8"/>
  <c r="A228" i="8"/>
  <c r="L227" i="8"/>
  <c r="M227" i="8" s="1"/>
  <c r="N227" i="8" s="1"/>
  <c r="I227" i="8"/>
  <c r="A227" i="8"/>
  <c r="L226" i="8"/>
  <c r="M226" i="8" s="1"/>
  <c r="N226" i="8" s="1"/>
  <c r="I226" i="8"/>
  <c r="A226" i="8"/>
  <c r="L225" i="8"/>
  <c r="M225" i="8" s="1"/>
  <c r="N225" i="8" s="1"/>
  <c r="I225" i="8"/>
  <c r="A225" i="8"/>
  <c r="L224" i="8"/>
  <c r="M224" i="8" s="1"/>
  <c r="N224" i="8" s="1"/>
  <c r="I224" i="8"/>
  <c r="A224" i="8"/>
  <c r="N223" i="8"/>
  <c r="L223" i="8"/>
  <c r="M223" i="8" s="1"/>
  <c r="I223" i="8"/>
  <c r="A223" i="8"/>
  <c r="L222" i="8"/>
  <c r="M222" i="8" s="1"/>
  <c r="N222" i="8" s="1"/>
  <c r="I222" i="8"/>
  <c r="A222" i="8"/>
  <c r="L221" i="8"/>
  <c r="M221" i="8" s="1"/>
  <c r="N221" i="8" s="1"/>
  <c r="I221" i="8"/>
  <c r="A221" i="8"/>
  <c r="L220" i="8"/>
  <c r="M220" i="8" s="1"/>
  <c r="N220" i="8" s="1"/>
  <c r="I220" i="8"/>
  <c r="A220" i="8"/>
  <c r="L219" i="8"/>
  <c r="M219" i="8" s="1"/>
  <c r="N219" i="8" s="1"/>
  <c r="I219" i="8"/>
  <c r="A219" i="8"/>
  <c r="L218" i="8"/>
  <c r="M218" i="8" s="1"/>
  <c r="N218" i="8" s="1"/>
  <c r="I218" i="8"/>
  <c r="A218" i="8"/>
  <c r="L217" i="8"/>
  <c r="M217" i="8" s="1"/>
  <c r="N217" i="8" s="1"/>
  <c r="I217" i="8"/>
  <c r="A217" i="8"/>
  <c r="L216" i="8"/>
  <c r="M216" i="8" s="1"/>
  <c r="N216" i="8" s="1"/>
  <c r="I216" i="8"/>
  <c r="A216" i="8"/>
  <c r="L215" i="8"/>
  <c r="M215" i="8" s="1"/>
  <c r="N215" i="8" s="1"/>
  <c r="I215" i="8"/>
  <c r="A215" i="8"/>
  <c r="L214" i="8"/>
  <c r="M214" i="8" s="1"/>
  <c r="N214" i="8" s="1"/>
  <c r="I214" i="8"/>
  <c r="A214" i="8"/>
  <c r="L213" i="8"/>
  <c r="M213" i="8" s="1"/>
  <c r="N213" i="8" s="1"/>
  <c r="I213" i="8"/>
  <c r="A213" i="8"/>
  <c r="L212" i="8"/>
  <c r="M212" i="8" s="1"/>
  <c r="N212" i="8" s="1"/>
  <c r="I212" i="8"/>
  <c r="A212" i="8"/>
  <c r="L211" i="8"/>
  <c r="M211" i="8" s="1"/>
  <c r="N211" i="8" s="1"/>
  <c r="I211" i="8"/>
  <c r="A211" i="8"/>
  <c r="L210" i="8"/>
  <c r="M210" i="8" s="1"/>
  <c r="N210" i="8" s="1"/>
  <c r="I210" i="8"/>
  <c r="A210" i="8"/>
  <c r="L209" i="8"/>
  <c r="M209" i="8" s="1"/>
  <c r="N209" i="8" s="1"/>
  <c r="I209" i="8"/>
  <c r="A209" i="8"/>
  <c r="L208" i="8"/>
  <c r="M208" i="8" s="1"/>
  <c r="N208" i="8" s="1"/>
  <c r="I208" i="8"/>
  <c r="A208" i="8"/>
  <c r="L207" i="8"/>
  <c r="M207" i="8" s="1"/>
  <c r="N207" i="8" s="1"/>
  <c r="I207" i="8"/>
  <c r="A207" i="8"/>
  <c r="L206" i="8"/>
  <c r="M206" i="8" s="1"/>
  <c r="N206" i="8" s="1"/>
  <c r="I206" i="8"/>
  <c r="A206" i="8"/>
  <c r="L205" i="8"/>
  <c r="M205" i="8" s="1"/>
  <c r="N205" i="8" s="1"/>
  <c r="I205" i="8"/>
  <c r="A205" i="8"/>
  <c r="L204" i="8"/>
  <c r="M204" i="8" s="1"/>
  <c r="N204" i="8" s="1"/>
  <c r="I204" i="8"/>
  <c r="A204" i="8"/>
  <c r="L203" i="8"/>
  <c r="M203" i="8" s="1"/>
  <c r="N203" i="8" s="1"/>
  <c r="I203" i="8"/>
  <c r="A203" i="8"/>
  <c r="L202" i="8"/>
  <c r="M202" i="8" s="1"/>
  <c r="N202" i="8" s="1"/>
  <c r="I202" i="8"/>
  <c r="A202" i="8"/>
  <c r="L201" i="8"/>
  <c r="M201" i="8" s="1"/>
  <c r="N201" i="8" s="1"/>
  <c r="I201" i="8"/>
  <c r="A201" i="8"/>
  <c r="L200" i="8"/>
  <c r="M200" i="8" s="1"/>
  <c r="N200" i="8" s="1"/>
  <c r="I200" i="8"/>
  <c r="A200" i="8"/>
  <c r="L199" i="8"/>
  <c r="M199" i="8" s="1"/>
  <c r="N199" i="8" s="1"/>
  <c r="I199" i="8"/>
  <c r="A199" i="8"/>
  <c r="L198" i="8"/>
  <c r="M198" i="8" s="1"/>
  <c r="N198" i="8" s="1"/>
  <c r="I198" i="8"/>
  <c r="A198" i="8"/>
  <c r="L197" i="8"/>
  <c r="M197" i="8" s="1"/>
  <c r="N197" i="8" s="1"/>
  <c r="I197" i="8"/>
  <c r="A197" i="8"/>
  <c r="L196" i="8"/>
  <c r="M196" i="8" s="1"/>
  <c r="N196" i="8" s="1"/>
  <c r="I196" i="8"/>
  <c r="A196" i="8"/>
  <c r="L195" i="8"/>
  <c r="M195" i="8" s="1"/>
  <c r="N195" i="8" s="1"/>
  <c r="I195" i="8"/>
  <c r="A195" i="8"/>
  <c r="M194" i="8"/>
  <c r="N194" i="8" s="1"/>
  <c r="L194" i="8"/>
  <c r="I194" i="8"/>
  <c r="A194" i="8"/>
  <c r="L193" i="8"/>
  <c r="M193" i="8" s="1"/>
  <c r="N193" i="8" s="1"/>
  <c r="I193" i="8"/>
  <c r="A193" i="8"/>
  <c r="L192" i="8"/>
  <c r="M192" i="8" s="1"/>
  <c r="N192" i="8" s="1"/>
  <c r="I192" i="8"/>
  <c r="A192" i="8"/>
  <c r="L191" i="8"/>
  <c r="M191" i="8" s="1"/>
  <c r="N191" i="8" s="1"/>
  <c r="I191" i="8"/>
  <c r="A191" i="8"/>
  <c r="L190" i="8"/>
  <c r="M190" i="8" s="1"/>
  <c r="N190" i="8" s="1"/>
  <c r="I190" i="8"/>
  <c r="A190" i="8"/>
  <c r="L189" i="8"/>
  <c r="M189" i="8" s="1"/>
  <c r="N189" i="8" s="1"/>
  <c r="I189" i="8"/>
  <c r="A189" i="8"/>
  <c r="L188" i="8"/>
  <c r="M188" i="8" s="1"/>
  <c r="N188" i="8" s="1"/>
  <c r="I188" i="8"/>
  <c r="A188" i="8"/>
  <c r="L187" i="8"/>
  <c r="M187" i="8" s="1"/>
  <c r="N187" i="8" s="1"/>
  <c r="I187" i="8"/>
  <c r="A187" i="8"/>
  <c r="L186" i="8"/>
  <c r="M186" i="8" s="1"/>
  <c r="N186" i="8" s="1"/>
  <c r="I186" i="8"/>
  <c r="A186" i="8"/>
  <c r="L185" i="8"/>
  <c r="M185" i="8" s="1"/>
  <c r="N185" i="8" s="1"/>
  <c r="I185" i="8"/>
  <c r="A185" i="8"/>
  <c r="N184" i="8"/>
  <c r="L184" i="8"/>
  <c r="M184" i="8" s="1"/>
  <c r="I184" i="8"/>
  <c r="A184" i="8"/>
  <c r="L183" i="8"/>
  <c r="M183" i="8" s="1"/>
  <c r="N183" i="8" s="1"/>
  <c r="I183" i="8"/>
  <c r="A183" i="8"/>
  <c r="L182" i="8"/>
  <c r="M182" i="8" s="1"/>
  <c r="N182" i="8" s="1"/>
  <c r="I182" i="8"/>
  <c r="A182" i="8"/>
  <c r="L181" i="8"/>
  <c r="M181" i="8" s="1"/>
  <c r="N181" i="8" s="1"/>
  <c r="I181" i="8"/>
  <c r="A181" i="8"/>
  <c r="L180" i="8"/>
  <c r="M180" i="8" s="1"/>
  <c r="N180" i="8" s="1"/>
  <c r="I180" i="8"/>
  <c r="A180" i="8"/>
  <c r="L179" i="8"/>
  <c r="M179" i="8" s="1"/>
  <c r="N179" i="8" s="1"/>
  <c r="I179" i="8"/>
  <c r="A179" i="8"/>
  <c r="L178" i="8"/>
  <c r="M178" i="8" s="1"/>
  <c r="N178" i="8" s="1"/>
  <c r="I178" i="8"/>
  <c r="A178" i="8"/>
  <c r="L177" i="8"/>
  <c r="M177" i="8" s="1"/>
  <c r="N177" i="8" s="1"/>
  <c r="I177" i="8"/>
  <c r="A177" i="8"/>
  <c r="L176" i="8"/>
  <c r="M176" i="8" s="1"/>
  <c r="N176" i="8" s="1"/>
  <c r="I176" i="8"/>
  <c r="A176" i="8"/>
  <c r="L175" i="8"/>
  <c r="M175" i="8" s="1"/>
  <c r="N175" i="8" s="1"/>
  <c r="I175" i="8"/>
  <c r="A175" i="8"/>
  <c r="L174" i="8"/>
  <c r="M174" i="8" s="1"/>
  <c r="N174" i="8" s="1"/>
  <c r="I174" i="8"/>
  <c r="A174" i="8"/>
  <c r="L173" i="8"/>
  <c r="M173" i="8" s="1"/>
  <c r="N173" i="8" s="1"/>
  <c r="I173" i="8"/>
  <c r="A173" i="8"/>
  <c r="M172" i="8"/>
  <c r="N172" i="8" s="1"/>
  <c r="L172" i="8"/>
  <c r="I172" i="8"/>
  <c r="A172" i="8"/>
  <c r="L171" i="8"/>
  <c r="M171" i="8" s="1"/>
  <c r="N171" i="8" s="1"/>
  <c r="I171" i="8"/>
  <c r="A171" i="8"/>
  <c r="L170" i="8"/>
  <c r="M170" i="8" s="1"/>
  <c r="N170" i="8" s="1"/>
  <c r="I170" i="8"/>
  <c r="A170" i="8"/>
  <c r="L169" i="8"/>
  <c r="M169" i="8" s="1"/>
  <c r="N169" i="8" s="1"/>
  <c r="I169" i="8"/>
  <c r="A169" i="8"/>
  <c r="L168" i="8"/>
  <c r="M168" i="8" s="1"/>
  <c r="N168" i="8" s="1"/>
  <c r="I168" i="8"/>
  <c r="A168" i="8"/>
  <c r="L167" i="8"/>
  <c r="M167" i="8" s="1"/>
  <c r="N167" i="8" s="1"/>
  <c r="I167" i="8"/>
  <c r="A167" i="8"/>
  <c r="M166" i="8"/>
  <c r="N166" i="8" s="1"/>
  <c r="L166" i="8"/>
  <c r="I166" i="8"/>
  <c r="A166" i="8"/>
  <c r="L165" i="8"/>
  <c r="M165" i="8" s="1"/>
  <c r="N165" i="8" s="1"/>
  <c r="I165" i="8"/>
  <c r="A165" i="8"/>
  <c r="L164" i="8"/>
  <c r="M164" i="8" s="1"/>
  <c r="N164" i="8" s="1"/>
  <c r="I164" i="8"/>
  <c r="A164" i="8"/>
  <c r="L163" i="8"/>
  <c r="M163" i="8" s="1"/>
  <c r="N163" i="8" s="1"/>
  <c r="I163" i="8"/>
  <c r="A163" i="8"/>
  <c r="L162" i="8"/>
  <c r="M162" i="8" s="1"/>
  <c r="N162" i="8" s="1"/>
  <c r="I162" i="8"/>
  <c r="A162" i="8"/>
  <c r="L161" i="8"/>
  <c r="M161" i="8" s="1"/>
  <c r="N161" i="8" s="1"/>
  <c r="I161" i="8"/>
  <c r="A161" i="8"/>
  <c r="L160" i="8"/>
  <c r="M160" i="8" s="1"/>
  <c r="N160" i="8" s="1"/>
  <c r="I160" i="8"/>
  <c r="A160" i="8"/>
  <c r="L159" i="8"/>
  <c r="M159" i="8" s="1"/>
  <c r="N159" i="8" s="1"/>
  <c r="I159" i="8"/>
  <c r="A159" i="8"/>
  <c r="M158" i="8"/>
  <c r="N158" i="8" s="1"/>
  <c r="L158" i="8"/>
  <c r="I158" i="8"/>
  <c r="A158" i="8"/>
  <c r="L157" i="8"/>
  <c r="M157" i="8" s="1"/>
  <c r="N157" i="8" s="1"/>
  <c r="I157" i="8"/>
  <c r="A157" i="8"/>
  <c r="M156" i="8"/>
  <c r="N156" i="8" s="1"/>
  <c r="L156" i="8"/>
  <c r="I156" i="8"/>
  <c r="A156" i="8"/>
  <c r="L155" i="8"/>
  <c r="M155" i="8" s="1"/>
  <c r="N155" i="8" s="1"/>
  <c r="I155" i="8"/>
  <c r="A155" i="8"/>
  <c r="L154" i="8"/>
  <c r="M154" i="8" s="1"/>
  <c r="N154" i="8" s="1"/>
  <c r="I154" i="8"/>
  <c r="A154" i="8"/>
  <c r="L153" i="8"/>
  <c r="M153" i="8" s="1"/>
  <c r="N153" i="8" s="1"/>
  <c r="I153" i="8"/>
  <c r="A153" i="8"/>
  <c r="L152" i="8"/>
  <c r="M152" i="8" s="1"/>
  <c r="N152" i="8" s="1"/>
  <c r="I152" i="8"/>
  <c r="A152" i="8"/>
  <c r="N151" i="8"/>
  <c r="L151" i="8"/>
  <c r="M151" i="8" s="1"/>
  <c r="I151" i="8"/>
  <c r="A151" i="8"/>
  <c r="L150" i="8"/>
  <c r="M150" i="8" s="1"/>
  <c r="N150" i="8" s="1"/>
  <c r="I150" i="8"/>
  <c r="A150" i="8"/>
  <c r="L149" i="8"/>
  <c r="M149" i="8" s="1"/>
  <c r="N149" i="8" s="1"/>
  <c r="I149" i="8"/>
  <c r="A149" i="8"/>
  <c r="L148" i="8"/>
  <c r="M148" i="8" s="1"/>
  <c r="N148" i="8" s="1"/>
  <c r="I148" i="8"/>
  <c r="A148" i="8"/>
  <c r="L147" i="8"/>
  <c r="M147" i="8" s="1"/>
  <c r="N147" i="8" s="1"/>
  <c r="I147" i="8"/>
  <c r="A147" i="8"/>
  <c r="L146" i="8"/>
  <c r="M146" i="8" s="1"/>
  <c r="N146" i="8" s="1"/>
  <c r="I146" i="8"/>
  <c r="A146" i="8"/>
  <c r="L145" i="8"/>
  <c r="M145" i="8" s="1"/>
  <c r="N145" i="8" s="1"/>
  <c r="I145" i="8"/>
  <c r="A145" i="8"/>
  <c r="L144" i="8"/>
  <c r="M144" i="8" s="1"/>
  <c r="N144" i="8" s="1"/>
  <c r="I144" i="8"/>
  <c r="A144" i="8"/>
  <c r="L143" i="8"/>
  <c r="M143" i="8" s="1"/>
  <c r="N143" i="8" s="1"/>
  <c r="I143" i="8"/>
  <c r="A143" i="8"/>
  <c r="L142" i="8"/>
  <c r="M142" i="8" s="1"/>
  <c r="N142" i="8" s="1"/>
  <c r="I142" i="8"/>
  <c r="A142" i="8"/>
  <c r="L141" i="8"/>
  <c r="M141" i="8" s="1"/>
  <c r="N141" i="8" s="1"/>
  <c r="I141" i="8"/>
  <c r="A141" i="8"/>
  <c r="L140" i="8"/>
  <c r="M140" i="8" s="1"/>
  <c r="N140" i="8" s="1"/>
  <c r="I140" i="8"/>
  <c r="A140" i="8"/>
  <c r="L139" i="8"/>
  <c r="M139" i="8" s="1"/>
  <c r="N139" i="8" s="1"/>
  <c r="I139" i="8"/>
  <c r="A139" i="8"/>
  <c r="L138" i="8"/>
  <c r="M138" i="8" s="1"/>
  <c r="N138" i="8" s="1"/>
  <c r="I138" i="8"/>
  <c r="A138" i="8"/>
  <c r="L137" i="8"/>
  <c r="M137" i="8" s="1"/>
  <c r="N137" i="8" s="1"/>
  <c r="I137" i="8"/>
  <c r="A137" i="8"/>
  <c r="L136" i="8"/>
  <c r="M136" i="8" s="1"/>
  <c r="N136" i="8" s="1"/>
  <c r="I136" i="8"/>
  <c r="A136" i="8"/>
  <c r="L135" i="8"/>
  <c r="M135" i="8" s="1"/>
  <c r="N135" i="8" s="1"/>
  <c r="I135" i="8"/>
  <c r="A135" i="8"/>
  <c r="L134" i="8"/>
  <c r="M134" i="8" s="1"/>
  <c r="N134" i="8" s="1"/>
  <c r="I134" i="8"/>
  <c r="A134" i="8"/>
  <c r="L133" i="8"/>
  <c r="M133" i="8" s="1"/>
  <c r="N133" i="8" s="1"/>
  <c r="I133" i="8"/>
  <c r="A133" i="8"/>
  <c r="L132" i="8"/>
  <c r="M132" i="8" s="1"/>
  <c r="N132" i="8" s="1"/>
  <c r="I132" i="8"/>
  <c r="A132" i="8"/>
  <c r="L131" i="8"/>
  <c r="M131" i="8" s="1"/>
  <c r="N131" i="8" s="1"/>
  <c r="I131" i="8"/>
  <c r="A131" i="8"/>
  <c r="L130" i="8"/>
  <c r="M130" i="8" s="1"/>
  <c r="N130" i="8" s="1"/>
  <c r="I130" i="8"/>
  <c r="A130" i="8"/>
  <c r="L129" i="8"/>
  <c r="M129" i="8" s="1"/>
  <c r="N129" i="8" s="1"/>
  <c r="I129" i="8"/>
  <c r="A129" i="8"/>
  <c r="L128" i="8"/>
  <c r="M128" i="8" s="1"/>
  <c r="N128" i="8" s="1"/>
  <c r="I128" i="8"/>
  <c r="A128" i="8"/>
  <c r="L127" i="8"/>
  <c r="M127" i="8" s="1"/>
  <c r="N127" i="8" s="1"/>
  <c r="I127" i="8"/>
  <c r="A127" i="8"/>
  <c r="L126" i="8"/>
  <c r="M126" i="8" s="1"/>
  <c r="N126" i="8" s="1"/>
  <c r="I126" i="8"/>
  <c r="A126" i="8"/>
  <c r="L125" i="8"/>
  <c r="M125" i="8" s="1"/>
  <c r="N125" i="8" s="1"/>
  <c r="I125" i="8"/>
  <c r="A125" i="8"/>
  <c r="L124" i="8"/>
  <c r="M124" i="8" s="1"/>
  <c r="N124" i="8" s="1"/>
  <c r="I124" i="8"/>
  <c r="A124" i="8"/>
  <c r="L123" i="8"/>
  <c r="M123" i="8" s="1"/>
  <c r="N123" i="8" s="1"/>
  <c r="I123" i="8"/>
  <c r="A123" i="8"/>
  <c r="L122" i="8"/>
  <c r="M122" i="8" s="1"/>
  <c r="N122" i="8" s="1"/>
  <c r="I122" i="8"/>
  <c r="A122" i="8"/>
  <c r="L121" i="8"/>
  <c r="M121" i="8" s="1"/>
  <c r="N121" i="8" s="1"/>
  <c r="I121" i="8"/>
  <c r="A121" i="8"/>
  <c r="L120" i="8"/>
  <c r="M120" i="8" s="1"/>
  <c r="N120" i="8" s="1"/>
  <c r="I120" i="8"/>
  <c r="A120" i="8"/>
  <c r="L119" i="8"/>
  <c r="M119" i="8" s="1"/>
  <c r="N119" i="8" s="1"/>
  <c r="I119" i="8"/>
  <c r="A119" i="8"/>
  <c r="L118" i="8"/>
  <c r="M118" i="8" s="1"/>
  <c r="N118" i="8" s="1"/>
  <c r="I118" i="8"/>
  <c r="A118" i="8"/>
  <c r="L117" i="8"/>
  <c r="M117" i="8" s="1"/>
  <c r="N117" i="8" s="1"/>
  <c r="I117" i="8"/>
  <c r="A117" i="8"/>
  <c r="L116" i="8"/>
  <c r="M116" i="8" s="1"/>
  <c r="N116" i="8" s="1"/>
  <c r="I116" i="8"/>
  <c r="A116" i="8"/>
  <c r="L115" i="8"/>
  <c r="M115" i="8" s="1"/>
  <c r="N115" i="8" s="1"/>
  <c r="I115" i="8"/>
  <c r="A115" i="8"/>
  <c r="L114" i="8"/>
  <c r="M114" i="8" s="1"/>
  <c r="N114" i="8" s="1"/>
  <c r="I114" i="8"/>
  <c r="A114" i="8"/>
  <c r="L113" i="8"/>
  <c r="M113" i="8" s="1"/>
  <c r="N113" i="8" s="1"/>
  <c r="I113" i="8"/>
  <c r="A113" i="8"/>
  <c r="N112" i="8"/>
  <c r="L112" i="8"/>
  <c r="M112" i="8" s="1"/>
  <c r="I112" i="8"/>
  <c r="A112" i="8"/>
  <c r="L111" i="8"/>
  <c r="M111" i="8" s="1"/>
  <c r="N111" i="8" s="1"/>
  <c r="I111" i="8"/>
  <c r="A111" i="8"/>
  <c r="M110" i="8"/>
  <c r="N110" i="8" s="1"/>
  <c r="L110" i="8"/>
  <c r="I110" i="8"/>
  <c r="A110" i="8"/>
  <c r="L109" i="8"/>
  <c r="M109" i="8" s="1"/>
  <c r="N109" i="8" s="1"/>
  <c r="I109" i="8"/>
  <c r="A109" i="8"/>
  <c r="L108" i="8"/>
  <c r="M108" i="8" s="1"/>
  <c r="N108" i="8" s="1"/>
  <c r="I108" i="8"/>
  <c r="A108" i="8"/>
  <c r="L107" i="8"/>
  <c r="M107" i="8" s="1"/>
  <c r="N107" i="8" s="1"/>
  <c r="I107" i="8"/>
  <c r="A107" i="8"/>
  <c r="L106" i="8"/>
  <c r="M106" i="8" s="1"/>
  <c r="N106" i="8" s="1"/>
  <c r="I106" i="8"/>
  <c r="A106" i="8"/>
  <c r="L105" i="8"/>
  <c r="M105" i="8" s="1"/>
  <c r="N105" i="8" s="1"/>
  <c r="I105" i="8"/>
  <c r="A105" i="8"/>
  <c r="L104" i="8"/>
  <c r="M104" i="8" s="1"/>
  <c r="N104" i="8" s="1"/>
  <c r="I104" i="8"/>
  <c r="A104" i="8"/>
  <c r="L103" i="8"/>
  <c r="M103" i="8" s="1"/>
  <c r="N103" i="8" s="1"/>
  <c r="I103" i="8"/>
  <c r="A103" i="8"/>
  <c r="L102" i="8"/>
  <c r="M102" i="8" s="1"/>
  <c r="N102" i="8" s="1"/>
  <c r="I102" i="8"/>
  <c r="A102" i="8"/>
  <c r="L101" i="8"/>
  <c r="M101" i="8" s="1"/>
  <c r="N101" i="8" s="1"/>
  <c r="I101" i="8"/>
  <c r="A101" i="8"/>
  <c r="M100" i="8"/>
  <c r="N100" i="8" s="1"/>
  <c r="L100" i="8"/>
  <c r="I100" i="8"/>
  <c r="A100" i="8"/>
  <c r="L99" i="8"/>
  <c r="M99" i="8" s="1"/>
  <c r="N99" i="8" s="1"/>
  <c r="I99" i="8"/>
  <c r="A99" i="8"/>
  <c r="L98" i="8"/>
  <c r="M98" i="8" s="1"/>
  <c r="N98" i="8" s="1"/>
  <c r="I98" i="8"/>
  <c r="A98" i="8"/>
  <c r="L97" i="8"/>
  <c r="M97" i="8" s="1"/>
  <c r="N97" i="8" s="1"/>
  <c r="I97" i="8"/>
  <c r="A97" i="8"/>
  <c r="L96" i="8"/>
  <c r="M96" i="8" s="1"/>
  <c r="N96" i="8" s="1"/>
  <c r="I96" i="8"/>
  <c r="A96" i="8"/>
  <c r="L95" i="8"/>
  <c r="M95" i="8" s="1"/>
  <c r="N95" i="8" s="1"/>
  <c r="I95" i="8"/>
  <c r="A95" i="8"/>
  <c r="L94" i="8"/>
  <c r="M94" i="8" s="1"/>
  <c r="N94" i="8" s="1"/>
  <c r="I94" i="8"/>
  <c r="A94" i="8"/>
  <c r="L93" i="8"/>
  <c r="M93" i="8" s="1"/>
  <c r="N93" i="8" s="1"/>
  <c r="I93" i="8"/>
  <c r="A93" i="8"/>
  <c r="L92" i="8"/>
  <c r="M92" i="8" s="1"/>
  <c r="N92" i="8" s="1"/>
  <c r="I92" i="8"/>
  <c r="A92" i="8"/>
  <c r="L91" i="8"/>
  <c r="M91" i="8" s="1"/>
  <c r="N91" i="8" s="1"/>
  <c r="I91" i="8"/>
  <c r="A91" i="8"/>
  <c r="M90" i="8"/>
  <c r="N90" i="8" s="1"/>
  <c r="L90" i="8"/>
  <c r="I90" i="8"/>
  <c r="A90" i="8"/>
  <c r="L89" i="8"/>
  <c r="M89" i="8" s="1"/>
  <c r="N89" i="8" s="1"/>
  <c r="I89" i="8"/>
  <c r="A89" i="8"/>
  <c r="L88" i="8"/>
  <c r="M88" i="8" s="1"/>
  <c r="N88" i="8" s="1"/>
  <c r="I88" i="8"/>
  <c r="A88" i="8"/>
  <c r="L87" i="8"/>
  <c r="M87" i="8" s="1"/>
  <c r="N87" i="8" s="1"/>
  <c r="I87" i="8"/>
  <c r="A87" i="8"/>
  <c r="L86" i="8"/>
  <c r="M86" i="8" s="1"/>
  <c r="N86" i="8" s="1"/>
  <c r="I86" i="8"/>
  <c r="A86" i="8"/>
  <c r="M85" i="8"/>
  <c r="N85" i="8" s="1"/>
  <c r="L85" i="8"/>
  <c r="I85" i="8"/>
  <c r="A85" i="8"/>
  <c r="L84" i="8"/>
  <c r="M84" i="8" s="1"/>
  <c r="N84" i="8" s="1"/>
  <c r="I84" i="8"/>
  <c r="A84" i="8"/>
  <c r="L83" i="8"/>
  <c r="M83" i="8" s="1"/>
  <c r="N83" i="8" s="1"/>
  <c r="I83" i="8"/>
  <c r="A83" i="8"/>
  <c r="L82" i="8"/>
  <c r="M82" i="8" s="1"/>
  <c r="N82" i="8" s="1"/>
  <c r="I82" i="8"/>
  <c r="A82" i="8"/>
  <c r="L81" i="8"/>
  <c r="M81" i="8" s="1"/>
  <c r="N81" i="8" s="1"/>
  <c r="I81" i="8"/>
  <c r="A81" i="8"/>
  <c r="L80" i="8"/>
  <c r="M80" i="8" s="1"/>
  <c r="N80" i="8" s="1"/>
  <c r="I80" i="8"/>
  <c r="A80" i="8"/>
  <c r="L79" i="8"/>
  <c r="M79" i="8" s="1"/>
  <c r="N79" i="8" s="1"/>
  <c r="I79" i="8"/>
  <c r="A79" i="8"/>
  <c r="L78" i="8"/>
  <c r="M78" i="8" s="1"/>
  <c r="N78" i="8" s="1"/>
  <c r="I78" i="8"/>
  <c r="A78" i="8"/>
  <c r="L77" i="8"/>
  <c r="M77" i="8" s="1"/>
  <c r="N77" i="8" s="1"/>
  <c r="I77" i="8"/>
  <c r="A77" i="8"/>
  <c r="L76" i="8"/>
  <c r="M76" i="8" s="1"/>
  <c r="N76" i="8" s="1"/>
  <c r="I76" i="8"/>
  <c r="A76" i="8"/>
  <c r="L75" i="8"/>
  <c r="M75" i="8" s="1"/>
  <c r="N75" i="8" s="1"/>
  <c r="I75" i="8"/>
  <c r="A75" i="8"/>
  <c r="L74" i="8"/>
  <c r="M74" i="8" s="1"/>
  <c r="N74" i="8" s="1"/>
  <c r="I74" i="8"/>
  <c r="A74" i="8"/>
  <c r="L73" i="8"/>
  <c r="M73" i="8" s="1"/>
  <c r="N73" i="8" s="1"/>
  <c r="I73" i="8"/>
  <c r="A73" i="8"/>
  <c r="L72" i="8"/>
  <c r="M72" i="8" s="1"/>
  <c r="N72" i="8" s="1"/>
  <c r="I72" i="8"/>
  <c r="A72" i="8"/>
  <c r="L71" i="8"/>
  <c r="M71" i="8" s="1"/>
  <c r="N71" i="8" s="1"/>
  <c r="I71" i="8"/>
  <c r="A71" i="8"/>
  <c r="L70" i="8"/>
  <c r="M70" i="8" s="1"/>
  <c r="N70" i="8" s="1"/>
  <c r="I70" i="8"/>
  <c r="A70" i="8"/>
  <c r="L69" i="8"/>
  <c r="M69" i="8" s="1"/>
  <c r="N69" i="8" s="1"/>
  <c r="I69" i="8"/>
  <c r="A69" i="8"/>
  <c r="L68" i="8"/>
  <c r="M68" i="8" s="1"/>
  <c r="N68" i="8" s="1"/>
  <c r="I68" i="8"/>
  <c r="A68" i="8"/>
  <c r="L67" i="8"/>
  <c r="M67" i="8" s="1"/>
  <c r="N67" i="8" s="1"/>
  <c r="I67" i="8"/>
  <c r="A67" i="8"/>
  <c r="L66" i="8"/>
  <c r="M66" i="8" s="1"/>
  <c r="N66" i="8" s="1"/>
  <c r="I66" i="8"/>
  <c r="A66" i="8"/>
  <c r="L65" i="8"/>
  <c r="M65" i="8" s="1"/>
  <c r="N65" i="8" s="1"/>
  <c r="I65" i="8"/>
  <c r="A65" i="8"/>
  <c r="L64" i="8"/>
  <c r="M64" i="8" s="1"/>
  <c r="N64" i="8" s="1"/>
  <c r="I64" i="8"/>
  <c r="A64" i="8"/>
  <c r="L63" i="8"/>
  <c r="M63" i="8" s="1"/>
  <c r="N63" i="8" s="1"/>
  <c r="I63" i="8"/>
  <c r="A63" i="8"/>
  <c r="L62" i="8"/>
  <c r="M62" i="8" s="1"/>
  <c r="N62" i="8" s="1"/>
  <c r="I62" i="8"/>
  <c r="A62" i="8"/>
  <c r="L61" i="8"/>
  <c r="M61" i="8" s="1"/>
  <c r="N61" i="8" s="1"/>
  <c r="I61" i="8"/>
  <c r="A61" i="8"/>
  <c r="L60" i="8"/>
  <c r="M60" i="8" s="1"/>
  <c r="N60" i="8" s="1"/>
  <c r="I60" i="8"/>
  <c r="A60" i="8"/>
  <c r="L59" i="8"/>
  <c r="M59" i="8" s="1"/>
  <c r="N59" i="8" s="1"/>
  <c r="I59" i="8"/>
  <c r="A59" i="8"/>
  <c r="L58" i="8"/>
  <c r="M58" i="8" s="1"/>
  <c r="N58" i="8" s="1"/>
  <c r="I58" i="8"/>
  <c r="A58" i="8"/>
  <c r="L57" i="8"/>
  <c r="M57" i="8" s="1"/>
  <c r="N57" i="8" s="1"/>
  <c r="I57" i="8"/>
  <c r="A57" i="8"/>
  <c r="L56" i="8"/>
  <c r="M56" i="8" s="1"/>
  <c r="N56" i="8" s="1"/>
  <c r="I56" i="8"/>
  <c r="A56" i="8"/>
  <c r="L55" i="8"/>
  <c r="M55" i="8" s="1"/>
  <c r="N55" i="8" s="1"/>
  <c r="I55" i="8"/>
  <c r="A55" i="8"/>
  <c r="L54" i="8"/>
  <c r="M54" i="8" s="1"/>
  <c r="N54" i="8" s="1"/>
  <c r="I54" i="8"/>
  <c r="A54" i="8"/>
  <c r="M53" i="8"/>
  <c r="N53" i="8" s="1"/>
  <c r="L53" i="8"/>
  <c r="I53" i="8"/>
  <c r="A53" i="8"/>
  <c r="L52" i="8"/>
  <c r="M52" i="8" s="1"/>
  <c r="N52" i="8" s="1"/>
  <c r="I52" i="8"/>
  <c r="A52" i="8"/>
  <c r="L51" i="8"/>
  <c r="M51" i="8" s="1"/>
  <c r="N51" i="8" s="1"/>
  <c r="I51" i="8"/>
  <c r="A51" i="8"/>
  <c r="L50" i="8"/>
  <c r="M50" i="8" s="1"/>
  <c r="N50" i="8" s="1"/>
  <c r="I50" i="8"/>
  <c r="A50" i="8"/>
  <c r="L49" i="8"/>
  <c r="M49" i="8" s="1"/>
  <c r="N49" i="8" s="1"/>
  <c r="I49" i="8"/>
  <c r="A49" i="8"/>
  <c r="L48" i="8"/>
  <c r="M48" i="8" s="1"/>
  <c r="N48" i="8" s="1"/>
  <c r="I48" i="8"/>
  <c r="A48" i="8"/>
  <c r="L47" i="8"/>
  <c r="M47" i="8" s="1"/>
  <c r="N47" i="8" s="1"/>
  <c r="I47" i="8"/>
  <c r="A47" i="8"/>
  <c r="L46" i="8"/>
  <c r="M46" i="8" s="1"/>
  <c r="N46" i="8" s="1"/>
  <c r="I46" i="8"/>
  <c r="A46" i="8"/>
  <c r="L45" i="8"/>
  <c r="M45" i="8" s="1"/>
  <c r="N45" i="8" s="1"/>
  <c r="I45" i="8"/>
  <c r="A45" i="8"/>
  <c r="L44" i="8"/>
  <c r="M44" i="8" s="1"/>
  <c r="N44" i="8" s="1"/>
  <c r="I44" i="8"/>
  <c r="A44" i="8"/>
  <c r="L43" i="8"/>
  <c r="M43" i="8" s="1"/>
  <c r="N43" i="8" s="1"/>
  <c r="I43" i="8"/>
  <c r="A43" i="8"/>
  <c r="L42" i="8"/>
  <c r="M42" i="8" s="1"/>
  <c r="N42" i="8" s="1"/>
  <c r="I42" i="8"/>
  <c r="A42" i="8"/>
  <c r="L41" i="8"/>
  <c r="M41" i="8" s="1"/>
  <c r="N41" i="8" s="1"/>
  <c r="I41" i="8"/>
  <c r="A41" i="8"/>
  <c r="L40" i="8"/>
  <c r="M40" i="8" s="1"/>
  <c r="N40" i="8" s="1"/>
  <c r="I40" i="8"/>
  <c r="A40" i="8"/>
  <c r="L39" i="8"/>
  <c r="M39" i="8" s="1"/>
  <c r="N39" i="8" s="1"/>
  <c r="I39" i="8"/>
  <c r="A39" i="8"/>
  <c r="L38" i="8"/>
  <c r="M38" i="8" s="1"/>
  <c r="N38" i="8" s="1"/>
  <c r="I38" i="8"/>
  <c r="A38" i="8"/>
  <c r="L37" i="8"/>
  <c r="M37" i="8" s="1"/>
  <c r="N37" i="8" s="1"/>
  <c r="I37" i="8"/>
  <c r="A37" i="8"/>
  <c r="L36" i="8"/>
  <c r="M36" i="8" s="1"/>
  <c r="N36" i="8" s="1"/>
  <c r="I36" i="8"/>
  <c r="A36" i="8"/>
  <c r="L35" i="8"/>
  <c r="M35" i="8" s="1"/>
  <c r="N35" i="8" s="1"/>
  <c r="I35" i="8"/>
  <c r="A35" i="8"/>
  <c r="L34" i="8"/>
  <c r="M34" i="8" s="1"/>
  <c r="N34" i="8" s="1"/>
  <c r="I34" i="8"/>
  <c r="A34" i="8"/>
  <c r="L33" i="8"/>
  <c r="M33" i="8" s="1"/>
  <c r="N33" i="8" s="1"/>
  <c r="I33" i="8"/>
  <c r="A33" i="8"/>
  <c r="L32" i="8"/>
  <c r="M32" i="8" s="1"/>
  <c r="N32" i="8" s="1"/>
  <c r="I32" i="8"/>
  <c r="A32" i="8"/>
  <c r="L31" i="8"/>
  <c r="M31" i="8" s="1"/>
  <c r="N31" i="8" s="1"/>
  <c r="I31" i="8"/>
  <c r="A31" i="8"/>
  <c r="L30" i="8"/>
  <c r="M30" i="8" s="1"/>
  <c r="N30" i="8" s="1"/>
  <c r="I30" i="8"/>
  <c r="A30" i="8"/>
  <c r="L29" i="8"/>
  <c r="M29" i="8" s="1"/>
  <c r="N29" i="8" s="1"/>
  <c r="I29" i="8"/>
  <c r="A29" i="8"/>
  <c r="L28" i="8"/>
  <c r="M28" i="8" s="1"/>
  <c r="N28" i="8" s="1"/>
  <c r="I28" i="8"/>
  <c r="A28" i="8"/>
  <c r="L27" i="8"/>
  <c r="M27" i="8" s="1"/>
  <c r="N27" i="8" s="1"/>
  <c r="I27" i="8"/>
  <c r="A27" i="8"/>
  <c r="M26" i="8"/>
  <c r="N26" i="8" s="1"/>
  <c r="L26" i="8"/>
  <c r="I26" i="8"/>
  <c r="A26" i="8"/>
  <c r="L25" i="8"/>
  <c r="M25" i="8" s="1"/>
  <c r="N25" i="8" s="1"/>
  <c r="I25" i="8"/>
  <c r="A25" i="8"/>
  <c r="L24" i="8"/>
  <c r="M24" i="8" s="1"/>
  <c r="N24" i="8" s="1"/>
  <c r="I24" i="8"/>
  <c r="A24" i="8"/>
  <c r="L23" i="8"/>
  <c r="M23" i="8" s="1"/>
  <c r="N23" i="8" s="1"/>
  <c r="I23" i="8"/>
  <c r="A23" i="8"/>
  <c r="L22" i="8"/>
  <c r="M22" i="8" s="1"/>
  <c r="N22" i="8" s="1"/>
  <c r="I22" i="8"/>
  <c r="A22" i="8"/>
  <c r="L21" i="8"/>
  <c r="M21" i="8" s="1"/>
  <c r="N21" i="8" s="1"/>
  <c r="I21" i="8"/>
  <c r="A21" i="8"/>
  <c r="L20" i="8"/>
  <c r="M20" i="8" s="1"/>
  <c r="N20" i="8" s="1"/>
  <c r="I20" i="8"/>
  <c r="A20" i="8"/>
  <c r="L19" i="8"/>
  <c r="M19" i="8" s="1"/>
  <c r="N19" i="8" s="1"/>
  <c r="I19" i="8"/>
  <c r="A19" i="8"/>
  <c r="L18" i="8"/>
  <c r="M18" i="8" s="1"/>
  <c r="N18" i="8" s="1"/>
  <c r="I18" i="8"/>
  <c r="A18" i="8"/>
  <c r="L17" i="8"/>
  <c r="M17" i="8" s="1"/>
  <c r="N17" i="8" s="1"/>
  <c r="I17" i="8"/>
  <c r="A17" i="8"/>
  <c r="L16" i="8"/>
  <c r="M16" i="8" s="1"/>
  <c r="N16" i="8" s="1"/>
  <c r="I16" i="8"/>
  <c r="A16" i="8"/>
  <c r="N15" i="8"/>
  <c r="L15" i="8"/>
  <c r="M15" i="8" s="1"/>
  <c r="I15" i="8"/>
  <c r="A15" i="8"/>
  <c r="L14" i="8"/>
  <c r="M14" i="8" s="1"/>
  <c r="N14" i="8" s="1"/>
  <c r="I14" i="8"/>
  <c r="A14" i="8"/>
  <c r="L13" i="8"/>
  <c r="M13" i="8" s="1"/>
  <c r="N13" i="8" s="1"/>
  <c r="I13" i="8"/>
  <c r="A13" i="8"/>
  <c r="L12" i="8"/>
  <c r="M12" i="8" s="1"/>
  <c r="N12" i="8" s="1"/>
  <c r="I12" i="8"/>
  <c r="A12" i="8"/>
  <c r="L11" i="8"/>
  <c r="M11" i="8" s="1"/>
  <c r="N11" i="8" s="1"/>
  <c r="I11" i="8"/>
  <c r="A11" i="8"/>
  <c r="L10" i="8"/>
  <c r="M10" i="8" s="1"/>
  <c r="N10" i="8" s="1"/>
  <c r="I10" i="8"/>
  <c r="A10" i="8"/>
  <c r="L9" i="8"/>
  <c r="M9" i="8" s="1"/>
  <c r="N9" i="8" s="1"/>
  <c r="I9" i="8"/>
  <c r="A9" i="8"/>
  <c r="L8" i="8"/>
  <c r="M8" i="8" s="1"/>
  <c r="N8" i="8" s="1"/>
  <c r="I8" i="8"/>
  <c r="A8" i="8"/>
  <c r="L7" i="8"/>
  <c r="M7" i="8" s="1"/>
  <c r="N7" i="8" s="1"/>
  <c r="I7" i="8"/>
  <c r="A7" i="8"/>
  <c r="L6" i="8"/>
  <c r="M6" i="8" s="1"/>
  <c r="N6" i="8" s="1"/>
  <c r="I6" i="8"/>
  <c r="A6" i="8"/>
  <c r="L5" i="8"/>
  <c r="M5" i="8" s="1"/>
  <c r="N5" i="8" s="1"/>
  <c r="I5" i="8"/>
  <c r="A5" i="8"/>
  <c r="L4" i="8"/>
  <c r="M4" i="8" s="1"/>
  <c r="N4" i="8" s="1"/>
  <c r="I4" i="8"/>
  <c r="A4" i="8"/>
  <c r="L3" i="8"/>
  <c r="M3" i="8" s="1"/>
  <c r="N3" i="8" s="1"/>
  <c r="I3" i="8"/>
  <c r="V284" i="7"/>
  <c r="W284" i="7" s="1"/>
  <c r="U284" i="7"/>
  <c r="P284" i="7"/>
  <c r="Q284" i="7" s="1"/>
  <c r="K284" i="7"/>
  <c r="V283" i="7"/>
  <c r="W283" i="7" s="1"/>
  <c r="U283" i="7"/>
  <c r="P283" i="7"/>
  <c r="Q283" i="7" s="1"/>
  <c r="K283" i="7"/>
  <c r="V282" i="7"/>
  <c r="U282" i="7"/>
  <c r="P282" i="7"/>
  <c r="Q282" i="7" s="1"/>
  <c r="K282" i="7"/>
  <c r="W281" i="7"/>
  <c r="V281" i="7"/>
  <c r="U281" i="7"/>
  <c r="P281" i="7"/>
  <c r="Q281" i="7" s="1"/>
  <c r="K281" i="7"/>
  <c r="V280" i="7"/>
  <c r="W280" i="7" s="1"/>
  <c r="U280" i="7"/>
  <c r="P280" i="7"/>
  <c r="Q280" i="7" s="1"/>
  <c r="K280" i="7"/>
  <c r="W279" i="7"/>
  <c r="V279" i="7"/>
  <c r="U279" i="7"/>
  <c r="P279" i="7"/>
  <c r="Q279" i="7" s="1"/>
  <c r="K279" i="7"/>
  <c r="V278" i="7"/>
  <c r="W278" i="7" s="1"/>
  <c r="U278" i="7"/>
  <c r="P278" i="7"/>
  <c r="Q278" i="7" s="1"/>
  <c r="K278" i="7"/>
  <c r="V277" i="7"/>
  <c r="W277" i="7" s="1"/>
  <c r="U277" i="7"/>
  <c r="P277" i="7"/>
  <c r="Q277" i="7" s="1"/>
  <c r="K277" i="7"/>
  <c r="V276" i="7"/>
  <c r="U276" i="7"/>
  <c r="P276" i="7"/>
  <c r="Q276" i="7" s="1"/>
  <c r="K276" i="7"/>
  <c r="V275" i="7"/>
  <c r="W275" i="7" s="1"/>
  <c r="U275" i="7"/>
  <c r="P275" i="7"/>
  <c r="Q275" i="7" s="1"/>
  <c r="K275" i="7"/>
  <c r="V274" i="7"/>
  <c r="W274" i="7" s="1"/>
  <c r="U274" i="7"/>
  <c r="P274" i="7"/>
  <c r="Q274" i="7" s="1"/>
  <c r="K274" i="7"/>
  <c r="V273" i="7"/>
  <c r="U273" i="7"/>
  <c r="W273" i="7" s="1"/>
  <c r="Q273" i="7"/>
  <c r="P273" i="7"/>
  <c r="K273" i="7"/>
  <c r="V272" i="7"/>
  <c r="U272" i="7"/>
  <c r="P272" i="7"/>
  <c r="Q272" i="7" s="1"/>
  <c r="K272" i="7"/>
  <c r="W271" i="7"/>
  <c r="V271" i="7"/>
  <c r="U271" i="7"/>
  <c r="P271" i="7"/>
  <c r="Q271" i="7" s="1"/>
  <c r="K271" i="7"/>
  <c r="V270" i="7"/>
  <c r="U270" i="7"/>
  <c r="P270" i="7"/>
  <c r="Q270" i="7" s="1"/>
  <c r="K270" i="7"/>
  <c r="V269" i="7"/>
  <c r="U269" i="7"/>
  <c r="P269" i="7"/>
  <c r="Q269" i="7" s="1"/>
  <c r="K269" i="7"/>
  <c r="V268" i="7"/>
  <c r="U268" i="7"/>
  <c r="P268" i="7"/>
  <c r="Q268" i="7" s="1"/>
  <c r="K268" i="7"/>
  <c r="V267" i="7"/>
  <c r="U267" i="7"/>
  <c r="P267" i="7"/>
  <c r="Q267" i="7" s="1"/>
  <c r="K267" i="7"/>
  <c r="V266" i="7"/>
  <c r="U266" i="7"/>
  <c r="P266" i="7"/>
  <c r="Q266" i="7" s="1"/>
  <c r="K266" i="7"/>
  <c r="W265" i="7"/>
  <c r="V265" i="7"/>
  <c r="U265" i="7"/>
  <c r="P265" i="7"/>
  <c r="Q265" i="7" s="1"/>
  <c r="K265" i="7"/>
  <c r="V264" i="7"/>
  <c r="U264" i="7"/>
  <c r="W264" i="7" s="1"/>
  <c r="P264" i="7"/>
  <c r="Q264" i="7" s="1"/>
  <c r="K264" i="7"/>
  <c r="V263" i="7"/>
  <c r="W263" i="7" s="1"/>
  <c r="U263" i="7"/>
  <c r="Q263" i="7"/>
  <c r="P263" i="7"/>
  <c r="K263" i="7"/>
  <c r="V262" i="7"/>
  <c r="U262" i="7"/>
  <c r="P262" i="7"/>
  <c r="Q262" i="7" s="1"/>
  <c r="K262" i="7"/>
  <c r="V261" i="7"/>
  <c r="U261" i="7"/>
  <c r="W261" i="7" s="1"/>
  <c r="P261" i="7"/>
  <c r="Q261" i="7" s="1"/>
  <c r="K261" i="7"/>
  <c r="V260" i="7"/>
  <c r="W260" i="7" s="1"/>
  <c r="U260" i="7"/>
  <c r="P260" i="7"/>
  <c r="Q260" i="7" s="1"/>
  <c r="K260" i="7"/>
  <c r="V259" i="7"/>
  <c r="U259" i="7"/>
  <c r="Q259" i="7"/>
  <c r="P259" i="7"/>
  <c r="K259" i="7"/>
  <c r="V258" i="7"/>
  <c r="W258" i="7" s="1"/>
  <c r="U258" i="7"/>
  <c r="P258" i="7"/>
  <c r="Q258" i="7" s="1"/>
  <c r="K258" i="7"/>
  <c r="V257" i="7"/>
  <c r="W257" i="7" s="1"/>
  <c r="U257" i="7"/>
  <c r="P257" i="7"/>
  <c r="Q257" i="7" s="1"/>
  <c r="K257" i="7"/>
  <c r="V256" i="7"/>
  <c r="U256" i="7"/>
  <c r="P256" i="7"/>
  <c r="Q256" i="7" s="1"/>
  <c r="K256" i="7"/>
  <c r="V255" i="7"/>
  <c r="U255" i="7"/>
  <c r="P255" i="7"/>
  <c r="Q255" i="7" s="1"/>
  <c r="K255" i="7"/>
  <c r="V254" i="7"/>
  <c r="W254" i="7" s="1"/>
  <c r="U254" i="7"/>
  <c r="P254" i="7"/>
  <c r="Q254" i="7" s="1"/>
  <c r="K254" i="7"/>
  <c r="W253" i="7"/>
  <c r="V253" i="7"/>
  <c r="U253" i="7"/>
  <c r="P253" i="7"/>
  <c r="Q253" i="7" s="1"/>
  <c r="K253" i="7"/>
  <c r="V252" i="7"/>
  <c r="U252" i="7"/>
  <c r="P252" i="7"/>
  <c r="Q252" i="7" s="1"/>
  <c r="K252" i="7"/>
  <c r="W251" i="7"/>
  <c r="V251" i="7"/>
  <c r="U251" i="7"/>
  <c r="P251" i="7"/>
  <c r="Q251" i="7" s="1"/>
  <c r="K251" i="7"/>
  <c r="V250" i="7"/>
  <c r="W250" i="7" s="1"/>
  <c r="U250" i="7"/>
  <c r="P250" i="7"/>
  <c r="Q250" i="7" s="1"/>
  <c r="K250" i="7"/>
  <c r="V249" i="7"/>
  <c r="W249" i="7" s="1"/>
  <c r="U249" i="7"/>
  <c r="P249" i="7"/>
  <c r="Q249" i="7" s="1"/>
  <c r="K249" i="7"/>
  <c r="V248" i="7"/>
  <c r="U248" i="7"/>
  <c r="P248" i="7"/>
  <c r="Q248" i="7" s="1"/>
  <c r="K248" i="7"/>
  <c r="V247" i="7"/>
  <c r="U247" i="7"/>
  <c r="W247" i="7" s="1"/>
  <c r="P247" i="7"/>
  <c r="Q247" i="7" s="1"/>
  <c r="K247" i="7"/>
  <c r="W246" i="7"/>
  <c r="V246" i="7"/>
  <c r="U246" i="7"/>
  <c r="P246" i="7"/>
  <c r="Q246" i="7" s="1"/>
  <c r="K246" i="7"/>
  <c r="V245" i="7"/>
  <c r="U245" i="7"/>
  <c r="W245" i="7" s="1"/>
  <c r="P245" i="7"/>
  <c r="Q245" i="7" s="1"/>
  <c r="K245" i="7"/>
  <c r="V244" i="7"/>
  <c r="U244" i="7"/>
  <c r="W244" i="7" s="1"/>
  <c r="P244" i="7"/>
  <c r="Q244" i="7" s="1"/>
  <c r="K244" i="7"/>
  <c r="V243" i="7"/>
  <c r="W243" i="7" s="1"/>
  <c r="U243" i="7"/>
  <c r="Q243" i="7"/>
  <c r="P243" i="7"/>
  <c r="K243" i="7"/>
  <c r="V242" i="7"/>
  <c r="U242" i="7"/>
  <c r="P242" i="7"/>
  <c r="Q242" i="7" s="1"/>
  <c r="K242" i="7"/>
  <c r="W241" i="7"/>
  <c r="V241" i="7"/>
  <c r="U241" i="7"/>
  <c r="P241" i="7"/>
  <c r="Q241" i="7" s="1"/>
  <c r="K241" i="7"/>
  <c r="V240" i="7"/>
  <c r="U240" i="7"/>
  <c r="P240" i="7"/>
  <c r="Q240" i="7" s="1"/>
  <c r="K240" i="7"/>
  <c r="V239" i="7"/>
  <c r="U239" i="7"/>
  <c r="P239" i="7"/>
  <c r="Q239" i="7" s="1"/>
  <c r="K239" i="7"/>
  <c r="V238" i="7"/>
  <c r="U238" i="7"/>
  <c r="W238" i="7" s="1"/>
  <c r="P238" i="7"/>
  <c r="Q238" i="7" s="1"/>
  <c r="K238" i="7"/>
  <c r="V237" i="7"/>
  <c r="W237" i="7" s="1"/>
  <c r="U237" i="7"/>
  <c r="P237" i="7"/>
  <c r="Q237" i="7" s="1"/>
  <c r="K237" i="7"/>
  <c r="V236" i="7"/>
  <c r="U236" i="7"/>
  <c r="P236" i="7"/>
  <c r="Q236" i="7" s="1"/>
  <c r="K236" i="7"/>
  <c r="V235" i="7"/>
  <c r="W235" i="7" s="1"/>
  <c r="U235" i="7"/>
  <c r="P235" i="7"/>
  <c r="Q235" i="7" s="1"/>
  <c r="K235" i="7"/>
  <c r="V234" i="7"/>
  <c r="W234" i="7" s="1"/>
  <c r="U234" i="7"/>
  <c r="P234" i="7"/>
  <c r="Q234" i="7" s="1"/>
  <c r="K234" i="7"/>
  <c r="V233" i="7"/>
  <c r="U233" i="7"/>
  <c r="W233" i="7" s="1"/>
  <c r="P233" i="7"/>
  <c r="Q233" i="7" s="1"/>
  <c r="K233" i="7"/>
  <c r="V232" i="7"/>
  <c r="U232" i="7"/>
  <c r="W232" i="7" s="1"/>
  <c r="P232" i="7"/>
  <c r="Q232" i="7" s="1"/>
  <c r="K232" i="7"/>
  <c r="V231" i="7"/>
  <c r="U231" i="7"/>
  <c r="W231" i="7" s="1"/>
  <c r="P231" i="7"/>
  <c r="Q231" i="7" s="1"/>
  <c r="K231" i="7"/>
  <c r="V230" i="7"/>
  <c r="W230" i="7" s="1"/>
  <c r="U230" i="7"/>
  <c r="P230" i="7"/>
  <c r="Q230" i="7" s="1"/>
  <c r="K230" i="7"/>
  <c r="W229" i="7"/>
  <c r="V229" i="7"/>
  <c r="U229" i="7"/>
  <c r="P229" i="7"/>
  <c r="Q229" i="7" s="1"/>
  <c r="K229" i="7"/>
  <c r="V228" i="7"/>
  <c r="U228" i="7"/>
  <c r="W228" i="7" s="1"/>
  <c r="P228" i="7"/>
  <c r="Q228" i="7" s="1"/>
  <c r="K228" i="7"/>
  <c r="W227" i="7"/>
  <c r="V227" i="7"/>
  <c r="U227" i="7"/>
  <c r="P227" i="7"/>
  <c r="Q227" i="7" s="1"/>
  <c r="K227" i="7"/>
  <c r="V226" i="7"/>
  <c r="U226" i="7"/>
  <c r="P226" i="7"/>
  <c r="Q226" i="7" s="1"/>
  <c r="K226" i="7"/>
  <c r="V225" i="7"/>
  <c r="W225" i="7" s="1"/>
  <c r="U225" i="7"/>
  <c r="P225" i="7"/>
  <c r="Q225" i="7" s="1"/>
  <c r="K225" i="7"/>
  <c r="V224" i="7"/>
  <c r="U224" i="7"/>
  <c r="P224" i="7"/>
  <c r="Q224" i="7" s="1"/>
  <c r="K224" i="7"/>
  <c r="V223" i="7"/>
  <c r="U223" i="7"/>
  <c r="W223" i="7" s="1"/>
  <c r="P223" i="7"/>
  <c r="Q223" i="7" s="1"/>
  <c r="K223" i="7"/>
  <c r="W222" i="7"/>
  <c r="V222" i="7"/>
  <c r="U222" i="7"/>
  <c r="P222" i="7"/>
  <c r="Q222" i="7" s="1"/>
  <c r="K222" i="7"/>
  <c r="V221" i="7"/>
  <c r="W221" i="7" s="1"/>
  <c r="U221" i="7"/>
  <c r="P221" i="7"/>
  <c r="Q221" i="7" s="1"/>
  <c r="K221" i="7"/>
  <c r="V220" i="7"/>
  <c r="U220" i="7"/>
  <c r="P220" i="7"/>
  <c r="Q220" i="7" s="1"/>
  <c r="K220" i="7"/>
  <c r="V219" i="7"/>
  <c r="U219" i="7"/>
  <c r="W219" i="7" s="1"/>
  <c r="Q219" i="7"/>
  <c r="P219" i="7"/>
  <c r="K219" i="7"/>
  <c r="V218" i="7"/>
  <c r="U218" i="7"/>
  <c r="P218" i="7"/>
  <c r="Q218" i="7" s="1"/>
  <c r="K218" i="7"/>
  <c r="W217" i="7"/>
  <c r="V217" i="7"/>
  <c r="U217" i="7"/>
  <c r="P217" i="7"/>
  <c r="Q217" i="7" s="1"/>
  <c r="K217" i="7"/>
  <c r="V216" i="7"/>
  <c r="U216" i="7"/>
  <c r="W216" i="7" s="1"/>
  <c r="P216" i="7"/>
  <c r="Q216" i="7" s="1"/>
  <c r="K216" i="7"/>
  <c r="V215" i="7"/>
  <c r="U215" i="7"/>
  <c r="P215" i="7"/>
  <c r="Q215" i="7" s="1"/>
  <c r="K215" i="7"/>
  <c r="V214" i="7"/>
  <c r="W214" i="7" s="1"/>
  <c r="U214" i="7"/>
  <c r="P214" i="7"/>
  <c r="Q214" i="7" s="1"/>
  <c r="K214" i="7"/>
  <c r="W213" i="7"/>
  <c r="V213" i="7"/>
  <c r="U213" i="7"/>
  <c r="P213" i="7"/>
  <c r="Q213" i="7" s="1"/>
  <c r="K213" i="7"/>
  <c r="V212" i="7"/>
  <c r="U212" i="7"/>
  <c r="W212" i="7" s="1"/>
  <c r="P212" i="7"/>
  <c r="Q212" i="7" s="1"/>
  <c r="K212" i="7"/>
  <c r="V211" i="7"/>
  <c r="W211" i="7" s="1"/>
  <c r="U211" i="7"/>
  <c r="Q211" i="7"/>
  <c r="P211" i="7"/>
  <c r="K211" i="7"/>
  <c r="V210" i="7"/>
  <c r="W210" i="7" s="1"/>
  <c r="U210" i="7"/>
  <c r="P210" i="7"/>
  <c r="Q210" i="7" s="1"/>
  <c r="K210" i="7"/>
  <c r="V209" i="7"/>
  <c r="W209" i="7" s="1"/>
  <c r="U209" i="7"/>
  <c r="P209" i="7"/>
  <c r="Q209" i="7" s="1"/>
  <c r="K209" i="7"/>
  <c r="V208" i="7"/>
  <c r="U208" i="7"/>
  <c r="P208" i="7"/>
  <c r="Q208" i="7" s="1"/>
  <c r="K208" i="7"/>
  <c r="V207" i="7"/>
  <c r="U207" i="7"/>
  <c r="P207" i="7"/>
  <c r="Q207" i="7" s="1"/>
  <c r="K207" i="7"/>
  <c r="W206" i="7"/>
  <c r="V206" i="7"/>
  <c r="U206" i="7"/>
  <c r="P206" i="7"/>
  <c r="Q206" i="7" s="1"/>
  <c r="K206" i="7"/>
  <c r="V205" i="7"/>
  <c r="W205" i="7" s="1"/>
  <c r="U205" i="7"/>
  <c r="P205" i="7"/>
  <c r="Q205" i="7" s="1"/>
  <c r="K205" i="7"/>
  <c r="V204" i="7"/>
  <c r="U204" i="7"/>
  <c r="W204" i="7" s="1"/>
  <c r="P204" i="7"/>
  <c r="Q204" i="7" s="1"/>
  <c r="K204" i="7"/>
  <c r="W203" i="7"/>
  <c r="V203" i="7"/>
  <c r="U203" i="7"/>
  <c r="P203" i="7"/>
  <c r="Q203" i="7" s="1"/>
  <c r="K203" i="7"/>
  <c r="V202" i="7"/>
  <c r="W202" i="7" s="1"/>
  <c r="U202" i="7"/>
  <c r="P202" i="7"/>
  <c r="Q202" i="7" s="1"/>
  <c r="K202" i="7"/>
  <c r="W201" i="7"/>
  <c r="V201" i="7"/>
  <c r="U201" i="7"/>
  <c r="P201" i="7"/>
  <c r="Q201" i="7" s="1"/>
  <c r="K201" i="7"/>
  <c r="V200" i="7"/>
  <c r="U200" i="7"/>
  <c r="W200" i="7" s="1"/>
  <c r="P200" i="7"/>
  <c r="Q200" i="7" s="1"/>
  <c r="K200" i="7"/>
  <c r="V199" i="7"/>
  <c r="U199" i="7"/>
  <c r="W199" i="7" s="1"/>
  <c r="P199" i="7"/>
  <c r="Q199" i="7" s="1"/>
  <c r="K199" i="7"/>
  <c r="V198" i="7"/>
  <c r="W198" i="7" s="1"/>
  <c r="U198" i="7"/>
  <c r="P198" i="7"/>
  <c r="Q198" i="7" s="1"/>
  <c r="K198" i="7"/>
  <c r="V197" i="7"/>
  <c r="W197" i="7" s="1"/>
  <c r="U197" i="7"/>
  <c r="P197" i="7"/>
  <c r="Q197" i="7" s="1"/>
  <c r="K197" i="7"/>
  <c r="V196" i="7"/>
  <c r="U196" i="7"/>
  <c r="P196" i="7"/>
  <c r="Q196" i="7" s="1"/>
  <c r="K196" i="7"/>
  <c r="V195" i="7"/>
  <c r="W195" i="7" s="1"/>
  <c r="U195" i="7"/>
  <c r="Q195" i="7"/>
  <c r="P195" i="7"/>
  <c r="K195" i="7"/>
  <c r="V194" i="7"/>
  <c r="U194" i="7"/>
  <c r="P194" i="7"/>
  <c r="Q194" i="7" s="1"/>
  <c r="K194" i="7"/>
  <c r="V193" i="7"/>
  <c r="W193" i="7" s="1"/>
  <c r="U193" i="7"/>
  <c r="P193" i="7"/>
  <c r="Q193" i="7" s="1"/>
  <c r="K193" i="7"/>
  <c r="V192" i="7"/>
  <c r="U192" i="7"/>
  <c r="W192" i="7" s="1"/>
  <c r="P192" i="7"/>
  <c r="Q192" i="7" s="1"/>
  <c r="K192" i="7"/>
  <c r="V191" i="7"/>
  <c r="U191" i="7"/>
  <c r="P191" i="7"/>
  <c r="Q191" i="7" s="1"/>
  <c r="K191" i="7"/>
  <c r="V190" i="7"/>
  <c r="W190" i="7" s="1"/>
  <c r="U190" i="7"/>
  <c r="P190" i="7"/>
  <c r="Q190" i="7" s="1"/>
  <c r="K190" i="7"/>
  <c r="W189" i="7"/>
  <c r="V189" i="7"/>
  <c r="U189" i="7"/>
  <c r="P189" i="7"/>
  <c r="Q189" i="7" s="1"/>
  <c r="K189" i="7"/>
  <c r="V188" i="7"/>
  <c r="U188" i="7"/>
  <c r="P188" i="7"/>
  <c r="Q188" i="7" s="1"/>
  <c r="K188" i="7"/>
  <c r="W187" i="7"/>
  <c r="V187" i="7"/>
  <c r="U187" i="7"/>
  <c r="P187" i="7"/>
  <c r="Q187" i="7" s="1"/>
  <c r="K187" i="7"/>
  <c r="V186" i="7"/>
  <c r="W186" i="7" s="1"/>
  <c r="U186" i="7"/>
  <c r="P186" i="7"/>
  <c r="Q186" i="7" s="1"/>
  <c r="K186" i="7"/>
  <c r="V185" i="7"/>
  <c r="W185" i="7" s="1"/>
  <c r="U185" i="7"/>
  <c r="P185" i="7"/>
  <c r="Q185" i="7" s="1"/>
  <c r="K185" i="7"/>
  <c r="V184" i="7"/>
  <c r="U184" i="7"/>
  <c r="P184" i="7"/>
  <c r="Q184" i="7" s="1"/>
  <c r="K184" i="7"/>
  <c r="V183" i="7"/>
  <c r="U183" i="7"/>
  <c r="W183" i="7" s="1"/>
  <c r="P183" i="7"/>
  <c r="Q183" i="7" s="1"/>
  <c r="K183" i="7"/>
  <c r="W182" i="7"/>
  <c r="V182" i="7"/>
  <c r="U182" i="7"/>
  <c r="P182" i="7"/>
  <c r="Q182" i="7" s="1"/>
  <c r="K182" i="7"/>
  <c r="V181" i="7"/>
  <c r="U181" i="7"/>
  <c r="W181" i="7" s="1"/>
  <c r="P181" i="7"/>
  <c r="Q181" i="7" s="1"/>
  <c r="K181" i="7"/>
  <c r="V180" i="7"/>
  <c r="U180" i="7"/>
  <c r="W180" i="7" s="1"/>
  <c r="P180" i="7"/>
  <c r="Q180" i="7" s="1"/>
  <c r="K180" i="7"/>
  <c r="V179" i="7"/>
  <c r="W179" i="7" s="1"/>
  <c r="U179" i="7"/>
  <c r="Q179" i="7"/>
  <c r="P179" i="7"/>
  <c r="K179" i="7"/>
  <c r="V178" i="7"/>
  <c r="U178" i="7"/>
  <c r="P178" i="7"/>
  <c r="Q178" i="7" s="1"/>
  <c r="K178" i="7"/>
  <c r="W177" i="7"/>
  <c r="V177" i="7"/>
  <c r="U177" i="7"/>
  <c r="P177" i="7"/>
  <c r="Q177" i="7" s="1"/>
  <c r="K177" i="7"/>
  <c r="V176" i="7"/>
  <c r="U176" i="7"/>
  <c r="P176" i="7"/>
  <c r="Q176" i="7" s="1"/>
  <c r="K176" i="7"/>
  <c r="V175" i="7"/>
  <c r="U175" i="7"/>
  <c r="P175" i="7"/>
  <c r="Q175" i="7" s="1"/>
  <c r="K175" i="7"/>
  <c r="V174" i="7"/>
  <c r="U174" i="7"/>
  <c r="W174" i="7" s="1"/>
  <c r="P174" i="7"/>
  <c r="Q174" i="7" s="1"/>
  <c r="K174" i="7"/>
  <c r="V173" i="7"/>
  <c r="W173" i="7" s="1"/>
  <c r="U173" i="7"/>
  <c r="P173" i="7"/>
  <c r="Q173" i="7" s="1"/>
  <c r="K173" i="7"/>
  <c r="V172" i="7"/>
  <c r="U172" i="7"/>
  <c r="P172" i="7"/>
  <c r="Q172" i="7" s="1"/>
  <c r="K172" i="7"/>
  <c r="V171" i="7"/>
  <c r="W171" i="7" s="1"/>
  <c r="U171" i="7"/>
  <c r="P171" i="7"/>
  <c r="Q171" i="7" s="1"/>
  <c r="K171" i="7"/>
  <c r="V170" i="7"/>
  <c r="W170" i="7" s="1"/>
  <c r="U170" i="7"/>
  <c r="P170" i="7"/>
  <c r="Q170" i="7" s="1"/>
  <c r="K170" i="7"/>
  <c r="V169" i="7"/>
  <c r="U169" i="7"/>
  <c r="W169" i="7" s="1"/>
  <c r="P169" i="7"/>
  <c r="Q169" i="7" s="1"/>
  <c r="K169" i="7"/>
  <c r="V168" i="7"/>
  <c r="U168" i="7"/>
  <c r="W168" i="7" s="1"/>
  <c r="P168" i="7"/>
  <c r="Q168" i="7" s="1"/>
  <c r="K168" i="7"/>
  <c r="V167" i="7"/>
  <c r="U167" i="7"/>
  <c r="W167" i="7" s="1"/>
  <c r="P167" i="7"/>
  <c r="Q167" i="7" s="1"/>
  <c r="K167" i="7"/>
  <c r="V166" i="7"/>
  <c r="W166" i="7" s="1"/>
  <c r="U166" i="7"/>
  <c r="P166" i="7"/>
  <c r="Q166" i="7" s="1"/>
  <c r="K166" i="7"/>
  <c r="W165" i="7"/>
  <c r="V165" i="7"/>
  <c r="U165" i="7"/>
  <c r="P165" i="7"/>
  <c r="Q165" i="7" s="1"/>
  <c r="K165" i="7"/>
  <c r="V164" i="7"/>
  <c r="U164" i="7"/>
  <c r="W164" i="7" s="1"/>
  <c r="P164" i="7"/>
  <c r="Q164" i="7" s="1"/>
  <c r="K164" i="7"/>
  <c r="V163" i="7"/>
  <c r="U163" i="7"/>
  <c r="P163" i="7"/>
  <c r="Q163" i="7" s="1"/>
  <c r="K163" i="7"/>
  <c r="V162" i="7"/>
  <c r="W162" i="7" s="1"/>
  <c r="U162" i="7"/>
  <c r="P162" i="7"/>
  <c r="Q162" i="7" s="1"/>
  <c r="K162" i="7"/>
  <c r="W161" i="7"/>
  <c r="V161" i="7"/>
  <c r="U161" i="7"/>
  <c r="P161" i="7"/>
  <c r="Q161" i="7" s="1"/>
  <c r="K161" i="7"/>
  <c r="V160" i="7"/>
  <c r="U160" i="7"/>
  <c r="W160" i="7" s="1"/>
  <c r="P160" i="7"/>
  <c r="Q160" i="7" s="1"/>
  <c r="K160" i="7"/>
  <c r="V159" i="7"/>
  <c r="W159" i="7" s="1"/>
  <c r="U159" i="7"/>
  <c r="Q159" i="7"/>
  <c r="P159" i="7"/>
  <c r="K159" i="7"/>
  <c r="W158" i="7"/>
  <c r="V158" i="7"/>
  <c r="U158" i="7"/>
  <c r="P158" i="7"/>
  <c r="Q158" i="7" s="1"/>
  <c r="K158" i="7"/>
  <c r="V157" i="7"/>
  <c r="U157" i="7"/>
  <c r="W157" i="7" s="1"/>
  <c r="P157" i="7"/>
  <c r="Q157" i="7" s="1"/>
  <c r="K157" i="7"/>
  <c r="V156" i="7"/>
  <c r="W156" i="7" s="1"/>
  <c r="U156" i="7"/>
  <c r="P156" i="7"/>
  <c r="Q156" i="7" s="1"/>
  <c r="K156" i="7"/>
  <c r="W155" i="7"/>
  <c r="V155" i="7"/>
  <c r="U155" i="7"/>
  <c r="P155" i="7"/>
  <c r="Q155" i="7" s="1"/>
  <c r="K155" i="7"/>
  <c r="V154" i="7"/>
  <c r="U154" i="7"/>
  <c r="P154" i="7"/>
  <c r="Q154" i="7" s="1"/>
  <c r="K154" i="7"/>
  <c r="W153" i="7"/>
  <c r="V153" i="7"/>
  <c r="U153" i="7"/>
  <c r="P153" i="7"/>
  <c r="Q153" i="7" s="1"/>
  <c r="K153" i="7"/>
  <c r="V152" i="7"/>
  <c r="U152" i="7"/>
  <c r="W152" i="7" s="1"/>
  <c r="P152" i="7"/>
  <c r="Q152" i="7" s="1"/>
  <c r="K152" i="7"/>
  <c r="V151" i="7"/>
  <c r="W151" i="7" s="1"/>
  <c r="U151" i="7"/>
  <c r="P151" i="7"/>
  <c r="Q151" i="7" s="1"/>
  <c r="K151" i="7"/>
  <c r="W150" i="7"/>
  <c r="V150" i="7"/>
  <c r="U150" i="7"/>
  <c r="P150" i="7"/>
  <c r="Q150" i="7" s="1"/>
  <c r="K150" i="7"/>
  <c r="V149" i="7"/>
  <c r="W149" i="7" s="1"/>
  <c r="U149" i="7"/>
  <c r="P149" i="7"/>
  <c r="Q149" i="7" s="1"/>
  <c r="K149" i="7"/>
  <c r="W148" i="7"/>
  <c r="V148" i="7"/>
  <c r="U148" i="7"/>
  <c r="P148" i="7"/>
  <c r="Q148" i="7" s="1"/>
  <c r="K148" i="7"/>
  <c r="V147" i="7"/>
  <c r="W147" i="7" s="1"/>
  <c r="U147" i="7"/>
  <c r="Q147" i="7"/>
  <c r="P147" i="7"/>
  <c r="K147" i="7"/>
  <c r="V146" i="7"/>
  <c r="W146" i="7" s="1"/>
  <c r="U146" i="7"/>
  <c r="P146" i="7"/>
  <c r="Q146" i="7" s="1"/>
  <c r="K146" i="7"/>
  <c r="W145" i="7"/>
  <c r="V145" i="7"/>
  <c r="U145" i="7"/>
  <c r="P145" i="7"/>
  <c r="Q145" i="7" s="1"/>
  <c r="K145" i="7"/>
  <c r="V144" i="7"/>
  <c r="W144" i="7" s="1"/>
  <c r="U144" i="7"/>
  <c r="P144" i="7"/>
  <c r="Q144" i="7" s="1"/>
  <c r="K144" i="7"/>
  <c r="V143" i="7"/>
  <c r="U143" i="7"/>
  <c r="W143" i="7" s="1"/>
  <c r="P143" i="7"/>
  <c r="Q143" i="7" s="1"/>
  <c r="K143" i="7"/>
  <c r="V142" i="7"/>
  <c r="W142" i="7" s="1"/>
  <c r="U142" i="7"/>
  <c r="P142" i="7"/>
  <c r="Q142" i="7" s="1"/>
  <c r="K142" i="7"/>
  <c r="V141" i="7"/>
  <c r="U141" i="7"/>
  <c r="W141" i="7" s="1"/>
  <c r="P141" i="7"/>
  <c r="Q141" i="7" s="1"/>
  <c r="K141" i="7"/>
  <c r="V140" i="7"/>
  <c r="U140" i="7"/>
  <c r="P140" i="7"/>
  <c r="Q140" i="7" s="1"/>
  <c r="K140" i="7"/>
  <c r="V139" i="7"/>
  <c r="U139" i="7"/>
  <c r="W139" i="7" s="1"/>
  <c r="Q139" i="7"/>
  <c r="P139" i="7"/>
  <c r="K139" i="7"/>
  <c r="V138" i="7"/>
  <c r="U138" i="7"/>
  <c r="P138" i="7"/>
  <c r="Q138" i="7" s="1"/>
  <c r="K138" i="7"/>
  <c r="V137" i="7"/>
  <c r="U137" i="7"/>
  <c r="W137" i="7" s="1"/>
  <c r="P137" i="7"/>
  <c r="Q137" i="7" s="1"/>
  <c r="K137" i="7"/>
  <c r="V136" i="7"/>
  <c r="U136" i="7"/>
  <c r="P136" i="7"/>
  <c r="Q136" i="7" s="1"/>
  <c r="K136" i="7"/>
  <c r="V135" i="7"/>
  <c r="W135" i="7" s="1"/>
  <c r="U135" i="7"/>
  <c r="Q135" i="7"/>
  <c r="P135" i="7"/>
  <c r="K135" i="7"/>
  <c r="V134" i="7"/>
  <c r="W134" i="7" s="1"/>
  <c r="U134" i="7"/>
  <c r="P134" i="7"/>
  <c r="Q134" i="7" s="1"/>
  <c r="K134" i="7"/>
  <c r="V133" i="7"/>
  <c r="W133" i="7" s="1"/>
  <c r="U133" i="7"/>
  <c r="P133" i="7"/>
  <c r="Q133" i="7" s="1"/>
  <c r="K133" i="7"/>
  <c r="V132" i="7"/>
  <c r="W132" i="7" s="1"/>
  <c r="U132" i="7"/>
  <c r="P132" i="7"/>
  <c r="Q132" i="7" s="1"/>
  <c r="K132" i="7"/>
  <c r="V131" i="7"/>
  <c r="U131" i="7"/>
  <c r="P131" i="7"/>
  <c r="Q131" i="7" s="1"/>
  <c r="K131" i="7"/>
  <c r="V130" i="7"/>
  <c r="U130" i="7"/>
  <c r="P130" i="7"/>
  <c r="Q130" i="7" s="1"/>
  <c r="K130" i="7"/>
  <c r="V129" i="7"/>
  <c r="U129" i="7"/>
  <c r="P129" i="7"/>
  <c r="Q129" i="7" s="1"/>
  <c r="K129" i="7"/>
  <c r="V128" i="7"/>
  <c r="U128" i="7"/>
  <c r="W128" i="7" s="1"/>
  <c r="P128" i="7"/>
  <c r="Q128" i="7" s="1"/>
  <c r="K128" i="7"/>
  <c r="W127" i="7"/>
  <c r="V127" i="7"/>
  <c r="U127" i="7"/>
  <c r="P127" i="7"/>
  <c r="Q127" i="7" s="1"/>
  <c r="K127" i="7"/>
  <c r="V126" i="7"/>
  <c r="W126" i="7" s="1"/>
  <c r="U126" i="7"/>
  <c r="P126" i="7"/>
  <c r="Q126" i="7" s="1"/>
  <c r="K126" i="7"/>
  <c r="V125" i="7"/>
  <c r="W125" i="7" s="1"/>
  <c r="U125" i="7"/>
  <c r="P125" i="7"/>
  <c r="Q125" i="7" s="1"/>
  <c r="K125" i="7"/>
  <c r="W124" i="7"/>
  <c r="V124" i="7"/>
  <c r="U124" i="7"/>
  <c r="P124" i="7"/>
  <c r="Q124" i="7" s="1"/>
  <c r="K124" i="7"/>
  <c r="V123" i="7"/>
  <c r="U123" i="7"/>
  <c r="W123" i="7" s="1"/>
  <c r="P123" i="7"/>
  <c r="Q123" i="7" s="1"/>
  <c r="K123" i="7"/>
  <c r="V122" i="7"/>
  <c r="W122" i="7" s="1"/>
  <c r="U122" i="7"/>
  <c r="P122" i="7"/>
  <c r="Q122" i="7" s="1"/>
  <c r="K122" i="7"/>
  <c r="W121" i="7"/>
  <c r="V121" i="7"/>
  <c r="U121" i="7"/>
  <c r="P121" i="7"/>
  <c r="Q121" i="7" s="1"/>
  <c r="K121" i="7"/>
  <c r="V120" i="7"/>
  <c r="W120" i="7" s="1"/>
  <c r="U120" i="7"/>
  <c r="P120" i="7"/>
  <c r="Q120" i="7" s="1"/>
  <c r="K120" i="7"/>
  <c r="W119" i="7"/>
  <c r="V119" i="7"/>
  <c r="U119" i="7"/>
  <c r="P119" i="7"/>
  <c r="Q119" i="7" s="1"/>
  <c r="K119" i="7"/>
  <c r="V118" i="7"/>
  <c r="W118" i="7" s="1"/>
  <c r="U118" i="7"/>
  <c r="P118" i="7"/>
  <c r="Q118" i="7" s="1"/>
  <c r="K118" i="7"/>
  <c r="V117" i="7"/>
  <c r="W117" i="7" s="1"/>
  <c r="U117" i="7"/>
  <c r="P117" i="7"/>
  <c r="Q117" i="7" s="1"/>
  <c r="K117" i="7"/>
  <c r="W116" i="7"/>
  <c r="V116" i="7"/>
  <c r="U116" i="7"/>
  <c r="P116" i="7"/>
  <c r="Q116" i="7" s="1"/>
  <c r="K116" i="7"/>
  <c r="V115" i="7"/>
  <c r="U115" i="7"/>
  <c r="P115" i="7"/>
  <c r="Q115" i="7" s="1"/>
  <c r="K115" i="7"/>
  <c r="V114" i="7"/>
  <c r="U114" i="7"/>
  <c r="W114" i="7" s="1"/>
  <c r="P114" i="7"/>
  <c r="Q114" i="7" s="1"/>
  <c r="K114" i="7"/>
  <c r="W113" i="7"/>
  <c r="V113" i="7"/>
  <c r="U113" i="7"/>
  <c r="P113" i="7"/>
  <c r="Q113" i="7" s="1"/>
  <c r="K113" i="7"/>
  <c r="V112" i="7"/>
  <c r="U112" i="7"/>
  <c r="W112" i="7" s="1"/>
  <c r="P112" i="7"/>
  <c r="Q112" i="7" s="1"/>
  <c r="K112" i="7"/>
  <c r="V111" i="7"/>
  <c r="W111" i="7" s="1"/>
  <c r="U111" i="7"/>
  <c r="P111" i="7"/>
  <c r="Q111" i="7" s="1"/>
  <c r="K111" i="7"/>
  <c r="V110" i="7"/>
  <c r="U110" i="7"/>
  <c r="W110" i="7" s="1"/>
  <c r="Q110" i="7"/>
  <c r="P110" i="7"/>
  <c r="K110" i="7"/>
  <c r="V109" i="7"/>
  <c r="W109" i="7" s="1"/>
  <c r="U109" i="7"/>
  <c r="P109" i="7"/>
  <c r="Q109" i="7" s="1"/>
  <c r="K109" i="7"/>
  <c r="W108" i="7"/>
  <c r="V108" i="7"/>
  <c r="U108" i="7"/>
  <c r="P108" i="7"/>
  <c r="Q108" i="7" s="1"/>
  <c r="K108" i="7"/>
  <c r="V107" i="7"/>
  <c r="U107" i="7"/>
  <c r="P107" i="7"/>
  <c r="Q107" i="7" s="1"/>
  <c r="K107" i="7"/>
  <c r="V106" i="7"/>
  <c r="U106" i="7"/>
  <c r="W106" i="7" s="1"/>
  <c r="P106" i="7"/>
  <c r="Q106" i="7" s="1"/>
  <c r="K106" i="7"/>
  <c r="W105" i="7"/>
  <c r="V105" i="7"/>
  <c r="U105" i="7"/>
  <c r="P105" i="7"/>
  <c r="Q105" i="7" s="1"/>
  <c r="K105" i="7"/>
  <c r="V104" i="7"/>
  <c r="U104" i="7"/>
  <c r="W104" i="7" s="1"/>
  <c r="P104" i="7"/>
  <c r="Q104" i="7" s="1"/>
  <c r="K104" i="7"/>
  <c r="V103" i="7"/>
  <c r="U103" i="7"/>
  <c r="P103" i="7"/>
  <c r="Q103" i="7" s="1"/>
  <c r="K103" i="7"/>
  <c r="V102" i="7"/>
  <c r="U102" i="7"/>
  <c r="W102" i="7" s="1"/>
  <c r="P102" i="7"/>
  <c r="Q102" i="7" s="1"/>
  <c r="K102" i="7"/>
  <c r="V101" i="7"/>
  <c r="W101" i="7" s="1"/>
  <c r="U101" i="7"/>
  <c r="Q101" i="7"/>
  <c r="P101" i="7"/>
  <c r="K101" i="7"/>
  <c r="W100" i="7"/>
  <c r="V100" i="7"/>
  <c r="U100" i="7"/>
  <c r="P100" i="7"/>
  <c r="Q100" i="7" s="1"/>
  <c r="K100" i="7"/>
  <c r="V99" i="7"/>
  <c r="W99" i="7" s="1"/>
  <c r="U99" i="7"/>
  <c r="P99" i="7"/>
  <c r="Q99" i="7" s="1"/>
  <c r="K99" i="7"/>
  <c r="V98" i="7"/>
  <c r="U98" i="7"/>
  <c r="P98" i="7"/>
  <c r="Q98" i="7" s="1"/>
  <c r="K98" i="7"/>
  <c r="V97" i="7"/>
  <c r="U97" i="7"/>
  <c r="W97" i="7" s="1"/>
  <c r="Q97" i="7"/>
  <c r="P97" i="7"/>
  <c r="K97" i="7"/>
  <c r="V96" i="7"/>
  <c r="U96" i="7"/>
  <c r="W96" i="7" s="1"/>
  <c r="P96" i="7"/>
  <c r="Q96" i="7" s="1"/>
  <c r="K96" i="7"/>
  <c r="V95" i="7"/>
  <c r="W95" i="7" s="1"/>
  <c r="U95" i="7"/>
  <c r="P95" i="7"/>
  <c r="Q95" i="7" s="1"/>
  <c r="K95" i="7"/>
  <c r="V94" i="7"/>
  <c r="U94" i="7"/>
  <c r="W94" i="7" s="1"/>
  <c r="P94" i="7"/>
  <c r="Q94" i="7" s="1"/>
  <c r="K94" i="7"/>
  <c r="V93" i="7"/>
  <c r="U93" i="7"/>
  <c r="P93" i="7"/>
  <c r="Q93" i="7" s="1"/>
  <c r="K93" i="7"/>
  <c r="V92" i="7"/>
  <c r="U92" i="7"/>
  <c r="W92" i="7" s="1"/>
  <c r="P92" i="7"/>
  <c r="Q92" i="7" s="1"/>
  <c r="K92" i="7"/>
  <c r="V91" i="7"/>
  <c r="U91" i="7"/>
  <c r="P91" i="7"/>
  <c r="Q91" i="7" s="1"/>
  <c r="K91" i="7"/>
  <c r="V90" i="7"/>
  <c r="U90" i="7"/>
  <c r="W90" i="7" s="1"/>
  <c r="P90" i="7"/>
  <c r="Q90" i="7" s="1"/>
  <c r="K90" i="7"/>
  <c r="V89" i="7"/>
  <c r="U89" i="7"/>
  <c r="W89" i="7" s="1"/>
  <c r="P89" i="7"/>
  <c r="Q89" i="7" s="1"/>
  <c r="K89" i="7"/>
  <c r="W88" i="7"/>
  <c r="V88" i="7"/>
  <c r="U88" i="7"/>
  <c r="P88" i="7"/>
  <c r="Q88" i="7" s="1"/>
  <c r="K88" i="7"/>
  <c r="V87" i="7"/>
  <c r="U87" i="7"/>
  <c r="P87" i="7"/>
  <c r="Q87" i="7" s="1"/>
  <c r="K87" i="7"/>
  <c r="V86" i="7"/>
  <c r="U86" i="7"/>
  <c r="Q86" i="7"/>
  <c r="P86" i="7"/>
  <c r="K86" i="7"/>
  <c r="V85" i="7"/>
  <c r="U85" i="7"/>
  <c r="Q85" i="7"/>
  <c r="P85" i="7"/>
  <c r="K85" i="7"/>
  <c r="W84" i="7"/>
  <c r="V84" i="7"/>
  <c r="U84" i="7"/>
  <c r="P84" i="7"/>
  <c r="Q84" i="7" s="1"/>
  <c r="K84" i="7"/>
  <c r="V83" i="7"/>
  <c r="U83" i="7"/>
  <c r="P83" i="7"/>
  <c r="Q83" i="7" s="1"/>
  <c r="K83" i="7"/>
  <c r="V82" i="7"/>
  <c r="W82" i="7" s="1"/>
  <c r="U82" i="7"/>
  <c r="P82" i="7"/>
  <c r="Q82" i="7" s="1"/>
  <c r="K82" i="7"/>
  <c r="V81" i="7"/>
  <c r="W81" i="7" s="1"/>
  <c r="U81" i="7"/>
  <c r="P81" i="7"/>
  <c r="Q81" i="7" s="1"/>
  <c r="K81" i="7"/>
  <c r="V80" i="7"/>
  <c r="U80" i="7"/>
  <c r="W80" i="7" s="1"/>
  <c r="P80" i="7"/>
  <c r="Q80" i="7" s="1"/>
  <c r="K80" i="7"/>
  <c r="V79" i="7"/>
  <c r="W79" i="7" s="1"/>
  <c r="U79" i="7"/>
  <c r="P79" i="7"/>
  <c r="Q79" i="7" s="1"/>
  <c r="K79" i="7"/>
  <c r="V78" i="7"/>
  <c r="W78" i="7" s="1"/>
  <c r="U78" i="7"/>
  <c r="Q78" i="7"/>
  <c r="P78" i="7"/>
  <c r="K78" i="7"/>
  <c r="V77" i="7"/>
  <c r="U77" i="7"/>
  <c r="W77" i="7" s="1"/>
  <c r="P77" i="7"/>
  <c r="Q77" i="7" s="1"/>
  <c r="K77" i="7"/>
  <c r="W76" i="7"/>
  <c r="V76" i="7"/>
  <c r="U76" i="7"/>
  <c r="P76" i="7"/>
  <c r="Q76" i="7" s="1"/>
  <c r="K76" i="7"/>
  <c r="V75" i="7"/>
  <c r="U75" i="7"/>
  <c r="P75" i="7"/>
  <c r="Q75" i="7" s="1"/>
  <c r="K75" i="7"/>
  <c r="V74" i="7"/>
  <c r="U74" i="7"/>
  <c r="W74" i="7" s="1"/>
  <c r="P74" i="7"/>
  <c r="Q74" i="7" s="1"/>
  <c r="K74" i="7"/>
  <c r="V73" i="7"/>
  <c r="W73" i="7" s="1"/>
  <c r="U73" i="7"/>
  <c r="Q73" i="7"/>
  <c r="P73" i="7"/>
  <c r="K73" i="7"/>
  <c r="V72" i="7"/>
  <c r="W72" i="7" s="1"/>
  <c r="U72" i="7"/>
  <c r="P72" i="7"/>
  <c r="Q72" i="7" s="1"/>
  <c r="K72" i="7"/>
  <c r="V71" i="7"/>
  <c r="W71" i="7" s="1"/>
  <c r="U71" i="7"/>
  <c r="P71" i="7"/>
  <c r="Q71" i="7" s="1"/>
  <c r="K71" i="7"/>
  <c r="V70" i="7"/>
  <c r="U70" i="7"/>
  <c r="Q70" i="7"/>
  <c r="P70" i="7"/>
  <c r="K70" i="7"/>
  <c r="V69" i="7"/>
  <c r="U69" i="7"/>
  <c r="W69" i="7" s="1"/>
  <c r="P69" i="7"/>
  <c r="Q69" i="7" s="1"/>
  <c r="K69" i="7"/>
  <c r="V68" i="7"/>
  <c r="U68" i="7"/>
  <c r="P68" i="7"/>
  <c r="Q68" i="7" s="1"/>
  <c r="K68" i="7"/>
  <c r="V67" i="7"/>
  <c r="W67" i="7" s="1"/>
  <c r="U67" i="7"/>
  <c r="P67" i="7"/>
  <c r="Q67" i="7" s="1"/>
  <c r="K67" i="7"/>
  <c r="V66" i="7"/>
  <c r="U66" i="7"/>
  <c r="Q66" i="7"/>
  <c r="P66" i="7"/>
  <c r="K66" i="7"/>
  <c r="V65" i="7"/>
  <c r="U65" i="7"/>
  <c r="P65" i="7"/>
  <c r="Q65" i="7" s="1"/>
  <c r="K65" i="7"/>
  <c r="W64" i="7"/>
  <c r="V64" i="7"/>
  <c r="U64" i="7"/>
  <c r="P64" i="7"/>
  <c r="Q64" i="7" s="1"/>
  <c r="K64" i="7"/>
  <c r="V63" i="7"/>
  <c r="U63" i="7"/>
  <c r="P63" i="7"/>
  <c r="Q63" i="7" s="1"/>
  <c r="K63" i="7"/>
  <c r="V62" i="7"/>
  <c r="W62" i="7" s="1"/>
  <c r="U62" i="7"/>
  <c r="Q62" i="7"/>
  <c r="P62" i="7"/>
  <c r="K62" i="7"/>
  <c r="V61" i="7"/>
  <c r="U61" i="7"/>
  <c r="P61" i="7"/>
  <c r="Q61" i="7" s="1"/>
  <c r="K61" i="7"/>
  <c r="V60" i="7"/>
  <c r="W60" i="7" s="1"/>
  <c r="U60" i="7"/>
  <c r="P60" i="7"/>
  <c r="Q60" i="7" s="1"/>
  <c r="K60" i="7"/>
  <c r="V59" i="7"/>
  <c r="W59" i="7" s="1"/>
  <c r="U59" i="7"/>
  <c r="P59" i="7"/>
  <c r="Q59" i="7" s="1"/>
  <c r="K59" i="7"/>
  <c r="V58" i="7"/>
  <c r="U58" i="7"/>
  <c r="Q58" i="7"/>
  <c r="P58" i="7"/>
  <c r="K58" i="7"/>
  <c r="V57" i="7"/>
  <c r="U57" i="7"/>
  <c r="W57" i="7" s="1"/>
  <c r="Q57" i="7"/>
  <c r="P57" i="7"/>
  <c r="K57" i="7"/>
  <c r="W56" i="7"/>
  <c r="V56" i="7"/>
  <c r="U56" i="7"/>
  <c r="P56" i="7"/>
  <c r="Q56" i="7" s="1"/>
  <c r="K56" i="7"/>
  <c r="V55" i="7"/>
  <c r="U55" i="7"/>
  <c r="W55" i="7" s="1"/>
  <c r="P55" i="7"/>
  <c r="Q55" i="7" s="1"/>
  <c r="K55" i="7"/>
  <c r="V54" i="7"/>
  <c r="U54" i="7"/>
  <c r="W54" i="7" s="1"/>
  <c r="P54" i="7"/>
  <c r="Q54" i="7" s="1"/>
  <c r="K54" i="7"/>
  <c r="V53" i="7"/>
  <c r="U53" i="7"/>
  <c r="W53" i="7" s="1"/>
  <c r="Q53" i="7"/>
  <c r="P53" i="7"/>
  <c r="K53" i="7"/>
  <c r="V52" i="7"/>
  <c r="W52" i="7" s="1"/>
  <c r="U52" i="7"/>
  <c r="P52" i="7"/>
  <c r="Q52" i="7" s="1"/>
  <c r="K52" i="7"/>
  <c r="V51" i="7"/>
  <c r="U51" i="7"/>
  <c r="P51" i="7"/>
  <c r="Q51" i="7" s="1"/>
  <c r="K51" i="7"/>
  <c r="V50" i="7"/>
  <c r="U50" i="7"/>
  <c r="W50" i="7" s="1"/>
  <c r="P50" i="7"/>
  <c r="Q50" i="7" s="1"/>
  <c r="K50" i="7"/>
  <c r="V49" i="7"/>
  <c r="U49" i="7"/>
  <c r="P49" i="7"/>
  <c r="Q49" i="7" s="1"/>
  <c r="K49" i="7"/>
  <c r="V48" i="7"/>
  <c r="W48" i="7" s="1"/>
  <c r="U48" i="7"/>
  <c r="P48" i="7"/>
  <c r="Q48" i="7" s="1"/>
  <c r="K48" i="7"/>
  <c r="V47" i="7"/>
  <c r="U47" i="7"/>
  <c r="P47" i="7"/>
  <c r="Q47" i="7" s="1"/>
  <c r="K47" i="7"/>
  <c r="V46" i="7"/>
  <c r="U46" i="7"/>
  <c r="P46" i="7"/>
  <c r="Q46" i="7" s="1"/>
  <c r="K46" i="7"/>
  <c r="V45" i="7"/>
  <c r="U45" i="7"/>
  <c r="P45" i="7"/>
  <c r="Q45" i="7" s="1"/>
  <c r="K45" i="7"/>
  <c r="V44" i="7"/>
  <c r="U44" i="7"/>
  <c r="W44" i="7" s="1"/>
  <c r="P44" i="7"/>
  <c r="Q44" i="7" s="1"/>
  <c r="K44" i="7"/>
  <c r="V43" i="7"/>
  <c r="U43" i="7"/>
  <c r="W43" i="7" s="1"/>
  <c r="P43" i="7"/>
  <c r="Q43" i="7" s="1"/>
  <c r="K43" i="7"/>
  <c r="V42" i="7"/>
  <c r="U42" i="7"/>
  <c r="W42" i="7" s="1"/>
  <c r="P42" i="7"/>
  <c r="Q42" i="7" s="1"/>
  <c r="K42" i="7"/>
  <c r="V41" i="7"/>
  <c r="U41" i="7"/>
  <c r="W41" i="7" s="1"/>
  <c r="P41" i="7"/>
  <c r="Q41" i="7" s="1"/>
  <c r="K41" i="7"/>
  <c r="V40" i="7"/>
  <c r="W40" i="7" s="1"/>
  <c r="U40" i="7"/>
  <c r="P40" i="7"/>
  <c r="Q40" i="7" s="1"/>
  <c r="K40" i="7"/>
  <c r="V39" i="7"/>
  <c r="U39" i="7"/>
  <c r="P39" i="7"/>
  <c r="Q39" i="7" s="1"/>
  <c r="K39" i="7"/>
  <c r="W38" i="7"/>
  <c r="V38" i="7"/>
  <c r="U38" i="7"/>
  <c r="P38" i="7"/>
  <c r="Q38" i="7" s="1"/>
  <c r="K38" i="7"/>
  <c r="V37" i="7"/>
  <c r="U37" i="7"/>
  <c r="W37" i="7" s="1"/>
  <c r="P37" i="7"/>
  <c r="Q37" i="7" s="1"/>
  <c r="K37" i="7"/>
  <c r="W36" i="7"/>
  <c r="V36" i="7"/>
  <c r="U36" i="7"/>
  <c r="P36" i="7"/>
  <c r="Q36" i="7" s="1"/>
  <c r="K36" i="7"/>
  <c r="V35" i="7"/>
  <c r="U35" i="7"/>
  <c r="P35" i="7"/>
  <c r="Q35" i="7" s="1"/>
  <c r="K35" i="7"/>
  <c r="W34" i="7"/>
  <c r="V34" i="7"/>
  <c r="U34" i="7"/>
  <c r="P34" i="7"/>
  <c r="Q34" i="7" s="1"/>
  <c r="K34" i="7"/>
  <c r="V33" i="7"/>
  <c r="U33" i="7"/>
  <c r="W33" i="7" s="1"/>
  <c r="P33" i="7"/>
  <c r="Q33" i="7" s="1"/>
  <c r="K33" i="7"/>
  <c r="V32" i="7"/>
  <c r="W32" i="7" s="1"/>
  <c r="U32" i="7"/>
  <c r="P32" i="7"/>
  <c r="Q32" i="7" s="1"/>
  <c r="K32" i="7"/>
  <c r="V31" i="7"/>
  <c r="U31" i="7"/>
  <c r="P31" i="7"/>
  <c r="Q31" i="7" s="1"/>
  <c r="K31" i="7"/>
  <c r="V30" i="7"/>
  <c r="W30" i="7" s="1"/>
  <c r="U30" i="7"/>
  <c r="P30" i="7"/>
  <c r="Q30" i="7" s="1"/>
  <c r="K30" i="7"/>
  <c r="V29" i="7"/>
  <c r="U29" i="7"/>
  <c r="P29" i="7"/>
  <c r="Q29" i="7" s="1"/>
  <c r="K29" i="7"/>
  <c r="V28" i="7"/>
  <c r="W28" i="7" s="1"/>
  <c r="U28" i="7"/>
  <c r="P28" i="7"/>
  <c r="Q28" i="7" s="1"/>
  <c r="K28" i="7"/>
  <c r="V27" i="7"/>
  <c r="U27" i="7"/>
  <c r="P27" i="7"/>
  <c r="Q27" i="7" s="1"/>
  <c r="K27" i="7"/>
  <c r="V26" i="7"/>
  <c r="U26" i="7"/>
  <c r="W26" i="7" s="1"/>
  <c r="P26" i="7"/>
  <c r="Q26" i="7" s="1"/>
  <c r="K26" i="7"/>
  <c r="V25" i="7"/>
  <c r="U25" i="7"/>
  <c r="W25" i="7" s="1"/>
  <c r="P25" i="7"/>
  <c r="Q25" i="7" s="1"/>
  <c r="K25" i="7"/>
  <c r="V24" i="7"/>
  <c r="W24" i="7" s="1"/>
  <c r="U24" i="7"/>
  <c r="P24" i="7"/>
  <c r="Q24" i="7" s="1"/>
  <c r="K24" i="7"/>
  <c r="V23" i="7"/>
  <c r="U23" i="7"/>
  <c r="P23" i="7"/>
  <c r="Q23" i="7" s="1"/>
  <c r="K23" i="7"/>
  <c r="W22" i="7"/>
  <c r="V22" i="7"/>
  <c r="U22" i="7"/>
  <c r="P22" i="7"/>
  <c r="Q22" i="7" s="1"/>
  <c r="K22" i="7"/>
  <c r="V21" i="7"/>
  <c r="U21" i="7"/>
  <c r="W21" i="7" s="1"/>
  <c r="P21" i="7"/>
  <c r="Q21" i="7" s="1"/>
  <c r="K21" i="7"/>
  <c r="W20" i="7"/>
  <c r="V20" i="7"/>
  <c r="U20" i="7"/>
  <c r="P20" i="7"/>
  <c r="Q20" i="7" s="1"/>
  <c r="K20" i="7"/>
  <c r="V19" i="7"/>
  <c r="U19" i="7"/>
  <c r="P19" i="7"/>
  <c r="Q19" i="7" s="1"/>
  <c r="K19" i="7"/>
  <c r="W18" i="7"/>
  <c r="V18" i="7"/>
  <c r="U18" i="7"/>
  <c r="P18" i="7"/>
  <c r="Q18" i="7" s="1"/>
  <c r="K18" i="7"/>
  <c r="V17" i="7"/>
  <c r="U17" i="7"/>
  <c r="W17" i="7" s="1"/>
  <c r="P17" i="7"/>
  <c r="Q17" i="7" s="1"/>
  <c r="K17" i="7"/>
  <c r="V16" i="7"/>
  <c r="W16" i="7" s="1"/>
  <c r="U16" i="7"/>
  <c r="P16" i="7"/>
  <c r="Q16" i="7" s="1"/>
  <c r="K16" i="7"/>
  <c r="V15" i="7"/>
  <c r="U15" i="7"/>
  <c r="P15" i="7"/>
  <c r="Q15" i="7" s="1"/>
  <c r="K15" i="7"/>
  <c r="V14" i="7"/>
  <c r="W14" i="7" s="1"/>
  <c r="U14" i="7"/>
  <c r="P14" i="7"/>
  <c r="Q14" i="7" s="1"/>
  <c r="K14" i="7"/>
  <c r="V13" i="7"/>
  <c r="U13" i="7"/>
  <c r="P13" i="7"/>
  <c r="Q13" i="7" s="1"/>
  <c r="K13" i="7"/>
  <c r="V12" i="7"/>
  <c r="W12" i="7" s="1"/>
  <c r="U12" i="7"/>
  <c r="P12" i="7"/>
  <c r="Q12" i="7" s="1"/>
  <c r="K12" i="7"/>
  <c r="V11" i="7"/>
  <c r="U11" i="7"/>
  <c r="P11" i="7"/>
  <c r="Q11" i="7" s="1"/>
  <c r="K11" i="7"/>
  <c r="V10" i="7"/>
  <c r="U10" i="7"/>
  <c r="W10" i="7" s="1"/>
  <c r="P10" i="7"/>
  <c r="Q10" i="7" s="1"/>
  <c r="K10" i="7"/>
  <c r="V9" i="7"/>
  <c r="U9" i="7"/>
  <c r="W9" i="7" s="1"/>
  <c r="P9" i="7"/>
  <c r="Q9" i="7" s="1"/>
  <c r="K9" i="7"/>
  <c r="V8" i="7"/>
  <c r="W8" i="7" s="1"/>
  <c r="U8" i="7"/>
  <c r="P8" i="7"/>
  <c r="Q8" i="7" s="1"/>
  <c r="K8" i="7"/>
  <c r="V7" i="7"/>
  <c r="U7" i="7"/>
  <c r="P7" i="7"/>
  <c r="Q7" i="7" s="1"/>
  <c r="K7" i="7"/>
  <c r="W6" i="7"/>
  <c r="V6" i="7"/>
  <c r="U6" i="7"/>
  <c r="P6" i="7"/>
  <c r="Q6" i="7" s="1"/>
  <c r="K6" i="7"/>
  <c r="V5" i="7"/>
  <c r="U5" i="7"/>
  <c r="W5" i="7" s="1"/>
  <c r="P5" i="7"/>
  <c r="Q5" i="7" s="1"/>
  <c r="K5" i="7"/>
  <c r="W4" i="7"/>
  <c r="V4" i="7"/>
  <c r="U4" i="7"/>
  <c r="P4" i="7"/>
  <c r="Q4" i="7" s="1"/>
  <c r="K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V3" i="7"/>
  <c r="U3" i="7"/>
  <c r="W3" i="7" s="1"/>
  <c r="P3" i="7"/>
  <c r="Q3" i="7" s="1"/>
  <c r="K3" i="7"/>
  <c r="I1" i="7"/>
  <c r="E1" i="7"/>
  <c r="D1" i="7"/>
  <c r="C1" i="7"/>
  <c r="C149" i="7" s="1"/>
  <c r="V215" i="6"/>
  <c r="U215" i="6"/>
  <c r="P215" i="6"/>
  <c r="Q215" i="6" s="1"/>
  <c r="K215" i="6"/>
  <c r="V214" i="6"/>
  <c r="W214" i="6" s="1"/>
  <c r="U214" i="6"/>
  <c r="P214" i="6"/>
  <c r="Q214" i="6" s="1"/>
  <c r="K214" i="6"/>
  <c r="V213" i="6"/>
  <c r="U213" i="6"/>
  <c r="P213" i="6"/>
  <c r="Q213" i="6" s="1"/>
  <c r="K213" i="6"/>
  <c r="V212" i="6"/>
  <c r="U212" i="6"/>
  <c r="W212" i="6" s="1"/>
  <c r="P212" i="6"/>
  <c r="Q212" i="6" s="1"/>
  <c r="K212" i="6"/>
  <c r="V211" i="6"/>
  <c r="U211" i="6"/>
  <c r="P211" i="6"/>
  <c r="Q211" i="6" s="1"/>
  <c r="K211" i="6"/>
  <c r="V210" i="6"/>
  <c r="U210" i="6"/>
  <c r="P210" i="6"/>
  <c r="Q210" i="6" s="1"/>
  <c r="K210" i="6"/>
  <c r="V209" i="6"/>
  <c r="U209" i="6"/>
  <c r="P209" i="6"/>
  <c r="Q209" i="6" s="1"/>
  <c r="K209" i="6"/>
  <c r="V208" i="6"/>
  <c r="W208" i="6" s="1"/>
  <c r="U208" i="6"/>
  <c r="P208" i="6"/>
  <c r="Q208" i="6" s="1"/>
  <c r="K208" i="6"/>
  <c r="V207" i="6"/>
  <c r="U207" i="6"/>
  <c r="P207" i="6"/>
  <c r="Q207" i="6" s="1"/>
  <c r="K207" i="6"/>
  <c r="V206" i="6"/>
  <c r="U206" i="6"/>
  <c r="P206" i="6"/>
  <c r="Q206" i="6" s="1"/>
  <c r="K206" i="6"/>
  <c r="V205" i="6"/>
  <c r="U205" i="6"/>
  <c r="P205" i="6"/>
  <c r="Q205" i="6" s="1"/>
  <c r="K205" i="6"/>
  <c r="V204" i="6"/>
  <c r="W204" i="6" s="1"/>
  <c r="U204" i="6"/>
  <c r="P204" i="6"/>
  <c r="Q204" i="6" s="1"/>
  <c r="K204" i="6"/>
  <c r="V203" i="6"/>
  <c r="U203" i="6"/>
  <c r="W203" i="6" s="1"/>
  <c r="P203" i="6"/>
  <c r="Q203" i="6" s="1"/>
  <c r="K203" i="6"/>
  <c r="V202" i="6"/>
  <c r="U202" i="6"/>
  <c r="P202" i="6"/>
  <c r="Q202" i="6" s="1"/>
  <c r="K202" i="6"/>
  <c r="V201" i="6"/>
  <c r="U201" i="6"/>
  <c r="P201" i="6"/>
  <c r="Q201" i="6" s="1"/>
  <c r="K201" i="6"/>
  <c r="V200" i="6"/>
  <c r="W200" i="6" s="1"/>
  <c r="U200" i="6"/>
  <c r="P200" i="6"/>
  <c r="Q200" i="6" s="1"/>
  <c r="K200" i="6"/>
  <c r="V199" i="6"/>
  <c r="U199" i="6"/>
  <c r="P199" i="6"/>
  <c r="Q199" i="6" s="1"/>
  <c r="K199" i="6"/>
  <c r="V198" i="6"/>
  <c r="W198" i="6" s="1"/>
  <c r="U198" i="6"/>
  <c r="P198" i="6"/>
  <c r="Q198" i="6" s="1"/>
  <c r="K198" i="6"/>
  <c r="V197" i="6"/>
  <c r="U197" i="6"/>
  <c r="W197" i="6" s="1"/>
  <c r="P197" i="6"/>
  <c r="Q197" i="6" s="1"/>
  <c r="K197" i="6"/>
  <c r="V196" i="6"/>
  <c r="U196" i="6"/>
  <c r="W196" i="6" s="1"/>
  <c r="P196" i="6"/>
  <c r="Q196" i="6" s="1"/>
  <c r="K196" i="6"/>
  <c r="V195" i="6"/>
  <c r="U195" i="6"/>
  <c r="P195" i="6"/>
  <c r="Q195" i="6" s="1"/>
  <c r="K195" i="6"/>
  <c r="V194" i="6"/>
  <c r="U194" i="6"/>
  <c r="P194" i="6"/>
  <c r="Q194" i="6" s="1"/>
  <c r="K194" i="6"/>
  <c r="V193" i="6"/>
  <c r="U193" i="6"/>
  <c r="W193" i="6" s="1"/>
  <c r="P193" i="6"/>
  <c r="Q193" i="6" s="1"/>
  <c r="K193" i="6"/>
  <c r="V192" i="6"/>
  <c r="U192" i="6"/>
  <c r="P192" i="6"/>
  <c r="Q192" i="6" s="1"/>
  <c r="K192" i="6"/>
  <c r="V191" i="6"/>
  <c r="U191" i="6"/>
  <c r="W191" i="6" s="1"/>
  <c r="P191" i="6"/>
  <c r="Q191" i="6" s="1"/>
  <c r="K191" i="6"/>
  <c r="V190" i="6"/>
  <c r="W190" i="6" s="1"/>
  <c r="U190" i="6"/>
  <c r="P190" i="6"/>
  <c r="Q190" i="6" s="1"/>
  <c r="K190" i="6"/>
  <c r="V189" i="6"/>
  <c r="U189" i="6"/>
  <c r="P189" i="6"/>
  <c r="Q189" i="6" s="1"/>
  <c r="K189" i="6"/>
  <c r="V188" i="6"/>
  <c r="W188" i="6" s="1"/>
  <c r="U188" i="6"/>
  <c r="P188" i="6"/>
  <c r="Q188" i="6" s="1"/>
  <c r="K188" i="6"/>
  <c r="V187" i="6"/>
  <c r="U187" i="6"/>
  <c r="W187" i="6" s="1"/>
  <c r="P187" i="6"/>
  <c r="Q187" i="6" s="1"/>
  <c r="K187" i="6"/>
  <c r="V186" i="6"/>
  <c r="W186" i="6" s="1"/>
  <c r="U186" i="6"/>
  <c r="P186" i="6"/>
  <c r="Q186" i="6" s="1"/>
  <c r="K186" i="6"/>
  <c r="V185" i="6"/>
  <c r="U185" i="6"/>
  <c r="W185" i="6" s="1"/>
  <c r="P185" i="6"/>
  <c r="Q185" i="6" s="1"/>
  <c r="K185" i="6"/>
  <c r="V184" i="6"/>
  <c r="W184" i="6" s="1"/>
  <c r="U184" i="6"/>
  <c r="P184" i="6"/>
  <c r="Q184" i="6" s="1"/>
  <c r="K184" i="6"/>
  <c r="V183" i="6"/>
  <c r="U183" i="6"/>
  <c r="P183" i="6"/>
  <c r="Q183" i="6" s="1"/>
  <c r="K183" i="6"/>
  <c r="V182" i="6"/>
  <c r="W182" i="6" s="1"/>
  <c r="U182" i="6"/>
  <c r="P182" i="6"/>
  <c r="Q182" i="6" s="1"/>
  <c r="K182" i="6"/>
  <c r="V181" i="6"/>
  <c r="U181" i="6"/>
  <c r="W181" i="6" s="1"/>
  <c r="P181" i="6"/>
  <c r="Q181" i="6" s="1"/>
  <c r="K181" i="6"/>
  <c r="W180" i="6"/>
  <c r="V180" i="6"/>
  <c r="U180" i="6"/>
  <c r="P180" i="6"/>
  <c r="Q180" i="6" s="1"/>
  <c r="K180" i="6"/>
  <c r="V179" i="6"/>
  <c r="U179" i="6"/>
  <c r="P179" i="6"/>
  <c r="Q179" i="6" s="1"/>
  <c r="K179" i="6"/>
  <c r="V178" i="6"/>
  <c r="U178" i="6"/>
  <c r="P178" i="6"/>
  <c r="Q178" i="6" s="1"/>
  <c r="K178" i="6"/>
  <c r="V177" i="6"/>
  <c r="U177" i="6"/>
  <c r="W177" i="6" s="1"/>
  <c r="P177" i="6"/>
  <c r="Q177" i="6" s="1"/>
  <c r="K177" i="6"/>
  <c r="V176" i="6"/>
  <c r="U176" i="6"/>
  <c r="P176" i="6"/>
  <c r="Q176" i="6" s="1"/>
  <c r="K176" i="6"/>
  <c r="V175" i="6"/>
  <c r="U175" i="6"/>
  <c r="W175" i="6" s="1"/>
  <c r="P175" i="6"/>
  <c r="Q175" i="6" s="1"/>
  <c r="K175" i="6"/>
  <c r="V174" i="6"/>
  <c r="W174" i="6" s="1"/>
  <c r="U174" i="6"/>
  <c r="P174" i="6"/>
  <c r="Q174" i="6" s="1"/>
  <c r="K174" i="6"/>
  <c r="V173" i="6"/>
  <c r="U173" i="6"/>
  <c r="P173" i="6"/>
  <c r="Q173" i="6" s="1"/>
  <c r="K173" i="6"/>
  <c r="V172" i="6"/>
  <c r="W172" i="6" s="1"/>
  <c r="U172" i="6"/>
  <c r="P172" i="6"/>
  <c r="Q172" i="6" s="1"/>
  <c r="K172" i="6"/>
  <c r="V171" i="6"/>
  <c r="U171" i="6"/>
  <c r="W171" i="6" s="1"/>
  <c r="P171" i="6"/>
  <c r="Q171" i="6" s="1"/>
  <c r="K171" i="6"/>
  <c r="V170" i="6"/>
  <c r="U170" i="6"/>
  <c r="P170" i="6"/>
  <c r="Q170" i="6" s="1"/>
  <c r="K170" i="6"/>
  <c r="V169" i="6"/>
  <c r="U169" i="6"/>
  <c r="W169" i="6" s="1"/>
  <c r="P169" i="6"/>
  <c r="Q169" i="6" s="1"/>
  <c r="K169" i="6"/>
  <c r="V168" i="6"/>
  <c r="W168" i="6" s="1"/>
  <c r="U168" i="6"/>
  <c r="P168" i="6"/>
  <c r="Q168" i="6" s="1"/>
  <c r="K168" i="6"/>
  <c r="V167" i="6"/>
  <c r="U167" i="6"/>
  <c r="P167" i="6"/>
  <c r="Q167" i="6" s="1"/>
  <c r="K167" i="6"/>
  <c r="V166" i="6"/>
  <c r="W166" i="6" s="1"/>
  <c r="U166" i="6"/>
  <c r="P166" i="6"/>
  <c r="Q166" i="6" s="1"/>
  <c r="K166" i="6"/>
  <c r="V165" i="6"/>
  <c r="U165" i="6"/>
  <c r="W165" i="6" s="1"/>
  <c r="P165" i="6"/>
  <c r="Q165" i="6" s="1"/>
  <c r="K165" i="6"/>
  <c r="W164" i="6"/>
  <c r="V164" i="6"/>
  <c r="U164" i="6"/>
  <c r="P164" i="6"/>
  <c r="Q164" i="6" s="1"/>
  <c r="K164" i="6"/>
  <c r="V163" i="6"/>
  <c r="U163" i="6"/>
  <c r="P163" i="6"/>
  <c r="Q163" i="6" s="1"/>
  <c r="K163" i="6"/>
  <c r="V162" i="6"/>
  <c r="W162" i="6" s="1"/>
  <c r="U162" i="6"/>
  <c r="P162" i="6"/>
  <c r="Q162" i="6" s="1"/>
  <c r="K162" i="6"/>
  <c r="V161" i="6"/>
  <c r="U161" i="6"/>
  <c r="P161" i="6"/>
  <c r="Q161" i="6" s="1"/>
  <c r="K161" i="6"/>
  <c r="V160" i="6"/>
  <c r="W160" i="6" s="1"/>
  <c r="U160" i="6"/>
  <c r="P160" i="6"/>
  <c r="Q160" i="6" s="1"/>
  <c r="K160" i="6"/>
  <c r="V159" i="6"/>
  <c r="U159" i="6"/>
  <c r="P159" i="6"/>
  <c r="Q159" i="6" s="1"/>
  <c r="K159" i="6"/>
  <c r="V158" i="6"/>
  <c r="U158" i="6"/>
  <c r="P158" i="6"/>
  <c r="Q158" i="6" s="1"/>
  <c r="K158" i="6"/>
  <c r="V157" i="6"/>
  <c r="U157" i="6"/>
  <c r="P157" i="6"/>
  <c r="Q157" i="6" s="1"/>
  <c r="K157" i="6"/>
  <c r="V156" i="6"/>
  <c r="W156" i="6" s="1"/>
  <c r="U156" i="6"/>
  <c r="P156" i="6"/>
  <c r="Q156" i="6" s="1"/>
  <c r="K156" i="6"/>
  <c r="V155" i="6"/>
  <c r="U155" i="6"/>
  <c r="P155" i="6"/>
  <c r="Q155" i="6" s="1"/>
  <c r="K155" i="6"/>
  <c r="V154" i="6"/>
  <c r="W154" i="6" s="1"/>
  <c r="U154" i="6"/>
  <c r="P154" i="6"/>
  <c r="Q154" i="6" s="1"/>
  <c r="K154" i="6"/>
  <c r="V153" i="6"/>
  <c r="U153" i="6"/>
  <c r="P153" i="6"/>
  <c r="Q153" i="6" s="1"/>
  <c r="K153" i="6"/>
  <c r="V152" i="6"/>
  <c r="W152" i="6" s="1"/>
  <c r="U152" i="6"/>
  <c r="P152" i="6"/>
  <c r="Q152" i="6" s="1"/>
  <c r="K152" i="6"/>
  <c r="V151" i="6"/>
  <c r="U151" i="6"/>
  <c r="P151" i="6"/>
  <c r="Q151" i="6" s="1"/>
  <c r="K151" i="6"/>
  <c r="V150" i="6"/>
  <c r="W150" i="6" s="1"/>
  <c r="U150" i="6"/>
  <c r="P150" i="6"/>
  <c r="Q150" i="6" s="1"/>
  <c r="K150" i="6"/>
  <c r="V149" i="6"/>
  <c r="U149" i="6"/>
  <c r="P149" i="6"/>
  <c r="Q149" i="6" s="1"/>
  <c r="K149" i="6"/>
  <c r="W148" i="6"/>
  <c r="V148" i="6"/>
  <c r="U148" i="6"/>
  <c r="P148" i="6"/>
  <c r="Q148" i="6" s="1"/>
  <c r="K148" i="6"/>
  <c r="V147" i="6"/>
  <c r="U147" i="6"/>
  <c r="P147" i="6"/>
  <c r="Q147" i="6" s="1"/>
  <c r="K147" i="6"/>
  <c r="V146" i="6"/>
  <c r="W146" i="6" s="1"/>
  <c r="U146" i="6"/>
  <c r="P146" i="6"/>
  <c r="Q146" i="6" s="1"/>
  <c r="K146" i="6"/>
  <c r="V145" i="6"/>
  <c r="U145" i="6"/>
  <c r="W145" i="6" s="1"/>
  <c r="P145" i="6"/>
  <c r="Q145" i="6" s="1"/>
  <c r="K145" i="6"/>
  <c r="V144" i="6"/>
  <c r="W144" i="6" s="1"/>
  <c r="U144" i="6"/>
  <c r="P144" i="6"/>
  <c r="Q144" i="6" s="1"/>
  <c r="K144" i="6"/>
  <c r="V143" i="6"/>
  <c r="U143" i="6"/>
  <c r="W143" i="6" s="1"/>
  <c r="P143" i="6"/>
  <c r="Q143" i="6" s="1"/>
  <c r="K143" i="6"/>
  <c r="V142" i="6"/>
  <c r="W142" i="6" s="1"/>
  <c r="U142" i="6"/>
  <c r="P142" i="6"/>
  <c r="Q142" i="6" s="1"/>
  <c r="K142" i="6"/>
  <c r="V141" i="6"/>
  <c r="U141" i="6"/>
  <c r="P141" i="6"/>
  <c r="Q141" i="6" s="1"/>
  <c r="K141" i="6"/>
  <c r="V140" i="6"/>
  <c r="W140" i="6" s="1"/>
  <c r="U140" i="6"/>
  <c r="P140" i="6"/>
  <c r="Q140" i="6" s="1"/>
  <c r="K140" i="6"/>
  <c r="V139" i="6"/>
  <c r="U139" i="6"/>
  <c r="P139" i="6"/>
  <c r="Q139" i="6" s="1"/>
  <c r="K139" i="6"/>
  <c r="V138" i="6"/>
  <c r="W138" i="6" s="1"/>
  <c r="U138" i="6"/>
  <c r="P138" i="6"/>
  <c r="Q138" i="6" s="1"/>
  <c r="K138" i="6"/>
  <c r="V137" i="6"/>
  <c r="U137" i="6"/>
  <c r="W137" i="6" s="1"/>
  <c r="P137" i="6"/>
  <c r="Q137" i="6" s="1"/>
  <c r="K137" i="6"/>
  <c r="V136" i="6"/>
  <c r="W136" i="6" s="1"/>
  <c r="U136" i="6"/>
  <c r="P136" i="6"/>
  <c r="Q136" i="6" s="1"/>
  <c r="K136" i="6"/>
  <c r="V135" i="6"/>
  <c r="U135" i="6"/>
  <c r="P135" i="6"/>
  <c r="Q135" i="6" s="1"/>
  <c r="K135" i="6"/>
  <c r="V134" i="6"/>
  <c r="W134" i="6" s="1"/>
  <c r="U134" i="6"/>
  <c r="P134" i="6"/>
  <c r="Q134" i="6" s="1"/>
  <c r="K134" i="6"/>
  <c r="V133" i="6"/>
  <c r="U133" i="6"/>
  <c r="W133" i="6" s="1"/>
  <c r="P133" i="6"/>
  <c r="Q133" i="6" s="1"/>
  <c r="K133" i="6"/>
  <c r="W132" i="6"/>
  <c r="V132" i="6"/>
  <c r="U132" i="6"/>
  <c r="P132" i="6"/>
  <c r="Q132" i="6" s="1"/>
  <c r="K132" i="6"/>
  <c r="V131" i="6"/>
  <c r="U131" i="6"/>
  <c r="P131" i="6"/>
  <c r="Q131" i="6" s="1"/>
  <c r="K131" i="6"/>
  <c r="V130" i="6"/>
  <c r="W130" i="6" s="1"/>
  <c r="U130" i="6"/>
  <c r="P130" i="6"/>
  <c r="Q130" i="6" s="1"/>
  <c r="K130" i="6"/>
  <c r="V129" i="6"/>
  <c r="U129" i="6"/>
  <c r="P129" i="6"/>
  <c r="Q129" i="6" s="1"/>
  <c r="K129" i="6"/>
  <c r="V128" i="6"/>
  <c r="W128" i="6" s="1"/>
  <c r="U128" i="6"/>
  <c r="P128" i="6"/>
  <c r="Q128" i="6" s="1"/>
  <c r="K128" i="6"/>
  <c r="V127" i="6"/>
  <c r="U127" i="6"/>
  <c r="P127" i="6"/>
  <c r="Q127" i="6" s="1"/>
  <c r="K127" i="6"/>
  <c r="V126" i="6"/>
  <c r="W126" i="6" s="1"/>
  <c r="U126" i="6"/>
  <c r="P126" i="6"/>
  <c r="Q126" i="6" s="1"/>
  <c r="K126" i="6"/>
  <c r="V125" i="6"/>
  <c r="U125" i="6"/>
  <c r="P125" i="6"/>
  <c r="Q125" i="6" s="1"/>
  <c r="K125" i="6"/>
  <c r="V124" i="6"/>
  <c r="W124" i="6" s="1"/>
  <c r="U124" i="6"/>
  <c r="P124" i="6"/>
  <c r="Q124" i="6" s="1"/>
  <c r="K124" i="6"/>
  <c r="V123" i="6"/>
  <c r="U123" i="6"/>
  <c r="P123" i="6"/>
  <c r="Q123" i="6" s="1"/>
  <c r="K123" i="6"/>
  <c r="V122" i="6"/>
  <c r="W122" i="6" s="1"/>
  <c r="U122" i="6"/>
  <c r="P122" i="6"/>
  <c r="Q122" i="6" s="1"/>
  <c r="K122" i="6"/>
  <c r="V121" i="6"/>
  <c r="U121" i="6"/>
  <c r="P121" i="6"/>
  <c r="Q121" i="6" s="1"/>
  <c r="K121" i="6"/>
  <c r="V120" i="6"/>
  <c r="W120" i="6" s="1"/>
  <c r="U120" i="6"/>
  <c r="P120" i="6"/>
  <c r="Q120" i="6" s="1"/>
  <c r="K120" i="6"/>
  <c r="V119" i="6"/>
  <c r="U119" i="6"/>
  <c r="P119" i="6"/>
  <c r="Q119" i="6" s="1"/>
  <c r="K119" i="6"/>
  <c r="V118" i="6"/>
  <c r="W118" i="6" s="1"/>
  <c r="U118" i="6"/>
  <c r="P118" i="6"/>
  <c r="Q118" i="6" s="1"/>
  <c r="K118" i="6"/>
  <c r="V117" i="6"/>
  <c r="U117" i="6"/>
  <c r="P117" i="6"/>
  <c r="Q117" i="6" s="1"/>
  <c r="K117" i="6"/>
  <c r="V116" i="6"/>
  <c r="U116" i="6"/>
  <c r="W116" i="6" s="1"/>
  <c r="P116" i="6"/>
  <c r="Q116" i="6" s="1"/>
  <c r="K116" i="6"/>
  <c r="V115" i="6"/>
  <c r="U115" i="6"/>
  <c r="W115" i="6" s="1"/>
  <c r="P115" i="6"/>
  <c r="Q115" i="6" s="1"/>
  <c r="K115" i="6"/>
  <c r="V114" i="6"/>
  <c r="U114" i="6"/>
  <c r="P114" i="6"/>
  <c r="Q114" i="6" s="1"/>
  <c r="K114" i="6"/>
  <c r="V113" i="6"/>
  <c r="U113" i="6"/>
  <c r="W113" i="6" s="1"/>
  <c r="P113" i="6"/>
  <c r="Q113" i="6" s="1"/>
  <c r="K113" i="6"/>
  <c r="V112" i="6"/>
  <c r="U112" i="6"/>
  <c r="P112" i="6"/>
  <c r="Q112" i="6" s="1"/>
  <c r="K112" i="6"/>
  <c r="V111" i="6"/>
  <c r="U111" i="6"/>
  <c r="W111" i="6" s="1"/>
  <c r="P111" i="6"/>
  <c r="Q111" i="6" s="1"/>
  <c r="K111" i="6"/>
  <c r="V110" i="6"/>
  <c r="U110" i="6"/>
  <c r="P110" i="6"/>
  <c r="Q110" i="6" s="1"/>
  <c r="K110" i="6"/>
  <c r="V109" i="6"/>
  <c r="U109" i="6"/>
  <c r="P109" i="6"/>
  <c r="Q109" i="6" s="1"/>
  <c r="K109" i="6"/>
  <c r="V108" i="6"/>
  <c r="U108" i="6"/>
  <c r="P108" i="6"/>
  <c r="Q108" i="6" s="1"/>
  <c r="K108" i="6"/>
  <c r="V107" i="6"/>
  <c r="U107" i="6"/>
  <c r="W107" i="6" s="1"/>
  <c r="P107" i="6"/>
  <c r="Q107" i="6" s="1"/>
  <c r="K107" i="6"/>
  <c r="V106" i="6"/>
  <c r="U106" i="6"/>
  <c r="P106" i="6"/>
  <c r="Q106" i="6" s="1"/>
  <c r="K106" i="6"/>
  <c r="V105" i="6"/>
  <c r="U105" i="6"/>
  <c r="W105" i="6" s="1"/>
  <c r="P105" i="6"/>
  <c r="Q105" i="6" s="1"/>
  <c r="K105" i="6"/>
  <c r="V104" i="6"/>
  <c r="U104" i="6"/>
  <c r="P104" i="6"/>
  <c r="Q104" i="6" s="1"/>
  <c r="K104" i="6"/>
  <c r="V103" i="6"/>
  <c r="U103" i="6"/>
  <c r="P103" i="6"/>
  <c r="Q103" i="6" s="1"/>
  <c r="K103" i="6"/>
  <c r="V102" i="6"/>
  <c r="U102" i="6"/>
  <c r="P102" i="6"/>
  <c r="Q102" i="6" s="1"/>
  <c r="K102" i="6"/>
  <c r="V101" i="6"/>
  <c r="U101" i="6"/>
  <c r="P101" i="6"/>
  <c r="Q101" i="6" s="1"/>
  <c r="K101" i="6"/>
  <c r="V100" i="6"/>
  <c r="W100" i="6" s="1"/>
  <c r="U100" i="6"/>
  <c r="P100" i="6"/>
  <c r="Q100" i="6" s="1"/>
  <c r="K100" i="6"/>
  <c r="V99" i="6"/>
  <c r="U99" i="6"/>
  <c r="P99" i="6"/>
  <c r="Q99" i="6" s="1"/>
  <c r="K99" i="6"/>
  <c r="V98" i="6"/>
  <c r="W98" i="6" s="1"/>
  <c r="U98" i="6"/>
  <c r="P98" i="6"/>
  <c r="Q98" i="6" s="1"/>
  <c r="K98" i="6"/>
  <c r="V97" i="6"/>
  <c r="W97" i="6" s="1"/>
  <c r="U97" i="6"/>
  <c r="P97" i="6"/>
  <c r="Q97" i="6" s="1"/>
  <c r="K97" i="6"/>
  <c r="V96" i="6"/>
  <c r="W96" i="6" s="1"/>
  <c r="U96" i="6"/>
  <c r="P96" i="6"/>
  <c r="Q96" i="6" s="1"/>
  <c r="K96" i="6"/>
  <c r="V95" i="6"/>
  <c r="U95" i="6"/>
  <c r="P95" i="6"/>
  <c r="Q95" i="6" s="1"/>
  <c r="K95" i="6"/>
  <c r="V94" i="6"/>
  <c r="U94" i="6"/>
  <c r="P94" i="6"/>
  <c r="Q94" i="6" s="1"/>
  <c r="K94" i="6"/>
  <c r="W93" i="6"/>
  <c r="V93" i="6"/>
  <c r="U93" i="6"/>
  <c r="P93" i="6"/>
  <c r="Q93" i="6" s="1"/>
  <c r="K93" i="6"/>
  <c r="V92" i="6"/>
  <c r="U92" i="6"/>
  <c r="P92" i="6"/>
  <c r="Q92" i="6" s="1"/>
  <c r="K92" i="6"/>
  <c r="V91" i="6"/>
  <c r="U91" i="6"/>
  <c r="P91" i="6"/>
  <c r="Q91" i="6" s="1"/>
  <c r="K91" i="6"/>
  <c r="V90" i="6"/>
  <c r="U90" i="6"/>
  <c r="P90" i="6"/>
  <c r="Q90" i="6" s="1"/>
  <c r="K90" i="6"/>
  <c r="V89" i="6"/>
  <c r="W89" i="6" s="1"/>
  <c r="U89" i="6"/>
  <c r="P89" i="6"/>
  <c r="Q89" i="6" s="1"/>
  <c r="K89" i="6"/>
  <c r="V88" i="6"/>
  <c r="U88" i="6"/>
  <c r="P88" i="6"/>
  <c r="Q88" i="6" s="1"/>
  <c r="K88" i="6"/>
  <c r="V87" i="6"/>
  <c r="U87" i="6"/>
  <c r="P87" i="6"/>
  <c r="Q87" i="6" s="1"/>
  <c r="K87" i="6"/>
  <c r="V86" i="6"/>
  <c r="U86" i="6"/>
  <c r="P86" i="6"/>
  <c r="Q86" i="6" s="1"/>
  <c r="K86" i="6"/>
  <c r="V85" i="6"/>
  <c r="W85" i="6" s="1"/>
  <c r="U85" i="6"/>
  <c r="P85" i="6"/>
  <c r="Q85" i="6" s="1"/>
  <c r="K85" i="6"/>
  <c r="V84" i="6"/>
  <c r="U84" i="6"/>
  <c r="W84" i="6" s="1"/>
  <c r="P84" i="6"/>
  <c r="Q84" i="6" s="1"/>
  <c r="K84" i="6"/>
  <c r="V83" i="6"/>
  <c r="W83" i="6" s="1"/>
  <c r="U83" i="6"/>
  <c r="P83" i="6"/>
  <c r="Q83" i="6" s="1"/>
  <c r="K83" i="6"/>
  <c r="V82" i="6"/>
  <c r="U82" i="6"/>
  <c r="P82" i="6"/>
  <c r="Q82" i="6" s="1"/>
  <c r="K82" i="6"/>
  <c r="V81" i="6"/>
  <c r="U81" i="6"/>
  <c r="W81" i="6" s="1"/>
  <c r="P81" i="6"/>
  <c r="Q81" i="6" s="1"/>
  <c r="K81" i="6"/>
  <c r="V80" i="6"/>
  <c r="U80" i="6"/>
  <c r="P80" i="6"/>
  <c r="Q80" i="6" s="1"/>
  <c r="K80" i="6"/>
  <c r="V79" i="6"/>
  <c r="U79" i="6"/>
  <c r="W79" i="6" s="1"/>
  <c r="P79" i="6"/>
  <c r="Q79" i="6" s="1"/>
  <c r="K79" i="6"/>
  <c r="W78" i="6"/>
  <c r="V78" i="6"/>
  <c r="U78" i="6"/>
  <c r="P78" i="6"/>
  <c r="Q78" i="6" s="1"/>
  <c r="K78" i="6"/>
  <c r="V77" i="6"/>
  <c r="U77" i="6"/>
  <c r="W77" i="6" s="1"/>
  <c r="P77" i="6"/>
  <c r="Q77" i="6" s="1"/>
  <c r="K77" i="6"/>
  <c r="V76" i="6"/>
  <c r="U76" i="6"/>
  <c r="W76" i="6" s="1"/>
  <c r="P76" i="6"/>
  <c r="Q76" i="6" s="1"/>
  <c r="K76" i="6"/>
  <c r="V75" i="6"/>
  <c r="U75" i="6"/>
  <c r="P75" i="6"/>
  <c r="Q75" i="6" s="1"/>
  <c r="K75" i="6"/>
  <c r="V74" i="6"/>
  <c r="U74" i="6"/>
  <c r="P74" i="6"/>
  <c r="Q74" i="6" s="1"/>
  <c r="K74" i="6"/>
  <c r="V73" i="6"/>
  <c r="U73" i="6"/>
  <c r="P73" i="6"/>
  <c r="Q73" i="6" s="1"/>
  <c r="K73" i="6"/>
  <c r="V72" i="6"/>
  <c r="U72" i="6"/>
  <c r="W72" i="6" s="1"/>
  <c r="P72" i="6"/>
  <c r="Q72" i="6" s="1"/>
  <c r="K72" i="6"/>
  <c r="V71" i="6"/>
  <c r="U71" i="6"/>
  <c r="W71" i="6" s="1"/>
  <c r="P71" i="6"/>
  <c r="Q71" i="6" s="1"/>
  <c r="K71" i="6"/>
  <c r="V70" i="6"/>
  <c r="U70" i="6"/>
  <c r="P70" i="6"/>
  <c r="Q70" i="6" s="1"/>
  <c r="K70" i="6"/>
  <c r="V69" i="6"/>
  <c r="W69" i="6" s="1"/>
  <c r="U69" i="6"/>
  <c r="P69" i="6"/>
  <c r="Q69" i="6" s="1"/>
  <c r="K69" i="6"/>
  <c r="V68" i="6"/>
  <c r="U68" i="6"/>
  <c r="P68" i="6"/>
  <c r="Q68" i="6" s="1"/>
  <c r="K68" i="6"/>
  <c r="V67" i="6"/>
  <c r="W67" i="6" s="1"/>
  <c r="U67" i="6"/>
  <c r="P67" i="6"/>
  <c r="Q67" i="6" s="1"/>
  <c r="K67" i="6"/>
  <c r="V66" i="6"/>
  <c r="W66" i="6" s="1"/>
  <c r="U66" i="6"/>
  <c r="P66" i="6"/>
  <c r="Q66" i="6" s="1"/>
  <c r="K66" i="6"/>
  <c r="V65" i="6"/>
  <c r="W65" i="6" s="1"/>
  <c r="U65" i="6"/>
  <c r="P65" i="6"/>
  <c r="Q65" i="6" s="1"/>
  <c r="K65" i="6"/>
  <c r="V64" i="6"/>
  <c r="U64" i="6"/>
  <c r="P64" i="6"/>
  <c r="Q64" i="6" s="1"/>
  <c r="K64" i="6"/>
  <c r="V63" i="6"/>
  <c r="U63" i="6"/>
  <c r="P63" i="6"/>
  <c r="Q63" i="6" s="1"/>
  <c r="K63" i="6"/>
  <c r="W62" i="6"/>
  <c r="V62" i="6"/>
  <c r="U62" i="6"/>
  <c r="P62" i="6"/>
  <c r="Q62" i="6" s="1"/>
  <c r="K62" i="6"/>
  <c r="V61" i="6"/>
  <c r="U61" i="6"/>
  <c r="P61" i="6"/>
  <c r="Q61" i="6" s="1"/>
  <c r="K61" i="6"/>
  <c r="V60" i="6"/>
  <c r="U60" i="6"/>
  <c r="W60" i="6" s="1"/>
  <c r="P60" i="6"/>
  <c r="Q60" i="6" s="1"/>
  <c r="K60" i="6"/>
  <c r="V59" i="6"/>
  <c r="U59" i="6"/>
  <c r="P59" i="6"/>
  <c r="Q59" i="6" s="1"/>
  <c r="K59" i="6"/>
  <c r="V58" i="6"/>
  <c r="W58" i="6" s="1"/>
  <c r="U58" i="6"/>
  <c r="P58" i="6"/>
  <c r="Q58" i="6" s="1"/>
  <c r="K58" i="6"/>
  <c r="V57" i="6"/>
  <c r="W57" i="6" s="1"/>
  <c r="U57" i="6"/>
  <c r="P57" i="6"/>
  <c r="Q57" i="6" s="1"/>
  <c r="K57" i="6"/>
  <c r="V56" i="6"/>
  <c r="U56" i="6"/>
  <c r="W56" i="6" s="1"/>
  <c r="P56" i="6"/>
  <c r="Q56" i="6" s="1"/>
  <c r="K56" i="6"/>
  <c r="V55" i="6"/>
  <c r="U55" i="6"/>
  <c r="P55" i="6"/>
  <c r="Q55" i="6" s="1"/>
  <c r="K55" i="6"/>
  <c r="V54" i="6"/>
  <c r="U54" i="6"/>
  <c r="P54" i="6"/>
  <c r="Q54" i="6" s="1"/>
  <c r="K54" i="6"/>
  <c r="V53" i="6"/>
  <c r="W53" i="6" s="1"/>
  <c r="U53" i="6"/>
  <c r="P53" i="6"/>
  <c r="Q53" i="6" s="1"/>
  <c r="K53" i="6"/>
  <c r="V52" i="6"/>
  <c r="U52" i="6"/>
  <c r="P52" i="6"/>
  <c r="Q52" i="6" s="1"/>
  <c r="K52" i="6"/>
  <c r="V51" i="6"/>
  <c r="W51" i="6" s="1"/>
  <c r="U51" i="6"/>
  <c r="P51" i="6"/>
  <c r="Q51" i="6" s="1"/>
  <c r="K51" i="6"/>
  <c r="V50" i="6"/>
  <c r="W50" i="6" s="1"/>
  <c r="U50" i="6"/>
  <c r="P50" i="6"/>
  <c r="Q50" i="6" s="1"/>
  <c r="K50" i="6"/>
  <c r="V49" i="6"/>
  <c r="W49" i="6" s="1"/>
  <c r="U49" i="6"/>
  <c r="P49" i="6"/>
  <c r="Q49" i="6" s="1"/>
  <c r="K49" i="6"/>
  <c r="V48" i="6"/>
  <c r="U48" i="6"/>
  <c r="P48" i="6"/>
  <c r="Q48" i="6" s="1"/>
  <c r="K48" i="6"/>
  <c r="V47" i="6"/>
  <c r="U47" i="6"/>
  <c r="P47" i="6"/>
  <c r="Q47" i="6" s="1"/>
  <c r="K47" i="6"/>
  <c r="V46" i="6"/>
  <c r="U46" i="6"/>
  <c r="W46" i="6" s="1"/>
  <c r="P46" i="6"/>
  <c r="Q46" i="6" s="1"/>
  <c r="K46" i="6"/>
  <c r="V45" i="6"/>
  <c r="U45" i="6"/>
  <c r="P45" i="6"/>
  <c r="Q45" i="6" s="1"/>
  <c r="K45" i="6"/>
  <c r="V44" i="6"/>
  <c r="U44" i="6"/>
  <c r="W44" i="6" s="1"/>
  <c r="P44" i="6"/>
  <c r="Q44" i="6" s="1"/>
  <c r="K44" i="6"/>
  <c r="V43" i="6"/>
  <c r="U43" i="6"/>
  <c r="P43" i="6"/>
  <c r="Q43" i="6" s="1"/>
  <c r="K43" i="6"/>
  <c r="V42" i="6"/>
  <c r="U42" i="6"/>
  <c r="W42" i="6" s="1"/>
  <c r="P42" i="6"/>
  <c r="Q42" i="6" s="1"/>
  <c r="K42" i="6"/>
  <c r="V41" i="6"/>
  <c r="W41" i="6" s="1"/>
  <c r="U41" i="6"/>
  <c r="P41" i="6"/>
  <c r="Q41" i="6" s="1"/>
  <c r="K41" i="6"/>
  <c r="V40" i="6"/>
  <c r="U40" i="6"/>
  <c r="W40" i="6" s="1"/>
  <c r="P40" i="6"/>
  <c r="Q40" i="6" s="1"/>
  <c r="K40" i="6"/>
  <c r="V39" i="6"/>
  <c r="U39" i="6"/>
  <c r="W39" i="6" s="1"/>
  <c r="P39" i="6"/>
  <c r="Q39" i="6" s="1"/>
  <c r="K39" i="6"/>
  <c r="V38" i="6"/>
  <c r="U38" i="6"/>
  <c r="P38" i="6"/>
  <c r="Q38" i="6" s="1"/>
  <c r="K38" i="6"/>
  <c r="V37" i="6"/>
  <c r="U37" i="6"/>
  <c r="P37" i="6"/>
  <c r="Q37" i="6" s="1"/>
  <c r="K37" i="6"/>
  <c r="V36" i="6"/>
  <c r="U36" i="6"/>
  <c r="P36" i="6"/>
  <c r="Q36" i="6" s="1"/>
  <c r="K36" i="6"/>
  <c r="V35" i="6"/>
  <c r="W35" i="6" s="1"/>
  <c r="U35" i="6"/>
  <c r="P35" i="6"/>
  <c r="Q35" i="6" s="1"/>
  <c r="K35" i="6"/>
  <c r="V34" i="6"/>
  <c r="U34" i="6"/>
  <c r="P34" i="6"/>
  <c r="Q34" i="6" s="1"/>
  <c r="K34" i="6"/>
  <c r="W33" i="6"/>
  <c r="V33" i="6"/>
  <c r="U33" i="6"/>
  <c r="P33" i="6"/>
  <c r="Q33" i="6" s="1"/>
  <c r="K33" i="6"/>
  <c r="V32" i="6"/>
  <c r="U32" i="6"/>
  <c r="P32" i="6"/>
  <c r="Q32" i="6" s="1"/>
  <c r="K32" i="6"/>
  <c r="V31" i="6"/>
  <c r="U31" i="6"/>
  <c r="W31" i="6" s="1"/>
  <c r="P31" i="6"/>
  <c r="Q31" i="6" s="1"/>
  <c r="K31" i="6"/>
  <c r="V30" i="6"/>
  <c r="W30" i="6" s="1"/>
  <c r="U30" i="6"/>
  <c r="P30" i="6"/>
  <c r="Q30" i="6" s="1"/>
  <c r="K30" i="6"/>
  <c r="V29" i="6"/>
  <c r="W29" i="6" s="1"/>
  <c r="U29" i="6"/>
  <c r="P29" i="6"/>
  <c r="Q29" i="6" s="1"/>
  <c r="K29" i="6"/>
  <c r="V28" i="6"/>
  <c r="U28" i="6"/>
  <c r="P28" i="6"/>
  <c r="Q28" i="6" s="1"/>
  <c r="K28" i="6"/>
  <c r="V27" i="6"/>
  <c r="U27" i="6"/>
  <c r="P27" i="6"/>
  <c r="Q27" i="6" s="1"/>
  <c r="K27" i="6"/>
  <c r="V26" i="6"/>
  <c r="W26" i="6" s="1"/>
  <c r="U26" i="6"/>
  <c r="P26" i="6"/>
  <c r="Q26" i="6" s="1"/>
  <c r="K26" i="6"/>
  <c r="V25" i="6"/>
  <c r="W25" i="6" s="1"/>
  <c r="U25" i="6"/>
  <c r="P25" i="6"/>
  <c r="Q25" i="6" s="1"/>
  <c r="K25" i="6"/>
  <c r="V24" i="6"/>
  <c r="U24" i="6"/>
  <c r="P24" i="6"/>
  <c r="Q24" i="6" s="1"/>
  <c r="K24" i="6"/>
  <c r="V23" i="6"/>
  <c r="U23" i="6"/>
  <c r="P23" i="6"/>
  <c r="Q23" i="6" s="1"/>
  <c r="K23" i="6"/>
  <c r="V22" i="6"/>
  <c r="U22" i="6"/>
  <c r="P22" i="6"/>
  <c r="Q22" i="6" s="1"/>
  <c r="K22" i="6"/>
  <c r="V21" i="6"/>
  <c r="W21" i="6" s="1"/>
  <c r="U21" i="6"/>
  <c r="P21" i="6"/>
  <c r="Q21" i="6" s="1"/>
  <c r="K21" i="6"/>
  <c r="V20" i="6"/>
  <c r="U20" i="6"/>
  <c r="P20" i="6"/>
  <c r="Q20" i="6" s="1"/>
  <c r="K20" i="6"/>
  <c r="V19" i="6"/>
  <c r="W19" i="6" s="1"/>
  <c r="U19" i="6"/>
  <c r="P19" i="6"/>
  <c r="Q19" i="6" s="1"/>
  <c r="K19" i="6"/>
  <c r="V18" i="6"/>
  <c r="W18" i="6" s="1"/>
  <c r="U18" i="6"/>
  <c r="P18" i="6"/>
  <c r="Q18" i="6" s="1"/>
  <c r="K18" i="6"/>
  <c r="V17" i="6"/>
  <c r="W17" i="6" s="1"/>
  <c r="U17" i="6"/>
  <c r="P17" i="6"/>
  <c r="Q17" i="6" s="1"/>
  <c r="K17" i="6"/>
  <c r="V16" i="6"/>
  <c r="U16" i="6"/>
  <c r="P16" i="6"/>
  <c r="Q16" i="6" s="1"/>
  <c r="K16" i="6"/>
  <c r="V15" i="6"/>
  <c r="W15" i="6" s="1"/>
  <c r="U15" i="6"/>
  <c r="P15" i="6"/>
  <c r="Q15" i="6" s="1"/>
  <c r="K15" i="6"/>
  <c r="V14" i="6"/>
  <c r="U14" i="6"/>
  <c r="W14" i="6" s="1"/>
  <c r="P14" i="6"/>
  <c r="Q14" i="6" s="1"/>
  <c r="K14" i="6"/>
  <c r="V13" i="6"/>
  <c r="U13" i="6"/>
  <c r="P13" i="6"/>
  <c r="Q13" i="6" s="1"/>
  <c r="K13" i="6"/>
  <c r="V12" i="6"/>
  <c r="U12" i="6"/>
  <c r="W12" i="6" s="1"/>
  <c r="P12" i="6"/>
  <c r="Q12" i="6" s="1"/>
  <c r="K12" i="6"/>
  <c r="V11" i="6"/>
  <c r="U11" i="6"/>
  <c r="P11" i="6"/>
  <c r="Q11" i="6" s="1"/>
  <c r="K11" i="6"/>
  <c r="V10" i="6"/>
  <c r="U10" i="6"/>
  <c r="W10" i="6" s="1"/>
  <c r="P10" i="6"/>
  <c r="Q10" i="6" s="1"/>
  <c r="K10" i="6"/>
  <c r="V9" i="6"/>
  <c r="U9" i="6"/>
  <c r="P9" i="6"/>
  <c r="Q9" i="6" s="1"/>
  <c r="K9" i="6"/>
  <c r="V8" i="6"/>
  <c r="U8" i="6"/>
  <c r="P8" i="6"/>
  <c r="Q8" i="6" s="1"/>
  <c r="K8" i="6"/>
  <c r="V7" i="6"/>
  <c r="U7" i="6"/>
  <c r="W7" i="6" s="1"/>
  <c r="P7" i="6"/>
  <c r="Q7" i="6" s="1"/>
  <c r="K7" i="6"/>
  <c r="V6" i="6"/>
  <c r="U6" i="6"/>
  <c r="P6" i="6"/>
  <c r="Q6" i="6" s="1"/>
  <c r="K6" i="6"/>
  <c r="V5" i="6"/>
  <c r="U5" i="6"/>
  <c r="P5" i="6"/>
  <c r="Q5" i="6" s="1"/>
  <c r="K5" i="6"/>
  <c r="V4" i="6"/>
  <c r="U4" i="6"/>
  <c r="Q4" i="6"/>
  <c r="P4" i="6"/>
  <c r="K4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V3" i="6"/>
  <c r="U3" i="6"/>
  <c r="W3" i="6" s="1"/>
  <c r="P3" i="6"/>
  <c r="Q3" i="6" s="1"/>
  <c r="K3" i="6"/>
  <c r="I1" i="6"/>
  <c r="E1" i="6"/>
  <c r="D1" i="6"/>
  <c r="C1" i="6"/>
  <c r="C97" i="6" s="1"/>
  <c r="AY81" i="5"/>
  <c r="AX81" i="5"/>
  <c r="AS81" i="5"/>
  <c r="AT81" i="5" s="1"/>
  <c r="AN81" i="5"/>
  <c r="AK81" i="5"/>
  <c r="AF81" i="5"/>
  <c r="AY80" i="5"/>
  <c r="AZ80" i="5" s="1"/>
  <c r="AX80" i="5"/>
  <c r="AS80" i="5"/>
  <c r="AT80" i="5" s="1"/>
  <c r="AN80" i="5"/>
  <c r="AO80" i="5" s="1"/>
  <c r="AK80" i="5"/>
  <c r="AF80" i="5"/>
  <c r="AY79" i="5"/>
  <c r="AX79" i="5"/>
  <c r="AS79" i="5"/>
  <c r="AT79" i="5" s="1"/>
  <c r="AO79" i="5"/>
  <c r="AN79" i="5"/>
  <c r="AK79" i="5"/>
  <c r="AF79" i="5"/>
  <c r="AY78" i="5"/>
  <c r="AZ78" i="5" s="1"/>
  <c r="AX78" i="5"/>
  <c r="AS78" i="5"/>
  <c r="AT78" i="5" s="1"/>
  <c r="AN78" i="5"/>
  <c r="AK78" i="5"/>
  <c r="AF78" i="5"/>
  <c r="AY77" i="5"/>
  <c r="AX77" i="5"/>
  <c r="AS77" i="5"/>
  <c r="AT77" i="5" s="1"/>
  <c r="AN77" i="5"/>
  <c r="AK77" i="5"/>
  <c r="AF77" i="5"/>
  <c r="AY76" i="5"/>
  <c r="AZ76" i="5" s="1"/>
  <c r="AX76" i="5"/>
  <c r="AS76" i="5"/>
  <c r="AT76" i="5" s="1"/>
  <c r="AN76" i="5"/>
  <c r="AK76" i="5"/>
  <c r="AF76" i="5"/>
  <c r="AY75" i="5"/>
  <c r="AZ75" i="5" s="1"/>
  <c r="AX75" i="5"/>
  <c r="AS75" i="5"/>
  <c r="AT75" i="5" s="1"/>
  <c r="AN75" i="5"/>
  <c r="AK75" i="5"/>
  <c r="AF75" i="5"/>
  <c r="AY74" i="5"/>
  <c r="AZ74" i="5" s="1"/>
  <c r="AX74" i="5"/>
  <c r="AS74" i="5"/>
  <c r="AT74" i="5" s="1"/>
  <c r="AN74" i="5"/>
  <c r="AK74" i="5"/>
  <c r="AF74" i="5"/>
  <c r="AY73" i="5"/>
  <c r="AX73" i="5"/>
  <c r="AS73" i="5"/>
  <c r="AT73" i="5" s="1"/>
  <c r="AN73" i="5"/>
  <c r="AO73" i="5" s="1"/>
  <c r="AK73" i="5"/>
  <c r="AF73" i="5"/>
  <c r="AY72" i="5"/>
  <c r="AX72" i="5"/>
  <c r="AS72" i="5"/>
  <c r="AT72" i="5" s="1"/>
  <c r="AN72" i="5"/>
  <c r="AO72" i="5" s="1"/>
  <c r="AK72" i="5"/>
  <c r="AF72" i="5"/>
  <c r="AY71" i="5"/>
  <c r="AX71" i="5"/>
  <c r="AS71" i="5"/>
  <c r="AT71" i="5" s="1"/>
  <c r="AN71" i="5"/>
  <c r="AK71" i="5"/>
  <c r="AF71" i="5"/>
  <c r="AY70" i="5"/>
  <c r="AX70" i="5"/>
  <c r="AS70" i="5"/>
  <c r="AT70" i="5" s="1"/>
  <c r="AO70" i="5"/>
  <c r="AN70" i="5"/>
  <c r="AK70" i="5"/>
  <c r="AF70" i="5"/>
  <c r="AY69" i="5"/>
  <c r="AZ69" i="5" s="1"/>
  <c r="AX69" i="5"/>
  <c r="AS69" i="5"/>
  <c r="AT69" i="5" s="1"/>
  <c r="AN69" i="5"/>
  <c r="AK69" i="5"/>
  <c r="AF69" i="5"/>
  <c r="AY68" i="5"/>
  <c r="AX68" i="5"/>
  <c r="AS68" i="5"/>
  <c r="AT68" i="5" s="1"/>
  <c r="AN68" i="5"/>
  <c r="AO68" i="5" s="1"/>
  <c r="AK68" i="5"/>
  <c r="AF68" i="5"/>
  <c r="AY67" i="5"/>
  <c r="AX67" i="5"/>
  <c r="AS67" i="5"/>
  <c r="AT67" i="5" s="1"/>
  <c r="AN67" i="5"/>
  <c r="AO67" i="5" s="1"/>
  <c r="AK67" i="5"/>
  <c r="AF67" i="5"/>
  <c r="AY66" i="5"/>
  <c r="AX66" i="5"/>
  <c r="AS66" i="5"/>
  <c r="AT66" i="5" s="1"/>
  <c r="AN66" i="5"/>
  <c r="AO66" i="5" s="1"/>
  <c r="AK66" i="5"/>
  <c r="AF66" i="5"/>
  <c r="AY65" i="5"/>
  <c r="AZ65" i="5" s="1"/>
  <c r="AX65" i="5"/>
  <c r="AS65" i="5"/>
  <c r="AT65" i="5" s="1"/>
  <c r="AN65" i="5"/>
  <c r="AK65" i="5"/>
  <c r="AF65" i="5"/>
  <c r="AY64" i="5"/>
  <c r="AZ64" i="5" s="1"/>
  <c r="AX64" i="5"/>
  <c r="AS64" i="5"/>
  <c r="AT64" i="5" s="1"/>
  <c r="AN64" i="5"/>
  <c r="AO64" i="5" s="1"/>
  <c r="AK64" i="5"/>
  <c r="AF64" i="5"/>
  <c r="AY63" i="5"/>
  <c r="AX63" i="5"/>
  <c r="AS63" i="5"/>
  <c r="AT63" i="5" s="1"/>
  <c r="AN63" i="5"/>
  <c r="AO63" i="5" s="1"/>
  <c r="AK63" i="5"/>
  <c r="AF63" i="5"/>
  <c r="AY62" i="5"/>
  <c r="AX62" i="5"/>
  <c r="AS62" i="5"/>
  <c r="AT62" i="5" s="1"/>
  <c r="AO62" i="5"/>
  <c r="AN62" i="5"/>
  <c r="AK62" i="5"/>
  <c r="AF62" i="5"/>
  <c r="AY61" i="5"/>
  <c r="AZ61" i="5" s="1"/>
  <c r="AX61" i="5"/>
  <c r="AS61" i="5"/>
  <c r="AT61" i="5" s="1"/>
  <c r="AN61" i="5"/>
  <c r="AK61" i="5"/>
  <c r="AF61" i="5"/>
  <c r="AY60" i="5"/>
  <c r="AZ60" i="5" s="1"/>
  <c r="AX60" i="5"/>
  <c r="AS60" i="5"/>
  <c r="AT60" i="5" s="1"/>
  <c r="AN60" i="5"/>
  <c r="AO60" i="5" s="1"/>
  <c r="AK60" i="5"/>
  <c r="AF60" i="5"/>
  <c r="AY59" i="5"/>
  <c r="AX59" i="5"/>
  <c r="AS59" i="5"/>
  <c r="AT59" i="5" s="1"/>
  <c r="AN59" i="5"/>
  <c r="AO59" i="5" s="1"/>
  <c r="AK59" i="5"/>
  <c r="AF59" i="5"/>
  <c r="AY58" i="5"/>
  <c r="AX58" i="5"/>
  <c r="AS58" i="5"/>
  <c r="AT58" i="5" s="1"/>
  <c r="AN58" i="5"/>
  <c r="AK58" i="5"/>
  <c r="AO58" i="5" s="1"/>
  <c r="AF58" i="5"/>
  <c r="AY57" i="5"/>
  <c r="AX57" i="5"/>
  <c r="AS57" i="5"/>
  <c r="AT57" i="5" s="1"/>
  <c r="AN57" i="5"/>
  <c r="AK57" i="5"/>
  <c r="AF57" i="5"/>
  <c r="I57" i="5"/>
  <c r="AY56" i="5"/>
  <c r="AX56" i="5"/>
  <c r="AS56" i="5"/>
  <c r="AT56" i="5" s="1"/>
  <c r="AN56" i="5"/>
  <c r="AK56" i="5"/>
  <c r="AF56" i="5"/>
  <c r="AY55" i="5"/>
  <c r="AX55" i="5"/>
  <c r="AS55" i="5"/>
  <c r="AT55" i="5" s="1"/>
  <c r="AN55" i="5"/>
  <c r="AK55" i="5"/>
  <c r="AF55" i="5"/>
  <c r="AY54" i="5"/>
  <c r="AX54" i="5"/>
  <c r="AS54" i="5"/>
  <c r="AT54" i="5" s="1"/>
  <c r="AN54" i="5"/>
  <c r="AO54" i="5" s="1"/>
  <c r="AK54" i="5"/>
  <c r="AF54" i="5"/>
  <c r="AY53" i="5"/>
  <c r="AX53" i="5"/>
  <c r="AS53" i="5"/>
  <c r="AT53" i="5" s="1"/>
  <c r="AN53" i="5"/>
  <c r="AK53" i="5"/>
  <c r="AF53" i="5"/>
  <c r="AY52" i="5"/>
  <c r="AX52" i="5"/>
  <c r="AS52" i="5"/>
  <c r="AT52" i="5" s="1"/>
  <c r="AN52" i="5"/>
  <c r="AO52" i="5" s="1"/>
  <c r="AK52" i="5"/>
  <c r="AF52" i="5"/>
  <c r="AY51" i="5"/>
  <c r="AX51" i="5"/>
  <c r="AS51" i="5"/>
  <c r="AT51" i="5" s="1"/>
  <c r="AN51" i="5"/>
  <c r="AK51" i="5"/>
  <c r="AF51" i="5"/>
  <c r="AY50" i="5"/>
  <c r="AX50" i="5"/>
  <c r="AS50" i="5"/>
  <c r="AT50" i="5" s="1"/>
  <c r="AN50" i="5"/>
  <c r="AO50" i="5" s="1"/>
  <c r="AK50" i="5"/>
  <c r="AF50" i="5"/>
  <c r="AY49" i="5"/>
  <c r="AX49" i="5"/>
  <c r="AS49" i="5"/>
  <c r="AT49" i="5" s="1"/>
  <c r="AN49" i="5"/>
  <c r="AO49" i="5" s="1"/>
  <c r="AK49" i="5"/>
  <c r="AF49" i="5"/>
  <c r="AY48" i="5"/>
  <c r="AZ48" i="5" s="1"/>
  <c r="AX48" i="5"/>
  <c r="AS48" i="5"/>
  <c r="AT48" i="5" s="1"/>
  <c r="AN48" i="5"/>
  <c r="AK48" i="5"/>
  <c r="AF48" i="5"/>
  <c r="AY47" i="5"/>
  <c r="AX47" i="5"/>
  <c r="AS47" i="5"/>
  <c r="AT47" i="5" s="1"/>
  <c r="AN47" i="5"/>
  <c r="AK47" i="5"/>
  <c r="AF47" i="5"/>
  <c r="AY46" i="5"/>
  <c r="AX46" i="5"/>
  <c r="AS46" i="5"/>
  <c r="AT46" i="5" s="1"/>
  <c r="AN46" i="5"/>
  <c r="AO46" i="5" s="1"/>
  <c r="AK46" i="5"/>
  <c r="AF46" i="5"/>
  <c r="AY45" i="5"/>
  <c r="AX45" i="5"/>
  <c r="AS45" i="5"/>
  <c r="AT45" i="5" s="1"/>
  <c r="AN45" i="5"/>
  <c r="AO45" i="5" s="1"/>
  <c r="AK45" i="5"/>
  <c r="AF45" i="5"/>
  <c r="G45" i="5"/>
  <c r="AY44" i="5"/>
  <c r="AZ44" i="5" s="1"/>
  <c r="AX44" i="5"/>
  <c r="AS44" i="5"/>
  <c r="AT44" i="5" s="1"/>
  <c r="AN44" i="5"/>
  <c r="AK44" i="5"/>
  <c r="AF44" i="5"/>
  <c r="AY43" i="5"/>
  <c r="AX43" i="5"/>
  <c r="AT43" i="5"/>
  <c r="AS43" i="5"/>
  <c r="AN43" i="5"/>
  <c r="AO43" i="5" s="1"/>
  <c r="AK43" i="5"/>
  <c r="AF43" i="5"/>
  <c r="AY42" i="5"/>
  <c r="AX42" i="5"/>
  <c r="AS42" i="5"/>
  <c r="AT42" i="5" s="1"/>
  <c r="AO42" i="5"/>
  <c r="AN42" i="5"/>
  <c r="AK42" i="5"/>
  <c r="AF42" i="5"/>
  <c r="AY41" i="5"/>
  <c r="AX41" i="5"/>
  <c r="AS41" i="5"/>
  <c r="AT41" i="5" s="1"/>
  <c r="AN41" i="5"/>
  <c r="AK41" i="5"/>
  <c r="AF41" i="5"/>
  <c r="AY40" i="5"/>
  <c r="AZ40" i="5" s="1"/>
  <c r="AX40" i="5"/>
  <c r="AS40" i="5"/>
  <c r="AT40" i="5" s="1"/>
  <c r="AN40" i="5"/>
  <c r="AK40" i="5"/>
  <c r="AF40" i="5"/>
  <c r="G40" i="5"/>
  <c r="AY39" i="5"/>
  <c r="AX39" i="5"/>
  <c r="AS39" i="5"/>
  <c r="AT39" i="5" s="1"/>
  <c r="AN39" i="5"/>
  <c r="AK39" i="5"/>
  <c r="AF39" i="5"/>
  <c r="AY38" i="5"/>
  <c r="AX38" i="5"/>
  <c r="AT38" i="5"/>
  <c r="AS38" i="5"/>
  <c r="AO38" i="5"/>
  <c r="AN38" i="5"/>
  <c r="AK38" i="5"/>
  <c r="AF38" i="5"/>
  <c r="AY37" i="5"/>
  <c r="AX37" i="5"/>
  <c r="AS37" i="5"/>
  <c r="AT37" i="5" s="1"/>
  <c r="AN37" i="5"/>
  <c r="AO37" i="5" s="1"/>
  <c r="AK37" i="5"/>
  <c r="AF37" i="5"/>
  <c r="I37" i="5"/>
  <c r="AY36" i="5"/>
  <c r="AZ36" i="5" s="1"/>
  <c r="AX36" i="5"/>
  <c r="AS36" i="5"/>
  <c r="AT36" i="5" s="1"/>
  <c r="AN36" i="5"/>
  <c r="AK36" i="5"/>
  <c r="AF36" i="5"/>
  <c r="AY35" i="5"/>
  <c r="AX35" i="5"/>
  <c r="AT35" i="5"/>
  <c r="AS35" i="5"/>
  <c r="AN35" i="5"/>
  <c r="AO35" i="5" s="1"/>
  <c r="AK35" i="5"/>
  <c r="AF35" i="5"/>
  <c r="AY34" i="5"/>
  <c r="AX34" i="5"/>
  <c r="AS34" i="5"/>
  <c r="AT34" i="5" s="1"/>
  <c r="AN34" i="5"/>
  <c r="AO34" i="5" s="1"/>
  <c r="AK34" i="5"/>
  <c r="AF34" i="5"/>
  <c r="AY33" i="5"/>
  <c r="AX33" i="5"/>
  <c r="AS33" i="5"/>
  <c r="AT33" i="5" s="1"/>
  <c r="AN33" i="5"/>
  <c r="AO33" i="5" s="1"/>
  <c r="AK33" i="5"/>
  <c r="AF33" i="5"/>
  <c r="AY32" i="5"/>
  <c r="AX32" i="5"/>
  <c r="AS32" i="5"/>
  <c r="AT32" i="5" s="1"/>
  <c r="AN32" i="5"/>
  <c r="AK32" i="5"/>
  <c r="AF32" i="5"/>
  <c r="AY31" i="5"/>
  <c r="AX31" i="5"/>
  <c r="AS31" i="5"/>
  <c r="AT31" i="5" s="1"/>
  <c r="AN31" i="5"/>
  <c r="AK31" i="5"/>
  <c r="AF31" i="5"/>
  <c r="AY30" i="5"/>
  <c r="AX30" i="5"/>
  <c r="AS30" i="5"/>
  <c r="AT30" i="5" s="1"/>
  <c r="AO30" i="5"/>
  <c r="AN30" i="5"/>
  <c r="AK30" i="5"/>
  <c r="AF30" i="5"/>
  <c r="AY29" i="5"/>
  <c r="AX29" i="5"/>
  <c r="AS29" i="5"/>
  <c r="AT29" i="5" s="1"/>
  <c r="AN29" i="5"/>
  <c r="AO29" i="5" s="1"/>
  <c r="AK29" i="5"/>
  <c r="AF29" i="5"/>
  <c r="AY28" i="5"/>
  <c r="AZ28" i="5" s="1"/>
  <c r="AX28" i="5"/>
  <c r="AS28" i="5"/>
  <c r="AT28" i="5" s="1"/>
  <c r="AN28" i="5"/>
  <c r="AK28" i="5"/>
  <c r="AF28" i="5"/>
  <c r="AY27" i="5"/>
  <c r="AZ27" i="5" s="1"/>
  <c r="AX27" i="5"/>
  <c r="AT27" i="5"/>
  <c r="AS27" i="5"/>
  <c r="AN27" i="5"/>
  <c r="AK27" i="5"/>
  <c r="AF27" i="5"/>
  <c r="AY26" i="5"/>
  <c r="AX26" i="5"/>
  <c r="AS26" i="5"/>
  <c r="AT26" i="5" s="1"/>
  <c r="AN26" i="5"/>
  <c r="AO26" i="5" s="1"/>
  <c r="AK26" i="5"/>
  <c r="AF26" i="5"/>
  <c r="AY25" i="5"/>
  <c r="AX25" i="5"/>
  <c r="AS25" i="5"/>
  <c r="AT25" i="5" s="1"/>
  <c r="AO25" i="5"/>
  <c r="AN25" i="5"/>
  <c r="AK25" i="5"/>
  <c r="AF25" i="5"/>
  <c r="AY24" i="5"/>
  <c r="AZ24" i="5" s="1"/>
  <c r="AX24" i="5"/>
  <c r="AS24" i="5"/>
  <c r="AT24" i="5" s="1"/>
  <c r="AN24" i="5"/>
  <c r="AK24" i="5"/>
  <c r="AF24" i="5"/>
  <c r="AY23" i="5"/>
  <c r="AX23" i="5"/>
  <c r="AT23" i="5"/>
  <c r="AS23" i="5"/>
  <c r="AN23" i="5"/>
  <c r="AO23" i="5" s="1"/>
  <c r="AK23" i="5"/>
  <c r="AF23" i="5"/>
  <c r="AY22" i="5"/>
  <c r="AX22" i="5"/>
  <c r="AS22" i="5"/>
  <c r="AT22" i="5" s="1"/>
  <c r="AN22" i="5"/>
  <c r="AO22" i="5" s="1"/>
  <c r="AK22" i="5"/>
  <c r="AF22" i="5"/>
  <c r="AY21" i="5"/>
  <c r="AX21" i="5"/>
  <c r="AS21" i="5"/>
  <c r="AT21" i="5" s="1"/>
  <c r="AO21" i="5"/>
  <c r="AN21" i="5"/>
  <c r="AK21" i="5"/>
  <c r="AF21" i="5"/>
  <c r="AY20" i="5"/>
  <c r="AX20" i="5"/>
  <c r="AS20" i="5"/>
  <c r="AT20" i="5" s="1"/>
  <c r="AN20" i="5"/>
  <c r="AO20" i="5" s="1"/>
  <c r="AK20" i="5"/>
  <c r="AF20" i="5"/>
  <c r="AY19" i="5"/>
  <c r="AZ19" i="5" s="1"/>
  <c r="AX19" i="5"/>
  <c r="AS19" i="5"/>
  <c r="AT19" i="5" s="1"/>
  <c r="AN19" i="5"/>
  <c r="AO19" i="5" s="1"/>
  <c r="AK19" i="5"/>
  <c r="AF19" i="5"/>
  <c r="AY18" i="5"/>
  <c r="AX18" i="5"/>
  <c r="AS18" i="5"/>
  <c r="AT18" i="5" s="1"/>
  <c r="AN18" i="5"/>
  <c r="AO18" i="5" s="1"/>
  <c r="AK18" i="5"/>
  <c r="AF18" i="5"/>
  <c r="AY17" i="5"/>
  <c r="AX17" i="5"/>
  <c r="AS17" i="5"/>
  <c r="AT17" i="5" s="1"/>
  <c r="AN17" i="5"/>
  <c r="AO17" i="5" s="1"/>
  <c r="AK17" i="5"/>
  <c r="AF17" i="5"/>
  <c r="AY16" i="5"/>
  <c r="AZ16" i="5" s="1"/>
  <c r="AX16" i="5"/>
  <c r="AS16" i="5"/>
  <c r="AT16" i="5" s="1"/>
  <c r="AN16" i="5"/>
  <c r="AK16" i="5"/>
  <c r="AF16" i="5"/>
  <c r="AY15" i="5"/>
  <c r="AZ15" i="5" s="1"/>
  <c r="AX15" i="5"/>
  <c r="AT15" i="5"/>
  <c r="AS15" i="5"/>
  <c r="AN15" i="5"/>
  <c r="AO15" i="5" s="1"/>
  <c r="AK15" i="5"/>
  <c r="AF15" i="5"/>
  <c r="AY14" i="5"/>
  <c r="AX14" i="5"/>
  <c r="AS14" i="5"/>
  <c r="AT14" i="5" s="1"/>
  <c r="AN14" i="5"/>
  <c r="AO14" i="5" s="1"/>
  <c r="AK14" i="5"/>
  <c r="AF14" i="5"/>
  <c r="AY13" i="5"/>
  <c r="AX13" i="5"/>
  <c r="AS13" i="5"/>
  <c r="AT13" i="5" s="1"/>
  <c r="AN13" i="5"/>
  <c r="AK13" i="5"/>
  <c r="AO13" i="5" s="1"/>
  <c r="AF13" i="5"/>
  <c r="H13" i="5"/>
  <c r="AY12" i="5"/>
  <c r="AX12" i="5"/>
  <c r="AS12" i="5"/>
  <c r="AT12" i="5" s="1"/>
  <c r="AN12" i="5"/>
  <c r="AO12" i="5" s="1"/>
  <c r="AK12" i="5"/>
  <c r="AF12" i="5"/>
  <c r="AY11" i="5"/>
  <c r="AX11" i="5"/>
  <c r="AS11" i="5"/>
  <c r="AT11" i="5" s="1"/>
  <c r="AN11" i="5"/>
  <c r="AK11" i="5"/>
  <c r="AF11" i="5"/>
  <c r="AY10" i="5"/>
  <c r="AX10" i="5"/>
  <c r="AS10" i="5"/>
  <c r="AT10" i="5" s="1"/>
  <c r="AO10" i="5"/>
  <c r="AN10" i="5"/>
  <c r="AK10" i="5"/>
  <c r="AF10" i="5"/>
  <c r="AY9" i="5"/>
  <c r="AX9" i="5"/>
  <c r="AS9" i="5"/>
  <c r="AT9" i="5" s="1"/>
  <c r="AN9" i="5"/>
  <c r="AO9" i="5" s="1"/>
  <c r="AK9" i="5"/>
  <c r="AF9" i="5"/>
  <c r="AY8" i="5"/>
  <c r="AX8" i="5"/>
  <c r="AS8" i="5"/>
  <c r="AT8" i="5" s="1"/>
  <c r="AN8" i="5"/>
  <c r="AK8" i="5"/>
  <c r="AF8" i="5"/>
  <c r="AY7" i="5"/>
  <c r="AZ7" i="5" s="1"/>
  <c r="AX7" i="5"/>
  <c r="AT7" i="5"/>
  <c r="AS7" i="5"/>
  <c r="AN7" i="5"/>
  <c r="AK7" i="5"/>
  <c r="AF7" i="5"/>
  <c r="AY6" i="5"/>
  <c r="AX6" i="5"/>
  <c r="AS6" i="5"/>
  <c r="AT6" i="5" s="1"/>
  <c r="AN6" i="5"/>
  <c r="AO6" i="5" s="1"/>
  <c r="AK6" i="5"/>
  <c r="AF6" i="5"/>
  <c r="AY5" i="5"/>
  <c r="AX5" i="5"/>
  <c r="AS5" i="5"/>
  <c r="AT5" i="5" s="1"/>
  <c r="AO5" i="5"/>
  <c r="AN5" i="5"/>
  <c r="AK5" i="5"/>
  <c r="AF5" i="5"/>
  <c r="AY4" i="5"/>
  <c r="AZ4" i="5" s="1"/>
  <c r="AX4" i="5"/>
  <c r="AS4" i="5"/>
  <c r="AT4" i="5" s="1"/>
  <c r="AN4" i="5"/>
  <c r="AK4" i="5"/>
  <c r="AF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Y3" i="5"/>
  <c r="AX3" i="5"/>
  <c r="AS3" i="5"/>
  <c r="AT3" i="5" s="1"/>
  <c r="AN3" i="5"/>
  <c r="AO3" i="5" s="1"/>
  <c r="AK3" i="5"/>
  <c r="AF3" i="5"/>
  <c r="I3" i="5"/>
  <c r="S1" i="5"/>
  <c r="J1" i="5"/>
  <c r="J81" i="5" s="1"/>
  <c r="I1" i="5"/>
  <c r="I29" i="5" s="1"/>
  <c r="H1" i="5"/>
  <c r="H17" i="5" s="1"/>
  <c r="G1" i="5"/>
  <c r="G77" i="5" s="1"/>
  <c r="F1" i="5"/>
  <c r="F67" i="5" s="1"/>
  <c r="E1" i="5"/>
  <c r="E24" i="5" s="1"/>
  <c r="BB18" i="4"/>
  <c r="BC18" i="4" s="1"/>
  <c r="BA18" i="4"/>
  <c r="AV18" i="4"/>
  <c r="AW18" i="4" s="1"/>
  <c r="AQ18" i="4"/>
  <c r="AR18" i="4" s="1"/>
  <c r="AN18" i="4"/>
  <c r="AI18" i="4"/>
  <c r="BB17" i="4"/>
  <c r="BA17" i="4"/>
  <c r="AV17" i="4"/>
  <c r="AW17" i="4" s="1"/>
  <c r="AQ17" i="4"/>
  <c r="AN17" i="4"/>
  <c r="AI17" i="4"/>
  <c r="BA16" i="4"/>
  <c r="AV16" i="4"/>
  <c r="AQ16" i="4"/>
  <c r="W16" i="4"/>
  <c r="X16" i="4" s="1"/>
  <c r="AE16" i="4" s="1"/>
  <c r="BA15" i="4"/>
  <c r="AV15" i="4"/>
  <c r="AQ15" i="4"/>
  <c r="X15" i="4"/>
  <c r="AE15" i="4" s="1"/>
  <c r="W15" i="4"/>
  <c r="BA14" i="4"/>
  <c r="AV14" i="4"/>
  <c r="AQ14" i="4"/>
  <c r="X14" i="4"/>
  <c r="AE14" i="4" s="1"/>
  <c r="W14" i="4"/>
  <c r="BA13" i="4"/>
  <c r="AV13" i="4"/>
  <c r="AQ13" i="4"/>
  <c r="W13" i="4"/>
  <c r="X13" i="4" s="1"/>
  <c r="AE13" i="4" s="1"/>
  <c r="BA12" i="4"/>
  <c r="AV12" i="4"/>
  <c r="AQ12" i="4"/>
  <c r="W12" i="4"/>
  <c r="X12" i="4" s="1"/>
  <c r="AE12" i="4" s="1"/>
  <c r="BA11" i="4"/>
  <c r="AV11" i="4"/>
  <c r="AQ11" i="4"/>
  <c r="W11" i="4"/>
  <c r="X11" i="4" s="1"/>
  <c r="AE11" i="4" s="1"/>
  <c r="BA10" i="4"/>
  <c r="AV10" i="4"/>
  <c r="AQ10" i="4"/>
  <c r="X10" i="4"/>
  <c r="AE10" i="4" s="1"/>
  <c r="W10" i="4"/>
  <c r="BA9" i="4"/>
  <c r="AV9" i="4"/>
  <c r="AQ9" i="4"/>
  <c r="X9" i="4"/>
  <c r="AE9" i="4" s="1"/>
  <c r="AI9" i="4" s="1"/>
  <c r="W9" i="4"/>
  <c r="BA8" i="4"/>
  <c r="AV8" i="4"/>
  <c r="AQ8" i="4"/>
  <c r="W8" i="4"/>
  <c r="X8" i="4" s="1"/>
  <c r="AE8" i="4" s="1"/>
  <c r="BA7" i="4"/>
  <c r="AV7" i="4"/>
  <c r="AQ7" i="4"/>
  <c r="W7" i="4"/>
  <c r="X7" i="4" s="1"/>
  <c r="AE7" i="4" s="1"/>
  <c r="BA6" i="4"/>
  <c r="AV6" i="4"/>
  <c r="AQ6" i="4"/>
  <c r="W6" i="4"/>
  <c r="X6" i="4" s="1"/>
  <c r="AE6" i="4" s="1"/>
  <c r="BA5" i="4"/>
  <c r="AV5" i="4"/>
  <c r="AQ5" i="4"/>
  <c r="W5" i="4"/>
  <c r="X5" i="4" s="1"/>
  <c r="AE5" i="4" s="1"/>
  <c r="BA4" i="4"/>
  <c r="AV4" i="4"/>
  <c r="AQ4" i="4"/>
  <c r="W4" i="4"/>
  <c r="X4" i="4" s="1"/>
  <c r="AE4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BA3" i="4"/>
  <c r="AV3" i="4"/>
  <c r="AQ3" i="4"/>
  <c r="X3" i="4"/>
  <c r="W3" i="4"/>
  <c r="O1" i="4"/>
  <c r="W19" i="7" l="1"/>
  <c r="W35" i="7"/>
  <c r="W46" i="7"/>
  <c r="W58" i="7"/>
  <c r="W70" i="7"/>
  <c r="W85" i="7"/>
  <c r="W107" i="7"/>
  <c r="W115" i="7"/>
  <c r="W176" i="7"/>
  <c r="W188" i="7"/>
  <c r="W207" i="7"/>
  <c r="W226" i="7"/>
  <c r="W240" i="7"/>
  <c r="W252" i="7"/>
  <c r="W259" i="7"/>
  <c r="C56" i="7"/>
  <c r="W7" i="7"/>
  <c r="W23" i="7"/>
  <c r="W39" i="7"/>
  <c r="W65" i="7"/>
  <c r="W87" i="7"/>
  <c r="W130" i="7"/>
  <c r="W154" i="7"/>
  <c r="W178" i="7"/>
  <c r="W242" i="7"/>
  <c r="W266" i="7"/>
  <c r="W268" i="7"/>
  <c r="W270" i="7"/>
  <c r="W218" i="7"/>
  <c r="W282" i="7"/>
  <c r="W11" i="7"/>
  <c r="W27" i="7"/>
  <c r="W45" i="7"/>
  <c r="W47" i="7"/>
  <c r="W91" i="7"/>
  <c r="W98" i="7"/>
  <c r="W103" i="7"/>
  <c r="W175" i="7"/>
  <c r="W194" i="7"/>
  <c r="W208" i="7"/>
  <c r="W220" i="7"/>
  <c r="W239" i="7"/>
  <c r="W13" i="7"/>
  <c r="W29" i="7"/>
  <c r="W49" i="7"/>
  <c r="W51" i="7"/>
  <c r="W61" i="7"/>
  <c r="K1" i="7"/>
  <c r="W86" i="7"/>
  <c r="W93" i="7"/>
  <c r="W129" i="7"/>
  <c r="W131" i="7"/>
  <c r="W136" i="7"/>
  <c r="W138" i="7"/>
  <c r="W163" i="7"/>
  <c r="W184" i="7"/>
  <c r="W196" i="7"/>
  <c r="W215" i="7"/>
  <c r="W248" i="7"/>
  <c r="W267" i="7"/>
  <c r="W269" i="7"/>
  <c r="W15" i="7"/>
  <c r="W31" i="7"/>
  <c r="W66" i="7"/>
  <c r="W140" i="7"/>
  <c r="W172" i="7"/>
  <c r="W191" i="7"/>
  <c r="W224" i="7"/>
  <c r="W236" i="7"/>
  <c r="W255" i="7"/>
  <c r="W8" i="6"/>
  <c r="W16" i="6"/>
  <c r="W20" i="6"/>
  <c r="W22" i="6"/>
  <c r="W28" i="6"/>
  <c r="W32" i="6"/>
  <c r="W59" i="6"/>
  <c r="W61" i="6"/>
  <c r="W82" i="6"/>
  <c r="W86" i="6"/>
  <c r="W88" i="6"/>
  <c r="W90" i="6"/>
  <c r="W92" i="6"/>
  <c r="W94" i="6"/>
  <c r="W149" i="6"/>
  <c r="W153" i="6"/>
  <c r="W155" i="6"/>
  <c r="W159" i="6"/>
  <c r="W161" i="6"/>
  <c r="W192" i="6"/>
  <c r="W194" i="6"/>
  <c r="W202" i="6"/>
  <c r="W206" i="6"/>
  <c r="W34" i="6"/>
  <c r="W38" i="6"/>
  <c r="W73" i="6"/>
  <c r="W75" i="6"/>
  <c r="W102" i="6"/>
  <c r="W104" i="6"/>
  <c r="W106" i="6"/>
  <c r="W108" i="6"/>
  <c r="W110" i="6"/>
  <c r="W112" i="6"/>
  <c r="W114" i="6"/>
  <c r="W210" i="6"/>
  <c r="W54" i="6"/>
  <c r="W87" i="6"/>
  <c r="W91" i="6"/>
  <c r="W9" i="6"/>
  <c r="W11" i="6"/>
  <c r="W27" i="6"/>
  <c r="W158" i="6"/>
  <c r="W207" i="6"/>
  <c r="K1" i="6"/>
  <c r="W170" i="6"/>
  <c r="W209" i="6"/>
  <c r="W37" i="6"/>
  <c r="W43" i="6"/>
  <c r="W45" i="6"/>
  <c r="W55" i="6"/>
  <c r="W70" i="6"/>
  <c r="W74" i="6"/>
  <c r="W119" i="6"/>
  <c r="W123" i="6"/>
  <c r="W127" i="6"/>
  <c r="W129" i="6"/>
  <c r="W176" i="6"/>
  <c r="W178" i="6"/>
  <c r="W213" i="6"/>
  <c r="AZ12" i="5"/>
  <c r="AO47" i="5"/>
  <c r="AZ23" i="5"/>
  <c r="AO27" i="5"/>
  <c r="AZ32" i="5"/>
  <c r="AZ35" i="5"/>
  <c r="AO71" i="5"/>
  <c r="AZ77" i="5"/>
  <c r="AO81" i="5"/>
  <c r="C40" i="7"/>
  <c r="AO61" i="5"/>
  <c r="AO7" i="5"/>
  <c r="AO8" i="5"/>
  <c r="AO53" i="5"/>
  <c r="AZ56" i="5"/>
  <c r="AZ68" i="5"/>
  <c r="AZ73" i="5"/>
  <c r="AZ11" i="5"/>
  <c r="AO16" i="5"/>
  <c r="AZ20" i="5"/>
  <c r="AZ31" i="5"/>
  <c r="G33" i="5"/>
  <c r="I34" i="5"/>
  <c r="AO39" i="5"/>
  <c r="AO40" i="5"/>
  <c r="G57" i="5"/>
  <c r="AZ62" i="5"/>
  <c r="AO65" i="5"/>
  <c r="AZ67" i="5"/>
  <c r="AZ72" i="5"/>
  <c r="AO75" i="5"/>
  <c r="AZ58" i="5"/>
  <c r="AO76" i="5"/>
  <c r="AO28" i="5"/>
  <c r="AZ63" i="5"/>
  <c r="G21" i="5"/>
  <c r="AO4" i="5"/>
  <c r="AZ8" i="5"/>
  <c r="G20" i="5"/>
  <c r="AO24" i="5"/>
  <c r="G29" i="5"/>
  <c r="AO36" i="5"/>
  <c r="AO44" i="5"/>
  <c r="G49" i="5"/>
  <c r="AO51" i="5"/>
  <c r="AZ66" i="5"/>
  <c r="AO69" i="5"/>
  <c r="AZ71" i="5"/>
  <c r="AO74" i="5"/>
  <c r="AO78" i="5"/>
  <c r="AZ81" i="5"/>
  <c r="C9" i="7"/>
  <c r="C109" i="7"/>
  <c r="C6" i="7"/>
  <c r="AO41" i="5"/>
  <c r="AO48" i="5"/>
  <c r="G32" i="5"/>
  <c r="G56" i="5"/>
  <c r="G48" i="5"/>
  <c r="G8" i="5"/>
  <c r="AO11" i="5"/>
  <c r="AO31" i="5"/>
  <c r="AO32" i="5"/>
  <c r="AZ39" i="5"/>
  <c r="AZ52" i="5"/>
  <c r="AO55" i="5"/>
  <c r="AO56" i="5"/>
  <c r="AO57" i="5"/>
  <c r="AZ59" i="5"/>
  <c r="AZ70" i="5"/>
  <c r="AO77" i="5"/>
  <c r="AZ79" i="5"/>
  <c r="C20" i="7"/>
  <c r="I17" i="5"/>
  <c r="BC17" i="4"/>
  <c r="F28" i="5"/>
  <c r="I53" i="5"/>
  <c r="G44" i="5"/>
  <c r="I54" i="5"/>
  <c r="I26" i="5"/>
  <c r="F12" i="5"/>
  <c r="G28" i="5"/>
  <c r="G41" i="5"/>
  <c r="I42" i="5"/>
  <c r="I22" i="5"/>
  <c r="I41" i="5"/>
  <c r="I50" i="5"/>
  <c r="C12" i="7"/>
  <c r="C18" i="7"/>
  <c r="C28" i="7"/>
  <c r="C15" i="6"/>
  <c r="C36" i="6"/>
  <c r="C84" i="6"/>
  <c r="C8" i="7"/>
  <c r="C14" i="7"/>
  <c r="C17" i="7"/>
  <c r="C32" i="7"/>
  <c r="C44" i="7"/>
  <c r="C74" i="7"/>
  <c r="C19" i="6"/>
  <c r="C52" i="6"/>
  <c r="C5" i="7"/>
  <c r="C73" i="7"/>
  <c r="C16" i="7"/>
  <c r="C24" i="7"/>
  <c r="C48" i="7"/>
  <c r="C4" i="7"/>
  <c r="C10" i="7"/>
  <c r="C13" i="7"/>
  <c r="C36" i="7"/>
  <c r="C18" i="6"/>
  <c r="C52" i="7"/>
  <c r="C97" i="7"/>
  <c r="J32" i="5"/>
  <c r="J19" i="5"/>
  <c r="E20" i="5"/>
  <c r="J35" i="5"/>
  <c r="E36" i="5"/>
  <c r="E161" i="6" s="1"/>
  <c r="J38" i="5"/>
  <c r="D99" i="6" s="1"/>
  <c r="J52" i="5"/>
  <c r="D44" i="7" s="1"/>
  <c r="J53" i="5"/>
  <c r="D45" i="6" s="1"/>
  <c r="J54" i="5"/>
  <c r="J55" i="5"/>
  <c r="E56" i="5"/>
  <c r="J59" i="5"/>
  <c r="J69" i="5"/>
  <c r="J78" i="5"/>
  <c r="D212" i="6" s="1"/>
  <c r="J72" i="5"/>
  <c r="D60" i="7" s="1"/>
  <c r="J40" i="5"/>
  <c r="D35" i="6" s="1"/>
  <c r="J43" i="5"/>
  <c r="J56" i="5"/>
  <c r="J21" i="5"/>
  <c r="E48" i="5"/>
  <c r="E41" i="6" s="1"/>
  <c r="J22" i="5"/>
  <c r="J25" i="5"/>
  <c r="J41" i="5"/>
  <c r="D63" i="6" s="1"/>
  <c r="J42" i="5"/>
  <c r="D167" i="6" s="1"/>
  <c r="J45" i="5"/>
  <c r="F4" i="5"/>
  <c r="G5" i="5"/>
  <c r="J23" i="5"/>
  <c r="J24" i="5"/>
  <c r="J26" i="5"/>
  <c r="D88" i="6" s="1"/>
  <c r="J48" i="5"/>
  <c r="D41" i="7" s="1"/>
  <c r="J66" i="5"/>
  <c r="D72" i="7" s="1"/>
  <c r="J76" i="5"/>
  <c r="J47" i="5"/>
  <c r="J5" i="5"/>
  <c r="J30" i="5"/>
  <c r="J65" i="5"/>
  <c r="J10" i="5"/>
  <c r="D135" i="6" s="1"/>
  <c r="J3" i="5"/>
  <c r="D58" i="6" s="1"/>
  <c r="J36" i="5"/>
  <c r="D31" i="6" s="1"/>
  <c r="J46" i="5"/>
  <c r="J4" i="5"/>
  <c r="J6" i="5"/>
  <c r="J27" i="5"/>
  <c r="J64" i="5"/>
  <c r="J75" i="5"/>
  <c r="D199" i="6" s="1"/>
  <c r="J7" i="5"/>
  <c r="D147" i="7" s="1"/>
  <c r="E8" i="5"/>
  <c r="E7" i="7" s="1"/>
  <c r="I9" i="5"/>
  <c r="J31" i="5"/>
  <c r="E32" i="5"/>
  <c r="E28" i="6" s="1"/>
  <c r="I62" i="5"/>
  <c r="J63" i="5"/>
  <c r="J73" i="5"/>
  <c r="D127" i="6" s="1"/>
  <c r="J74" i="5"/>
  <c r="D208" i="6" s="1"/>
  <c r="J9" i="5"/>
  <c r="D209" i="7" s="1"/>
  <c r="J80" i="5"/>
  <c r="J12" i="5"/>
  <c r="J13" i="5"/>
  <c r="J14" i="5"/>
  <c r="J16" i="5"/>
  <c r="D14" i="6" s="1"/>
  <c r="J17" i="5"/>
  <c r="D60" i="6" s="1"/>
  <c r="J18" i="5"/>
  <c r="D156" i="7" s="1"/>
  <c r="J33" i="5"/>
  <c r="D62" i="6" s="1"/>
  <c r="J60" i="5"/>
  <c r="J70" i="5"/>
  <c r="J71" i="5"/>
  <c r="AI5" i="4"/>
  <c r="AL5" i="4"/>
  <c r="AI13" i="4"/>
  <c r="AL13" i="4"/>
  <c r="AL9" i="4"/>
  <c r="AW9" i="4" s="1"/>
  <c r="F16" i="5"/>
  <c r="W1" i="4"/>
  <c r="AR17" i="4"/>
  <c r="F80" i="5"/>
  <c r="F59" i="5"/>
  <c r="F44" i="5"/>
  <c r="F20" i="5"/>
  <c r="F8" i="5"/>
  <c r="F5" i="5"/>
  <c r="F69" i="5"/>
  <c r="F56" i="5"/>
  <c r="F48" i="5"/>
  <c r="F32" i="5"/>
  <c r="F14" i="5"/>
  <c r="F10" i="5"/>
  <c r="F63" i="5"/>
  <c r="F3" i="5"/>
  <c r="F36" i="5"/>
  <c r="F81" i="5"/>
  <c r="F61" i="5"/>
  <c r="F9" i="5"/>
  <c r="F65" i="5"/>
  <c r="F6" i="5"/>
  <c r="F75" i="5"/>
  <c r="F73" i="5"/>
  <c r="F71" i="5"/>
  <c r="H3" i="5"/>
  <c r="H29" i="5"/>
  <c r="H41" i="5"/>
  <c r="H45" i="5"/>
  <c r="H21" i="5"/>
  <c r="H5" i="5"/>
  <c r="H37" i="5"/>
  <c r="H9" i="5"/>
  <c r="H33" i="5"/>
  <c r="F40" i="5"/>
  <c r="F24" i="5"/>
  <c r="H25" i="5"/>
  <c r="F52" i="5"/>
  <c r="E4" i="5"/>
  <c r="E3" i="7" s="1"/>
  <c r="I10" i="5"/>
  <c r="I21" i="5"/>
  <c r="I71" i="5"/>
  <c r="I60" i="5"/>
  <c r="I38" i="5"/>
  <c r="I33" i="5"/>
  <c r="I70" i="5"/>
  <c r="I18" i="5"/>
  <c r="I6" i="5"/>
  <c r="I64" i="5"/>
  <c r="I30" i="5"/>
  <c r="I25" i="5"/>
  <c r="I5" i="5"/>
  <c r="I13" i="5"/>
  <c r="E44" i="5"/>
  <c r="E169" i="6" s="1"/>
  <c r="I72" i="5"/>
  <c r="I14" i="5"/>
  <c r="I45" i="5"/>
  <c r="I46" i="5"/>
  <c r="I66" i="5"/>
  <c r="I68" i="5"/>
  <c r="E75" i="5"/>
  <c r="E209" i="6" s="1"/>
  <c r="E52" i="5"/>
  <c r="E114" i="7" s="1"/>
  <c r="E16" i="5"/>
  <c r="E14" i="6" s="1"/>
  <c r="E12" i="5"/>
  <c r="E137" i="6" s="1"/>
  <c r="E28" i="5"/>
  <c r="E78" i="5"/>
  <c r="E40" i="5"/>
  <c r="E176" i="7" s="1"/>
  <c r="I49" i="5"/>
  <c r="I58" i="5"/>
  <c r="J8" i="5"/>
  <c r="D7" i="6" s="1"/>
  <c r="G9" i="5"/>
  <c r="G12" i="5"/>
  <c r="G13" i="5"/>
  <c r="G16" i="5"/>
  <c r="G17" i="5"/>
  <c r="J20" i="5"/>
  <c r="D87" i="7" s="1"/>
  <c r="J29" i="5"/>
  <c r="D91" i="6" s="1"/>
  <c r="J34" i="5"/>
  <c r="D95" i="6" s="1"/>
  <c r="J39" i="5"/>
  <c r="D104" i="7" s="1"/>
  <c r="J44" i="5"/>
  <c r="G52" i="5"/>
  <c r="G53" i="5"/>
  <c r="J61" i="5"/>
  <c r="J62" i="5"/>
  <c r="D262" i="7" s="1"/>
  <c r="G36" i="5"/>
  <c r="G37" i="5"/>
  <c r="J67" i="5"/>
  <c r="D197" i="7" s="1"/>
  <c r="J68" i="5"/>
  <c r="J77" i="5"/>
  <c r="G78" i="5"/>
  <c r="J79" i="5"/>
  <c r="G80" i="5"/>
  <c r="G4" i="5"/>
  <c r="J11" i="5"/>
  <c r="D79" i="7" s="1"/>
  <c r="J15" i="5"/>
  <c r="D140" i="6" s="1"/>
  <c r="G24" i="5"/>
  <c r="G25" i="5"/>
  <c r="J28" i="5"/>
  <c r="J37" i="5"/>
  <c r="D102" i="7" s="1"/>
  <c r="J49" i="5"/>
  <c r="J50" i="5"/>
  <c r="D175" i="6" s="1"/>
  <c r="J51" i="5"/>
  <c r="D69" i="7" s="1"/>
  <c r="J57" i="5"/>
  <c r="D118" i="7" s="1"/>
  <c r="J58" i="5"/>
  <c r="D119" i="7" s="1"/>
  <c r="W13" i="6"/>
  <c r="C44" i="6"/>
  <c r="C76" i="6"/>
  <c r="W99" i="6"/>
  <c r="W131" i="6"/>
  <c r="W147" i="6"/>
  <c r="W163" i="6"/>
  <c r="W179" i="6"/>
  <c r="W195" i="6"/>
  <c r="W211" i="6"/>
  <c r="E21" i="6"/>
  <c r="W5" i="6"/>
  <c r="W24" i="6"/>
  <c r="W47" i="6"/>
  <c r="W52" i="6"/>
  <c r="W64" i="6"/>
  <c r="W101" i="6"/>
  <c r="W117" i="6"/>
  <c r="D16" i="6"/>
  <c r="E145" i="6"/>
  <c r="C68" i="6"/>
  <c r="W103" i="6"/>
  <c r="W135" i="6"/>
  <c r="W151" i="6"/>
  <c r="W167" i="6"/>
  <c r="W183" i="6"/>
  <c r="W199" i="6"/>
  <c r="W215" i="6"/>
  <c r="W4" i="6"/>
  <c r="C28" i="6"/>
  <c r="C90" i="6"/>
  <c r="W121" i="6"/>
  <c r="W201" i="6"/>
  <c r="Q1" i="6"/>
  <c r="C13" i="6"/>
  <c r="C20" i="6"/>
  <c r="C35" i="6"/>
  <c r="C60" i="6"/>
  <c r="W139" i="6"/>
  <c r="W6" i="6"/>
  <c r="C16" i="6"/>
  <c r="W23" i="6"/>
  <c r="C27" i="6"/>
  <c r="W36" i="6"/>
  <c r="W48" i="6"/>
  <c r="W63" i="6"/>
  <c r="W68" i="6"/>
  <c r="W80" i="6"/>
  <c r="W95" i="6"/>
  <c r="W109" i="6"/>
  <c r="W125" i="6"/>
  <c r="W141" i="6"/>
  <c r="W157" i="6"/>
  <c r="W173" i="6"/>
  <c r="W189" i="6"/>
  <c r="W205" i="6"/>
  <c r="AL10" i="4"/>
  <c r="AI10" i="4"/>
  <c r="AI12" i="4"/>
  <c r="AL12" i="4"/>
  <c r="AW12" i="4" s="1"/>
  <c r="AI4" i="4"/>
  <c r="AL4" i="4"/>
  <c r="AI8" i="4"/>
  <c r="AL8" i="4"/>
  <c r="AI15" i="4"/>
  <c r="AL15" i="4"/>
  <c r="AW4" i="4"/>
  <c r="AW8" i="4"/>
  <c r="AI11" i="4"/>
  <c r="AL11" i="4"/>
  <c r="X1" i="4"/>
  <c r="AL6" i="4"/>
  <c r="AI6" i="4"/>
  <c r="AL14" i="4"/>
  <c r="AI14" i="4"/>
  <c r="AI7" i="4"/>
  <c r="AL7" i="4"/>
  <c r="AI16" i="4"/>
  <c r="AL16" i="4"/>
  <c r="AE3" i="4"/>
  <c r="E3" i="5"/>
  <c r="E58" i="6" s="1"/>
  <c r="AZ6" i="5"/>
  <c r="AZ10" i="5"/>
  <c r="AZ14" i="5"/>
  <c r="AZ18" i="5"/>
  <c r="AZ22" i="5"/>
  <c r="AZ26" i="5"/>
  <c r="AZ30" i="5"/>
  <c r="AZ34" i="5"/>
  <c r="AZ38" i="5"/>
  <c r="AZ42" i="5"/>
  <c r="AZ46" i="5"/>
  <c r="H49" i="5"/>
  <c r="AZ50" i="5"/>
  <c r="H53" i="5"/>
  <c r="AZ54" i="5"/>
  <c r="H57" i="5"/>
  <c r="E59" i="5"/>
  <c r="E184" i="6" s="1"/>
  <c r="E61" i="5"/>
  <c r="E67" i="6" s="1"/>
  <c r="E63" i="5"/>
  <c r="E53" i="6" s="1"/>
  <c r="E65" i="5"/>
  <c r="E121" i="6" s="1"/>
  <c r="E67" i="5"/>
  <c r="E56" i="6" s="1"/>
  <c r="E69" i="5"/>
  <c r="E143" i="7" s="1"/>
  <c r="E71" i="5"/>
  <c r="E73" i="5"/>
  <c r="E197" i="6" s="1"/>
  <c r="G75" i="5"/>
  <c r="F78" i="5"/>
  <c r="E81" i="5"/>
  <c r="E215" i="6" s="1"/>
  <c r="E7" i="5"/>
  <c r="E6" i="6" s="1"/>
  <c r="G3" i="5"/>
  <c r="H4" i="5"/>
  <c r="AZ5" i="5"/>
  <c r="F7" i="5"/>
  <c r="H8" i="5"/>
  <c r="AZ9" i="5"/>
  <c r="F11" i="5"/>
  <c r="H12" i="5"/>
  <c r="AZ13" i="5"/>
  <c r="F15" i="5"/>
  <c r="H16" i="5"/>
  <c r="AZ17" i="5"/>
  <c r="F19" i="5"/>
  <c r="H20" i="5"/>
  <c r="AZ21" i="5"/>
  <c r="F23" i="5"/>
  <c r="H24" i="5"/>
  <c r="AZ25" i="5"/>
  <c r="F27" i="5"/>
  <c r="H28" i="5"/>
  <c r="AZ29" i="5"/>
  <c r="F31" i="5"/>
  <c r="H32" i="5"/>
  <c r="AZ33" i="5"/>
  <c r="F35" i="5"/>
  <c r="H36" i="5"/>
  <c r="AZ37" i="5"/>
  <c r="F39" i="5"/>
  <c r="H40" i="5"/>
  <c r="AZ41" i="5"/>
  <c r="F43" i="5"/>
  <c r="H44" i="5"/>
  <c r="AZ45" i="5"/>
  <c r="F47" i="5"/>
  <c r="H48" i="5"/>
  <c r="AZ49" i="5"/>
  <c r="F51" i="5"/>
  <c r="H52" i="5"/>
  <c r="AZ53" i="5"/>
  <c r="F55" i="5"/>
  <c r="H56" i="5"/>
  <c r="AZ57" i="5"/>
  <c r="G59" i="5"/>
  <c r="G61" i="5"/>
  <c r="G63" i="5"/>
  <c r="G65" i="5"/>
  <c r="G67" i="5"/>
  <c r="G69" i="5"/>
  <c r="G71" i="5"/>
  <c r="G73" i="5"/>
  <c r="F76" i="5"/>
  <c r="E79" i="5"/>
  <c r="E282" i="7" s="1"/>
  <c r="G81" i="5"/>
  <c r="E11" i="5"/>
  <c r="E9" i="6" s="1"/>
  <c r="E43" i="5"/>
  <c r="E37" i="6" s="1"/>
  <c r="E76" i="5"/>
  <c r="E279" i="7" s="1"/>
  <c r="AW5" i="4"/>
  <c r="AW13" i="4"/>
  <c r="I4" i="5"/>
  <c r="E6" i="5"/>
  <c r="E5" i="6" s="1"/>
  <c r="G7" i="5"/>
  <c r="I8" i="5"/>
  <c r="E10" i="5"/>
  <c r="E63" i="7" s="1"/>
  <c r="G11" i="5"/>
  <c r="I12" i="5"/>
  <c r="E14" i="5"/>
  <c r="E12" i="6" s="1"/>
  <c r="G15" i="5"/>
  <c r="I16" i="5"/>
  <c r="E18" i="5"/>
  <c r="E85" i="7" s="1"/>
  <c r="G19" i="5"/>
  <c r="I20" i="5"/>
  <c r="E22" i="5"/>
  <c r="E85" i="6" s="1"/>
  <c r="G23" i="5"/>
  <c r="I24" i="5"/>
  <c r="E26" i="5"/>
  <c r="E22" i="6" s="1"/>
  <c r="G27" i="5"/>
  <c r="I28" i="5"/>
  <c r="E30" i="5"/>
  <c r="E167" i="7" s="1"/>
  <c r="G31" i="5"/>
  <c r="I32" i="5"/>
  <c r="E34" i="5"/>
  <c r="E29" i="6" s="1"/>
  <c r="G35" i="5"/>
  <c r="I36" i="5"/>
  <c r="E38" i="5"/>
  <c r="G39" i="5"/>
  <c r="I40" i="5"/>
  <c r="E42" i="5"/>
  <c r="E36" i="6" s="1"/>
  <c r="G43" i="5"/>
  <c r="I44" i="5"/>
  <c r="E46" i="5"/>
  <c r="E68" i="7" s="1"/>
  <c r="G47" i="5"/>
  <c r="I48" i="5"/>
  <c r="E50" i="5"/>
  <c r="G51" i="5"/>
  <c r="I52" i="5"/>
  <c r="E54" i="5"/>
  <c r="E46" i="6" s="1"/>
  <c r="G55" i="5"/>
  <c r="I56" i="5"/>
  <c r="E58" i="5"/>
  <c r="E49" i="6" s="1"/>
  <c r="I59" i="5"/>
  <c r="I61" i="5"/>
  <c r="I63" i="5"/>
  <c r="I65" i="5"/>
  <c r="I67" i="5"/>
  <c r="I69" i="5"/>
  <c r="E74" i="5"/>
  <c r="E208" i="6" s="1"/>
  <c r="G76" i="5"/>
  <c r="F79" i="5"/>
  <c r="E24" i="6"/>
  <c r="E153" i="6"/>
  <c r="E15" i="5"/>
  <c r="E13" i="6" s="1"/>
  <c r="E19" i="5"/>
  <c r="E16" i="6" s="1"/>
  <c r="E23" i="5"/>
  <c r="E20" i="6" s="1"/>
  <c r="E27" i="5"/>
  <c r="E227" i="7" s="1"/>
  <c r="E31" i="5"/>
  <c r="E35" i="5"/>
  <c r="E30" i="6" s="1"/>
  <c r="E39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7" i="5"/>
  <c r="H11" i="5"/>
  <c r="H15" i="5"/>
  <c r="F18" i="5"/>
  <c r="H19" i="5"/>
  <c r="F22" i="5"/>
  <c r="H23" i="5"/>
  <c r="F26" i="5"/>
  <c r="H27" i="5"/>
  <c r="F30" i="5"/>
  <c r="H31" i="5"/>
  <c r="F34" i="5"/>
  <c r="H35" i="5"/>
  <c r="F38" i="5"/>
  <c r="H39" i="5"/>
  <c r="F42" i="5"/>
  <c r="H43" i="5"/>
  <c r="F46" i="5"/>
  <c r="H47" i="5"/>
  <c r="F50" i="5"/>
  <c r="H51" i="5"/>
  <c r="F54" i="5"/>
  <c r="H55" i="5"/>
  <c r="F58" i="5"/>
  <c r="E60" i="5"/>
  <c r="E185" i="6" s="1"/>
  <c r="E62" i="5"/>
  <c r="E52" i="6" s="1"/>
  <c r="E64" i="5"/>
  <c r="E54" i="6" s="1"/>
  <c r="E66" i="5"/>
  <c r="E68" i="6" s="1"/>
  <c r="E68" i="5"/>
  <c r="E70" i="5"/>
  <c r="E128" i="7" s="1"/>
  <c r="E72" i="5"/>
  <c r="E201" i="7" s="1"/>
  <c r="F74" i="5"/>
  <c r="E77" i="5"/>
  <c r="G79" i="5"/>
  <c r="E47" i="5"/>
  <c r="E40" i="6" s="1"/>
  <c r="E51" i="5"/>
  <c r="E251" i="7" s="1"/>
  <c r="E55" i="5"/>
  <c r="E113" i="6" s="1"/>
  <c r="I81" i="5"/>
  <c r="I80" i="5"/>
  <c r="I79" i="5"/>
  <c r="I78" i="5"/>
  <c r="I77" i="5"/>
  <c r="I76" i="5"/>
  <c r="I75" i="5"/>
  <c r="I74" i="5"/>
  <c r="I73" i="5"/>
  <c r="AZ3" i="5"/>
  <c r="E5" i="5"/>
  <c r="E4" i="6" s="1"/>
  <c r="G6" i="5"/>
  <c r="I7" i="5"/>
  <c r="E9" i="5"/>
  <c r="E209" i="7" s="1"/>
  <c r="G10" i="5"/>
  <c r="I11" i="5"/>
  <c r="E13" i="5"/>
  <c r="E138" i="6" s="1"/>
  <c r="G14" i="5"/>
  <c r="I15" i="5"/>
  <c r="E17" i="5"/>
  <c r="E60" i="6" s="1"/>
  <c r="G18" i="5"/>
  <c r="I19" i="5"/>
  <c r="E21" i="5"/>
  <c r="E84" i="6" s="1"/>
  <c r="G22" i="5"/>
  <c r="I23" i="5"/>
  <c r="E25" i="5"/>
  <c r="E61" i="6" s="1"/>
  <c r="G26" i="5"/>
  <c r="I27" i="5"/>
  <c r="E29" i="5"/>
  <c r="E25" i="6" s="1"/>
  <c r="G30" i="5"/>
  <c r="I31" i="5"/>
  <c r="E33" i="5"/>
  <c r="E62" i="6" s="1"/>
  <c r="G34" i="5"/>
  <c r="I35" i="5"/>
  <c r="E37" i="5"/>
  <c r="E32" i="6" s="1"/>
  <c r="G38" i="5"/>
  <c r="I39" i="5"/>
  <c r="E41" i="5"/>
  <c r="E241" i="7" s="1"/>
  <c r="G42" i="5"/>
  <c r="I43" i="5"/>
  <c r="E45" i="5"/>
  <c r="E105" i="6" s="1"/>
  <c r="G46" i="5"/>
  <c r="I47" i="5"/>
  <c r="E49" i="5"/>
  <c r="E112" i="7" s="1"/>
  <c r="G50" i="5"/>
  <c r="I51" i="5"/>
  <c r="E53" i="5"/>
  <c r="E45" i="6" s="1"/>
  <c r="G54" i="5"/>
  <c r="I55" i="5"/>
  <c r="E57" i="5"/>
  <c r="E48" i="6" s="1"/>
  <c r="G58" i="5"/>
  <c r="F60" i="5"/>
  <c r="F62" i="5"/>
  <c r="F64" i="5"/>
  <c r="F66" i="5"/>
  <c r="F68" i="5"/>
  <c r="F70" i="5"/>
  <c r="F72" i="5"/>
  <c r="G74" i="5"/>
  <c r="F77" i="5"/>
  <c r="E80" i="5"/>
  <c r="E214" i="6" s="1"/>
  <c r="H6" i="5"/>
  <c r="H10" i="5"/>
  <c r="F13" i="5"/>
  <c r="H14" i="5"/>
  <c r="F17" i="5"/>
  <c r="H18" i="5"/>
  <c r="F21" i="5"/>
  <c r="H22" i="5"/>
  <c r="F25" i="5"/>
  <c r="H26" i="5"/>
  <c r="F29" i="5"/>
  <c r="H30" i="5"/>
  <c r="F33" i="5"/>
  <c r="H34" i="5"/>
  <c r="F37" i="5"/>
  <c r="H38" i="5"/>
  <c r="F41" i="5"/>
  <c r="H42" i="5"/>
  <c r="AZ43" i="5"/>
  <c r="F45" i="5"/>
  <c r="H46" i="5"/>
  <c r="AZ47" i="5"/>
  <c r="F49" i="5"/>
  <c r="H50" i="5"/>
  <c r="AZ51" i="5"/>
  <c r="F53" i="5"/>
  <c r="H54" i="5"/>
  <c r="AZ55" i="5"/>
  <c r="F57" i="5"/>
  <c r="H58" i="5"/>
  <c r="G60" i="5"/>
  <c r="G62" i="5"/>
  <c r="G64" i="5"/>
  <c r="G66" i="5"/>
  <c r="G68" i="5"/>
  <c r="G70" i="5"/>
  <c r="G72" i="5"/>
  <c r="E96" i="6"/>
  <c r="C11" i="6"/>
  <c r="D12" i="6"/>
  <c r="C14" i="6"/>
  <c r="C21" i="6"/>
  <c r="C29" i="6"/>
  <c r="C37" i="6"/>
  <c r="C45" i="6"/>
  <c r="C53" i="6"/>
  <c r="C61" i="6"/>
  <c r="C69" i="6"/>
  <c r="E70" i="6"/>
  <c r="C77" i="6"/>
  <c r="C85" i="6"/>
  <c r="C43" i="6"/>
  <c r="C51" i="6"/>
  <c r="C59" i="6"/>
  <c r="C67" i="6"/>
  <c r="C75" i="6"/>
  <c r="C83" i="6"/>
  <c r="C89" i="6"/>
  <c r="C94" i="6"/>
  <c r="C102" i="6"/>
  <c r="C110" i="6"/>
  <c r="C118" i="6"/>
  <c r="C126" i="6"/>
  <c r="C134" i="6"/>
  <c r="C142" i="6"/>
  <c r="C150" i="6"/>
  <c r="C158" i="6"/>
  <c r="C166" i="6"/>
  <c r="C174" i="6"/>
  <c r="C182" i="6"/>
  <c r="C190" i="6"/>
  <c r="C198" i="6"/>
  <c r="C206" i="6"/>
  <c r="C214" i="6"/>
  <c r="C3" i="6"/>
  <c r="C4" i="6"/>
  <c r="E15" i="6"/>
  <c r="C17" i="6"/>
  <c r="C26" i="6"/>
  <c r="E27" i="6"/>
  <c r="C34" i="6"/>
  <c r="E35" i="6"/>
  <c r="C42" i="6"/>
  <c r="E43" i="6"/>
  <c r="C50" i="6"/>
  <c r="E51" i="6"/>
  <c r="C58" i="6"/>
  <c r="C66" i="6"/>
  <c r="C74" i="6"/>
  <c r="E75" i="6"/>
  <c r="C82" i="6"/>
  <c r="E83" i="6"/>
  <c r="C88" i="6"/>
  <c r="C93" i="6"/>
  <c r="C98" i="6"/>
  <c r="D4" i="6"/>
  <c r="C6" i="6"/>
  <c r="E17" i="6"/>
  <c r="C25" i="6"/>
  <c r="C33" i="6"/>
  <c r="E34" i="6"/>
  <c r="C41" i="6"/>
  <c r="C49" i="6"/>
  <c r="C57" i="6"/>
  <c r="C65" i="6"/>
  <c r="E66" i="6"/>
  <c r="C73" i="6"/>
  <c r="C81" i="6"/>
  <c r="E88" i="6"/>
  <c r="C92" i="6"/>
  <c r="E93" i="6"/>
  <c r="C213" i="6"/>
  <c r="C209" i="6"/>
  <c r="C205" i="6"/>
  <c r="C201" i="6"/>
  <c r="C197" i="6"/>
  <c r="C193" i="6"/>
  <c r="C189" i="6"/>
  <c r="C185" i="6"/>
  <c r="C181" i="6"/>
  <c r="C177" i="6"/>
  <c r="C173" i="6"/>
  <c r="C169" i="6"/>
  <c r="C165" i="6"/>
  <c r="C161" i="6"/>
  <c r="C157" i="6"/>
  <c r="C153" i="6"/>
  <c r="C149" i="6"/>
  <c r="C145" i="6"/>
  <c r="C141" i="6"/>
  <c r="C137" i="6"/>
  <c r="C133" i="6"/>
  <c r="C129" i="6"/>
  <c r="C125" i="6"/>
  <c r="C121" i="6"/>
  <c r="C117" i="6"/>
  <c r="C113" i="6"/>
  <c r="C109" i="6"/>
  <c r="C105" i="6"/>
  <c r="C101" i="6"/>
  <c r="C212" i="6"/>
  <c r="C208" i="6"/>
  <c r="C204" i="6"/>
  <c r="C200" i="6"/>
  <c r="C196" i="6"/>
  <c r="C192" i="6"/>
  <c r="C188" i="6"/>
  <c r="C184" i="6"/>
  <c r="C180" i="6"/>
  <c r="C176" i="6"/>
  <c r="C172" i="6"/>
  <c r="C168" i="6"/>
  <c r="C164" i="6"/>
  <c r="C160" i="6"/>
  <c r="C156" i="6"/>
  <c r="C152" i="6"/>
  <c r="C148" i="6"/>
  <c r="C144" i="6"/>
  <c r="C140" i="6"/>
  <c r="C136" i="6"/>
  <c r="C132" i="6"/>
  <c r="C128" i="6"/>
  <c r="C124" i="6"/>
  <c r="C120" i="6"/>
  <c r="C116" i="6"/>
  <c r="C112" i="6"/>
  <c r="C108" i="6"/>
  <c r="C104" i="6"/>
  <c r="C215" i="6"/>
  <c r="C211" i="6"/>
  <c r="C207" i="6"/>
  <c r="C203" i="6"/>
  <c r="C199" i="6"/>
  <c r="C195" i="6"/>
  <c r="C191" i="6"/>
  <c r="C187" i="6"/>
  <c r="C183" i="6"/>
  <c r="C179" i="6"/>
  <c r="C175" i="6"/>
  <c r="C171" i="6"/>
  <c r="C167" i="6"/>
  <c r="C163" i="6"/>
  <c r="C159" i="6"/>
  <c r="C155" i="6"/>
  <c r="C151" i="6"/>
  <c r="C147" i="6"/>
  <c r="C143" i="6"/>
  <c r="C139" i="6"/>
  <c r="C135" i="6"/>
  <c r="C131" i="6"/>
  <c r="C127" i="6"/>
  <c r="C123" i="6"/>
  <c r="C119" i="6"/>
  <c r="C115" i="6"/>
  <c r="C111" i="6"/>
  <c r="C107" i="6"/>
  <c r="C103" i="6"/>
  <c r="C99" i="6"/>
  <c r="C95" i="6"/>
  <c r="C91" i="6"/>
  <c r="C87" i="6"/>
  <c r="C5" i="6"/>
  <c r="C8" i="6"/>
  <c r="C24" i="6"/>
  <c r="C32" i="6"/>
  <c r="C40" i="6"/>
  <c r="C48" i="6"/>
  <c r="C56" i="6"/>
  <c r="C64" i="6"/>
  <c r="C72" i="6"/>
  <c r="C80" i="6"/>
  <c r="E81" i="6"/>
  <c r="C96" i="6"/>
  <c r="E97" i="6"/>
  <c r="E101" i="6"/>
  <c r="E109" i="6"/>
  <c r="E117" i="6"/>
  <c r="E125" i="6"/>
  <c r="E133" i="6"/>
  <c r="E149" i="6"/>
  <c r="E157" i="6"/>
  <c r="E165" i="6"/>
  <c r="E173" i="6"/>
  <c r="E181" i="6"/>
  <c r="E213" i="6"/>
  <c r="D188" i="6"/>
  <c r="D184" i="6"/>
  <c r="D180" i="6"/>
  <c r="D172" i="6"/>
  <c r="D168" i="6"/>
  <c r="D160" i="6"/>
  <c r="D156" i="6"/>
  <c r="D152" i="6"/>
  <c r="D148" i="6"/>
  <c r="D144" i="6"/>
  <c r="D124" i="6"/>
  <c r="D120" i="6"/>
  <c r="D116" i="6"/>
  <c r="D112" i="6"/>
  <c r="D108" i="6"/>
  <c r="D104" i="6"/>
  <c r="D96" i="6"/>
  <c r="D92" i="6"/>
  <c r="D84" i="6"/>
  <c r="D80" i="6"/>
  <c r="D76" i="6"/>
  <c r="D64" i="6"/>
  <c r="D52" i="6"/>
  <c r="D40" i="6"/>
  <c r="D28" i="6"/>
  <c r="D24" i="6"/>
  <c r="D20" i="6"/>
  <c r="D215" i="6"/>
  <c r="D211" i="6"/>
  <c r="D207" i="6"/>
  <c r="D203" i="6"/>
  <c r="D195" i="6"/>
  <c r="D179" i="6"/>
  <c r="D171" i="6"/>
  <c r="D155" i="6"/>
  <c r="D151" i="6"/>
  <c r="D147" i="6"/>
  <c r="D139" i="6"/>
  <c r="D131" i="6"/>
  <c r="D123" i="6"/>
  <c r="D119" i="6"/>
  <c r="D103" i="6"/>
  <c r="D87" i="6"/>
  <c r="D71" i="6"/>
  <c r="D67" i="6"/>
  <c r="D59" i="6"/>
  <c r="D55" i="6"/>
  <c r="D51" i="6"/>
  <c r="D47" i="6"/>
  <c r="D39" i="6"/>
  <c r="D27" i="6"/>
  <c r="D23" i="6"/>
  <c r="D19" i="6"/>
  <c r="D11" i="6"/>
  <c r="D3" i="6"/>
  <c r="D214" i="6"/>
  <c r="D210" i="6"/>
  <c r="D206" i="6"/>
  <c r="D202" i="6"/>
  <c r="D194" i="6"/>
  <c r="D190" i="6"/>
  <c r="D186" i="6"/>
  <c r="D174" i="6"/>
  <c r="D170" i="6"/>
  <c r="D154" i="6"/>
  <c r="D150" i="6"/>
  <c r="D146" i="6"/>
  <c r="D142" i="6"/>
  <c r="D138" i="6"/>
  <c r="D130" i="6"/>
  <c r="D106" i="6"/>
  <c r="D94" i="6"/>
  <c r="D90" i="6"/>
  <c r="D86" i="6"/>
  <c r="D82" i="6"/>
  <c r="D78" i="6"/>
  <c r="D70" i="6"/>
  <c r="D66" i="6"/>
  <c r="D54" i="6"/>
  <c r="D50" i="6"/>
  <c r="D46" i="6"/>
  <c r="D42" i="6"/>
  <c r="D38" i="6"/>
  <c r="D30" i="6"/>
  <c r="D26" i="6"/>
  <c r="D22" i="6"/>
  <c r="D18" i="6"/>
  <c r="D213" i="6"/>
  <c r="D209" i="6"/>
  <c r="D205" i="6"/>
  <c r="D201" i="6"/>
  <c r="D197" i="6"/>
  <c r="D193" i="6"/>
  <c r="D189" i="6"/>
  <c r="D185" i="6"/>
  <c r="D181" i="6"/>
  <c r="D169" i="6"/>
  <c r="D157" i="6"/>
  <c r="D153" i="6"/>
  <c r="D149" i="6"/>
  <c r="D141" i="6"/>
  <c r="D137" i="6"/>
  <c r="D129" i="6"/>
  <c r="D125" i="6"/>
  <c r="D121" i="6"/>
  <c r="D117" i="6"/>
  <c r="D113" i="6"/>
  <c r="D109" i="6"/>
  <c r="D105" i="6"/>
  <c r="D93" i="6"/>
  <c r="D89" i="6"/>
  <c r="D85" i="6"/>
  <c r="D77" i="6"/>
  <c r="D69" i="6"/>
  <c r="D65" i="6"/>
  <c r="D61" i="6"/>
  <c r="D57" i="6"/>
  <c r="D53" i="6"/>
  <c r="D49" i="6"/>
  <c r="D37" i="6"/>
  <c r="D33" i="6"/>
  <c r="D25" i="6"/>
  <c r="D21" i="6"/>
  <c r="D17" i="6"/>
  <c r="D5" i="6"/>
  <c r="C7" i="6"/>
  <c r="C10" i="6"/>
  <c r="C23" i="6"/>
  <c r="C31" i="6"/>
  <c r="C39" i="6"/>
  <c r="C47" i="6"/>
  <c r="C55" i="6"/>
  <c r="C63" i="6"/>
  <c r="C71" i="6"/>
  <c r="E72" i="6"/>
  <c r="C79" i="6"/>
  <c r="E80" i="6"/>
  <c r="E87" i="6"/>
  <c r="C100" i="6"/>
  <c r="C106" i="6"/>
  <c r="C114" i="6"/>
  <c r="C122" i="6"/>
  <c r="C130" i="6"/>
  <c r="C138" i="6"/>
  <c r="C146" i="6"/>
  <c r="C154" i="6"/>
  <c r="C162" i="6"/>
  <c r="C170" i="6"/>
  <c r="C178" i="6"/>
  <c r="C186" i="6"/>
  <c r="C194" i="6"/>
  <c r="C202" i="6"/>
  <c r="C210" i="6"/>
  <c r="E212" i="6"/>
  <c r="E204" i="6"/>
  <c r="E164" i="6"/>
  <c r="E160" i="6"/>
  <c r="E156" i="6"/>
  <c r="E144" i="6"/>
  <c r="E136" i="6"/>
  <c r="E132" i="6"/>
  <c r="E112" i="6"/>
  <c r="E108" i="6"/>
  <c r="E211" i="6"/>
  <c r="E203" i="6"/>
  <c r="E195" i="6"/>
  <c r="E187" i="6"/>
  <c r="E183" i="6"/>
  <c r="E175" i="6"/>
  <c r="E163" i="6"/>
  <c r="E159" i="6"/>
  <c r="E151" i="6"/>
  <c r="E147" i="6"/>
  <c r="E143" i="6"/>
  <c r="E135" i="6"/>
  <c r="E131" i="6"/>
  <c r="E123" i="6"/>
  <c r="E115" i="6"/>
  <c r="E107" i="6"/>
  <c r="E202" i="6"/>
  <c r="E190" i="6"/>
  <c r="E174" i="6"/>
  <c r="E162" i="6"/>
  <c r="E158" i="6"/>
  <c r="E154" i="6"/>
  <c r="E146" i="6"/>
  <c r="E142" i="6"/>
  <c r="E130" i="6"/>
  <c r="E122" i="6"/>
  <c r="E118" i="6"/>
  <c r="E110" i="6"/>
  <c r="E102" i="6"/>
  <c r="E98" i="6"/>
  <c r="E94" i="6"/>
  <c r="E90" i="6"/>
  <c r="C9" i="6"/>
  <c r="D10" i="6"/>
  <c r="C12" i="6"/>
  <c r="C22" i="6"/>
  <c r="C30" i="6"/>
  <c r="E31" i="6"/>
  <c r="C38" i="6"/>
  <c r="C46" i="6"/>
  <c r="E47" i="6"/>
  <c r="C54" i="6"/>
  <c r="E55" i="6"/>
  <c r="C62" i="6"/>
  <c r="C70" i="6"/>
  <c r="E71" i="6"/>
  <c r="C78" i="6"/>
  <c r="C86" i="6"/>
  <c r="E100" i="6"/>
  <c r="E43" i="7"/>
  <c r="E19" i="7"/>
  <c r="E27" i="7"/>
  <c r="E35" i="7"/>
  <c r="Q1" i="7"/>
  <c r="E55" i="7"/>
  <c r="E15" i="7"/>
  <c r="E47" i="7"/>
  <c r="E155" i="7"/>
  <c r="D153" i="7"/>
  <c r="E11" i="7"/>
  <c r="E31" i="7"/>
  <c r="V1" i="7"/>
  <c r="W68" i="7"/>
  <c r="E281" i="7"/>
  <c r="E273" i="7"/>
  <c r="E283" i="7"/>
  <c r="E275" i="7"/>
  <c r="E265" i="7"/>
  <c r="E272" i="7"/>
  <c r="E262" i="7"/>
  <c r="E255" i="7"/>
  <c r="E239" i="7"/>
  <c r="E235" i="7"/>
  <c r="E231" i="7"/>
  <c r="E219" i="7"/>
  <c r="E211" i="7"/>
  <c r="E207" i="7"/>
  <c r="E187" i="7"/>
  <c r="E183" i="7"/>
  <c r="E175" i="7"/>
  <c r="E171" i="7"/>
  <c r="E163" i="7"/>
  <c r="E280" i="7"/>
  <c r="E260" i="7"/>
  <c r="E258" i="7"/>
  <c r="E274" i="7"/>
  <c r="E268" i="7"/>
  <c r="E134" i="7"/>
  <c r="E132" i="7"/>
  <c r="E131" i="7"/>
  <c r="E111" i="7"/>
  <c r="E107" i="7"/>
  <c r="E103" i="7"/>
  <c r="E136" i="7"/>
  <c r="E278" i="7"/>
  <c r="E252" i="7"/>
  <c r="E236" i="7"/>
  <c r="E228" i="7"/>
  <c r="E220" i="7"/>
  <c r="E196" i="7"/>
  <c r="E188" i="7"/>
  <c r="E180" i="7"/>
  <c r="E172" i="7"/>
  <c r="E140" i="7"/>
  <c r="E102" i="7"/>
  <c r="E98" i="7"/>
  <c r="E94" i="7"/>
  <c r="E86" i="7"/>
  <c r="E74" i="7"/>
  <c r="E70" i="7"/>
  <c r="E66" i="7"/>
  <c r="E62" i="7"/>
  <c r="E266" i="7"/>
  <c r="E254" i="7"/>
  <c r="E238" i="7"/>
  <c r="E237" i="7"/>
  <c r="E230" i="7"/>
  <c r="E222" i="7"/>
  <c r="E221" i="7"/>
  <c r="E206" i="7"/>
  <c r="E205" i="7"/>
  <c r="E198" i="7"/>
  <c r="E197" i="7"/>
  <c r="E190" i="7"/>
  <c r="E182" i="7"/>
  <c r="E174" i="7"/>
  <c r="E173" i="7"/>
  <c r="E165" i="7"/>
  <c r="E146" i="7"/>
  <c r="E145" i="7"/>
  <c r="E150" i="7"/>
  <c r="E147" i="7"/>
  <c r="E113" i="7"/>
  <c r="E105" i="7"/>
  <c r="E101" i="7"/>
  <c r="E97" i="7"/>
  <c r="E89" i="7"/>
  <c r="E152" i="7"/>
  <c r="E122" i="7"/>
  <c r="E121" i="7"/>
  <c r="E119" i="7"/>
  <c r="E270" i="7"/>
  <c r="E256" i="7"/>
  <c r="E248" i="7"/>
  <c r="E240" i="7"/>
  <c r="E232" i="7"/>
  <c r="E224" i="7"/>
  <c r="E200" i="7"/>
  <c r="E192" i="7"/>
  <c r="E184" i="7"/>
  <c r="E250" i="7"/>
  <c r="E249" i="7"/>
  <c r="E233" i="7"/>
  <c r="E226" i="7"/>
  <c r="E218" i="7"/>
  <c r="E217" i="7"/>
  <c r="E202" i="7"/>
  <c r="E194" i="7"/>
  <c r="E193" i="7"/>
  <c r="E169" i="7"/>
  <c r="E162" i="7"/>
  <c r="E160" i="7"/>
  <c r="E129" i="7"/>
  <c r="E127" i="7"/>
  <c r="E116" i="7"/>
  <c r="E100" i="7"/>
  <c r="E91" i="7"/>
  <c r="E75" i="7"/>
  <c r="E156" i="7"/>
  <c r="E87" i="7"/>
  <c r="E76" i="7"/>
  <c r="E61" i="7"/>
  <c r="E54" i="7"/>
  <c r="E46" i="7"/>
  <c r="E42" i="7"/>
  <c r="E34" i="7"/>
  <c r="E30" i="7"/>
  <c r="E22" i="7"/>
  <c r="E6" i="7"/>
  <c r="E92" i="7"/>
  <c r="E64" i="7"/>
  <c r="E59" i="7"/>
  <c r="E157" i="7"/>
  <c r="E125" i="7"/>
  <c r="E117" i="7"/>
  <c r="E104" i="7"/>
  <c r="E79" i="7"/>
  <c r="E57" i="7"/>
  <c r="E53" i="7"/>
  <c r="E49" i="7"/>
  <c r="E41" i="7"/>
  <c r="E33" i="7"/>
  <c r="E21" i="7"/>
  <c r="E17" i="7"/>
  <c r="E9" i="7"/>
  <c r="E5" i="7"/>
  <c r="E81" i="7"/>
  <c r="E168" i="7"/>
  <c r="E158" i="7"/>
  <c r="E108" i="7"/>
  <c r="E71" i="7"/>
  <c r="E56" i="7"/>
  <c r="E52" i="7"/>
  <c r="E32" i="7"/>
  <c r="E28" i="7"/>
  <c r="E24" i="7"/>
  <c r="E16" i="7"/>
  <c r="E4" i="7"/>
  <c r="E51" i="7"/>
  <c r="D4" i="7"/>
  <c r="D12" i="7"/>
  <c r="D16" i="7"/>
  <c r="D20" i="7"/>
  <c r="D24" i="7"/>
  <c r="D28" i="7"/>
  <c r="D36" i="7"/>
  <c r="D40" i="7"/>
  <c r="W63" i="7"/>
  <c r="C80" i="7"/>
  <c r="C151" i="7"/>
  <c r="C21" i="7"/>
  <c r="C25" i="7"/>
  <c r="C29" i="7"/>
  <c r="C33" i="7"/>
  <c r="C37" i="7"/>
  <c r="C41" i="7"/>
  <c r="C45" i="7"/>
  <c r="C49" i="7"/>
  <c r="C53" i="7"/>
  <c r="C57" i="7"/>
  <c r="C68" i="7"/>
  <c r="D80" i="7"/>
  <c r="C81" i="7"/>
  <c r="C82" i="7"/>
  <c r="C105" i="7"/>
  <c r="C118" i="7"/>
  <c r="C122" i="7"/>
  <c r="D5" i="7"/>
  <c r="D9" i="7"/>
  <c r="D21" i="7"/>
  <c r="D25" i="7"/>
  <c r="D33" i="7"/>
  <c r="D37" i="7"/>
  <c r="D53" i="7"/>
  <c r="D57" i="7"/>
  <c r="C64" i="7"/>
  <c r="D68" i="7"/>
  <c r="C69" i="7"/>
  <c r="C70" i="7"/>
  <c r="W75" i="7"/>
  <c r="C88" i="7"/>
  <c r="C93" i="7"/>
  <c r="C154" i="7"/>
  <c r="C22" i="7"/>
  <c r="C26" i="7"/>
  <c r="C30" i="7"/>
  <c r="C34" i="7"/>
  <c r="C38" i="7"/>
  <c r="C42" i="7"/>
  <c r="C46" i="7"/>
  <c r="C50" i="7"/>
  <c r="C54" i="7"/>
  <c r="C58" i="7"/>
  <c r="D59" i="7"/>
  <c r="C60" i="7"/>
  <c r="D63" i="7"/>
  <c r="D64" i="7"/>
  <c r="C65" i="7"/>
  <c r="C66" i="7"/>
  <c r="C76" i="7"/>
  <c r="D88" i="7"/>
  <c r="C89" i="7"/>
  <c r="C92" i="7"/>
  <c r="D121" i="7"/>
  <c r="D10" i="7"/>
  <c r="D14" i="7"/>
  <c r="D18" i="7"/>
  <c r="D22" i="7"/>
  <c r="D26" i="7"/>
  <c r="D30" i="7"/>
  <c r="D38" i="7"/>
  <c r="D42" i="7"/>
  <c r="D46" i="7"/>
  <c r="D50" i="7"/>
  <c r="D54" i="7"/>
  <c r="C61" i="7"/>
  <c r="C62" i="7"/>
  <c r="C77" i="7"/>
  <c r="C78" i="7"/>
  <c r="W83" i="7"/>
  <c r="C101" i="7"/>
  <c r="C283" i="7"/>
  <c r="C279" i="7"/>
  <c r="C282" i="7"/>
  <c r="C278" i="7"/>
  <c r="C274" i="7"/>
  <c r="C270" i="7"/>
  <c r="C284" i="7"/>
  <c r="C280" i="7"/>
  <c r="C276" i="7"/>
  <c r="C272" i="7"/>
  <c r="C277" i="7"/>
  <c r="C269" i="7"/>
  <c r="C266" i="7"/>
  <c r="C267" i="7"/>
  <c r="C264" i="7"/>
  <c r="C256" i="7"/>
  <c r="C252" i="7"/>
  <c r="C248" i="7"/>
  <c r="C244" i="7"/>
  <c r="C240" i="7"/>
  <c r="C236" i="7"/>
  <c r="C232" i="7"/>
  <c r="C228" i="7"/>
  <c r="C224" i="7"/>
  <c r="C220" i="7"/>
  <c r="C216" i="7"/>
  <c r="C212" i="7"/>
  <c r="C208" i="7"/>
  <c r="C204" i="7"/>
  <c r="C200" i="7"/>
  <c r="C196" i="7"/>
  <c r="C192" i="7"/>
  <c r="C188" i="7"/>
  <c r="C184" i="7"/>
  <c r="C180" i="7"/>
  <c r="C176" i="7"/>
  <c r="C172" i="7"/>
  <c r="C168" i="7"/>
  <c r="C164" i="7"/>
  <c r="C271" i="7"/>
  <c r="C265" i="7"/>
  <c r="C262" i="7"/>
  <c r="C273" i="7"/>
  <c r="C261" i="7"/>
  <c r="C281" i="7"/>
  <c r="C259" i="7"/>
  <c r="C258" i="7"/>
  <c r="C250" i="7"/>
  <c r="C242" i="7"/>
  <c r="C234" i="7"/>
  <c r="C226" i="7"/>
  <c r="C218" i="7"/>
  <c r="C210" i="7"/>
  <c r="C202" i="7"/>
  <c r="C194" i="7"/>
  <c r="C186" i="7"/>
  <c r="C178" i="7"/>
  <c r="C170" i="7"/>
  <c r="C162" i="7"/>
  <c r="C160" i="7"/>
  <c r="C159" i="7"/>
  <c r="C157" i="7"/>
  <c r="C130" i="7"/>
  <c r="C128" i="7"/>
  <c r="C127" i="7"/>
  <c r="C125" i="7"/>
  <c r="C117" i="7"/>
  <c r="C116" i="7"/>
  <c r="C112" i="7"/>
  <c r="C108" i="7"/>
  <c r="C104" i="7"/>
  <c r="C100" i="7"/>
  <c r="C96" i="7"/>
  <c r="C268" i="7"/>
  <c r="C257" i="7"/>
  <c r="C251" i="7"/>
  <c r="C249" i="7"/>
  <c r="C243" i="7"/>
  <c r="C241" i="7"/>
  <c r="C235" i="7"/>
  <c r="C233" i="7"/>
  <c r="C227" i="7"/>
  <c r="C225" i="7"/>
  <c r="C219" i="7"/>
  <c r="C217" i="7"/>
  <c r="C211" i="7"/>
  <c r="C209" i="7"/>
  <c r="C203" i="7"/>
  <c r="C201" i="7"/>
  <c r="C195" i="7"/>
  <c r="C193" i="7"/>
  <c r="C187" i="7"/>
  <c r="C185" i="7"/>
  <c r="C179" i="7"/>
  <c r="C177" i="7"/>
  <c r="C171" i="7"/>
  <c r="C169" i="7"/>
  <c r="C163" i="7"/>
  <c r="C161" i="7"/>
  <c r="C134" i="7"/>
  <c r="C132" i="7"/>
  <c r="C131" i="7"/>
  <c r="C129" i="7"/>
  <c r="C138" i="7"/>
  <c r="C136" i="7"/>
  <c r="C135" i="7"/>
  <c r="C133" i="7"/>
  <c r="C115" i="7"/>
  <c r="C111" i="7"/>
  <c r="C107" i="7"/>
  <c r="C103" i="7"/>
  <c r="C99" i="7"/>
  <c r="C95" i="7"/>
  <c r="C91" i="7"/>
  <c r="C87" i="7"/>
  <c r="C83" i="7"/>
  <c r="C79" i="7"/>
  <c r="C75" i="7"/>
  <c r="C71" i="7"/>
  <c r="C67" i="7"/>
  <c r="C63" i="7"/>
  <c r="C59" i="7"/>
  <c r="C275" i="7"/>
  <c r="C142" i="7"/>
  <c r="C140" i="7"/>
  <c r="C139" i="7"/>
  <c r="C137" i="7"/>
  <c r="C263" i="7"/>
  <c r="C260" i="7"/>
  <c r="C254" i="7"/>
  <c r="C246" i="7"/>
  <c r="C238" i="7"/>
  <c r="C230" i="7"/>
  <c r="C222" i="7"/>
  <c r="C214" i="7"/>
  <c r="C206" i="7"/>
  <c r="C198" i="7"/>
  <c r="C190" i="7"/>
  <c r="C182" i="7"/>
  <c r="C174" i="7"/>
  <c r="C166" i="7"/>
  <c r="C146" i="7"/>
  <c r="C144" i="7"/>
  <c r="C143" i="7"/>
  <c r="C141" i="7"/>
  <c r="C114" i="7"/>
  <c r="C110" i="7"/>
  <c r="C106" i="7"/>
  <c r="C102" i="7"/>
  <c r="C98" i="7"/>
  <c r="C94" i="7"/>
  <c r="C90" i="7"/>
  <c r="C255" i="7"/>
  <c r="C253" i="7"/>
  <c r="C247" i="7"/>
  <c r="C245" i="7"/>
  <c r="C239" i="7"/>
  <c r="C237" i="7"/>
  <c r="C231" i="7"/>
  <c r="C229" i="7"/>
  <c r="C223" i="7"/>
  <c r="C221" i="7"/>
  <c r="C215" i="7"/>
  <c r="C213" i="7"/>
  <c r="C207" i="7"/>
  <c r="C205" i="7"/>
  <c r="C199" i="7"/>
  <c r="C197" i="7"/>
  <c r="C191" i="7"/>
  <c r="C189" i="7"/>
  <c r="C183" i="7"/>
  <c r="C181" i="7"/>
  <c r="C175" i="7"/>
  <c r="C173" i="7"/>
  <c r="C167" i="7"/>
  <c r="C165" i="7"/>
  <c r="C150" i="7"/>
  <c r="C148" i="7"/>
  <c r="C147" i="7"/>
  <c r="C145" i="7"/>
  <c r="C158" i="7"/>
  <c r="C156" i="7"/>
  <c r="C155" i="7"/>
  <c r="C153" i="7"/>
  <c r="C126" i="7"/>
  <c r="C124" i="7"/>
  <c r="C123" i="7"/>
  <c r="C121" i="7"/>
  <c r="C119" i="7"/>
  <c r="C3" i="7"/>
  <c r="C7" i="7"/>
  <c r="C11" i="7"/>
  <c r="C15" i="7"/>
  <c r="C19" i="7"/>
  <c r="C23" i="7"/>
  <c r="C27" i="7"/>
  <c r="C31" i="7"/>
  <c r="C35" i="7"/>
  <c r="C39" i="7"/>
  <c r="C43" i="7"/>
  <c r="C47" i="7"/>
  <c r="C51" i="7"/>
  <c r="C55" i="7"/>
  <c r="C84" i="7"/>
  <c r="C113" i="7"/>
  <c r="C120" i="7"/>
  <c r="D282" i="7"/>
  <c r="D278" i="7"/>
  <c r="D274" i="7"/>
  <c r="D270" i="7"/>
  <c r="D284" i="7"/>
  <c r="D280" i="7"/>
  <c r="D276" i="7"/>
  <c r="D272" i="7"/>
  <c r="D268" i="7"/>
  <c r="D264" i="7"/>
  <c r="D260" i="7"/>
  <c r="D283" i="7"/>
  <c r="D256" i="7"/>
  <c r="D244" i="7"/>
  <c r="D232" i="7"/>
  <c r="D228" i="7"/>
  <c r="D224" i="7"/>
  <c r="D216" i="7"/>
  <c r="D212" i="7"/>
  <c r="D204" i="7"/>
  <c r="D200" i="7"/>
  <c r="D196" i="7"/>
  <c r="D192" i="7"/>
  <c r="D188" i="7"/>
  <c r="D184" i="7"/>
  <c r="D180" i="7"/>
  <c r="D168" i="7"/>
  <c r="D164" i="7"/>
  <c r="D160" i="7"/>
  <c r="D152" i="7"/>
  <c r="D144" i="7"/>
  <c r="D140" i="7"/>
  <c r="D128" i="7"/>
  <c r="D124" i="7"/>
  <c r="D120" i="7"/>
  <c r="D116" i="7"/>
  <c r="D265" i="7"/>
  <c r="D279" i="7"/>
  <c r="D263" i="7"/>
  <c r="D255" i="7"/>
  <c r="D247" i="7"/>
  <c r="D243" i="7"/>
  <c r="D235" i="7"/>
  <c r="D231" i="7"/>
  <c r="D227" i="7"/>
  <c r="D223" i="7"/>
  <c r="D219" i="7"/>
  <c r="D199" i="7"/>
  <c r="D195" i="7"/>
  <c r="D191" i="7"/>
  <c r="D187" i="7"/>
  <c r="D183" i="7"/>
  <c r="D179" i="7"/>
  <c r="D171" i="7"/>
  <c r="D167" i="7"/>
  <c r="D163" i="7"/>
  <c r="D159" i="7"/>
  <c r="D155" i="7"/>
  <c r="D151" i="7"/>
  <c r="D143" i="7"/>
  <c r="D135" i="7"/>
  <c r="D131" i="7"/>
  <c r="D127" i="7"/>
  <c r="D123" i="7"/>
  <c r="D281" i="7"/>
  <c r="D259" i="7"/>
  <c r="D254" i="7"/>
  <c r="D250" i="7"/>
  <c r="D246" i="7"/>
  <c r="D238" i="7"/>
  <c r="D230" i="7"/>
  <c r="D226" i="7"/>
  <c r="D222" i="7"/>
  <c r="D214" i="7"/>
  <c r="D210" i="7"/>
  <c r="D206" i="7"/>
  <c r="D202" i="7"/>
  <c r="D198" i="7"/>
  <c r="D194" i="7"/>
  <c r="D190" i="7"/>
  <c r="D178" i="7"/>
  <c r="D174" i="7"/>
  <c r="D166" i="7"/>
  <c r="D162" i="7"/>
  <c r="D146" i="7"/>
  <c r="D138" i="7"/>
  <c r="D134" i="7"/>
  <c r="D126" i="7"/>
  <c r="D275" i="7"/>
  <c r="D277" i="7"/>
  <c r="D249" i="7"/>
  <c r="D225" i="7"/>
  <c r="D217" i="7"/>
  <c r="D193" i="7"/>
  <c r="D169" i="7"/>
  <c r="D161" i="7"/>
  <c r="D129" i="7"/>
  <c r="D133" i="7"/>
  <c r="D115" i="7"/>
  <c r="D107" i="7"/>
  <c r="D103" i="7"/>
  <c r="D95" i="7"/>
  <c r="D91" i="7"/>
  <c r="D75" i="7"/>
  <c r="D71" i="7"/>
  <c r="D141" i="7"/>
  <c r="D110" i="7"/>
  <c r="D98" i="7"/>
  <c r="D94" i="7"/>
  <c r="D90" i="7"/>
  <c r="D86" i="7"/>
  <c r="D82" i="7"/>
  <c r="D74" i="7"/>
  <c r="D70" i="7"/>
  <c r="D58" i="7"/>
  <c r="D245" i="7"/>
  <c r="D229" i="7"/>
  <c r="D221" i="7"/>
  <c r="D213" i="7"/>
  <c r="D205" i="7"/>
  <c r="D181" i="7"/>
  <c r="D165" i="7"/>
  <c r="D145" i="7"/>
  <c r="D113" i="7"/>
  <c r="D109" i="7"/>
  <c r="D97" i="7"/>
  <c r="D93" i="7"/>
  <c r="D89" i="7"/>
  <c r="D81" i="7"/>
  <c r="D73" i="7"/>
  <c r="D65" i="7"/>
  <c r="D61" i="7"/>
  <c r="D273" i="7"/>
  <c r="D261" i="7"/>
  <c r="D157" i="7"/>
  <c r="D125" i="7"/>
  <c r="D117" i="7"/>
  <c r="D112" i="7"/>
  <c r="D108" i="7"/>
  <c r="D100" i="7"/>
  <c r="D96" i="7"/>
  <c r="D92" i="7"/>
  <c r="D3" i="7"/>
  <c r="D11" i="7"/>
  <c r="D19" i="7"/>
  <c r="D23" i="7"/>
  <c r="D27" i="7"/>
  <c r="D35" i="7"/>
  <c r="D39" i="7"/>
  <c r="D43" i="7"/>
  <c r="D47" i="7"/>
  <c r="D51" i="7"/>
  <c r="D55" i="7"/>
  <c r="C72" i="7"/>
  <c r="D84" i="7"/>
  <c r="C85" i="7"/>
  <c r="C86" i="7"/>
  <c r="C152" i="7"/>
  <c r="W262" i="7"/>
  <c r="W256" i="7"/>
  <c r="W272" i="7"/>
  <c r="W276" i="7"/>
  <c r="W1" i="7" l="1"/>
  <c r="D234" i="7"/>
  <c r="E259" i="7"/>
  <c r="E152" i="6"/>
  <c r="D29" i="6"/>
  <c r="D208" i="7"/>
  <c r="E38" i="7"/>
  <c r="D211" i="7"/>
  <c r="D251" i="7"/>
  <c r="E179" i="7"/>
  <c r="E269" i="7"/>
  <c r="E127" i="6"/>
  <c r="E104" i="6"/>
  <c r="D73" i="6"/>
  <c r="D159" i="6"/>
  <c r="D204" i="6"/>
  <c r="D7" i="7"/>
  <c r="E185" i="7"/>
  <c r="E245" i="7"/>
  <c r="E39" i="6"/>
  <c r="E126" i="6"/>
  <c r="E170" i="6"/>
  <c r="E171" i="6"/>
  <c r="D163" i="6"/>
  <c r="E177" i="6"/>
  <c r="D170" i="7"/>
  <c r="E44" i="7"/>
  <c r="D75" i="6"/>
  <c r="E44" i="6"/>
  <c r="D139" i="7"/>
  <c r="D148" i="7"/>
  <c r="D29" i="7"/>
  <c r="E213" i="7"/>
  <c r="E203" i="7"/>
  <c r="E139" i="6"/>
  <c r="E128" i="6"/>
  <c r="D9" i="6"/>
  <c r="D43" i="6"/>
  <c r="E38" i="6"/>
  <c r="E109" i="7"/>
  <c r="D133" i="6"/>
  <c r="D136" i="6"/>
  <c r="D176" i="6"/>
  <c r="D77" i="7"/>
  <c r="D150" i="7"/>
  <c r="D99" i="7"/>
  <c r="E130" i="7"/>
  <c r="E244" i="7"/>
  <c r="E39" i="7"/>
  <c r="E23" i="6"/>
  <c r="D31" i="7"/>
  <c r="D253" i="7"/>
  <c r="D242" i="7"/>
  <c r="D45" i="7"/>
  <c r="E72" i="7"/>
  <c r="E36" i="7"/>
  <c r="E45" i="7"/>
  <c r="E14" i="7"/>
  <c r="E50" i="7"/>
  <c r="E210" i="7"/>
  <c r="E154" i="7"/>
  <c r="E148" i="7"/>
  <c r="E106" i="7"/>
  <c r="E133" i="7"/>
  <c r="E210" i="6"/>
  <c r="D161" i="6"/>
  <c r="D74" i="6"/>
  <c r="D114" i="6"/>
  <c r="D158" i="6"/>
  <c r="D68" i="6"/>
  <c r="E73" i="6"/>
  <c r="E59" i="6"/>
  <c r="D83" i="7"/>
  <c r="D233" i="7"/>
  <c r="D215" i="7"/>
  <c r="D236" i="7"/>
  <c r="E73" i="7"/>
  <c r="E18" i="7"/>
  <c r="E204" i="7"/>
  <c r="E215" i="7"/>
  <c r="E79" i="6"/>
  <c r="D97" i="6"/>
  <c r="D165" i="6"/>
  <c r="D101" i="7"/>
  <c r="D189" i="7"/>
  <c r="D66" i="7"/>
  <c r="D142" i="7"/>
  <c r="D136" i="7"/>
  <c r="D172" i="7"/>
  <c r="D240" i="7"/>
  <c r="E83" i="7"/>
  <c r="E177" i="7"/>
  <c r="E144" i="7"/>
  <c r="E139" i="7"/>
  <c r="E111" i="6"/>
  <c r="E116" i="6"/>
  <c r="D8" i="6"/>
  <c r="D101" i="6"/>
  <c r="D134" i="6"/>
  <c r="D111" i="6"/>
  <c r="D191" i="6"/>
  <c r="E65" i="6"/>
  <c r="E50" i="6"/>
  <c r="E18" i="6"/>
  <c r="E69" i="6"/>
  <c r="D105" i="7"/>
  <c r="D106" i="7"/>
  <c r="D257" i="7"/>
  <c r="D186" i="7"/>
  <c r="D176" i="7"/>
  <c r="E13" i="7"/>
  <c r="E208" i="7"/>
  <c r="E7" i="6"/>
  <c r="E191" i="6"/>
  <c r="D178" i="6"/>
  <c r="D36" i="6"/>
  <c r="E3" i="6"/>
  <c r="E129" i="6"/>
  <c r="D177" i="7"/>
  <c r="E69" i="7"/>
  <c r="E77" i="7"/>
  <c r="E186" i="7"/>
  <c r="E216" i="7"/>
  <c r="E120" i="7"/>
  <c r="E142" i="7"/>
  <c r="E176" i="6"/>
  <c r="D182" i="6"/>
  <c r="D78" i="7"/>
  <c r="D154" i="7"/>
  <c r="D266" i="7"/>
  <c r="D48" i="7"/>
  <c r="D8" i="7"/>
  <c r="E88" i="7"/>
  <c r="E242" i="7"/>
  <c r="E253" i="7"/>
  <c r="E115" i="7"/>
  <c r="E191" i="7"/>
  <c r="E178" i="6"/>
  <c r="D79" i="6"/>
  <c r="D48" i="6"/>
  <c r="D149" i="7"/>
  <c r="D13" i="7"/>
  <c r="E159" i="7"/>
  <c r="E84" i="7"/>
  <c r="E167" i="6"/>
  <c r="E140" i="6"/>
  <c r="D13" i="6"/>
  <c r="D102" i="6"/>
  <c r="E141" i="6"/>
  <c r="E277" i="7"/>
  <c r="D100" i="6"/>
  <c r="D220" i="7"/>
  <c r="D132" i="7"/>
  <c r="E90" i="7"/>
  <c r="E91" i="6"/>
  <c r="E194" i="6"/>
  <c r="E119" i="6"/>
  <c r="E180" i="6"/>
  <c r="D107" i="6"/>
  <c r="E42" i="6"/>
  <c r="D56" i="7"/>
  <c r="E276" i="7"/>
  <c r="E206" i="6"/>
  <c r="E148" i="6"/>
  <c r="E188" i="6"/>
  <c r="D41" i="6"/>
  <c r="D118" i="6"/>
  <c r="D83" i="6"/>
  <c r="D115" i="6"/>
  <c r="D183" i="6"/>
  <c r="D56" i="6"/>
  <c r="D192" i="6"/>
  <c r="E205" i="6"/>
  <c r="E201" i="6"/>
  <c r="D17" i="7"/>
  <c r="D122" i="7"/>
  <c r="D158" i="7"/>
  <c r="D49" i="7"/>
  <c r="D52" i="7"/>
  <c r="E234" i="7"/>
  <c r="E229" i="7"/>
  <c r="E223" i="7"/>
  <c r="E263" i="7"/>
  <c r="E199" i="6"/>
  <c r="D145" i="6"/>
  <c r="D122" i="6"/>
  <c r="D187" i="6"/>
  <c r="D132" i="6"/>
  <c r="D164" i="6"/>
  <c r="D196" i="6"/>
  <c r="D162" i="6"/>
  <c r="E199" i="7"/>
  <c r="E123" i="7"/>
  <c r="E207" i="6"/>
  <c r="E95" i="6"/>
  <c r="D267" i="7"/>
  <c r="D258" i="7"/>
  <c r="E25" i="7"/>
  <c r="E151" i="7"/>
  <c r="E95" i="7"/>
  <c r="E284" i="7"/>
  <c r="E179" i="6"/>
  <c r="D98" i="6"/>
  <c r="E86" i="6"/>
  <c r="E20" i="7"/>
  <c r="E58" i="7"/>
  <c r="E161" i="7"/>
  <c r="E124" i="6"/>
  <c r="E29" i="7"/>
  <c r="E170" i="7"/>
  <c r="E166" i="7"/>
  <c r="E99" i="7"/>
  <c r="E243" i="7"/>
  <c r="D34" i="6"/>
  <c r="E82" i="6"/>
  <c r="E19" i="6"/>
  <c r="D114" i="7"/>
  <c r="D111" i="7"/>
  <c r="D15" i="7"/>
  <c r="D173" i="7"/>
  <c r="D237" i="7"/>
  <c r="D201" i="7"/>
  <c r="D67" i="7"/>
  <c r="E80" i="7"/>
  <c r="E225" i="7"/>
  <c r="E264" i="7"/>
  <c r="E192" i="6"/>
  <c r="D126" i="6"/>
  <c r="D32" i="6"/>
  <c r="D128" i="6"/>
  <c r="D6" i="6"/>
  <c r="E76" i="6"/>
  <c r="D32" i="7"/>
  <c r="E37" i="7"/>
  <c r="E65" i="7"/>
  <c r="E26" i="7"/>
  <c r="E267" i="7"/>
  <c r="E110" i="7"/>
  <c r="E247" i="7"/>
  <c r="E155" i="6"/>
  <c r="E168" i="6"/>
  <c r="D173" i="6"/>
  <c r="D166" i="6"/>
  <c r="D198" i="6"/>
  <c r="D15" i="6"/>
  <c r="D143" i="6"/>
  <c r="D72" i="6"/>
  <c r="D200" i="6"/>
  <c r="E92" i="6"/>
  <c r="D269" i="7"/>
  <c r="D218" i="7"/>
  <c r="D203" i="7"/>
  <c r="D76" i="7"/>
  <c r="D6" i="7"/>
  <c r="E96" i="7"/>
  <c r="E172" i="6"/>
  <c r="D81" i="6"/>
  <c r="D177" i="6"/>
  <c r="D44" i="6"/>
  <c r="D62" i="7"/>
  <c r="D137" i="7"/>
  <c r="D175" i="7"/>
  <c r="D207" i="7"/>
  <c r="D239" i="7"/>
  <c r="D271" i="7"/>
  <c r="D34" i="7"/>
  <c r="E118" i="7"/>
  <c r="E212" i="7"/>
  <c r="E135" i="7"/>
  <c r="D110" i="6"/>
  <c r="E189" i="6"/>
  <c r="D182" i="7"/>
  <c r="D85" i="7"/>
  <c r="D241" i="7"/>
  <c r="D130" i="7"/>
  <c r="E40" i="7"/>
  <c r="E126" i="7"/>
  <c r="E181" i="7"/>
  <c r="E106" i="6"/>
  <c r="E103" i="6"/>
  <c r="D185" i="7"/>
  <c r="D248" i="7"/>
  <c r="E10" i="7"/>
  <c r="E124" i="7"/>
  <c r="E195" i="7"/>
  <c r="E182" i="6"/>
  <c r="E120" i="6"/>
  <c r="E26" i="6"/>
  <c r="D252" i="7"/>
  <c r="E48" i="7"/>
  <c r="E178" i="7"/>
  <c r="E257" i="7"/>
  <c r="E189" i="7"/>
  <c r="E114" i="6"/>
  <c r="E150" i="6"/>
  <c r="E10" i="6"/>
  <c r="BB9" i="4"/>
  <c r="BC9" i="4" s="1"/>
  <c r="AN9" i="4"/>
  <c r="AR9" i="4" s="1"/>
  <c r="BB13" i="4"/>
  <c r="BC13" i="4" s="1"/>
  <c r="AN13" i="4"/>
  <c r="AR13" i="4" s="1"/>
  <c r="BB5" i="4"/>
  <c r="BC5" i="4" s="1"/>
  <c r="AN5" i="4"/>
  <c r="AR5" i="4" s="1"/>
  <c r="E141" i="7"/>
  <c r="E23" i="7"/>
  <c r="E74" i="6"/>
  <c r="E89" i="6"/>
  <c r="AN16" i="4"/>
  <c r="AR16" i="4" s="1"/>
  <c r="BB16" i="4"/>
  <c r="BC16" i="4" s="1"/>
  <c r="E60" i="7"/>
  <c r="E93" i="7"/>
  <c r="E149" i="7"/>
  <c r="E134" i="6"/>
  <c r="E166" i="6"/>
  <c r="E198" i="6"/>
  <c r="E57" i="6"/>
  <c r="E193" i="6"/>
  <c r="AN6" i="4"/>
  <c r="AR6" i="4" s="1"/>
  <c r="AW6" i="4"/>
  <c r="BB6" i="4"/>
  <c r="BC6" i="4" s="1"/>
  <c r="BB15" i="4"/>
  <c r="BC15" i="4" s="1"/>
  <c r="AN15" i="4"/>
  <c r="AR15" i="4" s="1"/>
  <c r="AW15" i="4"/>
  <c r="E8" i="7"/>
  <c r="E164" i="7"/>
  <c r="E137" i="7"/>
  <c r="E196" i="6"/>
  <c r="E64" i="6"/>
  <c r="AN7" i="4"/>
  <c r="AR7" i="4" s="1"/>
  <c r="AW7" i="4"/>
  <c r="BB7" i="4"/>
  <c r="BC7" i="4" s="1"/>
  <c r="AW16" i="4"/>
  <c r="AL3" i="4"/>
  <c r="AE1" i="4"/>
  <c r="AI3" i="4"/>
  <c r="E12" i="7"/>
  <c r="E138" i="7"/>
  <c r="E261" i="7"/>
  <c r="E271" i="7"/>
  <c r="E200" i="6"/>
  <c r="BB12" i="4"/>
  <c r="BC12" i="4" s="1"/>
  <c r="AN12" i="4"/>
  <c r="AR12" i="4" s="1"/>
  <c r="E214" i="7"/>
  <c r="E246" i="7"/>
  <c r="E78" i="7"/>
  <c r="E8" i="6"/>
  <c r="E78" i="6"/>
  <c r="E77" i="6"/>
  <c r="E11" i="6"/>
  <c r="BB8" i="4"/>
  <c r="BC8" i="4" s="1"/>
  <c r="AN8" i="4"/>
  <c r="AR8" i="4" s="1"/>
  <c r="E67" i="7"/>
  <c r="E82" i="7"/>
  <c r="E63" i="6"/>
  <c r="E33" i="6"/>
  <c r="E99" i="6"/>
  <c r="AN11" i="4"/>
  <c r="AR11" i="4" s="1"/>
  <c r="BB11" i="4"/>
  <c r="BC11" i="4" s="1"/>
  <c r="AW11" i="4"/>
  <c r="E153" i="7"/>
  <c r="E186" i="6"/>
  <c r="AN14" i="4"/>
  <c r="AR14" i="4" s="1"/>
  <c r="BB14" i="4"/>
  <c r="BC14" i="4" s="1"/>
  <c r="AW14" i="4"/>
  <c r="AN4" i="4"/>
  <c r="AR4" i="4" s="1"/>
  <c r="BB4" i="4"/>
  <c r="BC4" i="4" s="1"/>
  <c r="AN10" i="4"/>
  <c r="AR10" i="4" s="1"/>
  <c r="BB10" i="4"/>
  <c r="BC10" i="4" s="1"/>
  <c r="AW10" i="4"/>
  <c r="AN3" i="4" l="1"/>
  <c r="AR3" i="4" s="1"/>
  <c r="AL1" i="4"/>
  <c r="BB3" i="4"/>
  <c r="AW3" i="4"/>
  <c r="BB1" i="4" l="1"/>
  <c r="BC3" i="4"/>
  <c r="BC1" i="4" s="1"/>
</calcChain>
</file>

<file path=xl/sharedStrings.xml><?xml version="1.0" encoding="utf-8"?>
<sst xmlns="http://schemas.openxmlformats.org/spreadsheetml/2006/main" count="3835" uniqueCount="272">
  <si>
    <t>Sr No</t>
  </si>
  <si>
    <t>Particulars</t>
  </si>
  <si>
    <t>Each Region will have a unique Area Name, OLT ID &amp; Cluster ID.</t>
  </si>
  <si>
    <t>Every FAT/OLD/FDC/JC will have a unique ID.</t>
  </si>
  <si>
    <t>Each entity as mentioned in above pt, will have a separate row &amp; respective entry in the tracker</t>
  </si>
  <si>
    <t>Item Name</t>
  </si>
  <si>
    <t>Kindly refer Terminologies sheet for model understanding. Alternatively you can also use respective SLDs for the same</t>
  </si>
  <si>
    <t>FDC</t>
  </si>
  <si>
    <t>For filling the trackers, regional teams will have to fill cells where Headings are not highlighted.</t>
  </si>
  <si>
    <t>FAT Box</t>
  </si>
  <si>
    <t>Central Team will be filling data for cells where Headings are highlighted in Yellow</t>
  </si>
  <si>
    <t>Duct</t>
  </si>
  <si>
    <t>Kindly do not fill any cell where headings are highlighted in Green.</t>
  </si>
  <si>
    <t>Primary Splitter</t>
  </si>
  <si>
    <t>For all FAT/FDC there will be an entry of separate row in "Node Details" sheet.</t>
  </si>
  <si>
    <t>Any extension of current path,route will be treated as a new route.</t>
  </si>
  <si>
    <t>Any new branch getting deployed from same common FAT/FDC which is not part of existing route shall be treated as a New Route.</t>
  </si>
  <si>
    <t>Fiber Material &amp; Fiber Execution service details are to be entered in "Route Details" &amp; "Node Details" sheet only.</t>
  </si>
  <si>
    <t>Tracker has to be filled all routes that are RFS/Deployed irrespective of Sign-off.</t>
  </si>
  <si>
    <t>Billing start date will be HOTO date, when penetration % is &gt;=50%</t>
  </si>
  <si>
    <t>Secondary Splitter</t>
  </si>
  <si>
    <t>Kindly enter date in DD_MMM_YYYY format for all columns where date has to be entered.</t>
  </si>
  <si>
    <t>Pigtail</t>
  </si>
  <si>
    <t>Kindly do not alter format of the sheet, i.e add or delete rows/columns or do any formatting changes.</t>
  </si>
  <si>
    <t>Patch Cords</t>
  </si>
  <si>
    <t>Tiffin Box</t>
  </si>
  <si>
    <t>FMS</t>
  </si>
  <si>
    <t>Unique Route ID</t>
  </si>
  <si>
    <t>FDC/FAT Unique ID (Start Point)</t>
  </si>
  <si>
    <t>Start point Latlong</t>
  </si>
  <si>
    <t>FDC/FAT Unique ID (End Point)</t>
  </si>
  <si>
    <t>End point Latlong</t>
  </si>
  <si>
    <t>Customer</t>
  </si>
  <si>
    <t>Area Name</t>
  </si>
  <si>
    <t>City</t>
  </si>
  <si>
    <t>Telecom Circle</t>
  </si>
  <si>
    <t>State</t>
  </si>
  <si>
    <t>OLT ID</t>
  </si>
  <si>
    <t>Cluster ID</t>
  </si>
  <si>
    <t>Online AT Date (Delivered)</t>
  </si>
  <si>
    <t>Online AT Length (Delivered)</t>
  </si>
  <si>
    <t>HOTO Date</t>
  </si>
  <si>
    <t>HOTO Signoff Date</t>
  </si>
  <si>
    <t>Start Date (Date from which we can bill)</t>
  </si>
  <si>
    <t>Lock-in Period</t>
  </si>
  <si>
    <t>Surrender Date</t>
  </si>
  <si>
    <t>Fresh Delivery/Renewal</t>
  </si>
  <si>
    <t>Fiber Capacity</t>
  </si>
  <si>
    <t>OTDR length (in meters)</t>
  </si>
  <si>
    <t>Customer Billable length (in meters)</t>
  </si>
  <si>
    <t>Customer PO no</t>
  </si>
  <si>
    <t>PO length</t>
  </si>
  <si>
    <t>PO Date</t>
  </si>
  <si>
    <t>PO Rate</t>
  </si>
  <si>
    <t>Fiber length deployed/used (in meters)</t>
  </si>
  <si>
    <t>Fiber Type</t>
  </si>
  <si>
    <t>Fiber Rate per meter (incl Freight)</t>
  </si>
  <si>
    <t>Fiber Material Cost</t>
  </si>
  <si>
    <t>Execution Vendor Name</t>
  </si>
  <si>
    <t>Vendor Billable Length (Fiber laying)</t>
  </si>
  <si>
    <t>Fiber Laying Rate</t>
  </si>
  <si>
    <t>Fiber Laying/Execution Cost</t>
  </si>
  <si>
    <t>OTM Length</t>
  </si>
  <si>
    <t>OTM Execution Rate</t>
  </si>
  <si>
    <t>OTM Cost</t>
  </si>
  <si>
    <t>Total Vendor Cost</t>
  </si>
  <si>
    <t>Vendor PO No</t>
  </si>
  <si>
    <t>Vendor PO Date</t>
  </si>
  <si>
    <t>Vendor PO Rate</t>
  </si>
  <si>
    <t>Vendor PO Cost</t>
  </si>
  <si>
    <t>Vendor Invoice No</t>
  </si>
  <si>
    <t>Vendor Invoice Date</t>
  </si>
  <si>
    <t>Vendor Invoice Rate</t>
  </si>
  <si>
    <t>Vendor Invoiced length</t>
  </si>
  <si>
    <t>Invoice Amt</t>
  </si>
  <si>
    <t>0000001GF-00001GF12</t>
  </si>
  <si>
    <t>1GF</t>
  </si>
  <si>
    <t>R-1</t>
  </si>
  <si>
    <t>1GF12</t>
  </si>
  <si>
    <t>Airtel</t>
  </si>
  <si>
    <t>Gorai</t>
  </si>
  <si>
    <t>Mumbai</t>
  </si>
  <si>
    <t>Maharashtra</t>
  </si>
  <si>
    <t>24F</t>
  </si>
  <si>
    <t>BAL-ANG-UASL-Mumbai-Maharashtra/PUR/100
04346</t>
  </si>
  <si>
    <t>UA</t>
  </si>
  <si>
    <t>Sudhist Enterprises</t>
  </si>
  <si>
    <t>ETIL-PUR-ORD-23-10-00058</t>
  </si>
  <si>
    <t>SE/361 BG</t>
  </si>
  <si>
    <t>00001GF22-0000001GF</t>
  </si>
  <si>
    <t>1GF22</t>
  </si>
  <si>
    <t>R-2</t>
  </si>
  <si>
    <t>00001GF12-00001GF22</t>
  </si>
  <si>
    <t>R-3</t>
  </si>
  <si>
    <t>12F</t>
  </si>
  <si>
    <t>00001GF12-1GF120106</t>
  </si>
  <si>
    <t>R-4</t>
  </si>
  <si>
    <t>1GF120106</t>
  </si>
  <si>
    <t>00001GF13-1GF130106</t>
  </si>
  <si>
    <t>1GF13</t>
  </si>
  <si>
    <t>R-5</t>
  </si>
  <si>
    <t>1GF130106</t>
  </si>
  <si>
    <t>00001GF14-1GF140107</t>
  </si>
  <si>
    <t>1GF14</t>
  </si>
  <si>
    <t>R-6</t>
  </si>
  <si>
    <t>1GF140107</t>
  </si>
  <si>
    <t>00001GF15-1GF150107</t>
  </si>
  <si>
    <t>1GF15</t>
  </si>
  <si>
    <t>R-7</t>
  </si>
  <si>
    <t>1GF150107</t>
  </si>
  <si>
    <t>00001GF16-1GF160107</t>
  </si>
  <si>
    <t>1GF16</t>
  </si>
  <si>
    <t>R-8</t>
  </si>
  <si>
    <t>1GF160107</t>
  </si>
  <si>
    <t>00001GF17-1GF170104</t>
  </si>
  <si>
    <t>1GF17</t>
  </si>
  <si>
    <t>R-9</t>
  </si>
  <si>
    <t>1GF170104</t>
  </si>
  <si>
    <t>00001GF18-1GF180104</t>
  </si>
  <si>
    <t>1GF18</t>
  </si>
  <si>
    <t>R-10</t>
  </si>
  <si>
    <t>1GF180104</t>
  </si>
  <si>
    <t>00001GF19-1GF190104</t>
  </si>
  <si>
    <t>1GF19</t>
  </si>
  <si>
    <t>R-11</t>
  </si>
  <si>
    <t>1GF190104</t>
  </si>
  <si>
    <t>00001GF20-1GF200104</t>
  </si>
  <si>
    <t>1GF20</t>
  </si>
  <si>
    <t>R-12</t>
  </si>
  <si>
    <t>1GF200104</t>
  </si>
  <si>
    <t>00001GF21-1GF210104</t>
  </si>
  <si>
    <t>1GF21</t>
  </si>
  <si>
    <t>R-13</t>
  </si>
  <si>
    <t>1GF210104</t>
  </si>
  <si>
    <t>00001GF22-1GF210102</t>
  </si>
  <si>
    <t>R-14</t>
  </si>
  <si>
    <t>1GF210102</t>
  </si>
  <si>
    <t>0000001GF-00001GF23</t>
  </si>
  <si>
    <t>1GF23</t>
  </si>
  <si>
    <t>R-15</t>
  </si>
  <si>
    <t>1GF230102</t>
  </si>
  <si>
    <t>ETIL-PUR-ORD-24-06-00029</t>
  </si>
  <si>
    <t>SE/458BG</t>
  </si>
  <si>
    <t>00001GF23-1GF240104</t>
  </si>
  <si>
    <t>1GF24</t>
  </si>
  <si>
    <t>R-16</t>
  </si>
  <si>
    <t>1GF240104</t>
  </si>
  <si>
    <t>Latlong</t>
  </si>
  <si>
    <t>Route ID (Route on which FAT/FDC is connected)</t>
  </si>
  <si>
    <t>Any Additional Fiber used for connectivity</t>
  </si>
  <si>
    <t>1GF120101</t>
  </si>
  <si>
    <t>1GF120102</t>
  </si>
  <si>
    <t>1GF120103</t>
  </si>
  <si>
    <t>1GF120104</t>
  </si>
  <si>
    <t>1GF120105</t>
  </si>
  <si>
    <t>1GF130101</t>
  </si>
  <si>
    <t>1GF130102</t>
  </si>
  <si>
    <t>1GF130103</t>
  </si>
  <si>
    <t>1GF130104</t>
  </si>
  <si>
    <t>1GF130105</t>
  </si>
  <si>
    <t>1GF140101</t>
  </si>
  <si>
    <t>1GF140102</t>
  </si>
  <si>
    <t>1GF140103</t>
  </si>
  <si>
    <t>1GF140104</t>
  </si>
  <si>
    <t>1GF140105</t>
  </si>
  <si>
    <t>1GF140106</t>
  </si>
  <si>
    <t>1GF150101</t>
  </si>
  <si>
    <t>1GF150102</t>
  </si>
  <si>
    <t>1GF150103</t>
  </si>
  <si>
    <t>1GF150104</t>
  </si>
  <si>
    <t>1GF150105</t>
  </si>
  <si>
    <t>1GF150106</t>
  </si>
  <si>
    <t>1GF160101</t>
  </si>
  <si>
    <t>1GF160102</t>
  </si>
  <si>
    <t>1GF160103</t>
  </si>
  <si>
    <t>1GF160104</t>
  </si>
  <si>
    <t>1GF160105</t>
  </si>
  <si>
    <t>1GF160106</t>
  </si>
  <si>
    <t>1GF170101</t>
  </si>
  <si>
    <t>1GF170102</t>
  </si>
  <si>
    <t>1GF170103</t>
  </si>
  <si>
    <t>1GF180101</t>
  </si>
  <si>
    <t>1GF180102</t>
  </si>
  <si>
    <t>1GF180103</t>
  </si>
  <si>
    <t>1GF190101</t>
  </si>
  <si>
    <t>1GF190102</t>
  </si>
  <si>
    <t>1GF190103</t>
  </si>
  <si>
    <t>1GF200101</t>
  </si>
  <si>
    <t>1GF200102</t>
  </si>
  <si>
    <t>1GF200103</t>
  </si>
  <si>
    <t>1GF210101</t>
  </si>
  <si>
    <t>1GF210103</t>
  </si>
  <si>
    <t>1GF220101</t>
  </si>
  <si>
    <t>WIP</t>
  </si>
  <si>
    <t>1GF220102</t>
  </si>
  <si>
    <t>1GF220103</t>
  </si>
  <si>
    <t>1GF220104</t>
  </si>
  <si>
    <t>1GF220105</t>
  </si>
  <si>
    <t>1GF220106</t>
  </si>
  <si>
    <t>1GF120107</t>
  </si>
  <si>
    <t>1GF120108</t>
  </si>
  <si>
    <t>1GF230101</t>
  </si>
  <si>
    <t>1GF240101</t>
  </si>
  <si>
    <t>1GF240102</t>
  </si>
  <si>
    <t>FDC/FAT Unique ID</t>
  </si>
  <si>
    <t>Qty used</t>
  </si>
  <si>
    <t>Rate Per Unit</t>
  </si>
  <si>
    <t>Total Cost</t>
  </si>
  <si>
    <t>Installation Date</t>
  </si>
  <si>
    <t>Circle</t>
  </si>
  <si>
    <t>ETIPL-PUR-ORD-23-12-00057</t>
  </si>
  <si>
    <t>INVSR-535/23-24</t>
  </si>
  <si>
    <t>CCL</t>
  </si>
  <si>
    <t>CE</t>
  </si>
  <si>
    <t>Primary Splitter 2:16</t>
  </si>
  <si>
    <t>Primary Splitter 2:8</t>
  </si>
  <si>
    <t>Secondary Splitter 1:8</t>
  </si>
  <si>
    <t>Wall Mount</t>
  </si>
  <si>
    <t>Sr. no.</t>
  </si>
  <si>
    <t>Service Name</t>
  </si>
  <si>
    <t>Vendor name</t>
  </si>
  <si>
    <t>FAT Box Installation</t>
  </si>
  <si>
    <t>FDC Installation</t>
  </si>
  <si>
    <t>FAT -Labelling &amp; AT clearance</t>
  </si>
  <si>
    <t>Installation of 24F FMS</t>
  </si>
  <si>
    <t>Extra Core Splicing</t>
  </si>
  <si>
    <t>Sr No.</t>
  </si>
  <si>
    <t>PO No.</t>
  </si>
  <si>
    <t>PO Type (Fresh/Renewal)</t>
  </si>
  <si>
    <t>RSU</t>
  </si>
  <si>
    <t>RSU Name</t>
  </si>
  <si>
    <t>Lockin Period (Yrs)</t>
  </si>
  <si>
    <t>Fiber Rate   (Yr 1)</t>
  </si>
  <si>
    <t>Fiber Rate   (Yr 2)</t>
  </si>
  <si>
    <t>Fiber Rate   (Yr 3)</t>
  </si>
  <si>
    <t>Fiber Rate   (Yr 4)</t>
  </si>
  <si>
    <t>Fiber Rate   (Yr 5)</t>
  </si>
  <si>
    <t>Fiber Length (Mtrs)</t>
  </si>
  <si>
    <t>Hoto Length (Mtrs)</t>
  </si>
  <si>
    <t>FAT Box (nos)</t>
  </si>
  <si>
    <t>Fat Box Rate</t>
  </si>
  <si>
    <t>HP (nos)</t>
  </si>
  <si>
    <t>Pole (nos)</t>
  </si>
  <si>
    <t>Pole Rate</t>
  </si>
  <si>
    <t>Spiltter</t>
  </si>
  <si>
    <t>Spiltter Rate</t>
  </si>
  <si>
    <t>6F</t>
  </si>
  <si>
    <t>48F</t>
  </si>
  <si>
    <t>Lockin Period</t>
  </si>
  <si>
    <t>FAT Box Rate</t>
  </si>
  <si>
    <t>Pole</t>
  </si>
  <si>
    <t>Original HOTO</t>
  </si>
  <si>
    <t>1st Revised HOTO</t>
  </si>
  <si>
    <t>2nd Revised HOTO</t>
  </si>
  <si>
    <t>3rd Revised HOTO</t>
  </si>
  <si>
    <t>4th Revised HOTO</t>
  </si>
  <si>
    <t>5th Revised HOTO</t>
  </si>
  <si>
    <t>Fiber Length as per HOTO</t>
  </si>
  <si>
    <t>Planned FAT</t>
  </si>
  <si>
    <t>Actual Deployed FAT</t>
  </si>
  <si>
    <t>%Penetration FAT</t>
  </si>
  <si>
    <t>Planned HP</t>
  </si>
  <si>
    <t>Actual Home Pass</t>
  </si>
  <si>
    <t>%Penetration HP</t>
  </si>
  <si>
    <t>Max (HP/FAT) Penetration %</t>
  </si>
  <si>
    <t>Penetration Slab</t>
  </si>
  <si>
    <t>check Point</t>
  </si>
  <si>
    <t>Revised HOTO Signoff Received date</t>
  </si>
  <si>
    <t>Revised HOTO Date</t>
  </si>
  <si>
    <t>Revised HOTO Signoff date</t>
  </si>
  <si>
    <t>Cluster Name</t>
  </si>
  <si>
    <t xml:space="preserve"> Fiber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</si>
</sst>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409]dd\-mmm\-yy;@"/>
    <numFmt numFmtId="165" formatCode="[$-C09]dd\-mmm\-yy;@"/>
    <numFmt numFmtId="166" formatCode="_ * #,##0_ ;_ * \-#,##0_ ;_ * &quot;-&quot;??_ ;_ @_ "/>
    <numFmt numFmtId="167" formatCode="_ * #,##0.0_ ;_ * \-#,##0.0_ ;_ * &quot;-&quot;??_ ;_ @_ "/>
    <numFmt numFmtId="168" formatCode="[$-409]d/mmm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43" fontId="4" fillId="0" borderId="0"/>
    <xf numFmtId="43" fontId="4" fillId="0" borderId="0"/>
    <xf numFmtId="9" fontId="4" fillId="0" borderId="0"/>
    <xf numFmtId="43" fontId="4" fillId="0" borderId="0"/>
  </cellStyleXfs>
  <cellXfs count="142">
    <xf numFmtId="0" fontId="0" fillId="0" borderId="0" xfId="0"/>
    <xf numFmtId="0" fontId="0" fillId="0" borderId="1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64" fontId="0" fillId="0" borderId="0" xfId="0" applyNumberFormat="1"/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15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9" xfId="0" applyFont="1" applyBorder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6" fontId="5" fillId="4" borderId="11" xfId="2" applyNumberFormat="1" applyFont="1" applyFill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top" wrapText="1"/>
    </xf>
    <xf numFmtId="165" fontId="5" fillId="0" borderId="11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166" fontId="7" fillId="4" borderId="8" xfId="2" applyNumberFormat="1" applyFont="1" applyFill="1" applyBorder="1" applyAlignment="1">
      <alignment horizontal="center" vertical="center"/>
    </xf>
    <xf numFmtId="0" fontId="7" fillId="0" borderId="0" xfId="0" applyFont="1"/>
    <xf numFmtId="15" fontId="7" fillId="0" borderId="8" xfId="0" applyNumberFormat="1" applyFont="1" applyBorder="1" applyAlignment="1">
      <alignment horizontal="center" vertical="center"/>
    </xf>
    <xf numFmtId="43" fontId="7" fillId="4" borderId="8" xfId="2" applyFont="1" applyFill="1" applyBorder="1"/>
    <xf numFmtId="43" fontId="7" fillId="4" borderId="14" xfId="2" applyFont="1" applyFill="1" applyBorder="1"/>
    <xf numFmtId="43" fontId="7" fillId="0" borderId="0" xfId="2" applyFont="1"/>
    <xf numFmtId="43" fontId="7" fillId="0" borderId="13" xfId="2" applyFont="1" applyBorder="1"/>
    <xf numFmtId="43" fontId="7" fillId="0" borderId="8" xfId="2" applyFont="1" applyBorder="1" applyAlignment="1">
      <alignment horizontal="center" vertical="center"/>
    </xf>
    <xf numFmtId="43" fontId="3" fillId="4" borderId="14" xfId="2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3" fontId="3" fillId="4" borderId="8" xfId="2" applyFont="1" applyFill="1" applyBorder="1" applyAlignment="1">
      <alignment horizontal="left" vertical="center"/>
    </xf>
    <xf numFmtId="166" fontId="3" fillId="4" borderId="8" xfId="2" applyNumberFormat="1" applyFont="1" applyFill="1" applyBorder="1" applyAlignment="1">
      <alignment horizontal="center" vertical="center"/>
    </xf>
    <xf numFmtId="166" fontId="3" fillId="4" borderId="14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8" xfId="0" applyFont="1" applyBorder="1"/>
    <xf numFmtId="0" fontId="7" fillId="0" borderId="14" xfId="0" applyFont="1" applyBorder="1"/>
    <xf numFmtId="0" fontId="7" fillId="0" borderId="13" xfId="0" applyFont="1" applyBorder="1"/>
    <xf numFmtId="166" fontId="3" fillId="0" borderId="13" xfId="2" applyNumberFormat="1" applyFont="1" applyBorder="1" applyAlignment="1">
      <alignment horizontal="left" vertical="center"/>
    </xf>
    <xf numFmtId="166" fontId="3" fillId="0" borderId="8" xfId="2" applyNumberFormat="1" applyFont="1" applyBorder="1" applyAlignment="1">
      <alignment horizontal="left" vertical="center"/>
    </xf>
    <xf numFmtId="166" fontId="3" fillId="0" borderId="14" xfId="2" applyNumberFormat="1" applyFont="1" applyBorder="1" applyAlignment="1">
      <alignment horizontal="left" vertical="center"/>
    </xf>
    <xf numFmtId="166" fontId="3" fillId="0" borderId="0" xfId="2" applyNumberFormat="1" applyFont="1" applyAlignment="1">
      <alignment horizontal="left" vertical="center"/>
    </xf>
    <xf numFmtId="166" fontId="3" fillId="4" borderId="14" xfId="2" applyNumberFormat="1" applyFont="1" applyFill="1" applyBorder="1" applyAlignment="1">
      <alignment horizontal="left" vertical="center"/>
    </xf>
    <xf numFmtId="166" fontId="3" fillId="4" borderId="8" xfId="2" applyNumberFormat="1" applyFont="1" applyFill="1" applyBorder="1" applyAlignment="1">
      <alignment horizontal="left" vertical="center"/>
    </xf>
    <xf numFmtId="166" fontId="7" fillId="0" borderId="0" xfId="2" applyNumberFormat="1" applyFont="1" applyAlignment="1">
      <alignment horizontal="left" vertical="center"/>
    </xf>
    <xf numFmtId="166" fontId="7" fillId="0" borderId="13" xfId="2" applyNumberFormat="1" applyFont="1" applyBorder="1" applyAlignment="1">
      <alignment horizontal="left" vertical="center"/>
    </xf>
    <xf numFmtId="43" fontId="0" fillId="0" borderId="0" xfId="2" applyFont="1"/>
    <xf numFmtId="43" fontId="0" fillId="0" borderId="0" xfId="2" applyFont="1" applyAlignment="1">
      <alignment horizontal="left"/>
    </xf>
    <xf numFmtId="43" fontId="0" fillId="0" borderId="0" xfId="2" applyFont="1" applyAlignment="1">
      <alignment horizontal="left" vertical="center"/>
    </xf>
    <xf numFmtId="167" fontId="3" fillId="0" borderId="0" xfId="2" applyNumberFormat="1" applyFont="1" applyAlignment="1">
      <alignment horizontal="left" vertical="center"/>
    </xf>
    <xf numFmtId="167" fontId="7" fillId="0" borderId="0" xfId="2" applyNumberFormat="1" applyFont="1" applyAlignment="1">
      <alignment horizontal="left" vertical="center"/>
    </xf>
    <xf numFmtId="167" fontId="7" fillId="0" borderId="0" xfId="2" applyNumberFormat="1" applyFont="1" applyAlignment="1">
      <alignment horizontal="left"/>
    </xf>
    <xf numFmtId="167" fontId="7" fillId="0" borderId="0" xfId="2" applyNumberFormat="1" applyFont="1"/>
    <xf numFmtId="167" fontId="3" fillId="0" borderId="8" xfId="2" applyNumberFormat="1" applyFont="1" applyBorder="1" applyAlignment="1">
      <alignment horizontal="left" vertical="center"/>
    </xf>
    <xf numFmtId="167" fontId="7" fillId="0" borderId="8" xfId="2" applyNumberFormat="1" applyFont="1" applyBorder="1" applyAlignment="1">
      <alignment horizontal="left" vertical="center"/>
    </xf>
    <xf numFmtId="167" fontId="7" fillId="0" borderId="14" xfId="2" applyNumberFormat="1" applyFont="1" applyBorder="1" applyAlignment="1">
      <alignment horizontal="left"/>
    </xf>
    <xf numFmtId="167" fontId="3" fillId="4" borderId="8" xfId="2" applyNumberFormat="1" applyFont="1" applyFill="1" applyBorder="1" applyAlignment="1">
      <alignment horizontal="left" vertical="center"/>
    </xf>
    <xf numFmtId="167" fontId="3" fillId="0" borderId="13" xfId="2" applyNumberFormat="1" applyFont="1" applyBorder="1" applyAlignment="1">
      <alignment horizontal="left" vertical="center"/>
    </xf>
    <xf numFmtId="15" fontId="5" fillId="0" borderId="12" xfId="0" applyNumberFormat="1" applyFont="1" applyBorder="1" applyAlignment="1">
      <alignment horizontal="center" vertical="center" wrapText="1"/>
    </xf>
    <xf numFmtId="167" fontId="7" fillId="4" borderId="8" xfId="2" applyNumberFormat="1" applyFont="1" applyFill="1" applyBorder="1" applyAlignment="1">
      <alignment horizontal="left" vertical="center"/>
    </xf>
    <xf numFmtId="167" fontId="7" fillId="4" borderId="14" xfId="2" applyNumberFormat="1" applyFont="1" applyFill="1" applyBorder="1" applyAlignment="1">
      <alignment horizontal="left" vertical="center"/>
    </xf>
    <xf numFmtId="167" fontId="7" fillId="0" borderId="13" xfId="2" applyNumberFormat="1" applyFont="1" applyBorder="1" applyAlignment="1">
      <alignment horizontal="left" vertical="center"/>
    </xf>
    <xf numFmtId="167" fontId="7" fillId="4" borderId="8" xfId="2" applyNumberFormat="1" applyFont="1" applyFill="1" applyBorder="1" applyAlignment="1">
      <alignment horizontal="left"/>
    </xf>
    <xf numFmtId="43" fontId="0" fillId="0" borderId="0" xfId="2" applyFont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0" fillId="0" borderId="8" xfId="0" applyBorder="1"/>
    <xf numFmtId="0" fontId="9" fillId="0" borderId="8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/>
    </xf>
    <xf numFmtId="0" fontId="0" fillId="3" borderId="8" xfId="0" applyFill="1" applyBorder="1" applyAlignment="1">
      <alignment vertical="center"/>
    </xf>
    <xf numFmtId="165" fontId="10" fillId="0" borderId="8" xfId="0" applyNumberFormat="1" applyFont="1" applyBorder="1"/>
    <xf numFmtId="15" fontId="10" fillId="0" borderId="8" xfId="0" applyNumberFormat="1" applyFont="1" applyBorder="1"/>
    <xf numFmtId="0" fontId="10" fillId="0" borderId="8" xfId="0" applyFont="1" applyBorder="1"/>
    <xf numFmtId="14" fontId="10" fillId="0" borderId="8" xfId="0" applyNumberFormat="1" applyFont="1" applyBorder="1"/>
    <xf numFmtId="0" fontId="10" fillId="0" borderId="8" xfId="0" applyFont="1" applyBorder="1" applyAlignment="1">
      <alignment horizontal="center" vertical="center"/>
    </xf>
    <xf numFmtId="164" fontId="9" fillId="3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0" xfId="0" applyFont="1"/>
    <xf numFmtId="166" fontId="9" fillId="0" borderId="8" xfId="2" applyNumberFormat="1" applyFont="1" applyBorder="1" applyAlignment="1">
      <alignment horizontal="left" vertical="center"/>
    </xf>
    <xf numFmtId="168" fontId="3" fillId="0" borderId="8" xfId="2" applyNumberFormat="1" applyFont="1" applyBorder="1" applyAlignment="1">
      <alignment horizontal="left" vertical="center"/>
    </xf>
    <xf numFmtId="166" fontId="3" fillId="3" borderId="8" xfId="2" applyNumberFormat="1" applyFont="1" applyFill="1" applyBorder="1" applyAlignment="1">
      <alignment horizontal="left" vertical="center"/>
    </xf>
    <xf numFmtId="0" fontId="3" fillId="4" borderId="8" xfId="0" applyFont="1" applyFill="1" applyBorder="1" applyAlignment="1">
      <alignment vertical="center"/>
    </xf>
    <xf numFmtId="14" fontId="7" fillId="0" borderId="8" xfId="0" applyNumberFormat="1" applyFont="1" applyBorder="1"/>
    <xf numFmtId="166" fontId="3" fillId="3" borderId="8" xfId="2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 wrapText="1"/>
    </xf>
    <xf numFmtId="0" fontId="5" fillId="5" borderId="8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0" fillId="5" borderId="8" xfId="0" applyFill="1" applyBorder="1" applyAlignment="1">
      <alignment horizontal="center"/>
    </xf>
    <xf numFmtId="9" fontId="0" fillId="5" borderId="8" xfId="4" applyFont="1" applyFill="1" applyBorder="1"/>
    <xf numFmtId="9" fontId="0" fillId="5" borderId="8" xfId="4" applyFont="1" applyFill="1" applyBorder="1" applyAlignment="1">
      <alignment horizontal="center"/>
    </xf>
    <xf numFmtId="0" fontId="0" fillId="5" borderId="8" xfId="0" applyFill="1" applyBorder="1"/>
    <xf numFmtId="0" fontId="5" fillId="4" borderId="0" xfId="0" applyFont="1" applyFill="1" applyAlignment="1">
      <alignment horizontal="center" vertical="center" wrapText="1"/>
    </xf>
    <xf numFmtId="43" fontId="3" fillId="4" borderId="0" xfId="2" applyFont="1" applyFill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15" fontId="11" fillId="0" borderId="8" xfId="0" applyNumberFormat="1" applyFont="1" applyBorder="1" applyAlignment="1">
      <alignment horizontal="center" vertical="center"/>
    </xf>
    <xf numFmtId="166" fontId="4" fillId="0" borderId="8" xfId="5" applyNumberFormat="1" applyBorder="1"/>
    <xf numFmtId="0" fontId="11" fillId="0" borderId="8" xfId="0" applyFont="1" applyBorder="1" applyAlignment="1">
      <alignment horizontal="left" vertical="center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6" fillId="0" borderId="0" xfId="0" applyFont="1" applyAlignment="1">
      <alignment horizontal="center" vertical="top" wrapText="1"/>
    </xf>
    <xf numFmtId="15" fontId="5" fillId="0" borderId="8" xfId="0" applyNumberFormat="1" applyFont="1" applyBorder="1" applyAlignment="1">
      <alignment horizontal="center" vertical="top" wrapText="1"/>
    </xf>
    <xf numFmtId="15" fontId="0" fillId="0" borderId="0" xfId="0" applyNumberFormat="1" applyAlignment="1">
      <alignment horizontal="centerContinuous" vertical="center"/>
    </xf>
    <xf numFmtId="9" fontId="4" fillId="0" borderId="0" xfId="4" applyAlignment="1">
      <alignment horizontal="centerContinuous" vertical="center"/>
    </xf>
    <xf numFmtId="9" fontId="0" fillId="0" borderId="0" xfId="4" applyFont="1" applyAlignment="1">
      <alignment horizontal="center"/>
    </xf>
    <xf numFmtId="0" fontId="5" fillId="0" borderId="0" xfId="0" applyFont="1" applyAlignment="1">
      <alignment horizontal="center" vertical="top"/>
    </xf>
  </cellXfs>
  <cellStyles count="6">
    <cellStyle name="Comma" xfId="2" builtinId="3"/>
    <cellStyle name="Comma 2" xfId="3" xr:uid="{00000000-0005-0000-0000-000003000000}"/>
    <cellStyle name="Comma 4" xfId="5" xr:uid="{55C32FD3-13B0-4C1B-A3DD-C4E498C21A7A}"/>
    <cellStyle name="Normal" xfId="0" builtinId="0"/>
    <cellStyle name="Normal 3 3" xfId="1" xr:uid="{00000000-0005-0000-0000-000001000000}"/>
    <cellStyle name="Percent" xfId="4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zoomScale="80" zoomScaleNormal="80"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8"/>
  <sheetViews>
    <sheetView workbookViewId="0">
      <selection sqref="A1:B16"/>
    </sheetView>
  </sheetViews>
  <sheetFormatPr defaultRowHeight="15" x14ac:dyDescent="0.25"/>
  <cols>
    <col min="1" max="1" width="5.7109375" bestFit="1" customWidth="1"/>
    <col min="2" max="2" width="119.28515625" bestFit="1" customWidth="1"/>
  </cols>
  <sheetData>
    <row r="1" spans="1:18" ht="15.75" customHeight="1" thickBot="1" x14ac:dyDescent="0.3">
      <c r="A1" s="6" t="s">
        <v>0</v>
      </c>
      <c r="B1" s="7" t="s">
        <v>1</v>
      </c>
    </row>
    <row r="2" spans="1:18" x14ac:dyDescent="0.25">
      <c r="A2" s="126">
        <v>1</v>
      </c>
      <c r="B2" s="127" t="s">
        <v>2</v>
      </c>
    </row>
    <row r="3" spans="1:18" ht="15.75" customHeight="1" thickBot="1" x14ac:dyDescent="0.3">
      <c r="A3" s="2">
        <f t="shared" ref="A3:A16" si="0">A2+1</f>
        <v>2</v>
      </c>
      <c r="B3" s="3" t="s">
        <v>3</v>
      </c>
    </row>
    <row r="4" spans="1:18" ht="21.6" customHeight="1" thickBot="1" x14ac:dyDescent="0.3">
      <c r="A4" s="2">
        <f t="shared" si="0"/>
        <v>3</v>
      </c>
      <c r="B4" s="3" t="s">
        <v>4</v>
      </c>
      <c r="R4" s="1" t="s">
        <v>5</v>
      </c>
    </row>
    <row r="5" spans="1:18" x14ac:dyDescent="0.25">
      <c r="A5" s="2">
        <f t="shared" si="0"/>
        <v>4</v>
      </c>
      <c r="B5" s="3" t="s">
        <v>6</v>
      </c>
      <c r="R5" s="2" t="s">
        <v>7</v>
      </c>
    </row>
    <row r="6" spans="1:18" x14ac:dyDescent="0.25">
      <c r="A6" s="2">
        <f t="shared" si="0"/>
        <v>5</v>
      </c>
      <c r="B6" s="3" t="s">
        <v>8</v>
      </c>
      <c r="R6" s="2" t="s">
        <v>9</v>
      </c>
    </row>
    <row r="7" spans="1:18" x14ac:dyDescent="0.25">
      <c r="A7" s="2">
        <f t="shared" si="0"/>
        <v>6</v>
      </c>
      <c r="B7" s="3" t="s">
        <v>10</v>
      </c>
      <c r="R7" s="2" t="s">
        <v>11</v>
      </c>
    </row>
    <row r="8" spans="1:18" x14ac:dyDescent="0.25">
      <c r="A8" s="2">
        <f t="shared" si="0"/>
        <v>7</v>
      </c>
      <c r="B8" s="3" t="s">
        <v>12</v>
      </c>
      <c r="R8" s="2" t="s">
        <v>13</v>
      </c>
    </row>
    <row r="9" spans="1:18" x14ac:dyDescent="0.25">
      <c r="A9" s="2">
        <f t="shared" si="0"/>
        <v>8</v>
      </c>
      <c r="B9" s="3" t="s">
        <v>14</v>
      </c>
      <c r="R9" s="2"/>
    </row>
    <row r="10" spans="1:18" x14ac:dyDescent="0.25">
      <c r="A10" s="2">
        <f t="shared" si="0"/>
        <v>9</v>
      </c>
      <c r="B10" s="3" t="s">
        <v>15</v>
      </c>
      <c r="R10" s="2"/>
    </row>
    <row r="11" spans="1:18" x14ac:dyDescent="0.25">
      <c r="A11" s="2">
        <f t="shared" si="0"/>
        <v>10</v>
      </c>
      <c r="B11" s="3" t="s">
        <v>16</v>
      </c>
      <c r="R11" s="2"/>
    </row>
    <row r="12" spans="1:18" x14ac:dyDescent="0.25">
      <c r="A12" s="2">
        <f t="shared" si="0"/>
        <v>11</v>
      </c>
      <c r="B12" s="3" t="s">
        <v>17</v>
      </c>
      <c r="R12" s="2"/>
    </row>
    <row r="13" spans="1:18" x14ac:dyDescent="0.25">
      <c r="A13" s="2">
        <f t="shared" si="0"/>
        <v>12</v>
      </c>
      <c r="B13" s="3" t="s">
        <v>18</v>
      </c>
      <c r="R13" s="2"/>
    </row>
    <row r="14" spans="1:18" x14ac:dyDescent="0.25">
      <c r="A14" s="2">
        <f t="shared" si="0"/>
        <v>13</v>
      </c>
      <c r="B14" s="3" t="s">
        <v>19</v>
      </c>
      <c r="R14" s="2" t="s">
        <v>20</v>
      </c>
    </row>
    <row r="15" spans="1:18" ht="15.75" customHeight="1" x14ac:dyDescent="0.25">
      <c r="A15" s="2">
        <f t="shared" si="0"/>
        <v>14</v>
      </c>
      <c r="B15" s="3" t="s">
        <v>21</v>
      </c>
      <c r="R15" s="2" t="s">
        <v>22</v>
      </c>
    </row>
    <row r="16" spans="1:18" ht="15.75" thickBot="1" x14ac:dyDescent="0.3">
      <c r="A16" s="4">
        <f t="shared" si="0"/>
        <v>15</v>
      </c>
      <c r="B16" s="5" t="s">
        <v>23</v>
      </c>
      <c r="R16" s="2" t="s">
        <v>24</v>
      </c>
    </row>
    <row r="17" spans="18:18" x14ac:dyDescent="0.25">
      <c r="R17" s="2" t="s">
        <v>25</v>
      </c>
    </row>
    <row r="18" spans="18:18" x14ac:dyDescent="0.25">
      <c r="R18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18"/>
  <sheetViews>
    <sheetView topLeftCell="G1" zoomScaleNormal="100" workbookViewId="0">
      <pane ySplit="2" topLeftCell="A3" activePane="bottomLeft" state="frozen"/>
      <selection activeCell="D110" sqref="D110"/>
      <selection pane="bottomLeft" activeCell="M3" sqref="M3"/>
    </sheetView>
  </sheetViews>
  <sheetFormatPr defaultColWidth="8.7109375" defaultRowHeight="15" x14ac:dyDescent="0.25"/>
  <cols>
    <col min="1" max="1" width="7.5703125" style="9" bestFit="1" customWidth="1"/>
    <col min="2" max="2" width="23.85546875" style="10" customWidth="1"/>
    <col min="3" max="3" width="14.5703125" style="10" customWidth="1"/>
    <col min="4" max="4" width="21.42578125" style="10" bestFit="1" customWidth="1"/>
    <col min="5" max="5" width="22.5703125" style="10" bestFit="1" customWidth="1"/>
    <col min="6" max="6" width="21.42578125" style="10" customWidth="1"/>
    <col min="7" max="7" width="14.5703125" style="10" customWidth="1"/>
    <col min="8" max="8" width="18.42578125" style="10" customWidth="1"/>
    <col min="9" max="9" width="12.140625" style="10" customWidth="1"/>
    <col min="10" max="11" width="17.42578125" style="10" customWidth="1"/>
    <col min="12" max="13" width="14.5703125" style="10" customWidth="1"/>
    <col min="14" max="14" width="14.5703125" style="11" customWidth="1"/>
    <col min="15" max="15" width="14.5703125" style="10" customWidth="1"/>
    <col min="16" max="16" width="9.85546875" style="11" bestFit="1" customWidth="1"/>
    <col min="17" max="17" width="13.5703125" style="11" bestFit="1" customWidth="1"/>
    <col min="18" max="18" width="12" style="11" customWidth="1"/>
    <col min="19" max="19" width="8.7109375" style="10" customWidth="1"/>
    <col min="20" max="20" width="10" style="10" customWidth="1"/>
    <col min="21" max="23" width="8.7109375" style="10" customWidth="1"/>
    <col min="24" max="24" width="12.42578125" style="10" customWidth="1"/>
    <col min="25" max="25" width="1.7109375" style="10" customWidth="1"/>
    <col min="26" max="26" width="39.140625" style="10" bestFit="1" customWidth="1"/>
    <col min="27" max="27" width="8.7109375" style="10" customWidth="1"/>
    <col min="28" max="28" width="9.42578125" style="16" customWidth="1"/>
    <col min="29" max="29" width="8.7109375" style="10" customWidth="1"/>
    <col min="30" max="30" width="1.7109375" style="10" customWidth="1"/>
    <col min="31" max="31" width="14.5703125" style="10" customWidth="1"/>
    <col min="32" max="32" width="9.42578125" style="10" customWidth="1"/>
    <col min="33" max="33" width="8.7109375" style="10" customWidth="1"/>
    <col min="34" max="34" width="11.7109375" style="10" customWidth="1"/>
    <col min="35" max="35" width="8.7109375" style="10" customWidth="1"/>
    <col min="36" max="36" width="1.7109375" style="10" customWidth="1"/>
    <col min="37" max="37" width="30.140625" style="10" bestFit="1" customWidth="1"/>
    <col min="38" max="38" width="16.42578125" style="10" customWidth="1"/>
    <col min="39" max="44" width="8.7109375" style="10" customWidth="1"/>
    <col min="45" max="45" width="1.7109375" style="10" customWidth="1"/>
    <col min="46" max="46" width="25.85546875" style="10" bestFit="1" customWidth="1"/>
    <col min="47" max="47" width="13.140625" style="11" bestFit="1" customWidth="1"/>
    <col min="48" max="49" width="13.140625" style="10" bestFit="1" customWidth="1"/>
    <col min="50" max="50" width="1.7109375" style="10" customWidth="1"/>
    <col min="51" max="51" width="20" style="10" bestFit="1" customWidth="1"/>
    <col min="52" max="52" width="14.28515625" style="11" bestFit="1" customWidth="1"/>
    <col min="53" max="53" width="14.28515625" style="10" bestFit="1" customWidth="1"/>
    <col min="54" max="54" width="12.85546875" style="10" customWidth="1"/>
    <col min="55" max="55" width="11.5703125" style="10" bestFit="1" customWidth="1"/>
    <col min="56" max="56" width="1.7109375" style="10" customWidth="1"/>
    <col min="57" max="57" width="8.7109375" style="10" customWidth="1"/>
    <col min="58" max="16384" width="8.7109375" style="10"/>
  </cols>
  <sheetData>
    <row r="1" spans="1:56" s="74" customFormat="1" ht="15.75" customHeight="1" thickBot="1" x14ac:dyDescent="0.3">
      <c r="A1" s="89"/>
      <c r="O1" s="74">
        <f>SUBTOTAL(9,O3:O1048576)</f>
        <v>7827</v>
      </c>
      <c r="W1" s="74">
        <f>SUBTOTAL(9,W3:W1048576)</f>
        <v>7827</v>
      </c>
      <c r="X1" s="74">
        <f>SUBTOTAL(9,X3:X1048576)</f>
        <v>7827</v>
      </c>
      <c r="AE1" s="74">
        <f>SUBTOTAL(9,AE3:AE1048576)</f>
        <v>7827</v>
      </c>
      <c r="AL1" s="74">
        <f>SUBTOTAL(9,AL3:AL1048576)</f>
        <v>7827</v>
      </c>
      <c r="BB1" s="74">
        <f>SUBTOTAL(9,BB3:BB1048576)</f>
        <v>7827</v>
      </c>
      <c r="BC1" s="74">
        <f>SUBTOTAL(9,BC3:BC1048576)</f>
        <v>156540</v>
      </c>
    </row>
    <row r="2" spans="1:56" s="25" customFormat="1" ht="41.1" customHeight="1" x14ac:dyDescent="0.25">
      <c r="A2" s="18" t="s">
        <v>0</v>
      </c>
      <c r="B2" s="19" t="s">
        <v>27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  <c r="I2" s="19" t="s">
        <v>34</v>
      </c>
      <c r="J2" s="19" t="s">
        <v>35</v>
      </c>
      <c r="K2" s="19" t="s">
        <v>36</v>
      </c>
      <c r="L2" s="19" t="s">
        <v>37</v>
      </c>
      <c r="M2" s="19" t="s">
        <v>38</v>
      </c>
      <c r="N2" s="28" t="s">
        <v>39</v>
      </c>
      <c r="O2" s="19" t="s">
        <v>40</v>
      </c>
      <c r="P2" s="28" t="s">
        <v>41</v>
      </c>
      <c r="Q2" s="28" t="s">
        <v>42</v>
      </c>
      <c r="R2" s="28" t="s">
        <v>43</v>
      </c>
      <c r="S2" s="19" t="s">
        <v>44</v>
      </c>
      <c r="T2" s="19" t="s">
        <v>45</v>
      </c>
      <c r="U2" s="19" t="s">
        <v>46</v>
      </c>
      <c r="V2" s="19" t="s">
        <v>47</v>
      </c>
      <c r="W2" s="19" t="s">
        <v>48</v>
      </c>
      <c r="X2" s="23" t="s">
        <v>49</v>
      </c>
      <c r="Y2" s="32"/>
      <c r="Z2" s="18" t="s">
        <v>50</v>
      </c>
      <c r="AA2" s="19" t="s">
        <v>51</v>
      </c>
      <c r="AB2" s="37" t="s">
        <v>52</v>
      </c>
      <c r="AC2" s="23" t="s">
        <v>53</v>
      </c>
      <c r="AD2" s="32"/>
      <c r="AE2" s="18" t="s">
        <v>54</v>
      </c>
      <c r="AF2" s="19" t="s">
        <v>55</v>
      </c>
      <c r="AG2" s="19" t="s">
        <v>47</v>
      </c>
      <c r="AH2" s="19" t="s">
        <v>56</v>
      </c>
      <c r="AI2" s="27" t="s">
        <v>57</v>
      </c>
      <c r="AJ2" s="32"/>
      <c r="AK2" s="18" t="s">
        <v>58</v>
      </c>
      <c r="AL2" s="19" t="s">
        <v>59</v>
      </c>
      <c r="AM2" s="19" t="s">
        <v>60</v>
      </c>
      <c r="AN2" s="20" t="s">
        <v>61</v>
      </c>
      <c r="AO2" s="19" t="s">
        <v>62</v>
      </c>
      <c r="AP2" s="19" t="s">
        <v>63</v>
      </c>
      <c r="AQ2" s="20" t="s">
        <v>64</v>
      </c>
      <c r="AR2" s="27" t="s">
        <v>65</v>
      </c>
      <c r="AS2" s="32"/>
      <c r="AT2" s="18" t="s">
        <v>66</v>
      </c>
      <c r="AU2" s="28" t="s">
        <v>67</v>
      </c>
      <c r="AV2" s="20" t="s">
        <v>68</v>
      </c>
      <c r="AW2" s="27" t="s">
        <v>69</v>
      </c>
      <c r="AX2" s="32"/>
      <c r="AY2" s="18" t="s">
        <v>70</v>
      </c>
      <c r="AZ2" s="28" t="s">
        <v>71</v>
      </c>
      <c r="BA2" s="20" t="s">
        <v>72</v>
      </c>
      <c r="BB2" s="20" t="s">
        <v>73</v>
      </c>
      <c r="BC2" s="27" t="s">
        <v>74</v>
      </c>
      <c r="BD2" s="30"/>
    </row>
    <row r="3" spans="1:56" s="70" customFormat="1" ht="11.1" customHeight="1" x14ac:dyDescent="0.2">
      <c r="A3" s="113">
        <v>1</v>
      </c>
      <c r="B3" s="94" t="s">
        <v>75</v>
      </c>
      <c r="C3" s="94" t="s">
        <v>76</v>
      </c>
      <c r="D3" s="110" t="s">
        <v>77</v>
      </c>
      <c r="E3" s="94" t="s">
        <v>78</v>
      </c>
      <c r="F3" s="65"/>
      <c r="G3" s="93" t="s">
        <v>79</v>
      </c>
      <c r="H3" s="65" t="s">
        <v>80</v>
      </c>
      <c r="I3" s="104" t="s">
        <v>81</v>
      </c>
      <c r="J3" s="104" t="s">
        <v>81</v>
      </c>
      <c r="K3" s="104" t="s">
        <v>82</v>
      </c>
      <c r="L3" s="94" t="s">
        <v>76</v>
      </c>
      <c r="M3" s="94" t="s">
        <v>76</v>
      </c>
      <c r="N3" s="101">
        <v>45141</v>
      </c>
      <c r="O3" s="104">
        <v>829</v>
      </c>
      <c r="P3" s="101">
        <v>45379</v>
      </c>
      <c r="Q3" s="101">
        <v>45379</v>
      </c>
      <c r="R3" s="65"/>
      <c r="S3" s="65"/>
      <c r="T3" s="65"/>
      <c r="U3" s="65"/>
      <c r="V3" s="103" t="s">
        <v>83</v>
      </c>
      <c r="W3" s="104">
        <f t="shared" ref="W3:W16" si="0">O3</f>
        <v>829</v>
      </c>
      <c r="X3" s="104">
        <f t="shared" ref="X3:X16" si="1">W3</f>
        <v>829</v>
      </c>
      <c r="Y3" s="67"/>
      <c r="Z3" s="64" t="s">
        <v>84</v>
      </c>
      <c r="AA3" s="65">
        <v>3500</v>
      </c>
      <c r="AB3" s="109">
        <v>45181</v>
      </c>
      <c r="AC3" s="66">
        <v>122</v>
      </c>
      <c r="AD3" s="67"/>
      <c r="AE3" s="104">
        <f t="shared" ref="AE3:AE16" si="2">X3</f>
        <v>829</v>
      </c>
      <c r="AF3" s="108" t="s">
        <v>85</v>
      </c>
      <c r="AG3" s="103" t="s">
        <v>83</v>
      </c>
      <c r="AH3" s="65">
        <v>122</v>
      </c>
      <c r="AI3" s="68">
        <f t="shared" ref="AI3:AI18" si="3">IF(AE3&lt;&gt;"",AH3*AE3,0)</f>
        <v>101138</v>
      </c>
      <c r="AJ3" s="67"/>
      <c r="AK3" s="95" t="s">
        <v>86</v>
      </c>
      <c r="AL3" s="104">
        <f t="shared" ref="AL3:AL16" si="4">AE3</f>
        <v>829</v>
      </c>
      <c r="AM3" s="65">
        <v>20</v>
      </c>
      <c r="AN3" s="69">
        <f t="shared" ref="AN3:AN18" si="5">IF(AL3&lt;&gt;"",AM3*AL3,0)</f>
        <v>16580</v>
      </c>
      <c r="AO3" s="65"/>
      <c r="AP3" s="65"/>
      <c r="AQ3" s="69">
        <f t="shared" ref="AQ3:AQ18" si="6">IF(AO3&lt;&gt;"",AP3*AO3,0)</f>
        <v>0</v>
      </c>
      <c r="AR3" s="68">
        <f t="shared" ref="AR3:AR18" si="7">AQ3+AN3</f>
        <v>16580</v>
      </c>
      <c r="AS3" s="67"/>
      <c r="AT3" s="98" t="s">
        <v>87</v>
      </c>
      <c r="AU3" s="99">
        <v>45211</v>
      </c>
      <c r="AV3" s="69">
        <f t="shared" ref="AV3:AV18" si="8">AM3</f>
        <v>20</v>
      </c>
      <c r="AW3" s="68">
        <f t="shared" ref="AW3:AW18" si="9">AV3*AL3</f>
        <v>16580</v>
      </c>
      <c r="AX3" s="67"/>
      <c r="AY3" s="98" t="s">
        <v>88</v>
      </c>
      <c r="AZ3" s="99">
        <v>45257</v>
      </c>
      <c r="BA3" s="69">
        <f t="shared" ref="BA3:BA18" si="10">AM3</f>
        <v>20</v>
      </c>
      <c r="BB3" s="69">
        <f t="shared" ref="BB3:BB18" si="11">AL3</f>
        <v>829</v>
      </c>
      <c r="BC3" s="68">
        <f t="shared" ref="BC3:BC18" si="12">IF(BB3&lt;&gt;"",BB3*BA3,0)</f>
        <v>16580</v>
      </c>
      <c r="BD3" s="67"/>
    </row>
    <row r="4" spans="1:56" s="70" customFormat="1" ht="11.1" customHeight="1" x14ac:dyDescent="0.2">
      <c r="A4" s="113">
        <f t="shared" ref="A4:A18" si="13">IF(B4&lt;&gt;"",A3+1,"")</f>
        <v>2</v>
      </c>
      <c r="B4" s="94" t="s">
        <v>89</v>
      </c>
      <c r="C4" s="94" t="s">
        <v>90</v>
      </c>
      <c r="D4" s="110" t="s">
        <v>91</v>
      </c>
      <c r="E4" s="94" t="s">
        <v>76</v>
      </c>
      <c r="F4" s="65"/>
      <c r="G4" s="93" t="s">
        <v>79</v>
      </c>
      <c r="H4" s="65" t="s">
        <v>80</v>
      </c>
      <c r="I4" s="104" t="s">
        <v>81</v>
      </c>
      <c r="J4" s="104" t="s">
        <v>81</v>
      </c>
      <c r="K4" s="104" t="s">
        <v>82</v>
      </c>
      <c r="L4" s="94" t="s">
        <v>76</v>
      </c>
      <c r="M4" s="94" t="s">
        <v>76</v>
      </c>
      <c r="N4" s="101">
        <v>45141</v>
      </c>
      <c r="O4" s="104">
        <v>800</v>
      </c>
      <c r="P4" s="101">
        <v>45379</v>
      </c>
      <c r="Q4" s="101">
        <v>45379</v>
      </c>
      <c r="R4" s="65"/>
      <c r="S4" s="65"/>
      <c r="T4" s="65"/>
      <c r="U4" s="65"/>
      <c r="V4" s="103" t="s">
        <v>83</v>
      </c>
      <c r="W4" s="104">
        <f t="shared" si="0"/>
        <v>800</v>
      </c>
      <c r="X4" s="104">
        <f t="shared" si="1"/>
        <v>800</v>
      </c>
      <c r="Y4" s="67"/>
      <c r="Z4" s="64" t="s">
        <v>84</v>
      </c>
      <c r="AA4" s="65">
        <v>3500</v>
      </c>
      <c r="AB4" s="109">
        <v>45181</v>
      </c>
      <c r="AC4" s="66">
        <v>122</v>
      </c>
      <c r="AD4" s="67"/>
      <c r="AE4" s="104">
        <f t="shared" si="2"/>
        <v>800</v>
      </c>
      <c r="AF4" s="108" t="s">
        <v>85</v>
      </c>
      <c r="AG4" s="103" t="s">
        <v>83</v>
      </c>
      <c r="AH4" s="65">
        <v>122</v>
      </c>
      <c r="AI4" s="68">
        <f t="shared" si="3"/>
        <v>97600</v>
      </c>
      <c r="AJ4" s="67"/>
      <c r="AK4" s="95" t="s">
        <v>86</v>
      </c>
      <c r="AL4" s="104">
        <f t="shared" si="4"/>
        <v>800</v>
      </c>
      <c r="AM4" s="65">
        <v>20</v>
      </c>
      <c r="AN4" s="69">
        <f t="shared" si="5"/>
        <v>16000</v>
      </c>
      <c r="AO4" s="65"/>
      <c r="AP4" s="65"/>
      <c r="AQ4" s="69">
        <f t="shared" si="6"/>
        <v>0</v>
      </c>
      <c r="AR4" s="68">
        <f t="shared" si="7"/>
        <v>16000</v>
      </c>
      <c r="AS4" s="67"/>
      <c r="AT4" s="98" t="s">
        <v>87</v>
      </c>
      <c r="AU4" s="99">
        <v>45211</v>
      </c>
      <c r="AV4" s="69">
        <f t="shared" si="8"/>
        <v>20</v>
      </c>
      <c r="AW4" s="68">
        <f t="shared" si="9"/>
        <v>16000</v>
      </c>
      <c r="AX4" s="67"/>
      <c r="AY4" s="98" t="s">
        <v>88</v>
      </c>
      <c r="AZ4" s="99">
        <v>45257</v>
      </c>
      <c r="BA4" s="69">
        <f t="shared" si="10"/>
        <v>20</v>
      </c>
      <c r="BB4" s="69">
        <f t="shared" si="11"/>
        <v>800</v>
      </c>
      <c r="BC4" s="68">
        <f t="shared" si="12"/>
        <v>16000</v>
      </c>
      <c r="BD4" s="67"/>
    </row>
    <row r="5" spans="1:56" s="70" customFormat="1" ht="11.1" customHeight="1" x14ac:dyDescent="0.2">
      <c r="A5" s="113">
        <f t="shared" si="13"/>
        <v>3</v>
      </c>
      <c r="B5" s="94" t="s">
        <v>92</v>
      </c>
      <c r="C5" s="94" t="s">
        <v>78</v>
      </c>
      <c r="D5" s="110" t="s">
        <v>93</v>
      </c>
      <c r="E5" s="94" t="s">
        <v>90</v>
      </c>
      <c r="F5" s="65"/>
      <c r="G5" s="93" t="s">
        <v>79</v>
      </c>
      <c r="H5" s="65" t="s">
        <v>80</v>
      </c>
      <c r="I5" s="104" t="s">
        <v>81</v>
      </c>
      <c r="J5" s="104" t="s">
        <v>81</v>
      </c>
      <c r="K5" s="104" t="s">
        <v>82</v>
      </c>
      <c r="L5" s="94" t="s">
        <v>76</v>
      </c>
      <c r="M5" s="94" t="s">
        <v>76</v>
      </c>
      <c r="N5" s="101">
        <v>45141</v>
      </c>
      <c r="O5" s="104">
        <v>1285</v>
      </c>
      <c r="P5" s="101">
        <v>45379</v>
      </c>
      <c r="Q5" s="101">
        <v>45379</v>
      </c>
      <c r="R5" s="65"/>
      <c r="S5" s="65"/>
      <c r="T5" s="65"/>
      <c r="U5" s="65"/>
      <c r="V5" s="103" t="s">
        <v>94</v>
      </c>
      <c r="W5" s="104">
        <f t="shared" si="0"/>
        <v>1285</v>
      </c>
      <c r="X5" s="104">
        <f t="shared" si="1"/>
        <v>1285</v>
      </c>
      <c r="Y5" s="67"/>
      <c r="Z5" s="64" t="s">
        <v>84</v>
      </c>
      <c r="AA5" s="65">
        <v>14000</v>
      </c>
      <c r="AB5" s="109">
        <v>45181</v>
      </c>
      <c r="AC5" s="66">
        <v>102</v>
      </c>
      <c r="AD5" s="67"/>
      <c r="AE5" s="104">
        <f t="shared" si="2"/>
        <v>1285</v>
      </c>
      <c r="AF5" s="108" t="s">
        <v>85</v>
      </c>
      <c r="AG5" s="103" t="s">
        <v>94</v>
      </c>
      <c r="AH5" s="65">
        <v>102</v>
      </c>
      <c r="AI5" s="68">
        <f t="shared" si="3"/>
        <v>131070</v>
      </c>
      <c r="AJ5" s="67"/>
      <c r="AK5" s="95" t="s">
        <v>86</v>
      </c>
      <c r="AL5" s="104">
        <f t="shared" si="4"/>
        <v>1285</v>
      </c>
      <c r="AM5" s="65">
        <v>20</v>
      </c>
      <c r="AN5" s="69">
        <f t="shared" si="5"/>
        <v>25700</v>
      </c>
      <c r="AO5" s="65"/>
      <c r="AP5" s="65"/>
      <c r="AQ5" s="69">
        <f t="shared" si="6"/>
        <v>0</v>
      </c>
      <c r="AR5" s="68">
        <f t="shared" si="7"/>
        <v>25700</v>
      </c>
      <c r="AS5" s="67"/>
      <c r="AT5" s="98" t="s">
        <v>87</v>
      </c>
      <c r="AU5" s="99">
        <v>45211</v>
      </c>
      <c r="AV5" s="69">
        <f t="shared" si="8"/>
        <v>20</v>
      </c>
      <c r="AW5" s="68">
        <f t="shared" si="9"/>
        <v>25700</v>
      </c>
      <c r="AX5" s="67"/>
      <c r="AY5" s="98" t="s">
        <v>88</v>
      </c>
      <c r="AZ5" s="99">
        <v>45257</v>
      </c>
      <c r="BA5" s="69">
        <f t="shared" si="10"/>
        <v>20</v>
      </c>
      <c r="BB5" s="69">
        <f t="shared" si="11"/>
        <v>1285</v>
      </c>
      <c r="BC5" s="68">
        <f t="shared" si="12"/>
        <v>25700</v>
      </c>
      <c r="BD5" s="67"/>
    </row>
    <row r="6" spans="1:56" s="70" customFormat="1" ht="11.1" customHeight="1" x14ac:dyDescent="0.2">
      <c r="A6" s="113">
        <f t="shared" si="13"/>
        <v>4</v>
      </c>
      <c r="B6" s="94" t="s">
        <v>95</v>
      </c>
      <c r="C6" s="90" t="s">
        <v>78</v>
      </c>
      <c r="D6" s="70" t="s">
        <v>96</v>
      </c>
      <c r="E6" s="90" t="s">
        <v>97</v>
      </c>
      <c r="F6" s="65"/>
      <c r="G6" s="93" t="s">
        <v>79</v>
      </c>
      <c r="H6" s="65" t="s">
        <v>80</v>
      </c>
      <c r="I6" s="104" t="s">
        <v>81</v>
      </c>
      <c r="J6" s="104" t="s">
        <v>81</v>
      </c>
      <c r="K6" s="104" t="s">
        <v>82</v>
      </c>
      <c r="L6" s="94" t="s">
        <v>76</v>
      </c>
      <c r="M6" s="94" t="s">
        <v>76</v>
      </c>
      <c r="N6" s="101">
        <v>45141</v>
      </c>
      <c r="O6" s="104">
        <v>348</v>
      </c>
      <c r="P6" s="101">
        <v>45379</v>
      </c>
      <c r="Q6" s="101">
        <v>45379</v>
      </c>
      <c r="R6" s="65"/>
      <c r="S6" s="65"/>
      <c r="T6" s="65"/>
      <c r="U6" s="65"/>
      <c r="V6" s="103" t="s">
        <v>83</v>
      </c>
      <c r="W6" s="104">
        <f t="shared" si="0"/>
        <v>348</v>
      </c>
      <c r="X6" s="104">
        <f t="shared" si="1"/>
        <v>348</v>
      </c>
      <c r="Y6" s="67"/>
      <c r="Z6" s="64" t="s">
        <v>84</v>
      </c>
      <c r="AA6" s="65">
        <v>3500</v>
      </c>
      <c r="AB6" s="109">
        <v>45181</v>
      </c>
      <c r="AC6" s="66">
        <v>122</v>
      </c>
      <c r="AD6" s="67"/>
      <c r="AE6" s="104">
        <f t="shared" si="2"/>
        <v>348</v>
      </c>
      <c r="AF6" s="108" t="s">
        <v>85</v>
      </c>
      <c r="AG6" s="103" t="s">
        <v>83</v>
      </c>
      <c r="AH6" s="65">
        <v>122</v>
      </c>
      <c r="AI6" s="68">
        <f t="shared" si="3"/>
        <v>42456</v>
      </c>
      <c r="AJ6" s="67"/>
      <c r="AK6" s="95" t="s">
        <v>86</v>
      </c>
      <c r="AL6" s="104">
        <f t="shared" si="4"/>
        <v>348</v>
      </c>
      <c r="AM6" s="65">
        <v>20</v>
      </c>
      <c r="AN6" s="69">
        <f t="shared" si="5"/>
        <v>6960</v>
      </c>
      <c r="AO6" s="65"/>
      <c r="AP6" s="65"/>
      <c r="AQ6" s="69">
        <f t="shared" si="6"/>
        <v>0</v>
      </c>
      <c r="AR6" s="68">
        <f t="shared" si="7"/>
        <v>6960</v>
      </c>
      <c r="AS6" s="67"/>
      <c r="AT6" s="98" t="s">
        <v>87</v>
      </c>
      <c r="AU6" s="99">
        <v>45211</v>
      </c>
      <c r="AV6" s="69">
        <f t="shared" si="8"/>
        <v>20</v>
      </c>
      <c r="AW6" s="68">
        <f t="shared" si="9"/>
        <v>6960</v>
      </c>
      <c r="AX6" s="67"/>
      <c r="AY6" s="98" t="s">
        <v>88</v>
      </c>
      <c r="AZ6" s="99">
        <v>45257</v>
      </c>
      <c r="BA6" s="69">
        <f t="shared" si="10"/>
        <v>20</v>
      </c>
      <c r="BB6" s="69">
        <f t="shared" si="11"/>
        <v>348</v>
      </c>
      <c r="BC6" s="68">
        <f t="shared" si="12"/>
        <v>6960</v>
      </c>
      <c r="BD6" s="67"/>
    </row>
    <row r="7" spans="1:56" s="70" customFormat="1" ht="11.1" customHeight="1" x14ac:dyDescent="0.2">
      <c r="A7" s="113">
        <f t="shared" si="13"/>
        <v>5</v>
      </c>
      <c r="B7" s="94" t="s">
        <v>98</v>
      </c>
      <c r="C7" s="90" t="s">
        <v>99</v>
      </c>
      <c r="D7" s="65" t="s">
        <v>100</v>
      </c>
      <c r="E7" s="90" t="s">
        <v>101</v>
      </c>
      <c r="F7" s="65"/>
      <c r="G7" s="93" t="s">
        <v>79</v>
      </c>
      <c r="H7" s="65" t="s">
        <v>80</v>
      </c>
      <c r="I7" s="104" t="s">
        <v>81</v>
      </c>
      <c r="J7" s="104" t="s">
        <v>81</v>
      </c>
      <c r="K7" s="104" t="s">
        <v>82</v>
      </c>
      <c r="L7" s="94" t="s">
        <v>76</v>
      </c>
      <c r="M7" s="94" t="s">
        <v>76</v>
      </c>
      <c r="N7" s="101">
        <v>45141</v>
      </c>
      <c r="O7" s="104">
        <v>401</v>
      </c>
      <c r="P7" s="101">
        <v>45379</v>
      </c>
      <c r="Q7" s="101">
        <v>45379</v>
      </c>
      <c r="R7" s="65"/>
      <c r="S7" s="65"/>
      <c r="T7" s="65"/>
      <c r="U7" s="65"/>
      <c r="V7" s="103" t="s">
        <v>94</v>
      </c>
      <c r="W7" s="104">
        <f t="shared" si="0"/>
        <v>401</v>
      </c>
      <c r="X7" s="104">
        <f t="shared" si="1"/>
        <v>401</v>
      </c>
      <c r="Y7" s="67"/>
      <c r="Z7" s="64" t="s">
        <v>84</v>
      </c>
      <c r="AA7" s="65">
        <v>14000</v>
      </c>
      <c r="AB7" s="109">
        <v>45181</v>
      </c>
      <c r="AC7" s="66">
        <v>102</v>
      </c>
      <c r="AD7" s="67"/>
      <c r="AE7" s="104">
        <f t="shared" si="2"/>
        <v>401</v>
      </c>
      <c r="AF7" s="108" t="s">
        <v>85</v>
      </c>
      <c r="AG7" s="103" t="s">
        <v>94</v>
      </c>
      <c r="AH7" s="65">
        <v>102</v>
      </c>
      <c r="AI7" s="68">
        <f t="shared" si="3"/>
        <v>40902</v>
      </c>
      <c r="AJ7" s="67"/>
      <c r="AK7" s="95" t="s">
        <v>86</v>
      </c>
      <c r="AL7" s="104">
        <f t="shared" si="4"/>
        <v>401</v>
      </c>
      <c r="AM7" s="65">
        <v>20</v>
      </c>
      <c r="AN7" s="69">
        <f t="shared" si="5"/>
        <v>8020</v>
      </c>
      <c r="AO7" s="65"/>
      <c r="AP7" s="65"/>
      <c r="AQ7" s="69">
        <f t="shared" si="6"/>
        <v>0</v>
      </c>
      <c r="AR7" s="68">
        <f t="shared" si="7"/>
        <v>8020</v>
      </c>
      <c r="AS7" s="67"/>
      <c r="AT7" s="98" t="s">
        <v>87</v>
      </c>
      <c r="AU7" s="99">
        <v>45211</v>
      </c>
      <c r="AV7" s="69">
        <f t="shared" si="8"/>
        <v>20</v>
      </c>
      <c r="AW7" s="68">
        <f t="shared" si="9"/>
        <v>8020</v>
      </c>
      <c r="AX7" s="67"/>
      <c r="AY7" s="98" t="s">
        <v>88</v>
      </c>
      <c r="AZ7" s="99">
        <v>45257</v>
      </c>
      <c r="BA7" s="69">
        <f t="shared" si="10"/>
        <v>20</v>
      </c>
      <c r="BB7" s="69">
        <f t="shared" si="11"/>
        <v>401</v>
      </c>
      <c r="BC7" s="68">
        <f t="shared" si="12"/>
        <v>8020</v>
      </c>
      <c r="BD7" s="67"/>
    </row>
    <row r="8" spans="1:56" s="70" customFormat="1" ht="11.1" customHeight="1" x14ac:dyDescent="0.2">
      <c r="A8" s="113">
        <f t="shared" si="13"/>
        <v>6</v>
      </c>
      <c r="B8" s="94" t="s">
        <v>102</v>
      </c>
      <c r="C8" s="90" t="s">
        <v>103</v>
      </c>
      <c r="D8" s="65" t="s">
        <v>104</v>
      </c>
      <c r="E8" s="90" t="s">
        <v>105</v>
      </c>
      <c r="F8" s="65"/>
      <c r="G8" s="93" t="s">
        <v>79</v>
      </c>
      <c r="H8" s="65" t="s">
        <v>80</v>
      </c>
      <c r="I8" s="104" t="s">
        <v>81</v>
      </c>
      <c r="J8" s="104" t="s">
        <v>81</v>
      </c>
      <c r="K8" s="104" t="s">
        <v>82</v>
      </c>
      <c r="L8" s="94" t="s">
        <v>76</v>
      </c>
      <c r="M8" s="94" t="s">
        <v>76</v>
      </c>
      <c r="N8" s="101">
        <v>45141</v>
      </c>
      <c r="O8" s="104">
        <v>427</v>
      </c>
      <c r="P8" s="101">
        <v>45379</v>
      </c>
      <c r="Q8" s="101">
        <v>45379</v>
      </c>
      <c r="R8" s="65"/>
      <c r="S8" s="65"/>
      <c r="T8" s="65"/>
      <c r="U8" s="65"/>
      <c r="V8" s="103" t="s">
        <v>94</v>
      </c>
      <c r="W8" s="104">
        <f t="shared" si="0"/>
        <v>427</v>
      </c>
      <c r="X8" s="104">
        <f t="shared" si="1"/>
        <v>427</v>
      </c>
      <c r="Y8" s="67"/>
      <c r="Z8" s="64" t="s">
        <v>84</v>
      </c>
      <c r="AA8" s="65">
        <v>14000</v>
      </c>
      <c r="AB8" s="109">
        <v>45181</v>
      </c>
      <c r="AC8" s="66">
        <v>102</v>
      </c>
      <c r="AD8" s="67"/>
      <c r="AE8" s="104">
        <f t="shared" si="2"/>
        <v>427</v>
      </c>
      <c r="AF8" s="108" t="s">
        <v>85</v>
      </c>
      <c r="AG8" s="103" t="s">
        <v>94</v>
      </c>
      <c r="AH8" s="65">
        <v>102</v>
      </c>
      <c r="AI8" s="68">
        <f t="shared" si="3"/>
        <v>43554</v>
      </c>
      <c r="AJ8" s="67"/>
      <c r="AK8" s="95" t="s">
        <v>86</v>
      </c>
      <c r="AL8" s="104">
        <f t="shared" si="4"/>
        <v>427</v>
      </c>
      <c r="AM8" s="65">
        <v>20</v>
      </c>
      <c r="AN8" s="69">
        <f t="shared" si="5"/>
        <v>8540</v>
      </c>
      <c r="AO8" s="65"/>
      <c r="AP8" s="65"/>
      <c r="AQ8" s="69">
        <f t="shared" si="6"/>
        <v>0</v>
      </c>
      <c r="AR8" s="68">
        <f t="shared" si="7"/>
        <v>8540</v>
      </c>
      <c r="AS8" s="67"/>
      <c r="AT8" s="98" t="s">
        <v>87</v>
      </c>
      <c r="AU8" s="99">
        <v>45211</v>
      </c>
      <c r="AV8" s="69">
        <f t="shared" si="8"/>
        <v>20</v>
      </c>
      <c r="AW8" s="68">
        <f t="shared" si="9"/>
        <v>8540</v>
      </c>
      <c r="AX8" s="67"/>
      <c r="AY8" s="98" t="s">
        <v>88</v>
      </c>
      <c r="AZ8" s="99">
        <v>45257</v>
      </c>
      <c r="BA8" s="69">
        <f t="shared" si="10"/>
        <v>20</v>
      </c>
      <c r="BB8" s="69">
        <f t="shared" si="11"/>
        <v>427</v>
      </c>
      <c r="BC8" s="68">
        <f t="shared" si="12"/>
        <v>8540</v>
      </c>
      <c r="BD8" s="67"/>
    </row>
    <row r="9" spans="1:56" s="70" customFormat="1" ht="11.1" customHeight="1" x14ac:dyDescent="0.2">
      <c r="A9" s="113">
        <f t="shared" si="13"/>
        <v>7</v>
      </c>
      <c r="B9" s="94" t="s">
        <v>106</v>
      </c>
      <c r="C9" s="90" t="s">
        <v>107</v>
      </c>
      <c r="D9" s="65" t="s">
        <v>108</v>
      </c>
      <c r="E9" s="90" t="s">
        <v>109</v>
      </c>
      <c r="F9" s="65"/>
      <c r="G9" s="93" t="s">
        <v>79</v>
      </c>
      <c r="H9" s="65" t="s">
        <v>80</v>
      </c>
      <c r="I9" s="104" t="s">
        <v>81</v>
      </c>
      <c r="J9" s="104" t="s">
        <v>81</v>
      </c>
      <c r="K9" s="104" t="s">
        <v>82</v>
      </c>
      <c r="L9" s="94" t="s">
        <v>76</v>
      </c>
      <c r="M9" s="94" t="s">
        <v>76</v>
      </c>
      <c r="N9" s="101">
        <v>45141</v>
      </c>
      <c r="O9" s="104">
        <v>631</v>
      </c>
      <c r="P9" s="101">
        <v>45379</v>
      </c>
      <c r="Q9" s="101">
        <v>45379</v>
      </c>
      <c r="R9" s="65"/>
      <c r="S9" s="65"/>
      <c r="T9" s="65"/>
      <c r="U9" s="65"/>
      <c r="V9" s="103" t="s">
        <v>94</v>
      </c>
      <c r="W9" s="104">
        <f t="shared" si="0"/>
        <v>631</v>
      </c>
      <c r="X9" s="104">
        <f t="shared" si="1"/>
        <v>631</v>
      </c>
      <c r="Y9" s="67"/>
      <c r="Z9" s="64" t="s">
        <v>84</v>
      </c>
      <c r="AA9" s="65">
        <v>14000</v>
      </c>
      <c r="AB9" s="109">
        <v>45181</v>
      </c>
      <c r="AC9" s="66">
        <v>102</v>
      </c>
      <c r="AD9" s="67"/>
      <c r="AE9" s="104">
        <f t="shared" si="2"/>
        <v>631</v>
      </c>
      <c r="AF9" s="108" t="s">
        <v>85</v>
      </c>
      <c r="AG9" s="103" t="s">
        <v>94</v>
      </c>
      <c r="AH9" s="65">
        <v>102</v>
      </c>
      <c r="AI9" s="68">
        <f t="shared" si="3"/>
        <v>64362</v>
      </c>
      <c r="AJ9" s="67"/>
      <c r="AK9" s="95" t="s">
        <v>86</v>
      </c>
      <c r="AL9" s="104">
        <f t="shared" si="4"/>
        <v>631</v>
      </c>
      <c r="AM9" s="65">
        <v>20</v>
      </c>
      <c r="AN9" s="69">
        <f t="shared" si="5"/>
        <v>12620</v>
      </c>
      <c r="AO9" s="65"/>
      <c r="AP9" s="65"/>
      <c r="AQ9" s="69">
        <f t="shared" si="6"/>
        <v>0</v>
      </c>
      <c r="AR9" s="68">
        <f t="shared" si="7"/>
        <v>12620</v>
      </c>
      <c r="AS9" s="67"/>
      <c r="AT9" s="98" t="s">
        <v>87</v>
      </c>
      <c r="AU9" s="99">
        <v>45211</v>
      </c>
      <c r="AV9" s="69">
        <f t="shared" si="8"/>
        <v>20</v>
      </c>
      <c r="AW9" s="68">
        <f t="shared" si="9"/>
        <v>12620</v>
      </c>
      <c r="AX9" s="67"/>
      <c r="AY9" s="98" t="s">
        <v>88</v>
      </c>
      <c r="AZ9" s="99">
        <v>45257</v>
      </c>
      <c r="BA9" s="69">
        <f t="shared" si="10"/>
        <v>20</v>
      </c>
      <c r="BB9" s="69">
        <f t="shared" si="11"/>
        <v>631</v>
      </c>
      <c r="BC9" s="68">
        <f t="shared" si="12"/>
        <v>12620</v>
      </c>
      <c r="BD9" s="67"/>
    </row>
    <row r="10" spans="1:56" s="70" customFormat="1" ht="11.1" customHeight="1" x14ac:dyDescent="0.2">
      <c r="A10" s="113">
        <f t="shared" si="13"/>
        <v>8</v>
      </c>
      <c r="B10" s="94" t="s">
        <v>110</v>
      </c>
      <c r="C10" s="90" t="s">
        <v>111</v>
      </c>
      <c r="D10" s="65" t="s">
        <v>112</v>
      </c>
      <c r="E10" s="90" t="s">
        <v>113</v>
      </c>
      <c r="F10" s="65"/>
      <c r="G10" s="93" t="s">
        <v>79</v>
      </c>
      <c r="H10" s="65" t="s">
        <v>80</v>
      </c>
      <c r="I10" s="104" t="s">
        <v>81</v>
      </c>
      <c r="J10" s="104" t="s">
        <v>81</v>
      </c>
      <c r="K10" s="104" t="s">
        <v>82</v>
      </c>
      <c r="L10" s="94" t="s">
        <v>76</v>
      </c>
      <c r="M10" s="94" t="s">
        <v>76</v>
      </c>
      <c r="N10" s="101">
        <v>45145</v>
      </c>
      <c r="O10" s="104">
        <v>682</v>
      </c>
      <c r="P10" s="101">
        <v>45379</v>
      </c>
      <c r="Q10" s="101">
        <v>45379</v>
      </c>
      <c r="R10" s="65"/>
      <c r="S10" s="65"/>
      <c r="T10" s="65"/>
      <c r="U10" s="65"/>
      <c r="V10" s="103" t="s">
        <v>94</v>
      </c>
      <c r="W10" s="104">
        <f t="shared" si="0"/>
        <v>682</v>
      </c>
      <c r="X10" s="104">
        <f t="shared" si="1"/>
        <v>682</v>
      </c>
      <c r="Y10" s="67"/>
      <c r="Z10" s="64" t="s">
        <v>84</v>
      </c>
      <c r="AA10" s="65">
        <v>14000</v>
      </c>
      <c r="AB10" s="109">
        <v>45181</v>
      </c>
      <c r="AC10" s="66">
        <v>102</v>
      </c>
      <c r="AD10" s="67"/>
      <c r="AE10" s="104">
        <f t="shared" si="2"/>
        <v>682</v>
      </c>
      <c r="AF10" s="108" t="s">
        <v>85</v>
      </c>
      <c r="AG10" s="103" t="s">
        <v>94</v>
      </c>
      <c r="AH10" s="65">
        <v>102</v>
      </c>
      <c r="AI10" s="68">
        <f t="shared" si="3"/>
        <v>69564</v>
      </c>
      <c r="AJ10" s="67"/>
      <c r="AK10" s="95" t="s">
        <v>86</v>
      </c>
      <c r="AL10" s="104">
        <f t="shared" si="4"/>
        <v>682</v>
      </c>
      <c r="AM10" s="65">
        <v>20</v>
      </c>
      <c r="AN10" s="69">
        <f t="shared" si="5"/>
        <v>13640</v>
      </c>
      <c r="AO10" s="65"/>
      <c r="AP10" s="65"/>
      <c r="AQ10" s="69">
        <f t="shared" si="6"/>
        <v>0</v>
      </c>
      <c r="AR10" s="68">
        <f t="shared" si="7"/>
        <v>13640</v>
      </c>
      <c r="AS10" s="67"/>
      <c r="AT10" s="98" t="s">
        <v>87</v>
      </c>
      <c r="AU10" s="99">
        <v>45211</v>
      </c>
      <c r="AV10" s="69">
        <f t="shared" si="8"/>
        <v>20</v>
      </c>
      <c r="AW10" s="68">
        <f t="shared" si="9"/>
        <v>13640</v>
      </c>
      <c r="AX10" s="67"/>
      <c r="AY10" s="98" t="s">
        <v>88</v>
      </c>
      <c r="AZ10" s="99">
        <v>45257</v>
      </c>
      <c r="BA10" s="69">
        <f t="shared" si="10"/>
        <v>20</v>
      </c>
      <c r="BB10" s="69">
        <f t="shared" si="11"/>
        <v>682</v>
      </c>
      <c r="BC10" s="68">
        <f t="shared" si="12"/>
        <v>13640</v>
      </c>
      <c r="BD10" s="67"/>
    </row>
    <row r="11" spans="1:56" s="70" customFormat="1" ht="11.1" customHeight="1" x14ac:dyDescent="0.2">
      <c r="A11" s="113">
        <f t="shared" si="13"/>
        <v>9</v>
      </c>
      <c r="B11" s="94" t="s">
        <v>114</v>
      </c>
      <c r="C11" s="90" t="s">
        <v>115</v>
      </c>
      <c r="D11" s="65" t="s">
        <v>116</v>
      </c>
      <c r="E11" s="90" t="s">
        <v>117</v>
      </c>
      <c r="F11" s="65"/>
      <c r="G11" s="93" t="s">
        <v>79</v>
      </c>
      <c r="H11" s="65" t="s">
        <v>80</v>
      </c>
      <c r="I11" s="104" t="s">
        <v>81</v>
      </c>
      <c r="J11" s="104" t="s">
        <v>81</v>
      </c>
      <c r="K11" s="104" t="s">
        <v>82</v>
      </c>
      <c r="L11" s="94" t="s">
        <v>76</v>
      </c>
      <c r="M11" s="94" t="s">
        <v>76</v>
      </c>
      <c r="N11" s="101">
        <v>45145</v>
      </c>
      <c r="O11" s="104">
        <v>293</v>
      </c>
      <c r="P11" s="101">
        <v>45379</v>
      </c>
      <c r="Q11" s="101">
        <v>45379</v>
      </c>
      <c r="R11" s="65"/>
      <c r="S11" s="65"/>
      <c r="T11" s="65"/>
      <c r="U11" s="65"/>
      <c r="V11" s="103" t="s">
        <v>94</v>
      </c>
      <c r="W11" s="104">
        <f t="shared" si="0"/>
        <v>293</v>
      </c>
      <c r="X11" s="104">
        <f t="shared" si="1"/>
        <v>293</v>
      </c>
      <c r="Y11" s="67"/>
      <c r="Z11" s="64" t="s">
        <v>84</v>
      </c>
      <c r="AA11" s="65">
        <v>14000</v>
      </c>
      <c r="AB11" s="109">
        <v>45181</v>
      </c>
      <c r="AC11" s="66">
        <v>102</v>
      </c>
      <c r="AD11" s="67"/>
      <c r="AE11" s="104">
        <f t="shared" si="2"/>
        <v>293</v>
      </c>
      <c r="AF11" s="108" t="s">
        <v>85</v>
      </c>
      <c r="AG11" s="103" t="s">
        <v>94</v>
      </c>
      <c r="AH11" s="65">
        <v>102</v>
      </c>
      <c r="AI11" s="68">
        <f t="shared" si="3"/>
        <v>29886</v>
      </c>
      <c r="AJ11" s="67"/>
      <c r="AK11" s="95" t="s">
        <v>86</v>
      </c>
      <c r="AL11" s="104">
        <f t="shared" si="4"/>
        <v>293</v>
      </c>
      <c r="AM11" s="65">
        <v>20</v>
      </c>
      <c r="AN11" s="69">
        <f t="shared" si="5"/>
        <v>5860</v>
      </c>
      <c r="AO11" s="65"/>
      <c r="AP11" s="65"/>
      <c r="AQ11" s="69">
        <f t="shared" si="6"/>
        <v>0</v>
      </c>
      <c r="AR11" s="68">
        <f t="shared" si="7"/>
        <v>5860</v>
      </c>
      <c r="AS11" s="67"/>
      <c r="AT11" s="98" t="s">
        <v>87</v>
      </c>
      <c r="AU11" s="99">
        <v>45211</v>
      </c>
      <c r="AV11" s="69">
        <f t="shared" si="8"/>
        <v>20</v>
      </c>
      <c r="AW11" s="68">
        <f t="shared" si="9"/>
        <v>5860</v>
      </c>
      <c r="AX11" s="67"/>
      <c r="AY11" s="98" t="s">
        <v>88</v>
      </c>
      <c r="AZ11" s="99">
        <v>45257</v>
      </c>
      <c r="BA11" s="69">
        <f t="shared" si="10"/>
        <v>20</v>
      </c>
      <c r="BB11" s="69">
        <f t="shared" si="11"/>
        <v>293</v>
      </c>
      <c r="BC11" s="68">
        <f t="shared" si="12"/>
        <v>5860</v>
      </c>
      <c r="BD11" s="67"/>
    </row>
    <row r="12" spans="1:56" s="70" customFormat="1" ht="11.1" customHeight="1" x14ac:dyDescent="0.2">
      <c r="A12" s="113">
        <f t="shared" si="13"/>
        <v>10</v>
      </c>
      <c r="B12" s="94" t="s">
        <v>118</v>
      </c>
      <c r="C12" s="90" t="s">
        <v>119</v>
      </c>
      <c r="D12" s="65" t="s">
        <v>120</v>
      </c>
      <c r="E12" s="90" t="s">
        <v>121</v>
      </c>
      <c r="F12" s="65"/>
      <c r="G12" s="93" t="s">
        <v>79</v>
      </c>
      <c r="H12" s="65" t="s">
        <v>80</v>
      </c>
      <c r="I12" s="104" t="s">
        <v>81</v>
      </c>
      <c r="J12" s="104" t="s">
        <v>81</v>
      </c>
      <c r="K12" s="104" t="s">
        <v>82</v>
      </c>
      <c r="L12" s="94" t="s">
        <v>76</v>
      </c>
      <c r="M12" s="94" t="s">
        <v>76</v>
      </c>
      <c r="N12" s="101">
        <v>45145</v>
      </c>
      <c r="O12" s="104">
        <v>262</v>
      </c>
      <c r="P12" s="101">
        <v>45379</v>
      </c>
      <c r="Q12" s="101">
        <v>45379</v>
      </c>
      <c r="R12" s="65"/>
      <c r="S12" s="65"/>
      <c r="T12" s="65"/>
      <c r="U12" s="65"/>
      <c r="V12" s="103" t="s">
        <v>94</v>
      </c>
      <c r="W12" s="104">
        <f t="shared" si="0"/>
        <v>262</v>
      </c>
      <c r="X12" s="104">
        <f t="shared" si="1"/>
        <v>262</v>
      </c>
      <c r="Y12" s="67"/>
      <c r="Z12" s="64" t="s">
        <v>84</v>
      </c>
      <c r="AA12" s="65">
        <v>14000</v>
      </c>
      <c r="AB12" s="109">
        <v>45181</v>
      </c>
      <c r="AC12" s="66">
        <v>102</v>
      </c>
      <c r="AD12" s="67"/>
      <c r="AE12" s="104">
        <f t="shared" si="2"/>
        <v>262</v>
      </c>
      <c r="AF12" s="108" t="s">
        <v>85</v>
      </c>
      <c r="AG12" s="103" t="s">
        <v>94</v>
      </c>
      <c r="AH12" s="65">
        <v>102</v>
      </c>
      <c r="AI12" s="68">
        <f t="shared" si="3"/>
        <v>26724</v>
      </c>
      <c r="AJ12" s="67"/>
      <c r="AK12" s="95" t="s">
        <v>86</v>
      </c>
      <c r="AL12" s="104">
        <f t="shared" si="4"/>
        <v>262</v>
      </c>
      <c r="AM12" s="65">
        <v>20</v>
      </c>
      <c r="AN12" s="69">
        <f t="shared" si="5"/>
        <v>5240</v>
      </c>
      <c r="AO12" s="65"/>
      <c r="AP12" s="65"/>
      <c r="AQ12" s="69">
        <f t="shared" si="6"/>
        <v>0</v>
      </c>
      <c r="AR12" s="68">
        <f t="shared" si="7"/>
        <v>5240</v>
      </c>
      <c r="AS12" s="67"/>
      <c r="AT12" s="98" t="s">
        <v>87</v>
      </c>
      <c r="AU12" s="99">
        <v>45211</v>
      </c>
      <c r="AV12" s="69">
        <f t="shared" si="8"/>
        <v>20</v>
      </c>
      <c r="AW12" s="68">
        <f t="shared" si="9"/>
        <v>5240</v>
      </c>
      <c r="AX12" s="67"/>
      <c r="AY12" s="98" t="s">
        <v>88</v>
      </c>
      <c r="AZ12" s="99">
        <v>45257</v>
      </c>
      <c r="BA12" s="69">
        <f t="shared" si="10"/>
        <v>20</v>
      </c>
      <c r="BB12" s="69">
        <f t="shared" si="11"/>
        <v>262</v>
      </c>
      <c r="BC12" s="68">
        <f t="shared" si="12"/>
        <v>5240</v>
      </c>
      <c r="BD12" s="67"/>
    </row>
    <row r="13" spans="1:56" s="70" customFormat="1" ht="11.1" customHeight="1" x14ac:dyDescent="0.2">
      <c r="A13" s="113">
        <f t="shared" si="13"/>
        <v>11</v>
      </c>
      <c r="B13" s="94" t="s">
        <v>122</v>
      </c>
      <c r="C13" s="90" t="s">
        <v>123</v>
      </c>
      <c r="D13" s="65" t="s">
        <v>124</v>
      </c>
      <c r="E13" s="90" t="s">
        <v>125</v>
      </c>
      <c r="F13" s="65"/>
      <c r="G13" s="93" t="s">
        <v>79</v>
      </c>
      <c r="H13" s="65" t="s">
        <v>80</v>
      </c>
      <c r="I13" s="104" t="s">
        <v>81</v>
      </c>
      <c r="J13" s="104" t="s">
        <v>81</v>
      </c>
      <c r="K13" s="104" t="s">
        <v>82</v>
      </c>
      <c r="L13" s="94" t="s">
        <v>76</v>
      </c>
      <c r="M13" s="94" t="s">
        <v>76</v>
      </c>
      <c r="N13" s="101">
        <v>45145</v>
      </c>
      <c r="O13" s="104">
        <v>372</v>
      </c>
      <c r="P13" s="101">
        <v>45379</v>
      </c>
      <c r="Q13" s="101">
        <v>45379</v>
      </c>
      <c r="R13" s="65"/>
      <c r="S13" s="65"/>
      <c r="T13" s="65"/>
      <c r="U13" s="65"/>
      <c r="V13" s="103" t="s">
        <v>94</v>
      </c>
      <c r="W13" s="104">
        <f t="shared" si="0"/>
        <v>372</v>
      </c>
      <c r="X13" s="104">
        <f t="shared" si="1"/>
        <v>372</v>
      </c>
      <c r="Y13" s="67"/>
      <c r="Z13" s="64" t="s">
        <v>84</v>
      </c>
      <c r="AA13" s="65">
        <v>14000</v>
      </c>
      <c r="AB13" s="109">
        <v>45181</v>
      </c>
      <c r="AC13" s="66">
        <v>102</v>
      </c>
      <c r="AD13" s="67"/>
      <c r="AE13" s="104">
        <f t="shared" si="2"/>
        <v>372</v>
      </c>
      <c r="AF13" s="108" t="s">
        <v>85</v>
      </c>
      <c r="AG13" s="103" t="s">
        <v>94</v>
      </c>
      <c r="AH13" s="65">
        <v>102</v>
      </c>
      <c r="AI13" s="68">
        <f t="shared" si="3"/>
        <v>37944</v>
      </c>
      <c r="AJ13" s="67"/>
      <c r="AK13" s="95" t="s">
        <v>86</v>
      </c>
      <c r="AL13" s="104">
        <f t="shared" si="4"/>
        <v>372</v>
      </c>
      <c r="AM13" s="65">
        <v>20</v>
      </c>
      <c r="AN13" s="69">
        <f t="shared" si="5"/>
        <v>7440</v>
      </c>
      <c r="AO13" s="65"/>
      <c r="AP13" s="65"/>
      <c r="AQ13" s="69">
        <f t="shared" si="6"/>
        <v>0</v>
      </c>
      <c r="AR13" s="68">
        <f t="shared" si="7"/>
        <v>7440</v>
      </c>
      <c r="AS13" s="67"/>
      <c r="AT13" s="98" t="s">
        <v>87</v>
      </c>
      <c r="AU13" s="99">
        <v>45211</v>
      </c>
      <c r="AV13" s="69">
        <f t="shared" si="8"/>
        <v>20</v>
      </c>
      <c r="AW13" s="68">
        <f t="shared" si="9"/>
        <v>7440</v>
      </c>
      <c r="AX13" s="67"/>
      <c r="AY13" s="98" t="s">
        <v>88</v>
      </c>
      <c r="AZ13" s="99">
        <v>45257</v>
      </c>
      <c r="BA13" s="69">
        <f t="shared" si="10"/>
        <v>20</v>
      </c>
      <c r="BB13" s="69">
        <f t="shared" si="11"/>
        <v>372</v>
      </c>
      <c r="BC13" s="68">
        <f t="shared" si="12"/>
        <v>7440</v>
      </c>
      <c r="BD13" s="67"/>
    </row>
    <row r="14" spans="1:56" s="70" customFormat="1" ht="11.1" customHeight="1" x14ac:dyDescent="0.2">
      <c r="A14" s="113">
        <f t="shared" si="13"/>
        <v>12</v>
      </c>
      <c r="B14" s="94" t="s">
        <v>126</v>
      </c>
      <c r="C14" s="90" t="s">
        <v>127</v>
      </c>
      <c r="D14" s="65" t="s">
        <v>128</v>
      </c>
      <c r="E14" s="90" t="s">
        <v>129</v>
      </c>
      <c r="F14" s="65"/>
      <c r="G14" s="93" t="s">
        <v>79</v>
      </c>
      <c r="H14" s="65" t="s">
        <v>80</v>
      </c>
      <c r="I14" s="104" t="s">
        <v>81</v>
      </c>
      <c r="J14" s="104" t="s">
        <v>81</v>
      </c>
      <c r="K14" s="104" t="s">
        <v>82</v>
      </c>
      <c r="L14" s="94" t="s">
        <v>76</v>
      </c>
      <c r="M14" s="94" t="s">
        <v>76</v>
      </c>
      <c r="N14" s="101">
        <v>45145</v>
      </c>
      <c r="O14" s="104">
        <v>450</v>
      </c>
      <c r="P14" s="101">
        <v>45379</v>
      </c>
      <c r="Q14" s="101">
        <v>45379</v>
      </c>
      <c r="R14" s="65"/>
      <c r="S14" s="65"/>
      <c r="T14" s="65"/>
      <c r="U14" s="65"/>
      <c r="V14" s="103" t="s">
        <v>94</v>
      </c>
      <c r="W14" s="104">
        <f t="shared" si="0"/>
        <v>450</v>
      </c>
      <c r="X14" s="104">
        <f t="shared" si="1"/>
        <v>450</v>
      </c>
      <c r="Y14" s="67"/>
      <c r="Z14" s="64" t="s">
        <v>84</v>
      </c>
      <c r="AA14" s="65">
        <v>14000</v>
      </c>
      <c r="AB14" s="109">
        <v>45181</v>
      </c>
      <c r="AC14" s="66">
        <v>102</v>
      </c>
      <c r="AD14" s="67"/>
      <c r="AE14" s="104">
        <f t="shared" si="2"/>
        <v>450</v>
      </c>
      <c r="AF14" s="108" t="s">
        <v>85</v>
      </c>
      <c r="AG14" s="103" t="s">
        <v>94</v>
      </c>
      <c r="AH14" s="65">
        <v>102</v>
      </c>
      <c r="AI14" s="68">
        <f t="shared" si="3"/>
        <v>45900</v>
      </c>
      <c r="AJ14" s="67"/>
      <c r="AK14" s="95" t="s">
        <v>86</v>
      </c>
      <c r="AL14" s="104">
        <f t="shared" si="4"/>
        <v>450</v>
      </c>
      <c r="AM14" s="65">
        <v>20</v>
      </c>
      <c r="AN14" s="69">
        <f t="shared" si="5"/>
        <v>9000</v>
      </c>
      <c r="AO14" s="65"/>
      <c r="AP14" s="65"/>
      <c r="AQ14" s="69">
        <f t="shared" si="6"/>
        <v>0</v>
      </c>
      <c r="AR14" s="68">
        <f t="shared" si="7"/>
        <v>9000</v>
      </c>
      <c r="AS14" s="67"/>
      <c r="AT14" s="98" t="s">
        <v>87</v>
      </c>
      <c r="AU14" s="99">
        <v>45211</v>
      </c>
      <c r="AV14" s="69">
        <f t="shared" si="8"/>
        <v>20</v>
      </c>
      <c r="AW14" s="68">
        <f t="shared" si="9"/>
        <v>9000</v>
      </c>
      <c r="AX14" s="67"/>
      <c r="AY14" s="98" t="s">
        <v>88</v>
      </c>
      <c r="AZ14" s="99">
        <v>45257</v>
      </c>
      <c r="BA14" s="69">
        <f t="shared" si="10"/>
        <v>20</v>
      </c>
      <c r="BB14" s="69">
        <f t="shared" si="11"/>
        <v>450</v>
      </c>
      <c r="BC14" s="68">
        <f t="shared" si="12"/>
        <v>9000</v>
      </c>
      <c r="BD14" s="67"/>
    </row>
    <row r="15" spans="1:56" s="70" customFormat="1" ht="11.1" customHeight="1" x14ac:dyDescent="0.2">
      <c r="A15" s="113">
        <f t="shared" si="13"/>
        <v>13</v>
      </c>
      <c r="B15" s="94" t="s">
        <v>130</v>
      </c>
      <c r="C15" s="90" t="s">
        <v>131</v>
      </c>
      <c r="D15" s="65" t="s">
        <v>132</v>
      </c>
      <c r="E15" s="90" t="s">
        <v>133</v>
      </c>
      <c r="F15" s="65"/>
      <c r="G15" s="93" t="s">
        <v>79</v>
      </c>
      <c r="H15" s="65" t="s">
        <v>80</v>
      </c>
      <c r="I15" s="104" t="s">
        <v>81</v>
      </c>
      <c r="J15" s="104" t="s">
        <v>81</v>
      </c>
      <c r="K15" s="104" t="s">
        <v>82</v>
      </c>
      <c r="L15" s="94" t="s">
        <v>76</v>
      </c>
      <c r="M15" s="94" t="s">
        <v>76</v>
      </c>
      <c r="N15" s="101">
        <v>45145</v>
      </c>
      <c r="O15" s="104">
        <v>430</v>
      </c>
      <c r="P15" s="101">
        <v>45379</v>
      </c>
      <c r="Q15" s="101">
        <v>45379</v>
      </c>
      <c r="R15" s="65"/>
      <c r="S15" s="65"/>
      <c r="T15" s="65"/>
      <c r="U15" s="65"/>
      <c r="V15" s="103" t="s">
        <v>94</v>
      </c>
      <c r="W15" s="104">
        <f t="shared" si="0"/>
        <v>430</v>
      </c>
      <c r="X15" s="104">
        <f t="shared" si="1"/>
        <v>430</v>
      </c>
      <c r="Y15" s="67"/>
      <c r="Z15" s="64" t="s">
        <v>84</v>
      </c>
      <c r="AA15" s="65">
        <v>14000</v>
      </c>
      <c r="AB15" s="109">
        <v>45181</v>
      </c>
      <c r="AC15" s="66">
        <v>102</v>
      </c>
      <c r="AD15" s="67"/>
      <c r="AE15" s="104">
        <f t="shared" si="2"/>
        <v>430</v>
      </c>
      <c r="AF15" s="108" t="s">
        <v>85</v>
      </c>
      <c r="AG15" s="103" t="s">
        <v>94</v>
      </c>
      <c r="AH15" s="65">
        <v>102</v>
      </c>
      <c r="AI15" s="68">
        <f t="shared" si="3"/>
        <v>43860</v>
      </c>
      <c r="AJ15" s="67"/>
      <c r="AK15" s="95" t="s">
        <v>86</v>
      </c>
      <c r="AL15" s="104">
        <f t="shared" si="4"/>
        <v>430</v>
      </c>
      <c r="AM15" s="65">
        <v>20</v>
      </c>
      <c r="AN15" s="69">
        <f t="shared" si="5"/>
        <v>8600</v>
      </c>
      <c r="AO15" s="65"/>
      <c r="AP15" s="65"/>
      <c r="AQ15" s="69">
        <f t="shared" si="6"/>
        <v>0</v>
      </c>
      <c r="AR15" s="68">
        <f t="shared" si="7"/>
        <v>8600</v>
      </c>
      <c r="AS15" s="67"/>
      <c r="AT15" s="98" t="s">
        <v>87</v>
      </c>
      <c r="AU15" s="99">
        <v>45211</v>
      </c>
      <c r="AV15" s="69">
        <f t="shared" si="8"/>
        <v>20</v>
      </c>
      <c r="AW15" s="68">
        <f t="shared" si="9"/>
        <v>8600</v>
      </c>
      <c r="AX15" s="67"/>
      <c r="AY15" s="98" t="s">
        <v>88</v>
      </c>
      <c r="AZ15" s="99">
        <v>45257</v>
      </c>
      <c r="BA15" s="69">
        <f t="shared" si="10"/>
        <v>20</v>
      </c>
      <c r="BB15" s="69">
        <f t="shared" si="11"/>
        <v>430</v>
      </c>
      <c r="BC15" s="68">
        <f t="shared" si="12"/>
        <v>8600</v>
      </c>
      <c r="BD15" s="67"/>
    </row>
    <row r="16" spans="1:56" s="70" customFormat="1" ht="11.1" customHeight="1" x14ac:dyDescent="0.2">
      <c r="A16" s="113">
        <f t="shared" si="13"/>
        <v>14</v>
      </c>
      <c r="B16" s="94" t="s">
        <v>134</v>
      </c>
      <c r="C16" s="90" t="s">
        <v>90</v>
      </c>
      <c r="D16" s="65" t="s">
        <v>135</v>
      </c>
      <c r="E16" s="90" t="s">
        <v>136</v>
      </c>
      <c r="F16" s="65"/>
      <c r="G16" s="93" t="s">
        <v>79</v>
      </c>
      <c r="H16" s="65" t="s">
        <v>80</v>
      </c>
      <c r="I16" s="104" t="s">
        <v>81</v>
      </c>
      <c r="J16" s="104" t="s">
        <v>81</v>
      </c>
      <c r="K16" s="104" t="s">
        <v>82</v>
      </c>
      <c r="L16" s="94" t="s">
        <v>76</v>
      </c>
      <c r="M16" s="94" t="s">
        <v>76</v>
      </c>
      <c r="N16" s="101">
        <v>45145</v>
      </c>
      <c r="O16" s="104">
        <v>307</v>
      </c>
      <c r="P16" s="101">
        <v>45379</v>
      </c>
      <c r="Q16" s="101">
        <v>45379</v>
      </c>
      <c r="R16" s="65"/>
      <c r="S16" s="65"/>
      <c r="T16" s="65"/>
      <c r="U16" s="65"/>
      <c r="V16" s="103" t="s">
        <v>94</v>
      </c>
      <c r="W16" s="104">
        <f t="shared" si="0"/>
        <v>307</v>
      </c>
      <c r="X16" s="104">
        <f t="shared" si="1"/>
        <v>307</v>
      </c>
      <c r="Y16" s="67"/>
      <c r="Z16" s="64" t="s">
        <v>84</v>
      </c>
      <c r="AA16" s="65">
        <v>14000</v>
      </c>
      <c r="AB16" s="109">
        <v>45181</v>
      </c>
      <c r="AC16" s="66">
        <v>102</v>
      </c>
      <c r="AD16" s="67"/>
      <c r="AE16" s="104">
        <f t="shared" si="2"/>
        <v>307</v>
      </c>
      <c r="AF16" s="108" t="s">
        <v>85</v>
      </c>
      <c r="AG16" s="103" t="s">
        <v>94</v>
      </c>
      <c r="AH16" s="65">
        <v>102</v>
      </c>
      <c r="AI16" s="68">
        <f t="shared" si="3"/>
        <v>31314</v>
      </c>
      <c r="AJ16" s="67"/>
      <c r="AK16" s="95" t="s">
        <v>86</v>
      </c>
      <c r="AL16" s="104">
        <f t="shared" si="4"/>
        <v>307</v>
      </c>
      <c r="AM16" s="65">
        <v>20</v>
      </c>
      <c r="AN16" s="69">
        <f t="shared" si="5"/>
        <v>6140</v>
      </c>
      <c r="AO16" s="65"/>
      <c r="AP16" s="65"/>
      <c r="AQ16" s="69">
        <f t="shared" si="6"/>
        <v>0</v>
      </c>
      <c r="AR16" s="68">
        <f t="shared" si="7"/>
        <v>6140</v>
      </c>
      <c r="AS16" s="67"/>
      <c r="AT16" s="98" t="s">
        <v>87</v>
      </c>
      <c r="AU16" s="99">
        <v>45211</v>
      </c>
      <c r="AV16" s="69">
        <f t="shared" si="8"/>
        <v>20</v>
      </c>
      <c r="AW16" s="68">
        <f t="shared" si="9"/>
        <v>6140</v>
      </c>
      <c r="AX16" s="67"/>
      <c r="AY16" s="98" t="s">
        <v>88</v>
      </c>
      <c r="AZ16" s="99">
        <v>45257</v>
      </c>
      <c r="BA16" s="69">
        <f t="shared" si="10"/>
        <v>20</v>
      </c>
      <c r="BB16" s="69">
        <f t="shared" si="11"/>
        <v>307</v>
      </c>
      <c r="BC16" s="68">
        <f t="shared" si="12"/>
        <v>6140</v>
      </c>
      <c r="BD16" s="67"/>
    </row>
    <row r="17" spans="1:56" s="70" customFormat="1" ht="11.1" customHeight="1" x14ac:dyDescent="0.2">
      <c r="A17" s="113">
        <f t="shared" si="13"/>
        <v>15</v>
      </c>
      <c r="B17" s="94" t="s">
        <v>137</v>
      </c>
      <c r="C17" s="90" t="s">
        <v>138</v>
      </c>
      <c r="D17" s="65" t="s">
        <v>139</v>
      </c>
      <c r="E17" s="90" t="s">
        <v>140</v>
      </c>
      <c r="F17" s="65"/>
      <c r="G17" s="93" t="s">
        <v>79</v>
      </c>
      <c r="H17" s="65" t="s">
        <v>80</v>
      </c>
      <c r="I17" s="104" t="s">
        <v>81</v>
      </c>
      <c r="J17" s="104" t="s">
        <v>81</v>
      </c>
      <c r="K17" s="104" t="s">
        <v>82</v>
      </c>
      <c r="L17" s="94" t="s">
        <v>76</v>
      </c>
      <c r="M17" s="94" t="s">
        <v>76</v>
      </c>
      <c r="N17" s="101">
        <v>45092</v>
      </c>
      <c r="O17" s="104">
        <v>140</v>
      </c>
      <c r="P17" s="101">
        <v>45092</v>
      </c>
      <c r="Q17" s="101">
        <v>45092</v>
      </c>
      <c r="R17" s="65"/>
      <c r="S17" s="65"/>
      <c r="T17" s="65"/>
      <c r="U17" s="65"/>
      <c r="V17" s="103" t="s">
        <v>94</v>
      </c>
      <c r="W17" s="104">
        <v>140</v>
      </c>
      <c r="X17" s="104">
        <v>140</v>
      </c>
      <c r="Y17" s="67"/>
      <c r="Z17" s="64" t="s">
        <v>84</v>
      </c>
      <c r="AA17" s="65">
        <v>14000</v>
      </c>
      <c r="AB17" s="109">
        <v>45181</v>
      </c>
      <c r="AC17" s="66">
        <v>102</v>
      </c>
      <c r="AD17" s="67"/>
      <c r="AE17" s="104">
        <v>140</v>
      </c>
      <c r="AF17" s="108" t="s">
        <v>85</v>
      </c>
      <c r="AG17" s="103" t="s">
        <v>94</v>
      </c>
      <c r="AH17" s="65">
        <v>102</v>
      </c>
      <c r="AI17" s="68">
        <f t="shared" si="3"/>
        <v>14280</v>
      </c>
      <c r="AJ17" s="67"/>
      <c r="AK17" s="95" t="s">
        <v>86</v>
      </c>
      <c r="AL17" s="104">
        <v>140</v>
      </c>
      <c r="AM17" s="65">
        <v>20</v>
      </c>
      <c r="AN17" s="69">
        <f t="shared" si="5"/>
        <v>2800</v>
      </c>
      <c r="AO17" s="65"/>
      <c r="AP17" s="65"/>
      <c r="AQ17" s="69">
        <f t="shared" si="6"/>
        <v>0</v>
      </c>
      <c r="AR17" s="68">
        <f t="shared" si="7"/>
        <v>2800</v>
      </c>
      <c r="AS17" s="67"/>
      <c r="AT17" s="98" t="s">
        <v>141</v>
      </c>
      <c r="AU17" s="99">
        <v>45461</v>
      </c>
      <c r="AV17" s="69">
        <f t="shared" si="8"/>
        <v>20</v>
      </c>
      <c r="AW17" s="68">
        <f t="shared" si="9"/>
        <v>2800</v>
      </c>
      <c r="AX17" s="67"/>
      <c r="AY17" s="98" t="s">
        <v>142</v>
      </c>
      <c r="AZ17" s="99">
        <v>45461</v>
      </c>
      <c r="BA17" s="69">
        <f t="shared" si="10"/>
        <v>20</v>
      </c>
      <c r="BB17" s="69">
        <f t="shared" si="11"/>
        <v>140</v>
      </c>
      <c r="BC17" s="68">
        <f t="shared" si="12"/>
        <v>2800</v>
      </c>
      <c r="BD17" s="67"/>
    </row>
    <row r="18" spans="1:56" s="70" customFormat="1" ht="11.1" customHeight="1" x14ac:dyDescent="0.2">
      <c r="A18" s="113">
        <f t="shared" si="13"/>
        <v>16</v>
      </c>
      <c r="B18" s="94" t="s">
        <v>143</v>
      </c>
      <c r="C18" s="90" t="s">
        <v>144</v>
      </c>
      <c r="D18" s="65" t="s">
        <v>145</v>
      </c>
      <c r="E18" s="90" t="s">
        <v>146</v>
      </c>
      <c r="F18" s="65"/>
      <c r="G18" s="93" t="s">
        <v>79</v>
      </c>
      <c r="H18" s="65" t="s">
        <v>80</v>
      </c>
      <c r="I18" s="104" t="s">
        <v>81</v>
      </c>
      <c r="J18" s="104" t="s">
        <v>81</v>
      </c>
      <c r="K18" s="104" t="s">
        <v>82</v>
      </c>
      <c r="L18" s="94" t="s">
        <v>76</v>
      </c>
      <c r="M18" s="94" t="s">
        <v>76</v>
      </c>
      <c r="N18" s="101">
        <v>45092</v>
      </c>
      <c r="O18" s="104">
        <v>170</v>
      </c>
      <c r="P18" s="101">
        <v>45092</v>
      </c>
      <c r="Q18" s="101">
        <v>45092</v>
      </c>
      <c r="R18" s="65"/>
      <c r="S18" s="65"/>
      <c r="T18" s="65"/>
      <c r="U18" s="65"/>
      <c r="V18" s="103" t="s">
        <v>94</v>
      </c>
      <c r="W18" s="104">
        <v>170</v>
      </c>
      <c r="X18" s="104">
        <v>170</v>
      </c>
      <c r="Y18" s="67"/>
      <c r="Z18" s="64" t="s">
        <v>84</v>
      </c>
      <c r="AA18" s="65">
        <v>14000</v>
      </c>
      <c r="AB18" s="109">
        <v>45181</v>
      </c>
      <c r="AC18" s="66">
        <v>102</v>
      </c>
      <c r="AD18" s="67"/>
      <c r="AE18" s="104">
        <v>170</v>
      </c>
      <c r="AF18" s="108" t="s">
        <v>85</v>
      </c>
      <c r="AG18" s="103" t="s">
        <v>94</v>
      </c>
      <c r="AH18" s="65">
        <v>102</v>
      </c>
      <c r="AI18" s="68">
        <f t="shared" si="3"/>
        <v>17340</v>
      </c>
      <c r="AJ18" s="67"/>
      <c r="AK18" s="95" t="s">
        <v>86</v>
      </c>
      <c r="AL18" s="104">
        <v>170</v>
      </c>
      <c r="AM18" s="65">
        <v>20</v>
      </c>
      <c r="AN18" s="69">
        <f t="shared" si="5"/>
        <v>3400</v>
      </c>
      <c r="AO18" s="65"/>
      <c r="AP18" s="65"/>
      <c r="AQ18" s="69">
        <f t="shared" si="6"/>
        <v>0</v>
      </c>
      <c r="AR18" s="68">
        <f t="shared" si="7"/>
        <v>3400</v>
      </c>
      <c r="AS18" s="67"/>
      <c r="AT18" s="98" t="s">
        <v>141</v>
      </c>
      <c r="AU18" s="99">
        <v>45461</v>
      </c>
      <c r="AV18" s="69">
        <f t="shared" si="8"/>
        <v>20</v>
      </c>
      <c r="AW18" s="68">
        <f t="shared" si="9"/>
        <v>3400</v>
      </c>
      <c r="AX18" s="67"/>
      <c r="AY18" s="98" t="s">
        <v>142</v>
      </c>
      <c r="AZ18" s="99">
        <v>45461</v>
      </c>
      <c r="BA18" s="69">
        <f t="shared" si="10"/>
        <v>20</v>
      </c>
      <c r="BB18" s="69">
        <f t="shared" si="11"/>
        <v>170</v>
      </c>
      <c r="BC18" s="68">
        <f t="shared" si="12"/>
        <v>3400</v>
      </c>
      <c r="BD18" s="67"/>
    </row>
  </sheetData>
  <conditionalFormatting sqref="C7:C18">
    <cfRule type="duplicateValues" dxfId="35" priority="605"/>
  </conditionalFormatting>
  <conditionalFormatting sqref="E3">
    <cfRule type="duplicateValues" dxfId="34" priority="9"/>
    <cfRule type="duplicateValues" dxfId="33" priority="10"/>
  </conditionalFormatting>
  <conditionalFormatting sqref="E4">
    <cfRule type="duplicateValues" dxfId="32" priority="7"/>
    <cfRule type="duplicateValues" dxfId="31" priority="8"/>
  </conditionalFormatting>
  <conditionalFormatting sqref="E5">
    <cfRule type="duplicateValues" dxfId="30" priority="5"/>
    <cfRule type="duplicateValues" dxfId="29" priority="6"/>
  </conditionalFormatting>
  <conditionalFormatting sqref="E6">
    <cfRule type="duplicateValues" dxfId="28" priority="3"/>
    <cfRule type="duplicateValues" dxfId="27" priority="4"/>
  </conditionalFormatting>
  <conditionalFormatting sqref="E7:E18">
    <cfRule type="duplicateValues" dxfId="26" priority="1"/>
    <cfRule type="duplicateValues" dxfId="25" priority="2"/>
  </conditionalFormatting>
  <dataValidations disablePrompts="1" count="2">
    <dataValidation type="list" allowBlank="1" showInputMessage="1" showErrorMessage="1" sqref="AF3:AF18" xr:uid="{00000000-0002-0000-0300-000000000000}">
      <formula1>"ADSS, UA, A"</formula1>
    </dataValidation>
    <dataValidation type="list" allowBlank="1" showInputMessage="1" showErrorMessage="1" sqref="U3:U18" xr:uid="{00000000-0002-0000-0300-000002000000}">
      <formula1>"Fresh, Renewal"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B81"/>
  <sheetViews>
    <sheetView zoomScaleNormal="100" workbookViewId="0">
      <pane ySplit="2" topLeftCell="A57" activePane="bottomLeft" state="frozen"/>
      <selection activeCell="D110" sqref="D110"/>
      <selection pane="bottomLeft" activeCell="H81" sqref="H81"/>
    </sheetView>
  </sheetViews>
  <sheetFormatPr defaultRowHeight="15" x14ac:dyDescent="0.25"/>
  <cols>
    <col min="1" max="1" width="8.7109375" style="9" customWidth="1"/>
    <col min="2" max="2" width="14.5703125" customWidth="1"/>
    <col min="3" max="3" width="19.140625" bestFit="1" customWidth="1"/>
    <col min="4" max="4" width="34.140625" customWidth="1"/>
    <col min="5" max="5" width="13.5703125" bestFit="1" customWidth="1"/>
    <col min="6" max="6" width="17.140625" style="10" bestFit="1" customWidth="1"/>
    <col min="7" max="7" width="8.5703125" bestFit="1" customWidth="1"/>
    <col min="8" max="8" width="17.42578125" bestFit="1" customWidth="1"/>
    <col min="9" max="9" width="10.85546875" bestFit="1" customWidth="1"/>
    <col min="10" max="10" width="13.5703125" bestFit="1" customWidth="1"/>
    <col min="11" max="11" width="13.5703125" style="17" customWidth="1"/>
    <col min="12" max="12" width="10.42578125" style="8" bestFit="1" customWidth="1"/>
    <col min="13" max="13" width="15.5703125" style="8" bestFit="1" customWidth="1"/>
    <col min="14" max="14" width="12" style="8" customWidth="1"/>
    <col min="16" max="16" width="10" customWidth="1"/>
    <col min="17" max="17" width="13.28515625" customWidth="1"/>
    <col min="19" max="19" width="15" customWidth="1"/>
    <col min="20" max="20" width="13.42578125" customWidth="1"/>
    <col min="21" max="21" width="16.42578125" customWidth="1"/>
    <col min="22" max="22" width="1.7109375" customWidth="1"/>
    <col min="23" max="23" width="14.42578125" bestFit="1" customWidth="1"/>
    <col min="27" max="27" width="1.7109375" customWidth="1"/>
    <col min="28" max="28" width="14.5703125" customWidth="1"/>
    <col min="29" max="29" width="9.42578125" bestFit="1" customWidth="1"/>
    <col min="31" max="31" width="11.7109375" customWidth="1"/>
    <col min="33" max="33" width="1.7109375" customWidth="1"/>
    <col min="34" max="34" width="12.85546875" customWidth="1"/>
    <col min="35" max="35" width="16.42578125" customWidth="1"/>
    <col min="42" max="42" width="1.7109375" customWidth="1"/>
    <col min="44" max="44" width="10.42578125" bestFit="1" customWidth="1"/>
    <col min="47" max="47" width="1.7109375" customWidth="1"/>
    <col min="49" max="49" width="10.42578125" bestFit="1" customWidth="1"/>
    <col min="53" max="53" width="1.28515625" customWidth="1"/>
  </cols>
  <sheetData>
    <row r="1" spans="1:52" s="72" customFormat="1" ht="15.75" customHeight="1" thickBot="1" x14ac:dyDescent="0.3">
      <c r="A1" s="89"/>
      <c r="E1" s="72">
        <f>MATCH(E2,'Route-Details'!$B$2:$X$2,0)</f>
        <v>6</v>
      </c>
      <c r="F1" s="74">
        <f>MATCH(F2,'Route-Details'!$B$2:$X$2,0)</f>
        <v>7</v>
      </c>
      <c r="G1" s="72">
        <f>MATCH(G2,'Route-Details'!$B$2:$X$2,0)</f>
        <v>8</v>
      </c>
      <c r="H1" s="72">
        <f>MATCH(H2,'Route-Details'!$B$2:$X$2,0)</f>
        <v>9</v>
      </c>
      <c r="I1" s="72">
        <f>MATCH(I2,'Route-Details'!$B$2:$X$2,0)</f>
        <v>11</v>
      </c>
      <c r="J1" s="72">
        <f>MATCH(J2,'Route-Details'!$B$2:$X$2,0)</f>
        <v>12</v>
      </c>
      <c r="S1" s="72">
        <f>SUBTOTAL(9,S3:S1048576)</f>
        <v>7827</v>
      </c>
    </row>
    <row r="2" spans="1:52" s="25" customFormat="1" ht="33.950000000000003" customHeight="1" x14ac:dyDescent="0.25">
      <c r="A2" s="18" t="s">
        <v>0</v>
      </c>
      <c r="B2" s="19" t="s">
        <v>30</v>
      </c>
      <c r="C2" s="19" t="s">
        <v>147</v>
      </c>
      <c r="D2" s="19" t="s">
        <v>148</v>
      </c>
      <c r="E2" s="20" t="s">
        <v>32</v>
      </c>
      <c r="F2" s="21" t="s">
        <v>33</v>
      </c>
      <c r="G2" s="20" t="s">
        <v>34</v>
      </c>
      <c r="H2" s="20" t="s">
        <v>35</v>
      </c>
      <c r="I2" s="20" t="s">
        <v>37</v>
      </c>
      <c r="J2" s="20" t="s">
        <v>38</v>
      </c>
      <c r="K2" s="28" t="s">
        <v>39</v>
      </c>
      <c r="L2" s="22" t="s">
        <v>41</v>
      </c>
      <c r="M2" s="22" t="s">
        <v>42</v>
      </c>
      <c r="N2" s="22" t="s">
        <v>43</v>
      </c>
      <c r="O2" s="19" t="s">
        <v>44</v>
      </c>
      <c r="P2" s="19" t="s">
        <v>45</v>
      </c>
      <c r="Q2" s="19" t="s">
        <v>149</v>
      </c>
      <c r="R2" s="19" t="s">
        <v>47</v>
      </c>
      <c r="S2" s="19" t="s">
        <v>40</v>
      </c>
      <c r="T2" s="19" t="s">
        <v>48</v>
      </c>
      <c r="U2" s="23" t="s">
        <v>49</v>
      </c>
      <c r="V2" s="24"/>
      <c r="W2" s="18" t="s">
        <v>50</v>
      </c>
      <c r="X2" s="19" t="s">
        <v>51</v>
      </c>
      <c r="Y2" s="19" t="s">
        <v>52</v>
      </c>
      <c r="Z2" s="23" t="s">
        <v>53</v>
      </c>
      <c r="AA2" s="24"/>
      <c r="AB2" s="18" t="s">
        <v>54</v>
      </c>
      <c r="AC2" s="19" t="s">
        <v>55</v>
      </c>
      <c r="AD2" s="19" t="s">
        <v>47</v>
      </c>
      <c r="AE2" s="19" t="s">
        <v>56</v>
      </c>
      <c r="AF2" s="27" t="s">
        <v>57</v>
      </c>
      <c r="AG2" s="24"/>
      <c r="AH2" s="18" t="s">
        <v>58</v>
      </c>
      <c r="AI2" s="19" t="s">
        <v>59</v>
      </c>
      <c r="AJ2" s="19" t="s">
        <v>60</v>
      </c>
      <c r="AK2" s="20" t="s">
        <v>61</v>
      </c>
      <c r="AL2" s="19" t="s">
        <v>62</v>
      </c>
      <c r="AM2" s="19" t="s">
        <v>63</v>
      </c>
      <c r="AN2" s="20" t="s">
        <v>64</v>
      </c>
      <c r="AO2" s="27" t="s">
        <v>65</v>
      </c>
      <c r="AP2" s="24"/>
      <c r="AQ2" s="18" t="s">
        <v>66</v>
      </c>
      <c r="AR2" s="19" t="s">
        <v>67</v>
      </c>
      <c r="AS2" s="20" t="s">
        <v>68</v>
      </c>
      <c r="AT2" s="27" t="s">
        <v>69</v>
      </c>
      <c r="AU2" s="24"/>
      <c r="AV2" s="18" t="s">
        <v>70</v>
      </c>
      <c r="AW2" s="19" t="s">
        <v>71</v>
      </c>
      <c r="AX2" s="20" t="s">
        <v>72</v>
      </c>
      <c r="AY2" s="20" t="s">
        <v>73</v>
      </c>
      <c r="AZ2" s="27" t="s">
        <v>74</v>
      </c>
    </row>
    <row r="3" spans="1:52" s="60" customFormat="1" ht="11.1" customHeight="1" x14ac:dyDescent="0.2">
      <c r="A3" s="53">
        <v>1</v>
      </c>
      <c r="B3" s="90" t="s">
        <v>78</v>
      </c>
      <c r="C3" s="104" t="s">
        <v>77</v>
      </c>
      <c r="D3" s="101" t="s">
        <v>75</v>
      </c>
      <c r="E3" s="111" t="str">
        <f>_xlfn.IFNA(VLOOKUP($D3,'Route-Details'!$B$2:$X$1048576,'Node Details'!E$1,0),"")</f>
        <v>Airtel</v>
      </c>
      <c r="F3" s="111" t="str">
        <f>_xlfn.IFNA(VLOOKUP($D3,'Route-Details'!$B$2:$X$1048576,'Node Details'!F$1,0),"")</f>
        <v>Gorai</v>
      </c>
      <c r="G3" s="111" t="str">
        <f>_xlfn.IFNA(VLOOKUP($D3,'Route-Details'!$B$2:$X$1048576,'Node Details'!G$1,0),"")</f>
        <v>Mumbai</v>
      </c>
      <c r="H3" s="111" t="str">
        <f>_xlfn.IFNA(VLOOKUP($D4,'Route-Details'!$B$2:$X$1048576,'Node Details'!H$1,0),"")</f>
        <v>Mumbai</v>
      </c>
      <c r="I3" s="111" t="str">
        <f>_xlfn.IFNA(VLOOKUP($D3,'Route-Details'!$B$2:$X$1048576,'Node Details'!I$1,0),"")</f>
        <v>1GF</v>
      </c>
      <c r="J3" s="111" t="str">
        <f>_xlfn.IFNA(VLOOKUP($D3,'Route-Details'!$B$2:$X$1048576,'Node Details'!J$1,0),"")</f>
        <v>1GF</v>
      </c>
      <c r="K3" s="101">
        <v>45141</v>
      </c>
      <c r="L3" s="101">
        <v>45141</v>
      </c>
      <c r="M3" s="102">
        <v>45379</v>
      </c>
      <c r="N3" s="55"/>
      <c r="O3" s="54"/>
      <c r="P3" s="54"/>
      <c r="Q3" s="54"/>
      <c r="R3" s="103" t="s">
        <v>83</v>
      </c>
      <c r="S3" s="104">
        <v>829</v>
      </c>
      <c r="T3" s="104">
        <v>829</v>
      </c>
      <c r="U3" s="104">
        <v>829</v>
      </c>
      <c r="V3" s="105"/>
      <c r="W3" s="64" t="s">
        <v>84</v>
      </c>
      <c r="X3" s="104">
        <v>3500</v>
      </c>
      <c r="Y3" s="109">
        <v>45181</v>
      </c>
      <c r="Z3" s="106">
        <v>122</v>
      </c>
      <c r="AA3" s="105"/>
      <c r="AB3" s="104">
        <v>829</v>
      </c>
      <c r="AC3" s="65" t="s">
        <v>85</v>
      </c>
      <c r="AD3" s="103" t="s">
        <v>83</v>
      </c>
      <c r="AE3" s="54">
        <v>20</v>
      </c>
      <c r="AF3" s="52">
        <f t="shared" ref="AF3:AF66" si="0">IF(AB3&lt;&gt;"",AE3*AB3,0)</f>
        <v>16580</v>
      </c>
      <c r="AG3" s="56"/>
      <c r="AH3" s="98" t="s">
        <v>86</v>
      </c>
      <c r="AI3" s="104">
        <v>829</v>
      </c>
      <c r="AJ3" s="54">
        <v>20</v>
      </c>
      <c r="AK3" s="47">
        <f t="shared" ref="AK3:AK66" si="1">IF(AI3&lt;&gt;"",AJ3*AI3,0)</f>
        <v>16580</v>
      </c>
      <c r="AL3" s="54"/>
      <c r="AM3" s="54"/>
      <c r="AN3" s="47">
        <f t="shared" ref="AN3:AN66" si="2">IF(AL3&lt;&gt;"",AM3*AL3,0)</f>
        <v>0</v>
      </c>
      <c r="AO3" s="48">
        <f t="shared" ref="AO3:AO66" si="3">AN3+AK3</f>
        <v>16580</v>
      </c>
      <c r="AP3" s="56"/>
      <c r="AQ3" s="98" t="s">
        <v>87</v>
      </c>
      <c r="AR3" s="99">
        <v>45211</v>
      </c>
      <c r="AS3" s="57">
        <f t="shared" ref="AS3:AS66" si="4">AJ3</f>
        <v>20</v>
      </c>
      <c r="AT3" s="52">
        <f t="shared" ref="AT3:AT66" si="5">AS3*AI3</f>
        <v>16580</v>
      </c>
      <c r="AU3" s="56"/>
      <c r="AV3" s="98" t="s">
        <v>88</v>
      </c>
      <c r="AW3" s="99">
        <v>45257</v>
      </c>
      <c r="AX3" s="58">
        <f t="shared" ref="AX3:AX66" si="6">AJ3</f>
        <v>20</v>
      </c>
      <c r="AY3" s="58">
        <f t="shared" ref="AY3:AY66" si="7">AI3</f>
        <v>829</v>
      </c>
      <c r="AZ3" s="59">
        <f t="shared" ref="AZ3:AZ66" si="8">IF(AY3&lt;&gt;"",AY3*AX3,0)</f>
        <v>16580</v>
      </c>
    </row>
    <row r="4" spans="1:52" s="60" customFormat="1" ht="11.1" customHeight="1" x14ac:dyDescent="0.2">
      <c r="A4" s="53">
        <f t="shared" ref="A4:A67" si="9">A3+1</f>
        <v>2</v>
      </c>
      <c r="B4" s="90" t="s">
        <v>150</v>
      </c>
      <c r="C4" s="104" t="s">
        <v>96</v>
      </c>
      <c r="D4" s="101" t="s">
        <v>95</v>
      </c>
      <c r="E4" s="111" t="str">
        <f>_xlfn.IFNA(VLOOKUP($D4,'Route-Details'!$B$2:$X$1048576,'Node Details'!E$1,0),"")</f>
        <v>Airtel</v>
      </c>
      <c r="F4" s="111" t="str">
        <f>_xlfn.IFNA(VLOOKUP($D4,'Route-Details'!$B$2:$X$1048576,'Node Details'!F$1,0),"")</f>
        <v>Gorai</v>
      </c>
      <c r="G4" s="111" t="str">
        <f>_xlfn.IFNA(VLOOKUP($D4,'Route-Details'!$B$2:$X$1048576,'Node Details'!G$1,0),"")</f>
        <v>Mumbai</v>
      </c>
      <c r="H4" s="111" t="str">
        <f>_xlfn.IFNA(VLOOKUP($D5,'Route-Details'!$B$2:$X$1048576,'Node Details'!H$1,0),"")</f>
        <v>Mumbai</v>
      </c>
      <c r="I4" s="111" t="str">
        <f>_xlfn.IFNA(VLOOKUP($D4,'Route-Details'!$B$2:$X$1048576,'Node Details'!I$1,0),"")</f>
        <v>1GF</v>
      </c>
      <c r="J4" s="111" t="str">
        <f>_xlfn.IFNA(VLOOKUP($D4,'Route-Details'!$B$2:$X$1048576,'Node Details'!J$1,0),"")</f>
        <v>1GF</v>
      </c>
      <c r="K4" s="101">
        <v>45141</v>
      </c>
      <c r="L4" s="101">
        <v>45141</v>
      </c>
      <c r="M4" s="102">
        <v>45379</v>
      </c>
      <c r="N4" s="55"/>
      <c r="O4" s="54"/>
      <c r="P4" s="54"/>
      <c r="Q4" s="54"/>
      <c r="R4" s="103" t="s">
        <v>83</v>
      </c>
      <c r="S4" s="104">
        <v>80</v>
      </c>
      <c r="T4" s="104">
        <v>80</v>
      </c>
      <c r="U4" s="104">
        <v>80</v>
      </c>
      <c r="V4" s="105"/>
      <c r="W4" s="64" t="s">
        <v>84</v>
      </c>
      <c r="X4" s="104">
        <v>3500</v>
      </c>
      <c r="Y4" s="109">
        <v>45181</v>
      </c>
      <c r="Z4" s="106">
        <v>122</v>
      </c>
      <c r="AA4" s="105"/>
      <c r="AB4" s="104">
        <v>80</v>
      </c>
      <c r="AC4" s="65" t="s">
        <v>85</v>
      </c>
      <c r="AD4" s="103" t="s">
        <v>83</v>
      </c>
      <c r="AE4" s="54">
        <v>20</v>
      </c>
      <c r="AF4" s="52">
        <f t="shared" si="0"/>
        <v>1600</v>
      </c>
      <c r="AG4" s="56"/>
      <c r="AH4" s="98" t="s">
        <v>86</v>
      </c>
      <c r="AI4" s="104">
        <v>80</v>
      </c>
      <c r="AJ4" s="54">
        <v>20</v>
      </c>
      <c r="AK4" s="47">
        <f t="shared" si="1"/>
        <v>1600</v>
      </c>
      <c r="AL4" s="54"/>
      <c r="AM4" s="54"/>
      <c r="AN4" s="47">
        <f t="shared" si="2"/>
        <v>0</v>
      </c>
      <c r="AO4" s="48">
        <f t="shared" si="3"/>
        <v>1600</v>
      </c>
      <c r="AP4" s="56"/>
      <c r="AQ4" s="98" t="s">
        <v>87</v>
      </c>
      <c r="AR4" s="99">
        <v>45211</v>
      </c>
      <c r="AS4" s="57">
        <f t="shared" si="4"/>
        <v>20</v>
      </c>
      <c r="AT4" s="52">
        <f t="shared" si="5"/>
        <v>1600</v>
      </c>
      <c r="AU4" s="56"/>
      <c r="AV4" s="98" t="s">
        <v>88</v>
      </c>
      <c r="AW4" s="99">
        <v>45257</v>
      </c>
      <c r="AX4" s="58">
        <f t="shared" si="6"/>
        <v>20</v>
      </c>
      <c r="AY4" s="58">
        <f t="shared" si="7"/>
        <v>80</v>
      </c>
      <c r="AZ4" s="59">
        <f t="shared" si="8"/>
        <v>1600</v>
      </c>
    </row>
    <row r="5" spans="1:52" s="60" customFormat="1" ht="11.1" customHeight="1" x14ac:dyDescent="0.2">
      <c r="A5" s="53">
        <f t="shared" si="9"/>
        <v>3</v>
      </c>
      <c r="B5" s="90" t="s">
        <v>151</v>
      </c>
      <c r="C5" s="104" t="s">
        <v>96</v>
      </c>
      <c r="D5" s="101" t="s">
        <v>95</v>
      </c>
      <c r="E5" s="111" t="str">
        <f>_xlfn.IFNA(VLOOKUP($D5,'Route-Details'!$B$2:$X$1048576,'Node Details'!E$1,0),"")</f>
        <v>Airtel</v>
      </c>
      <c r="F5" s="111" t="str">
        <f>_xlfn.IFNA(VLOOKUP($D5,'Route-Details'!$B$2:$X$1048576,'Node Details'!F$1,0),"")</f>
        <v>Gorai</v>
      </c>
      <c r="G5" s="111" t="str">
        <f>_xlfn.IFNA(VLOOKUP($D5,'Route-Details'!$B$2:$X$1048576,'Node Details'!G$1,0),"")</f>
        <v>Mumbai</v>
      </c>
      <c r="H5" s="111" t="str">
        <f>_xlfn.IFNA(VLOOKUP($D6,'Route-Details'!$B$2:$X$1048576,'Node Details'!H$1,0),"")</f>
        <v>Mumbai</v>
      </c>
      <c r="I5" s="111" t="str">
        <f>_xlfn.IFNA(VLOOKUP($D5,'Route-Details'!$B$2:$X$1048576,'Node Details'!I$1,0),"")</f>
        <v>1GF</v>
      </c>
      <c r="J5" s="111" t="str">
        <f>_xlfn.IFNA(VLOOKUP($D5,'Route-Details'!$B$2:$X$1048576,'Node Details'!J$1,0),"")</f>
        <v>1GF</v>
      </c>
      <c r="K5" s="101">
        <v>45141</v>
      </c>
      <c r="L5" s="101">
        <v>45141</v>
      </c>
      <c r="M5" s="102">
        <v>45379</v>
      </c>
      <c r="N5" s="55"/>
      <c r="O5" s="54"/>
      <c r="P5" s="54"/>
      <c r="Q5" s="54"/>
      <c r="R5" s="103" t="s">
        <v>83</v>
      </c>
      <c r="S5" s="104">
        <v>80</v>
      </c>
      <c r="T5" s="104">
        <v>80</v>
      </c>
      <c r="U5" s="104">
        <v>80</v>
      </c>
      <c r="V5" s="105"/>
      <c r="W5" s="64" t="s">
        <v>84</v>
      </c>
      <c r="X5" s="104">
        <v>3500</v>
      </c>
      <c r="Y5" s="109">
        <v>45181</v>
      </c>
      <c r="Z5" s="106">
        <v>122</v>
      </c>
      <c r="AA5" s="105"/>
      <c r="AB5" s="104">
        <v>80</v>
      </c>
      <c r="AC5" s="65" t="s">
        <v>85</v>
      </c>
      <c r="AD5" s="103" t="s">
        <v>83</v>
      </c>
      <c r="AE5" s="54">
        <v>20</v>
      </c>
      <c r="AF5" s="52">
        <f t="shared" si="0"/>
        <v>1600</v>
      </c>
      <c r="AG5" s="56"/>
      <c r="AH5" s="98" t="s">
        <v>86</v>
      </c>
      <c r="AI5" s="104">
        <v>80</v>
      </c>
      <c r="AJ5" s="54">
        <v>20</v>
      </c>
      <c r="AK5" s="47">
        <f t="shared" si="1"/>
        <v>1600</v>
      </c>
      <c r="AL5" s="54"/>
      <c r="AM5" s="54"/>
      <c r="AN5" s="47">
        <f t="shared" si="2"/>
        <v>0</v>
      </c>
      <c r="AO5" s="48">
        <f t="shared" si="3"/>
        <v>1600</v>
      </c>
      <c r="AP5" s="56"/>
      <c r="AQ5" s="98" t="s">
        <v>87</v>
      </c>
      <c r="AR5" s="99">
        <v>45211</v>
      </c>
      <c r="AS5" s="57">
        <f t="shared" si="4"/>
        <v>20</v>
      </c>
      <c r="AT5" s="52">
        <f t="shared" si="5"/>
        <v>1600</v>
      </c>
      <c r="AU5" s="56"/>
      <c r="AV5" s="98" t="s">
        <v>88</v>
      </c>
      <c r="AW5" s="99">
        <v>45257</v>
      </c>
      <c r="AX5" s="58">
        <f t="shared" si="6"/>
        <v>20</v>
      </c>
      <c r="AY5" s="58">
        <f t="shared" si="7"/>
        <v>80</v>
      </c>
      <c r="AZ5" s="59">
        <f t="shared" si="8"/>
        <v>1600</v>
      </c>
    </row>
    <row r="6" spans="1:52" s="60" customFormat="1" ht="11.1" customHeight="1" x14ac:dyDescent="0.2">
      <c r="A6" s="53">
        <f t="shared" si="9"/>
        <v>4</v>
      </c>
      <c r="B6" s="90" t="s">
        <v>152</v>
      </c>
      <c r="C6" s="104" t="s">
        <v>96</v>
      </c>
      <c r="D6" s="101" t="s">
        <v>95</v>
      </c>
      <c r="E6" s="111" t="str">
        <f>_xlfn.IFNA(VLOOKUP($D6,'Route-Details'!$B$2:$X$1048576,'Node Details'!E$1,0),"")</f>
        <v>Airtel</v>
      </c>
      <c r="F6" s="111" t="str">
        <f>_xlfn.IFNA(VLOOKUP($D6,'Route-Details'!$B$2:$X$1048576,'Node Details'!F$1,0),"")</f>
        <v>Gorai</v>
      </c>
      <c r="G6" s="111" t="str">
        <f>_xlfn.IFNA(VLOOKUP($D6,'Route-Details'!$B$2:$X$1048576,'Node Details'!G$1,0),"")</f>
        <v>Mumbai</v>
      </c>
      <c r="H6" s="111" t="str">
        <f>_xlfn.IFNA(VLOOKUP($D7,'Route-Details'!$B$2:$X$1048576,'Node Details'!H$1,0),"")</f>
        <v>Mumbai</v>
      </c>
      <c r="I6" s="111" t="str">
        <f>_xlfn.IFNA(VLOOKUP($D6,'Route-Details'!$B$2:$X$1048576,'Node Details'!I$1,0),"")</f>
        <v>1GF</v>
      </c>
      <c r="J6" s="111" t="str">
        <f>_xlfn.IFNA(VLOOKUP($D6,'Route-Details'!$B$2:$X$1048576,'Node Details'!J$1,0),"")</f>
        <v>1GF</v>
      </c>
      <c r="K6" s="101">
        <v>45141</v>
      </c>
      <c r="L6" s="101">
        <v>45141</v>
      </c>
      <c r="M6" s="102">
        <v>45379</v>
      </c>
      <c r="N6" s="55"/>
      <c r="O6" s="54"/>
      <c r="P6" s="54"/>
      <c r="Q6" s="54"/>
      <c r="R6" s="103" t="s">
        <v>83</v>
      </c>
      <c r="S6" s="104">
        <v>33</v>
      </c>
      <c r="T6" s="104">
        <v>33</v>
      </c>
      <c r="U6" s="104">
        <v>33</v>
      </c>
      <c r="V6" s="105"/>
      <c r="W6" s="64" t="s">
        <v>84</v>
      </c>
      <c r="X6" s="104">
        <v>3500</v>
      </c>
      <c r="Y6" s="109">
        <v>45181</v>
      </c>
      <c r="Z6" s="106">
        <v>122</v>
      </c>
      <c r="AA6" s="105"/>
      <c r="AB6" s="104">
        <v>33</v>
      </c>
      <c r="AC6" s="65" t="s">
        <v>85</v>
      </c>
      <c r="AD6" s="103" t="s">
        <v>83</v>
      </c>
      <c r="AE6" s="54">
        <v>20</v>
      </c>
      <c r="AF6" s="52">
        <f t="shared" si="0"/>
        <v>660</v>
      </c>
      <c r="AG6" s="56"/>
      <c r="AH6" s="98" t="s">
        <v>86</v>
      </c>
      <c r="AI6" s="104">
        <v>33</v>
      </c>
      <c r="AJ6" s="54">
        <v>20</v>
      </c>
      <c r="AK6" s="47">
        <f t="shared" si="1"/>
        <v>660</v>
      </c>
      <c r="AL6" s="54"/>
      <c r="AM6" s="54"/>
      <c r="AN6" s="47">
        <f t="shared" si="2"/>
        <v>0</v>
      </c>
      <c r="AO6" s="48">
        <f t="shared" si="3"/>
        <v>660</v>
      </c>
      <c r="AP6" s="56"/>
      <c r="AQ6" s="98" t="s">
        <v>87</v>
      </c>
      <c r="AR6" s="99">
        <v>45211</v>
      </c>
      <c r="AS6" s="57">
        <f t="shared" si="4"/>
        <v>20</v>
      </c>
      <c r="AT6" s="52">
        <f t="shared" si="5"/>
        <v>660</v>
      </c>
      <c r="AU6" s="56"/>
      <c r="AV6" s="98" t="s">
        <v>88</v>
      </c>
      <c r="AW6" s="99">
        <v>45257</v>
      </c>
      <c r="AX6" s="58">
        <f t="shared" si="6"/>
        <v>20</v>
      </c>
      <c r="AY6" s="58">
        <f t="shared" si="7"/>
        <v>33</v>
      </c>
      <c r="AZ6" s="59">
        <f t="shared" si="8"/>
        <v>660</v>
      </c>
    </row>
    <row r="7" spans="1:52" s="60" customFormat="1" ht="11.1" customHeight="1" x14ac:dyDescent="0.2">
      <c r="A7" s="53">
        <f t="shared" si="9"/>
        <v>5</v>
      </c>
      <c r="B7" s="90" t="s">
        <v>153</v>
      </c>
      <c r="C7" s="104" t="s">
        <v>96</v>
      </c>
      <c r="D7" s="101" t="s">
        <v>95</v>
      </c>
      <c r="E7" s="111" t="str">
        <f>_xlfn.IFNA(VLOOKUP($D7,'Route-Details'!$B$2:$X$1048576,'Node Details'!E$1,0),"")</f>
        <v>Airtel</v>
      </c>
      <c r="F7" s="111" t="str">
        <f>_xlfn.IFNA(VLOOKUP($D7,'Route-Details'!$B$2:$X$1048576,'Node Details'!F$1,0),"")</f>
        <v>Gorai</v>
      </c>
      <c r="G7" s="111" t="str">
        <f>_xlfn.IFNA(VLOOKUP($D7,'Route-Details'!$B$2:$X$1048576,'Node Details'!G$1,0),"")</f>
        <v>Mumbai</v>
      </c>
      <c r="H7" s="111" t="str">
        <f>_xlfn.IFNA(VLOOKUP($D8,'Route-Details'!$B$2:$X$1048576,'Node Details'!H$1,0),"")</f>
        <v>Mumbai</v>
      </c>
      <c r="I7" s="111" t="str">
        <f>_xlfn.IFNA(VLOOKUP($D7,'Route-Details'!$B$2:$X$1048576,'Node Details'!I$1,0),"")</f>
        <v>1GF</v>
      </c>
      <c r="J7" s="111" t="str">
        <f>_xlfn.IFNA(VLOOKUP($D7,'Route-Details'!$B$2:$X$1048576,'Node Details'!J$1,0),"")</f>
        <v>1GF</v>
      </c>
      <c r="K7" s="101">
        <v>45141</v>
      </c>
      <c r="L7" s="101">
        <v>45141</v>
      </c>
      <c r="M7" s="102">
        <v>45379</v>
      </c>
      <c r="N7" s="55"/>
      <c r="O7" s="54"/>
      <c r="P7" s="54"/>
      <c r="Q7" s="54"/>
      <c r="R7" s="103" t="s">
        <v>83</v>
      </c>
      <c r="S7" s="104">
        <v>36</v>
      </c>
      <c r="T7" s="104">
        <v>36</v>
      </c>
      <c r="U7" s="104">
        <v>36</v>
      </c>
      <c r="V7" s="105"/>
      <c r="W7" s="64" t="s">
        <v>84</v>
      </c>
      <c r="X7" s="104">
        <v>3500</v>
      </c>
      <c r="Y7" s="109">
        <v>45181</v>
      </c>
      <c r="Z7" s="106">
        <v>122</v>
      </c>
      <c r="AA7" s="105"/>
      <c r="AB7" s="104">
        <v>36</v>
      </c>
      <c r="AC7" s="65" t="s">
        <v>85</v>
      </c>
      <c r="AD7" s="103" t="s">
        <v>83</v>
      </c>
      <c r="AE7" s="54">
        <v>20</v>
      </c>
      <c r="AF7" s="52">
        <f t="shared" si="0"/>
        <v>720</v>
      </c>
      <c r="AG7" s="56"/>
      <c r="AH7" s="98" t="s">
        <v>86</v>
      </c>
      <c r="AI7" s="104">
        <v>36</v>
      </c>
      <c r="AJ7" s="54">
        <v>20</v>
      </c>
      <c r="AK7" s="47">
        <f t="shared" si="1"/>
        <v>720</v>
      </c>
      <c r="AL7" s="54"/>
      <c r="AM7" s="54"/>
      <c r="AN7" s="47">
        <f t="shared" si="2"/>
        <v>0</v>
      </c>
      <c r="AO7" s="48">
        <f t="shared" si="3"/>
        <v>720</v>
      </c>
      <c r="AP7" s="56"/>
      <c r="AQ7" s="98" t="s">
        <v>87</v>
      </c>
      <c r="AR7" s="99">
        <v>45211</v>
      </c>
      <c r="AS7" s="57">
        <f t="shared" si="4"/>
        <v>20</v>
      </c>
      <c r="AT7" s="52">
        <f t="shared" si="5"/>
        <v>720</v>
      </c>
      <c r="AU7" s="56"/>
      <c r="AV7" s="98" t="s">
        <v>88</v>
      </c>
      <c r="AW7" s="99">
        <v>45257</v>
      </c>
      <c r="AX7" s="58">
        <f t="shared" si="6"/>
        <v>20</v>
      </c>
      <c r="AY7" s="58">
        <f t="shared" si="7"/>
        <v>36</v>
      </c>
      <c r="AZ7" s="59">
        <f t="shared" si="8"/>
        <v>720</v>
      </c>
    </row>
    <row r="8" spans="1:52" s="60" customFormat="1" ht="11.1" customHeight="1" x14ac:dyDescent="0.2">
      <c r="A8" s="53">
        <f t="shared" si="9"/>
        <v>6</v>
      </c>
      <c r="B8" s="90" t="s">
        <v>154</v>
      </c>
      <c r="C8" s="104" t="s">
        <v>96</v>
      </c>
      <c r="D8" s="101" t="s">
        <v>95</v>
      </c>
      <c r="E8" s="111" t="str">
        <f>_xlfn.IFNA(VLOOKUP($D8,'Route-Details'!$B$2:$X$1048576,'Node Details'!E$1,0),"")</f>
        <v>Airtel</v>
      </c>
      <c r="F8" s="111" t="str">
        <f>_xlfn.IFNA(VLOOKUP($D8,'Route-Details'!$B$2:$X$1048576,'Node Details'!F$1,0),"")</f>
        <v>Gorai</v>
      </c>
      <c r="G8" s="111" t="str">
        <f>_xlfn.IFNA(VLOOKUP($D8,'Route-Details'!$B$2:$X$1048576,'Node Details'!G$1,0),"")</f>
        <v>Mumbai</v>
      </c>
      <c r="H8" s="111" t="str">
        <f>_xlfn.IFNA(VLOOKUP($D9,'Route-Details'!$B$2:$X$1048576,'Node Details'!H$1,0),"")</f>
        <v>Mumbai</v>
      </c>
      <c r="I8" s="111" t="str">
        <f>_xlfn.IFNA(VLOOKUP($D8,'Route-Details'!$B$2:$X$1048576,'Node Details'!I$1,0),"")</f>
        <v>1GF</v>
      </c>
      <c r="J8" s="111" t="str">
        <f>_xlfn.IFNA(VLOOKUP($D8,'Route-Details'!$B$2:$X$1048576,'Node Details'!J$1,0),"")</f>
        <v>1GF</v>
      </c>
      <c r="K8" s="101">
        <v>45141</v>
      </c>
      <c r="L8" s="101">
        <v>45141</v>
      </c>
      <c r="M8" s="102">
        <v>45379</v>
      </c>
      <c r="N8" s="55"/>
      <c r="O8" s="54"/>
      <c r="P8" s="54"/>
      <c r="Q8" s="54"/>
      <c r="R8" s="103" t="s">
        <v>83</v>
      </c>
      <c r="S8" s="104">
        <v>34</v>
      </c>
      <c r="T8" s="104">
        <v>34</v>
      </c>
      <c r="U8" s="104">
        <v>34</v>
      </c>
      <c r="V8" s="105"/>
      <c r="W8" s="64" t="s">
        <v>84</v>
      </c>
      <c r="X8" s="104">
        <v>3500</v>
      </c>
      <c r="Y8" s="109">
        <v>45181</v>
      </c>
      <c r="Z8" s="106">
        <v>122</v>
      </c>
      <c r="AA8" s="105"/>
      <c r="AB8" s="104">
        <v>34</v>
      </c>
      <c r="AC8" s="65" t="s">
        <v>85</v>
      </c>
      <c r="AD8" s="103" t="s">
        <v>83</v>
      </c>
      <c r="AE8" s="54">
        <v>20</v>
      </c>
      <c r="AF8" s="52">
        <f t="shared" si="0"/>
        <v>680</v>
      </c>
      <c r="AG8" s="56"/>
      <c r="AH8" s="98" t="s">
        <v>86</v>
      </c>
      <c r="AI8" s="104">
        <v>34</v>
      </c>
      <c r="AJ8" s="54">
        <v>20</v>
      </c>
      <c r="AK8" s="47">
        <f t="shared" si="1"/>
        <v>680</v>
      </c>
      <c r="AL8" s="54"/>
      <c r="AM8" s="54"/>
      <c r="AN8" s="47">
        <f t="shared" si="2"/>
        <v>0</v>
      </c>
      <c r="AO8" s="48">
        <f t="shared" si="3"/>
        <v>680</v>
      </c>
      <c r="AP8" s="56"/>
      <c r="AQ8" s="98" t="s">
        <v>87</v>
      </c>
      <c r="AR8" s="99">
        <v>45211</v>
      </c>
      <c r="AS8" s="57">
        <f t="shared" si="4"/>
        <v>20</v>
      </c>
      <c r="AT8" s="52">
        <f t="shared" si="5"/>
        <v>680</v>
      </c>
      <c r="AU8" s="56"/>
      <c r="AV8" s="98" t="s">
        <v>88</v>
      </c>
      <c r="AW8" s="99">
        <v>45257</v>
      </c>
      <c r="AX8" s="58">
        <f t="shared" si="6"/>
        <v>20</v>
      </c>
      <c r="AY8" s="58">
        <f t="shared" si="7"/>
        <v>34</v>
      </c>
      <c r="AZ8" s="59">
        <f t="shared" si="8"/>
        <v>680</v>
      </c>
    </row>
    <row r="9" spans="1:52" s="60" customFormat="1" ht="11.1" customHeight="1" x14ac:dyDescent="0.2">
      <c r="A9" s="53">
        <f t="shared" si="9"/>
        <v>7</v>
      </c>
      <c r="B9" s="90" t="s">
        <v>97</v>
      </c>
      <c r="C9" s="104" t="s">
        <v>96</v>
      </c>
      <c r="D9" s="101" t="s">
        <v>95</v>
      </c>
      <c r="E9" s="111" t="str">
        <f>_xlfn.IFNA(VLOOKUP($D9,'Route-Details'!$B$2:$X$1048576,'Node Details'!E$1,0),"")</f>
        <v>Airtel</v>
      </c>
      <c r="F9" s="111" t="str">
        <f>_xlfn.IFNA(VLOOKUP($D9,'Route-Details'!$B$2:$X$1048576,'Node Details'!F$1,0),"")</f>
        <v>Gorai</v>
      </c>
      <c r="G9" s="111" t="str">
        <f>_xlfn.IFNA(VLOOKUP($D9,'Route-Details'!$B$2:$X$1048576,'Node Details'!G$1,0),"")</f>
        <v>Mumbai</v>
      </c>
      <c r="H9" s="111" t="str">
        <f>_xlfn.IFNA(VLOOKUP($D10,'Route-Details'!$B$2:$X$1048576,'Node Details'!H$1,0),"")</f>
        <v>Mumbai</v>
      </c>
      <c r="I9" s="111" t="str">
        <f>_xlfn.IFNA(VLOOKUP($D9,'Route-Details'!$B$2:$X$1048576,'Node Details'!I$1,0),"")</f>
        <v>1GF</v>
      </c>
      <c r="J9" s="111" t="str">
        <f>_xlfn.IFNA(VLOOKUP($D9,'Route-Details'!$B$2:$X$1048576,'Node Details'!J$1,0),"")</f>
        <v>1GF</v>
      </c>
      <c r="K9" s="101">
        <v>45141</v>
      </c>
      <c r="L9" s="101">
        <v>45141</v>
      </c>
      <c r="M9" s="102">
        <v>45379</v>
      </c>
      <c r="N9" s="55"/>
      <c r="O9" s="54"/>
      <c r="P9" s="54"/>
      <c r="Q9" s="54"/>
      <c r="R9" s="103" t="s">
        <v>83</v>
      </c>
      <c r="S9" s="104">
        <v>34</v>
      </c>
      <c r="T9" s="104">
        <v>34</v>
      </c>
      <c r="U9" s="104">
        <v>34</v>
      </c>
      <c r="V9" s="105"/>
      <c r="W9" s="64" t="s">
        <v>84</v>
      </c>
      <c r="X9" s="104">
        <v>3500</v>
      </c>
      <c r="Y9" s="109">
        <v>45181</v>
      </c>
      <c r="Z9" s="106">
        <v>122</v>
      </c>
      <c r="AA9" s="105"/>
      <c r="AB9" s="104">
        <v>34</v>
      </c>
      <c r="AC9" s="65" t="s">
        <v>85</v>
      </c>
      <c r="AD9" s="103" t="s">
        <v>83</v>
      </c>
      <c r="AE9" s="54">
        <v>20</v>
      </c>
      <c r="AF9" s="52">
        <f t="shared" si="0"/>
        <v>680</v>
      </c>
      <c r="AG9" s="56"/>
      <c r="AH9" s="98" t="s">
        <v>86</v>
      </c>
      <c r="AI9" s="104">
        <v>34</v>
      </c>
      <c r="AJ9" s="54">
        <v>20</v>
      </c>
      <c r="AK9" s="47">
        <f t="shared" si="1"/>
        <v>680</v>
      </c>
      <c r="AL9" s="54"/>
      <c r="AM9" s="54"/>
      <c r="AN9" s="47">
        <f t="shared" si="2"/>
        <v>0</v>
      </c>
      <c r="AO9" s="48">
        <f t="shared" si="3"/>
        <v>680</v>
      </c>
      <c r="AP9" s="56"/>
      <c r="AQ9" s="98" t="s">
        <v>87</v>
      </c>
      <c r="AR9" s="99">
        <v>45211</v>
      </c>
      <c r="AS9" s="57">
        <f t="shared" si="4"/>
        <v>20</v>
      </c>
      <c r="AT9" s="52">
        <f t="shared" si="5"/>
        <v>680</v>
      </c>
      <c r="AU9" s="56"/>
      <c r="AV9" s="98" t="s">
        <v>88</v>
      </c>
      <c r="AW9" s="99">
        <v>45257</v>
      </c>
      <c r="AX9" s="58">
        <f t="shared" si="6"/>
        <v>20</v>
      </c>
      <c r="AY9" s="58">
        <f t="shared" si="7"/>
        <v>34</v>
      </c>
      <c r="AZ9" s="59">
        <f t="shared" si="8"/>
        <v>680</v>
      </c>
    </row>
    <row r="10" spans="1:52" s="60" customFormat="1" ht="11.1" customHeight="1" x14ac:dyDescent="0.2">
      <c r="A10" s="53">
        <f t="shared" si="9"/>
        <v>8</v>
      </c>
      <c r="B10" s="90" t="s">
        <v>99</v>
      </c>
      <c r="C10" s="104" t="s">
        <v>93</v>
      </c>
      <c r="D10" s="101" t="s">
        <v>92</v>
      </c>
      <c r="E10" s="111" t="str">
        <f>_xlfn.IFNA(VLOOKUP($D10,'Route-Details'!$B$2:$X$1048576,'Node Details'!E$1,0),"")</f>
        <v>Airtel</v>
      </c>
      <c r="F10" s="111" t="str">
        <f>_xlfn.IFNA(VLOOKUP($D10,'Route-Details'!$B$2:$X$1048576,'Node Details'!F$1,0),"")</f>
        <v>Gorai</v>
      </c>
      <c r="G10" s="111" t="str">
        <f>_xlfn.IFNA(VLOOKUP($D10,'Route-Details'!$B$2:$X$1048576,'Node Details'!G$1,0),"")</f>
        <v>Mumbai</v>
      </c>
      <c r="H10" s="111" t="str">
        <f>_xlfn.IFNA(VLOOKUP($D11,'Route-Details'!$B$2:$X$1048576,'Node Details'!H$1,0),"")</f>
        <v>Mumbai</v>
      </c>
      <c r="I10" s="111" t="str">
        <f>_xlfn.IFNA(VLOOKUP($D10,'Route-Details'!$B$2:$X$1048576,'Node Details'!I$1,0),"")</f>
        <v>1GF</v>
      </c>
      <c r="J10" s="111" t="str">
        <f>_xlfn.IFNA(VLOOKUP($D10,'Route-Details'!$B$2:$X$1048576,'Node Details'!J$1,0),"")</f>
        <v>1GF</v>
      </c>
      <c r="K10" s="101">
        <v>45145</v>
      </c>
      <c r="L10" s="101">
        <v>45145</v>
      </c>
      <c r="M10" s="102">
        <v>45379</v>
      </c>
      <c r="N10" s="55"/>
      <c r="O10" s="54"/>
      <c r="P10" s="54"/>
      <c r="Q10" s="54"/>
      <c r="R10" s="103" t="s">
        <v>94</v>
      </c>
      <c r="S10" s="104">
        <v>162</v>
      </c>
      <c r="T10" s="104">
        <v>162</v>
      </c>
      <c r="U10" s="104">
        <v>162</v>
      </c>
      <c r="V10" s="105"/>
      <c r="W10" s="64" t="s">
        <v>84</v>
      </c>
      <c r="X10" s="104">
        <v>14000</v>
      </c>
      <c r="Y10" s="109">
        <v>45181</v>
      </c>
      <c r="Z10" s="106">
        <v>102</v>
      </c>
      <c r="AA10" s="105"/>
      <c r="AB10" s="104">
        <v>162</v>
      </c>
      <c r="AC10" s="65" t="s">
        <v>85</v>
      </c>
      <c r="AD10" s="103" t="s">
        <v>94</v>
      </c>
      <c r="AE10" s="54">
        <v>20</v>
      </c>
      <c r="AF10" s="52">
        <f t="shared" si="0"/>
        <v>3240</v>
      </c>
      <c r="AG10" s="56"/>
      <c r="AH10" s="98" t="s">
        <v>86</v>
      </c>
      <c r="AI10" s="104">
        <v>162</v>
      </c>
      <c r="AJ10" s="54">
        <v>20</v>
      </c>
      <c r="AK10" s="47">
        <f t="shared" si="1"/>
        <v>3240</v>
      </c>
      <c r="AL10" s="54"/>
      <c r="AM10" s="54"/>
      <c r="AN10" s="47">
        <f t="shared" si="2"/>
        <v>0</v>
      </c>
      <c r="AO10" s="48">
        <f t="shared" si="3"/>
        <v>3240</v>
      </c>
      <c r="AP10" s="56"/>
      <c r="AQ10" s="98" t="s">
        <v>87</v>
      </c>
      <c r="AR10" s="99">
        <v>45211</v>
      </c>
      <c r="AS10" s="57">
        <f t="shared" si="4"/>
        <v>20</v>
      </c>
      <c r="AT10" s="52">
        <f t="shared" si="5"/>
        <v>3240</v>
      </c>
      <c r="AU10" s="56"/>
      <c r="AV10" s="98" t="s">
        <v>88</v>
      </c>
      <c r="AW10" s="99">
        <v>45257</v>
      </c>
      <c r="AX10" s="58">
        <f t="shared" si="6"/>
        <v>20</v>
      </c>
      <c r="AY10" s="58">
        <f t="shared" si="7"/>
        <v>162</v>
      </c>
      <c r="AZ10" s="59">
        <f t="shared" si="8"/>
        <v>3240</v>
      </c>
    </row>
    <row r="11" spans="1:52" s="60" customFormat="1" ht="11.1" customHeight="1" x14ac:dyDescent="0.2">
      <c r="A11" s="53">
        <f t="shared" si="9"/>
        <v>9</v>
      </c>
      <c r="B11" s="90" t="s">
        <v>155</v>
      </c>
      <c r="C11" s="104" t="s">
        <v>100</v>
      </c>
      <c r="D11" s="101" t="s">
        <v>98</v>
      </c>
      <c r="E11" s="111" t="str">
        <f>_xlfn.IFNA(VLOOKUP($D11,'Route-Details'!$B$2:$X$1048576,'Node Details'!E$1,0),"")</f>
        <v>Airtel</v>
      </c>
      <c r="F11" s="111" t="str">
        <f>_xlfn.IFNA(VLOOKUP($D11,'Route-Details'!$B$2:$X$1048576,'Node Details'!F$1,0),"")</f>
        <v>Gorai</v>
      </c>
      <c r="G11" s="111" t="str">
        <f>_xlfn.IFNA(VLOOKUP($D11,'Route-Details'!$B$2:$X$1048576,'Node Details'!G$1,0),"")</f>
        <v>Mumbai</v>
      </c>
      <c r="H11" s="111" t="str">
        <f>_xlfn.IFNA(VLOOKUP($D12,'Route-Details'!$B$2:$X$1048576,'Node Details'!H$1,0),"")</f>
        <v>Mumbai</v>
      </c>
      <c r="I11" s="111" t="str">
        <f>_xlfn.IFNA(VLOOKUP($D11,'Route-Details'!$B$2:$X$1048576,'Node Details'!I$1,0),"")</f>
        <v>1GF</v>
      </c>
      <c r="J11" s="111" t="str">
        <f>_xlfn.IFNA(VLOOKUP($D11,'Route-Details'!$B$2:$X$1048576,'Node Details'!J$1,0),"")</f>
        <v>1GF</v>
      </c>
      <c r="K11" s="101">
        <v>45145</v>
      </c>
      <c r="L11" s="101">
        <v>45145</v>
      </c>
      <c r="M11" s="102">
        <v>45379</v>
      </c>
      <c r="N11" s="55"/>
      <c r="O11" s="54"/>
      <c r="P11" s="54"/>
      <c r="Q11" s="54"/>
      <c r="R11" s="103" t="s">
        <v>94</v>
      </c>
      <c r="S11" s="104">
        <v>107</v>
      </c>
      <c r="T11" s="104">
        <v>107</v>
      </c>
      <c r="U11" s="104">
        <v>107</v>
      </c>
      <c r="V11" s="105"/>
      <c r="W11" s="64" t="s">
        <v>84</v>
      </c>
      <c r="X11" s="104">
        <v>14000</v>
      </c>
      <c r="Y11" s="109">
        <v>45181</v>
      </c>
      <c r="Z11" s="106">
        <v>102</v>
      </c>
      <c r="AA11" s="105"/>
      <c r="AB11" s="104">
        <v>107</v>
      </c>
      <c r="AC11" s="65" t="s">
        <v>85</v>
      </c>
      <c r="AD11" s="103" t="s">
        <v>94</v>
      </c>
      <c r="AE11" s="54">
        <v>20</v>
      </c>
      <c r="AF11" s="52">
        <f t="shared" si="0"/>
        <v>2140</v>
      </c>
      <c r="AG11" s="56"/>
      <c r="AH11" s="98" t="s">
        <v>86</v>
      </c>
      <c r="AI11" s="104">
        <v>107</v>
      </c>
      <c r="AJ11" s="54">
        <v>20</v>
      </c>
      <c r="AK11" s="47">
        <f t="shared" si="1"/>
        <v>2140</v>
      </c>
      <c r="AL11" s="54"/>
      <c r="AM11" s="54"/>
      <c r="AN11" s="47">
        <f t="shared" si="2"/>
        <v>0</v>
      </c>
      <c r="AO11" s="48">
        <f t="shared" si="3"/>
        <v>2140</v>
      </c>
      <c r="AP11" s="56"/>
      <c r="AQ11" s="98" t="s">
        <v>87</v>
      </c>
      <c r="AR11" s="99">
        <v>45211</v>
      </c>
      <c r="AS11" s="57">
        <f t="shared" si="4"/>
        <v>20</v>
      </c>
      <c r="AT11" s="52">
        <f t="shared" si="5"/>
        <v>2140</v>
      </c>
      <c r="AU11" s="56"/>
      <c r="AV11" s="98" t="s">
        <v>88</v>
      </c>
      <c r="AW11" s="99">
        <v>45257</v>
      </c>
      <c r="AX11" s="58">
        <f t="shared" si="6"/>
        <v>20</v>
      </c>
      <c r="AY11" s="58">
        <f t="shared" si="7"/>
        <v>107</v>
      </c>
      <c r="AZ11" s="59">
        <f t="shared" si="8"/>
        <v>2140</v>
      </c>
    </row>
    <row r="12" spans="1:52" s="60" customFormat="1" ht="11.1" customHeight="1" x14ac:dyDescent="0.2">
      <c r="A12" s="53">
        <f t="shared" si="9"/>
        <v>10</v>
      </c>
      <c r="B12" s="90" t="s">
        <v>156</v>
      </c>
      <c r="C12" s="104" t="s">
        <v>100</v>
      </c>
      <c r="D12" s="101" t="s">
        <v>98</v>
      </c>
      <c r="E12" s="111" t="str">
        <f>_xlfn.IFNA(VLOOKUP($D12,'Route-Details'!$B$2:$X$1048576,'Node Details'!E$1,0),"")</f>
        <v>Airtel</v>
      </c>
      <c r="F12" s="111" t="str">
        <f>_xlfn.IFNA(VLOOKUP($D12,'Route-Details'!$B$2:$X$1048576,'Node Details'!F$1,0),"")</f>
        <v>Gorai</v>
      </c>
      <c r="G12" s="111" t="str">
        <f>_xlfn.IFNA(VLOOKUP($D12,'Route-Details'!$B$2:$X$1048576,'Node Details'!G$1,0),"")</f>
        <v>Mumbai</v>
      </c>
      <c r="H12" s="111" t="str">
        <f>_xlfn.IFNA(VLOOKUP($D13,'Route-Details'!$B$2:$X$1048576,'Node Details'!H$1,0),"")</f>
        <v>Mumbai</v>
      </c>
      <c r="I12" s="111" t="str">
        <f>_xlfn.IFNA(VLOOKUP($D12,'Route-Details'!$B$2:$X$1048576,'Node Details'!I$1,0),"")</f>
        <v>1GF</v>
      </c>
      <c r="J12" s="111" t="str">
        <f>_xlfn.IFNA(VLOOKUP($D12,'Route-Details'!$B$2:$X$1048576,'Node Details'!J$1,0),"")</f>
        <v>1GF</v>
      </c>
      <c r="K12" s="101">
        <v>45145</v>
      </c>
      <c r="L12" s="101">
        <v>45145</v>
      </c>
      <c r="M12" s="102">
        <v>45379</v>
      </c>
      <c r="N12" s="55"/>
      <c r="O12" s="54"/>
      <c r="P12" s="54"/>
      <c r="Q12" s="54"/>
      <c r="R12" s="103" t="s">
        <v>94</v>
      </c>
      <c r="S12" s="104">
        <v>54</v>
      </c>
      <c r="T12" s="104">
        <v>54</v>
      </c>
      <c r="U12" s="104">
        <v>54</v>
      </c>
      <c r="V12" s="105"/>
      <c r="W12" s="64" t="s">
        <v>84</v>
      </c>
      <c r="X12" s="104">
        <v>14000</v>
      </c>
      <c r="Y12" s="109">
        <v>45181</v>
      </c>
      <c r="Z12" s="106">
        <v>102</v>
      </c>
      <c r="AA12" s="105"/>
      <c r="AB12" s="104">
        <v>54</v>
      </c>
      <c r="AC12" s="65" t="s">
        <v>85</v>
      </c>
      <c r="AD12" s="103" t="s">
        <v>94</v>
      </c>
      <c r="AE12" s="54">
        <v>20</v>
      </c>
      <c r="AF12" s="52">
        <f t="shared" si="0"/>
        <v>1080</v>
      </c>
      <c r="AG12" s="56"/>
      <c r="AH12" s="98" t="s">
        <v>86</v>
      </c>
      <c r="AI12" s="104">
        <v>54</v>
      </c>
      <c r="AJ12" s="54">
        <v>20</v>
      </c>
      <c r="AK12" s="47">
        <f t="shared" si="1"/>
        <v>1080</v>
      </c>
      <c r="AL12" s="54"/>
      <c r="AM12" s="54"/>
      <c r="AN12" s="47">
        <f t="shared" si="2"/>
        <v>0</v>
      </c>
      <c r="AO12" s="48">
        <f t="shared" si="3"/>
        <v>1080</v>
      </c>
      <c r="AP12" s="56"/>
      <c r="AQ12" s="98" t="s">
        <v>87</v>
      </c>
      <c r="AR12" s="99">
        <v>45211</v>
      </c>
      <c r="AS12" s="57">
        <f t="shared" si="4"/>
        <v>20</v>
      </c>
      <c r="AT12" s="52">
        <f t="shared" si="5"/>
        <v>1080</v>
      </c>
      <c r="AU12" s="56"/>
      <c r="AV12" s="98" t="s">
        <v>88</v>
      </c>
      <c r="AW12" s="99">
        <v>45257</v>
      </c>
      <c r="AX12" s="58">
        <f t="shared" si="6"/>
        <v>20</v>
      </c>
      <c r="AY12" s="58">
        <f t="shared" si="7"/>
        <v>54</v>
      </c>
      <c r="AZ12" s="59">
        <f t="shared" si="8"/>
        <v>1080</v>
      </c>
    </row>
    <row r="13" spans="1:52" s="60" customFormat="1" ht="11.1" customHeight="1" x14ac:dyDescent="0.2">
      <c r="A13" s="53">
        <f t="shared" si="9"/>
        <v>11</v>
      </c>
      <c r="B13" s="90" t="s">
        <v>157</v>
      </c>
      <c r="C13" s="104" t="s">
        <v>100</v>
      </c>
      <c r="D13" s="101" t="s">
        <v>98</v>
      </c>
      <c r="E13" s="111" t="str">
        <f>_xlfn.IFNA(VLOOKUP($D13,'Route-Details'!$B$2:$X$1048576,'Node Details'!E$1,0),"")</f>
        <v>Airtel</v>
      </c>
      <c r="F13" s="111" t="str">
        <f>_xlfn.IFNA(VLOOKUP($D13,'Route-Details'!$B$2:$X$1048576,'Node Details'!F$1,0),"")</f>
        <v>Gorai</v>
      </c>
      <c r="G13" s="111" t="str">
        <f>_xlfn.IFNA(VLOOKUP($D13,'Route-Details'!$B$2:$X$1048576,'Node Details'!G$1,0),"")</f>
        <v>Mumbai</v>
      </c>
      <c r="H13" s="111" t="str">
        <f>_xlfn.IFNA(VLOOKUP($D14,'Route-Details'!$B$2:$X$1048576,'Node Details'!H$1,0),"")</f>
        <v>Mumbai</v>
      </c>
      <c r="I13" s="111" t="str">
        <f>_xlfn.IFNA(VLOOKUP($D13,'Route-Details'!$B$2:$X$1048576,'Node Details'!I$1,0),"")</f>
        <v>1GF</v>
      </c>
      <c r="J13" s="111" t="str">
        <f>_xlfn.IFNA(VLOOKUP($D13,'Route-Details'!$B$2:$X$1048576,'Node Details'!J$1,0),"")</f>
        <v>1GF</v>
      </c>
      <c r="K13" s="101">
        <v>45145</v>
      </c>
      <c r="L13" s="101">
        <v>45145</v>
      </c>
      <c r="M13" s="102">
        <v>45379</v>
      </c>
      <c r="N13" s="55"/>
      <c r="O13" s="54"/>
      <c r="P13" s="54"/>
      <c r="Q13" s="54"/>
      <c r="R13" s="103" t="s">
        <v>94</v>
      </c>
      <c r="S13" s="104">
        <v>54</v>
      </c>
      <c r="T13" s="104">
        <v>54</v>
      </c>
      <c r="U13" s="104">
        <v>54</v>
      </c>
      <c r="V13" s="105"/>
      <c r="W13" s="64" t="s">
        <v>84</v>
      </c>
      <c r="X13" s="104">
        <v>14000</v>
      </c>
      <c r="Y13" s="109">
        <v>45181</v>
      </c>
      <c r="Z13" s="106">
        <v>102</v>
      </c>
      <c r="AA13" s="105"/>
      <c r="AB13" s="104">
        <v>54</v>
      </c>
      <c r="AC13" s="65" t="s">
        <v>85</v>
      </c>
      <c r="AD13" s="103" t="s">
        <v>94</v>
      </c>
      <c r="AE13" s="54">
        <v>20</v>
      </c>
      <c r="AF13" s="52">
        <f t="shared" si="0"/>
        <v>1080</v>
      </c>
      <c r="AG13" s="56"/>
      <c r="AH13" s="98" t="s">
        <v>86</v>
      </c>
      <c r="AI13" s="104">
        <v>54</v>
      </c>
      <c r="AJ13" s="54">
        <v>20</v>
      </c>
      <c r="AK13" s="47">
        <f t="shared" si="1"/>
        <v>1080</v>
      </c>
      <c r="AL13" s="54"/>
      <c r="AM13" s="54"/>
      <c r="AN13" s="47">
        <f t="shared" si="2"/>
        <v>0</v>
      </c>
      <c r="AO13" s="48">
        <f t="shared" si="3"/>
        <v>1080</v>
      </c>
      <c r="AP13" s="56"/>
      <c r="AQ13" s="98" t="s">
        <v>87</v>
      </c>
      <c r="AR13" s="99">
        <v>45211</v>
      </c>
      <c r="AS13" s="57">
        <f t="shared" si="4"/>
        <v>20</v>
      </c>
      <c r="AT13" s="52">
        <f t="shared" si="5"/>
        <v>1080</v>
      </c>
      <c r="AU13" s="56"/>
      <c r="AV13" s="98" t="s">
        <v>88</v>
      </c>
      <c r="AW13" s="99">
        <v>45257</v>
      </c>
      <c r="AX13" s="58">
        <f t="shared" si="6"/>
        <v>20</v>
      </c>
      <c r="AY13" s="58">
        <f t="shared" si="7"/>
        <v>54</v>
      </c>
      <c r="AZ13" s="59">
        <f t="shared" si="8"/>
        <v>1080</v>
      </c>
    </row>
    <row r="14" spans="1:52" s="60" customFormat="1" ht="11.1" customHeight="1" x14ac:dyDescent="0.2">
      <c r="A14" s="53">
        <f t="shared" si="9"/>
        <v>12</v>
      </c>
      <c r="B14" s="90" t="s">
        <v>158</v>
      </c>
      <c r="C14" s="104" t="s">
        <v>100</v>
      </c>
      <c r="D14" s="101" t="s">
        <v>98</v>
      </c>
      <c r="E14" s="111" t="str">
        <f>_xlfn.IFNA(VLOOKUP($D14,'Route-Details'!$B$2:$X$1048576,'Node Details'!E$1,0),"")</f>
        <v>Airtel</v>
      </c>
      <c r="F14" s="111" t="str">
        <f>_xlfn.IFNA(VLOOKUP($D14,'Route-Details'!$B$2:$X$1048576,'Node Details'!F$1,0),"")</f>
        <v>Gorai</v>
      </c>
      <c r="G14" s="111" t="str">
        <f>_xlfn.IFNA(VLOOKUP($D14,'Route-Details'!$B$2:$X$1048576,'Node Details'!G$1,0),"")</f>
        <v>Mumbai</v>
      </c>
      <c r="H14" s="111" t="str">
        <f>_xlfn.IFNA(VLOOKUP($D15,'Route-Details'!$B$2:$X$1048576,'Node Details'!H$1,0),"")</f>
        <v>Mumbai</v>
      </c>
      <c r="I14" s="111" t="str">
        <f>_xlfn.IFNA(VLOOKUP($D14,'Route-Details'!$B$2:$X$1048576,'Node Details'!I$1,0),"")</f>
        <v>1GF</v>
      </c>
      <c r="J14" s="111" t="str">
        <f>_xlfn.IFNA(VLOOKUP($D14,'Route-Details'!$B$2:$X$1048576,'Node Details'!J$1,0),"")</f>
        <v>1GF</v>
      </c>
      <c r="K14" s="101">
        <v>45145</v>
      </c>
      <c r="L14" s="101">
        <v>45145</v>
      </c>
      <c r="M14" s="102">
        <v>45379</v>
      </c>
      <c r="N14" s="55"/>
      <c r="O14" s="54"/>
      <c r="P14" s="54"/>
      <c r="Q14" s="54"/>
      <c r="R14" s="103" t="s">
        <v>94</v>
      </c>
      <c r="S14" s="104">
        <v>52</v>
      </c>
      <c r="T14" s="104">
        <v>52</v>
      </c>
      <c r="U14" s="104">
        <v>52</v>
      </c>
      <c r="V14" s="105"/>
      <c r="W14" s="64" t="s">
        <v>84</v>
      </c>
      <c r="X14" s="104">
        <v>14000</v>
      </c>
      <c r="Y14" s="109">
        <v>45181</v>
      </c>
      <c r="Z14" s="106">
        <v>102</v>
      </c>
      <c r="AA14" s="105"/>
      <c r="AB14" s="104">
        <v>52</v>
      </c>
      <c r="AC14" s="65" t="s">
        <v>85</v>
      </c>
      <c r="AD14" s="103" t="s">
        <v>94</v>
      </c>
      <c r="AE14" s="54">
        <v>20</v>
      </c>
      <c r="AF14" s="52">
        <f t="shared" si="0"/>
        <v>1040</v>
      </c>
      <c r="AG14" s="56"/>
      <c r="AH14" s="98" t="s">
        <v>86</v>
      </c>
      <c r="AI14" s="104">
        <v>52</v>
      </c>
      <c r="AJ14" s="54">
        <v>20</v>
      </c>
      <c r="AK14" s="47">
        <f t="shared" si="1"/>
        <v>1040</v>
      </c>
      <c r="AL14" s="54"/>
      <c r="AM14" s="54"/>
      <c r="AN14" s="47">
        <f t="shared" si="2"/>
        <v>0</v>
      </c>
      <c r="AO14" s="48">
        <f t="shared" si="3"/>
        <v>1040</v>
      </c>
      <c r="AP14" s="56"/>
      <c r="AQ14" s="98" t="s">
        <v>87</v>
      </c>
      <c r="AR14" s="99">
        <v>45211</v>
      </c>
      <c r="AS14" s="57">
        <f t="shared" si="4"/>
        <v>20</v>
      </c>
      <c r="AT14" s="52">
        <f t="shared" si="5"/>
        <v>1040</v>
      </c>
      <c r="AU14" s="56"/>
      <c r="AV14" s="98" t="s">
        <v>88</v>
      </c>
      <c r="AW14" s="99">
        <v>45257</v>
      </c>
      <c r="AX14" s="58">
        <f t="shared" si="6"/>
        <v>20</v>
      </c>
      <c r="AY14" s="58">
        <f t="shared" si="7"/>
        <v>52</v>
      </c>
      <c r="AZ14" s="59">
        <f t="shared" si="8"/>
        <v>1040</v>
      </c>
    </row>
    <row r="15" spans="1:52" s="60" customFormat="1" ht="11.1" customHeight="1" x14ac:dyDescent="0.2">
      <c r="A15" s="53">
        <f t="shared" si="9"/>
        <v>13</v>
      </c>
      <c r="B15" s="90" t="s">
        <v>159</v>
      </c>
      <c r="C15" s="104" t="s">
        <v>100</v>
      </c>
      <c r="D15" s="101" t="s">
        <v>98</v>
      </c>
      <c r="E15" s="111" t="str">
        <f>_xlfn.IFNA(VLOOKUP($D15,'Route-Details'!$B$2:$X$1048576,'Node Details'!E$1,0),"")</f>
        <v>Airtel</v>
      </c>
      <c r="F15" s="111" t="str">
        <f>_xlfn.IFNA(VLOOKUP($D15,'Route-Details'!$B$2:$X$1048576,'Node Details'!F$1,0),"")</f>
        <v>Gorai</v>
      </c>
      <c r="G15" s="111" t="str">
        <f>_xlfn.IFNA(VLOOKUP($D15,'Route-Details'!$B$2:$X$1048576,'Node Details'!G$1,0),"")</f>
        <v>Mumbai</v>
      </c>
      <c r="H15" s="111" t="str">
        <f>_xlfn.IFNA(VLOOKUP($D16,'Route-Details'!$B$2:$X$1048576,'Node Details'!H$1,0),"")</f>
        <v>Mumbai</v>
      </c>
      <c r="I15" s="111" t="str">
        <f>_xlfn.IFNA(VLOOKUP($D15,'Route-Details'!$B$2:$X$1048576,'Node Details'!I$1,0),"")</f>
        <v>1GF</v>
      </c>
      <c r="J15" s="111" t="str">
        <f>_xlfn.IFNA(VLOOKUP($D15,'Route-Details'!$B$2:$X$1048576,'Node Details'!J$1,0),"")</f>
        <v>1GF</v>
      </c>
      <c r="K15" s="101">
        <v>45145</v>
      </c>
      <c r="L15" s="101">
        <v>45145</v>
      </c>
      <c r="M15" s="102">
        <v>45379</v>
      </c>
      <c r="N15" s="55"/>
      <c r="O15" s="54"/>
      <c r="P15" s="54"/>
      <c r="Q15" s="54"/>
      <c r="R15" s="103" t="s">
        <v>94</v>
      </c>
      <c r="S15" s="104">
        <v>50</v>
      </c>
      <c r="T15" s="104">
        <v>50</v>
      </c>
      <c r="U15" s="104">
        <v>50</v>
      </c>
      <c r="V15" s="105"/>
      <c r="W15" s="64" t="s">
        <v>84</v>
      </c>
      <c r="X15" s="104">
        <v>14000</v>
      </c>
      <c r="Y15" s="109">
        <v>45181</v>
      </c>
      <c r="Z15" s="106">
        <v>102</v>
      </c>
      <c r="AA15" s="105"/>
      <c r="AB15" s="104">
        <v>50</v>
      </c>
      <c r="AC15" s="65" t="s">
        <v>85</v>
      </c>
      <c r="AD15" s="103" t="s">
        <v>94</v>
      </c>
      <c r="AE15" s="54">
        <v>20</v>
      </c>
      <c r="AF15" s="52">
        <f t="shared" si="0"/>
        <v>1000</v>
      </c>
      <c r="AG15" s="56"/>
      <c r="AH15" s="98" t="s">
        <v>86</v>
      </c>
      <c r="AI15" s="104">
        <v>50</v>
      </c>
      <c r="AJ15" s="54">
        <v>20</v>
      </c>
      <c r="AK15" s="47">
        <f t="shared" si="1"/>
        <v>1000</v>
      </c>
      <c r="AL15" s="54"/>
      <c r="AM15" s="54"/>
      <c r="AN15" s="47">
        <f t="shared" si="2"/>
        <v>0</v>
      </c>
      <c r="AO15" s="48">
        <f t="shared" si="3"/>
        <v>1000</v>
      </c>
      <c r="AP15" s="56"/>
      <c r="AQ15" s="98" t="s">
        <v>87</v>
      </c>
      <c r="AR15" s="99">
        <v>45211</v>
      </c>
      <c r="AS15" s="57">
        <f t="shared" si="4"/>
        <v>20</v>
      </c>
      <c r="AT15" s="52">
        <f t="shared" si="5"/>
        <v>1000</v>
      </c>
      <c r="AU15" s="56"/>
      <c r="AV15" s="98" t="s">
        <v>88</v>
      </c>
      <c r="AW15" s="99">
        <v>45257</v>
      </c>
      <c r="AX15" s="58">
        <f t="shared" si="6"/>
        <v>20</v>
      </c>
      <c r="AY15" s="58">
        <f t="shared" si="7"/>
        <v>50</v>
      </c>
      <c r="AZ15" s="59">
        <f t="shared" si="8"/>
        <v>1000</v>
      </c>
    </row>
    <row r="16" spans="1:52" s="60" customFormat="1" ht="11.1" customHeight="1" x14ac:dyDescent="0.2">
      <c r="A16" s="53">
        <f t="shared" si="9"/>
        <v>14</v>
      </c>
      <c r="B16" s="90" t="s">
        <v>101</v>
      </c>
      <c r="C16" s="104" t="s">
        <v>100</v>
      </c>
      <c r="D16" s="101" t="s">
        <v>98</v>
      </c>
      <c r="E16" s="111" t="str">
        <f>_xlfn.IFNA(VLOOKUP($D16,'Route-Details'!$B$2:$X$1048576,'Node Details'!E$1,0),"")</f>
        <v>Airtel</v>
      </c>
      <c r="F16" s="111" t="str">
        <f>_xlfn.IFNA(VLOOKUP($D16,'Route-Details'!$B$2:$X$1048576,'Node Details'!F$1,0),"")</f>
        <v>Gorai</v>
      </c>
      <c r="G16" s="111" t="str">
        <f>_xlfn.IFNA(VLOOKUP($D16,'Route-Details'!$B$2:$X$1048576,'Node Details'!G$1,0),"")</f>
        <v>Mumbai</v>
      </c>
      <c r="H16" s="111" t="str">
        <f>_xlfn.IFNA(VLOOKUP($D17,'Route-Details'!$B$2:$X$1048576,'Node Details'!H$1,0),"")</f>
        <v>Mumbai</v>
      </c>
      <c r="I16" s="111" t="str">
        <f>_xlfn.IFNA(VLOOKUP($D16,'Route-Details'!$B$2:$X$1048576,'Node Details'!I$1,0),"")</f>
        <v>1GF</v>
      </c>
      <c r="J16" s="111" t="str">
        <f>_xlfn.IFNA(VLOOKUP($D16,'Route-Details'!$B$2:$X$1048576,'Node Details'!J$1,0),"")</f>
        <v>1GF</v>
      </c>
      <c r="K16" s="101">
        <v>45148</v>
      </c>
      <c r="L16" s="101">
        <v>45148</v>
      </c>
      <c r="M16" s="102">
        <v>45379</v>
      </c>
      <c r="N16" s="55"/>
      <c r="O16" s="54"/>
      <c r="P16" s="54"/>
      <c r="Q16" s="54"/>
      <c r="R16" s="103" t="s">
        <v>94</v>
      </c>
      <c r="S16" s="104">
        <v>84</v>
      </c>
      <c r="T16" s="104">
        <v>84</v>
      </c>
      <c r="U16" s="104">
        <v>84</v>
      </c>
      <c r="V16" s="105"/>
      <c r="W16" s="64" t="s">
        <v>84</v>
      </c>
      <c r="X16" s="104">
        <v>14000</v>
      </c>
      <c r="Y16" s="109">
        <v>45181</v>
      </c>
      <c r="Z16" s="106">
        <v>102</v>
      </c>
      <c r="AA16" s="105"/>
      <c r="AB16" s="104">
        <v>84</v>
      </c>
      <c r="AC16" s="65" t="s">
        <v>85</v>
      </c>
      <c r="AD16" s="103" t="s">
        <v>94</v>
      </c>
      <c r="AE16" s="54">
        <v>20</v>
      </c>
      <c r="AF16" s="52">
        <f t="shared" si="0"/>
        <v>1680</v>
      </c>
      <c r="AG16" s="56"/>
      <c r="AH16" s="98" t="s">
        <v>86</v>
      </c>
      <c r="AI16" s="104">
        <v>84</v>
      </c>
      <c r="AJ16" s="54">
        <v>20</v>
      </c>
      <c r="AK16" s="47">
        <f t="shared" si="1"/>
        <v>1680</v>
      </c>
      <c r="AL16" s="54"/>
      <c r="AM16" s="54"/>
      <c r="AN16" s="47">
        <f t="shared" si="2"/>
        <v>0</v>
      </c>
      <c r="AO16" s="48">
        <f t="shared" si="3"/>
        <v>1680</v>
      </c>
      <c r="AP16" s="56"/>
      <c r="AQ16" s="98" t="s">
        <v>87</v>
      </c>
      <c r="AR16" s="99">
        <v>45211</v>
      </c>
      <c r="AS16" s="57">
        <f t="shared" si="4"/>
        <v>20</v>
      </c>
      <c r="AT16" s="52">
        <f t="shared" si="5"/>
        <v>1680</v>
      </c>
      <c r="AU16" s="56"/>
      <c r="AV16" s="98" t="s">
        <v>88</v>
      </c>
      <c r="AW16" s="99">
        <v>45257</v>
      </c>
      <c r="AX16" s="58">
        <f t="shared" si="6"/>
        <v>20</v>
      </c>
      <c r="AY16" s="58">
        <f t="shared" si="7"/>
        <v>84</v>
      </c>
      <c r="AZ16" s="59">
        <f t="shared" si="8"/>
        <v>1680</v>
      </c>
    </row>
    <row r="17" spans="1:54" s="60" customFormat="1" ht="11.1" customHeight="1" x14ac:dyDescent="0.2">
      <c r="A17" s="53">
        <f t="shared" si="9"/>
        <v>15</v>
      </c>
      <c r="B17" s="90" t="s">
        <v>103</v>
      </c>
      <c r="C17" s="104" t="s">
        <v>93</v>
      </c>
      <c r="D17" s="101" t="s">
        <v>92</v>
      </c>
      <c r="E17" s="111" t="str">
        <f>_xlfn.IFNA(VLOOKUP($D17,'Route-Details'!$B$2:$X$1048576,'Node Details'!E$1,0),"")</f>
        <v>Airtel</v>
      </c>
      <c r="F17" s="111" t="str">
        <f>_xlfn.IFNA(VLOOKUP($D17,'Route-Details'!$B$2:$X$1048576,'Node Details'!F$1,0),"")</f>
        <v>Gorai</v>
      </c>
      <c r="G17" s="111" t="str">
        <f>_xlfn.IFNA(VLOOKUP($D17,'Route-Details'!$B$2:$X$1048576,'Node Details'!G$1,0),"")</f>
        <v>Mumbai</v>
      </c>
      <c r="H17" s="111" t="str">
        <f>_xlfn.IFNA(VLOOKUP($D18,'Route-Details'!$B$2:$X$1048576,'Node Details'!H$1,0),"")</f>
        <v>Mumbai</v>
      </c>
      <c r="I17" s="111" t="str">
        <f>_xlfn.IFNA(VLOOKUP($D17,'Route-Details'!$B$2:$X$1048576,'Node Details'!I$1,0),"")</f>
        <v>1GF</v>
      </c>
      <c r="J17" s="111" t="str">
        <f>_xlfn.IFNA(VLOOKUP($D17,'Route-Details'!$B$2:$X$1048576,'Node Details'!J$1,0),"")</f>
        <v>1GF</v>
      </c>
      <c r="K17" s="101">
        <v>45148</v>
      </c>
      <c r="L17" s="101">
        <v>45148</v>
      </c>
      <c r="M17" s="102">
        <v>45379</v>
      </c>
      <c r="N17" s="55"/>
      <c r="O17" s="54"/>
      <c r="P17" s="54"/>
      <c r="Q17" s="54"/>
      <c r="R17" s="103" t="s">
        <v>94</v>
      </c>
      <c r="S17" s="104">
        <v>84</v>
      </c>
      <c r="T17" s="104">
        <v>84</v>
      </c>
      <c r="U17" s="104">
        <v>84</v>
      </c>
      <c r="V17" s="105"/>
      <c r="W17" s="64" t="s">
        <v>84</v>
      </c>
      <c r="X17" s="104">
        <v>14000</v>
      </c>
      <c r="Y17" s="109">
        <v>45181</v>
      </c>
      <c r="Z17" s="106">
        <v>102</v>
      </c>
      <c r="AA17" s="105"/>
      <c r="AB17" s="104">
        <v>84</v>
      </c>
      <c r="AC17" s="65" t="s">
        <v>85</v>
      </c>
      <c r="AD17" s="103" t="s">
        <v>94</v>
      </c>
      <c r="AE17" s="54">
        <v>20</v>
      </c>
      <c r="AF17" s="52">
        <f t="shared" si="0"/>
        <v>1680</v>
      </c>
      <c r="AG17" s="56"/>
      <c r="AH17" s="98" t="s">
        <v>86</v>
      </c>
      <c r="AI17" s="104">
        <v>84</v>
      </c>
      <c r="AJ17" s="54">
        <v>20</v>
      </c>
      <c r="AK17" s="47">
        <f t="shared" si="1"/>
        <v>1680</v>
      </c>
      <c r="AL17" s="54"/>
      <c r="AM17" s="54"/>
      <c r="AN17" s="47">
        <f t="shared" si="2"/>
        <v>0</v>
      </c>
      <c r="AO17" s="48">
        <f t="shared" si="3"/>
        <v>1680</v>
      </c>
      <c r="AP17" s="56"/>
      <c r="AQ17" s="98" t="s">
        <v>87</v>
      </c>
      <c r="AR17" s="99">
        <v>45211</v>
      </c>
      <c r="AS17" s="57">
        <f t="shared" si="4"/>
        <v>20</v>
      </c>
      <c r="AT17" s="52">
        <f t="shared" si="5"/>
        <v>1680</v>
      </c>
      <c r="AU17" s="56"/>
      <c r="AV17" s="98" t="s">
        <v>88</v>
      </c>
      <c r="AW17" s="99">
        <v>45257</v>
      </c>
      <c r="AX17" s="58">
        <f t="shared" si="6"/>
        <v>20</v>
      </c>
      <c r="AY17" s="58">
        <f t="shared" si="7"/>
        <v>84</v>
      </c>
      <c r="AZ17" s="59">
        <f t="shared" si="8"/>
        <v>1680</v>
      </c>
    </row>
    <row r="18" spans="1:54" s="60" customFormat="1" ht="11.1" customHeight="1" x14ac:dyDescent="0.2">
      <c r="A18" s="53">
        <f t="shared" si="9"/>
        <v>16</v>
      </c>
      <c r="B18" s="90" t="s">
        <v>160</v>
      </c>
      <c r="C18" s="104" t="s">
        <v>104</v>
      </c>
      <c r="D18" s="101" t="s">
        <v>102</v>
      </c>
      <c r="E18" s="111" t="str">
        <f>_xlfn.IFNA(VLOOKUP($D18,'Route-Details'!$B$2:$X$1048576,'Node Details'!E$1,0),"")</f>
        <v>Airtel</v>
      </c>
      <c r="F18" s="111" t="str">
        <f>_xlfn.IFNA(VLOOKUP($D18,'Route-Details'!$B$2:$X$1048576,'Node Details'!F$1,0),"")</f>
        <v>Gorai</v>
      </c>
      <c r="G18" s="111" t="str">
        <f>_xlfn.IFNA(VLOOKUP($D18,'Route-Details'!$B$2:$X$1048576,'Node Details'!G$1,0),"")</f>
        <v>Mumbai</v>
      </c>
      <c r="H18" s="111" t="str">
        <f>_xlfn.IFNA(VLOOKUP($D19,'Route-Details'!$B$2:$X$1048576,'Node Details'!H$1,0),"")</f>
        <v>Mumbai</v>
      </c>
      <c r="I18" s="111" t="str">
        <f>_xlfn.IFNA(VLOOKUP($D18,'Route-Details'!$B$2:$X$1048576,'Node Details'!I$1,0),"")</f>
        <v>1GF</v>
      </c>
      <c r="J18" s="111" t="str">
        <f>_xlfn.IFNA(VLOOKUP($D18,'Route-Details'!$B$2:$X$1048576,'Node Details'!J$1,0),"")</f>
        <v>1GF</v>
      </c>
      <c r="K18" s="101">
        <v>45173</v>
      </c>
      <c r="L18" s="101">
        <v>45173</v>
      </c>
      <c r="M18" s="102">
        <v>45379</v>
      </c>
      <c r="N18" s="55"/>
      <c r="O18" s="54"/>
      <c r="P18" s="54"/>
      <c r="Q18" s="54"/>
      <c r="R18" s="103" t="s">
        <v>94</v>
      </c>
      <c r="S18" s="104">
        <v>64</v>
      </c>
      <c r="T18" s="104">
        <v>64</v>
      </c>
      <c r="U18" s="104">
        <v>64</v>
      </c>
      <c r="V18" s="105"/>
      <c r="W18" s="64" t="s">
        <v>84</v>
      </c>
      <c r="X18" s="104">
        <v>14000</v>
      </c>
      <c r="Y18" s="109">
        <v>45181</v>
      </c>
      <c r="Z18" s="106">
        <v>102</v>
      </c>
      <c r="AA18" s="105"/>
      <c r="AB18" s="104">
        <v>64</v>
      </c>
      <c r="AC18" s="65" t="s">
        <v>85</v>
      </c>
      <c r="AD18" s="103" t="s">
        <v>94</v>
      </c>
      <c r="AE18" s="54">
        <v>20</v>
      </c>
      <c r="AF18" s="52">
        <f t="shared" si="0"/>
        <v>1280</v>
      </c>
      <c r="AG18" s="56"/>
      <c r="AH18" s="98" t="s">
        <v>86</v>
      </c>
      <c r="AI18" s="104">
        <v>64</v>
      </c>
      <c r="AJ18" s="54">
        <v>20</v>
      </c>
      <c r="AK18" s="47">
        <f t="shared" si="1"/>
        <v>1280</v>
      </c>
      <c r="AL18" s="54"/>
      <c r="AM18" s="54"/>
      <c r="AN18" s="47">
        <f t="shared" si="2"/>
        <v>0</v>
      </c>
      <c r="AO18" s="48">
        <f t="shared" si="3"/>
        <v>1280</v>
      </c>
      <c r="AP18" s="56"/>
      <c r="AQ18" s="98" t="s">
        <v>87</v>
      </c>
      <c r="AR18" s="99">
        <v>45211</v>
      </c>
      <c r="AS18" s="57">
        <f t="shared" si="4"/>
        <v>20</v>
      </c>
      <c r="AT18" s="52">
        <f t="shared" si="5"/>
        <v>1280</v>
      </c>
      <c r="AU18" s="56"/>
      <c r="AV18" s="98" t="s">
        <v>88</v>
      </c>
      <c r="AW18" s="99">
        <v>45257</v>
      </c>
      <c r="AX18" s="58">
        <f t="shared" si="6"/>
        <v>20</v>
      </c>
      <c r="AY18" s="58">
        <f t="shared" si="7"/>
        <v>64</v>
      </c>
      <c r="AZ18" s="59">
        <f t="shared" si="8"/>
        <v>1280</v>
      </c>
    </row>
    <row r="19" spans="1:54" s="60" customFormat="1" ht="11.1" customHeight="1" x14ac:dyDescent="0.2">
      <c r="A19" s="53">
        <f t="shared" si="9"/>
        <v>17</v>
      </c>
      <c r="B19" s="90" t="s">
        <v>161</v>
      </c>
      <c r="C19" s="104" t="s">
        <v>104</v>
      </c>
      <c r="D19" s="101" t="s">
        <v>102</v>
      </c>
      <c r="E19" s="111" t="str">
        <f>_xlfn.IFNA(VLOOKUP($D19,'Route-Details'!$B$2:$X$1048576,'Node Details'!E$1,0),"")</f>
        <v>Airtel</v>
      </c>
      <c r="F19" s="111" t="str">
        <f>_xlfn.IFNA(VLOOKUP($D19,'Route-Details'!$B$2:$X$1048576,'Node Details'!F$1,0),"")</f>
        <v>Gorai</v>
      </c>
      <c r="G19" s="111" t="str">
        <f>_xlfn.IFNA(VLOOKUP($D19,'Route-Details'!$B$2:$X$1048576,'Node Details'!G$1,0),"")</f>
        <v>Mumbai</v>
      </c>
      <c r="H19" s="111" t="str">
        <f>_xlfn.IFNA(VLOOKUP($D20,'Route-Details'!$B$2:$X$1048576,'Node Details'!H$1,0),"")</f>
        <v>Mumbai</v>
      </c>
      <c r="I19" s="111" t="str">
        <f>_xlfn.IFNA(VLOOKUP($D19,'Route-Details'!$B$2:$X$1048576,'Node Details'!I$1,0),"")</f>
        <v>1GF</v>
      </c>
      <c r="J19" s="111" t="str">
        <f>_xlfn.IFNA(VLOOKUP($D19,'Route-Details'!$B$2:$X$1048576,'Node Details'!J$1,0),"")</f>
        <v>1GF</v>
      </c>
      <c r="K19" s="101">
        <v>45173</v>
      </c>
      <c r="L19" s="101">
        <v>45173</v>
      </c>
      <c r="M19" s="102">
        <v>45379</v>
      </c>
      <c r="N19" s="55"/>
      <c r="O19" s="54"/>
      <c r="P19" s="54"/>
      <c r="Q19" s="54"/>
      <c r="R19" s="103" t="s">
        <v>94</v>
      </c>
      <c r="S19" s="104">
        <v>53</v>
      </c>
      <c r="T19" s="104">
        <v>53</v>
      </c>
      <c r="U19" s="104">
        <v>53</v>
      </c>
      <c r="V19" s="105"/>
      <c r="W19" s="64" t="s">
        <v>84</v>
      </c>
      <c r="X19" s="104">
        <v>14000</v>
      </c>
      <c r="Y19" s="109">
        <v>45181</v>
      </c>
      <c r="Z19" s="106">
        <v>102</v>
      </c>
      <c r="AA19" s="105"/>
      <c r="AB19" s="104">
        <v>53</v>
      </c>
      <c r="AC19" s="65" t="s">
        <v>85</v>
      </c>
      <c r="AD19" s="103" t="s">
        <v>94</v>
      </c>
      <c r="AE19" s="54">
        <v>20</v>
      </c>
      <c r="AF19" s="52">
        <f t="shared" si="0"/>
        <v>1060</v>
      </c>
      <c r="AG19" s="56"/>
      <c r="AH19" s="98" t="s">
        <v>86</v>
      </c>
      <c r="AI19" s="104">
        <v>53</v>
      </c>
      <c r="AJ19" s="54">
        <v>20</v>
      </c>
      <c r="AK19" s="47">
        <f t="shared" si="1"/>
        <v>1060</v>
      </c>
      <c r="AL19" s="54"/>
      <c r="AM19" s="54"/>
      <c r="AN19" s="47">
        <f t="shared" si="2"/>
        <v>0</v>
      </c>
      <c r="AO19" s="48">
        <f t="shared" si="3"/>
        <v>1060</v>
      </c>
      <c r="AP19" s="56"/>
      <c r="AQ19" s="98" t="s">
        <v>87</v>
      </c>
      <c r="AR19" s="99">
        <v>45211</v>
      </c>
      <c r="AS19" s="57">
        <f t="shared" si="4"/>
        <v>20</v>
      </c>
      <c r="AT19" s="52">
        <f t="shared" si="5"/>
        <v>1060</v>
      </c>
      <c r="AU19" s="56"/>
      <c r="AV19" s="98" t="s">
        <v>88</v>
      </c>
      <c r="AW19" s="99">
        <v>45257</v>
      </c>
      <c r="AX19" s="58">
        <f t="shared" si="6"/>
        <v>20</v>
      </c>
      <c r="AY19" s="58">
        <f t="shared" si="7"/>
        <v>53</v>
      </c>
      <c r="AZ19" s="59">
        <f t="shared" si="8"/>
        <v>1060</v>
      </c>
    </row>
    <row r="20" spans="1:54" s="60" customFormat="1" ht="11.1" customHeight="1" x14ac:dyDescent="0.2">
      <c r="A20" s="53">
        <f t="shared" si="9"/>
        <v>18</v>
      </c>
      <c r="B20" s="90" t="s">
        <v>162</v>
      </c>
      <c r="C20" s="104" t="s">
        <v>104</v>
      </c>
      <c r="D20" s="101" t="s">
        <v>102</v>
      </c>
      <c r="E20" s="111" t="str">
        <f>_xlfn.IFNA(VLOOKUP($D20,'Route-Details'!$B$2:$X$1048576,'Node Details'!E$1,0),"")</f>
        <v>Airtel</v>
      </c>
      <c r="F20" s="111" t="str">
        <f>_xlfn.IFNA(VLOOKUP($D20,'Route-Details'!$B$2:$X$1048576,'Node Details'!F$1,0),"")</f>
        <v>Gorai</v>
      </c>
      <c r="G20" s="111" t="str">
        <f>_xlfn.IFNA(VLOOKUP($D20,'Route-Details'!$B$2:$X$1048576,'Node Details'!G$1,0),"")</f>
        <v>Mumbai</v>
      </c>
      <c r="H20" s="111" t="str">
        <f>_xlfn.IFNA(VLOOKUP($D21,'Route-Details'!$B$2:$X$1048576,'Node Details'!H$1,0),"")</f>
        <v>Mumbai</v>
      </c>
      <c r="I20" s="111" t="str">
        <f>_xlfn.IFNA(VLOOKUP($D20,'Route-Details'!$B$2:$X$1048576,'Node Details'!I$1,0),"")</f>
        <v>1GF</v>
      </c>
      <c r="J20" s="111" t="str">
        <f>_xlfn.IFNA(VLOOKUP($D20,'Route-Details'!$B$2:$X$1048576,'Node Details'!J$1,0),"")</f>
        <v>1GF</v>
      </c>
      <c r="K20" s="101">
        <v>45230</v>
      </c>
      <c r="L20" s="101">
        <v>45230</v>
      </c>
      <c r="M20" s="102">
        <v>45379</v>
      </c>
      <c r="N20" s="55"/>
      <c r="O20" s="54"/>
      <c r="P20" s="54"/>
      <c r="Q20" s="54"/>
      <c r="R20" s="103" t="s">
        <v>94</v>
      </c>
      <c r="S20" s="100">
        <v>54</v>
      </c>
      <c r="T20" s="100">
        <v>54</v>
      </c>
      <c r="U20" s="100">
        <v>54</v>
      </c>
      <c r="V20" s="105"/>
      <c r="W20" s="64" t="s">
        <v>84</v>
      </c>
      <c r="X20" s="104">
        <v>14000</v>
      </c>
      <c r="Y20" s="109">
        <v>45181</v>
      </c>
      <c r="Z20" s="106">
        <v>102</v>
      </c>
      <c r="AA20" s="105"/>
      <c r="AB20" s="100">
        <v>54</v>
      </c>
      <c r="AC20" s="65" t="s">
        <v>85</v>
      </c>
      <c r="AD20" s="103" t="s">
        <v>94</v>
      </c>
      <c r="AE20" s="54">
        <v>20</v>
      </c>
      <c r="AF20" s="52">
        <f t="shared" si="0"/>
        <v>1080</v>
      </c>
      <c r="AG20" s="56"/>
      <c r="AH20" s="98" t="s">
        <v>86</v>
      </c>
      <c r="AI20" s="100">
        <v>54</v>
      </c>
      <c r="AJ20" s="54">
        <v>20</v>
      </c>
      <c r="AK20" s="47">
        <f t="shared" si="1"/>
        <v>1080</v>
      </c>
      <c r="AL20" s="54"/>
      <c r="AM20" s="54"/>
      <c r="AN20" s="47">
        <f t="shared" si="2"/>
        <v>0</v>
      </c>
      <c r="AO20" s="48">
        <f t="shared" si="3"/>
        <v>1080</v>
      </c>
      <c r="AP20" s="56"/>
      <c r="AQ20" s="98" t="s">
        <v>87</v>
      </c>
      <c r="AR20" s="99">
        <v>45211</v>
      </c>
      <c r="AS20" s="57">
        <f t="shared" si="4"/>
        <v>20</v>
      </c>
      <c r="AT20" s="52">
        <f t="shared" si="5"/>
        <v>1080</v>
      </c>
      <c r="AU20" s="56"/>
      <c r="AV20" s="98" t="s">
        <v>88</v>
      </c>
      <c r="AW20" s="99">
        <v>45257</v>
      </c>
      <c r="AX20" s="58">
        <f t="shared" si="6"/>
        <v>20</v>
      </c>
      <c r="AY20" s="58">
        <f t="shared" si="7"/>
        <v>54</v>
      </c>
      <c r="AZ20" s="59">
        <f t="shared" si="8"/>
        <v>1080</v>
      </c>
    </row>
    <row r="21" spans="1:54" s="60" customFormat="1" ht="11.1" customHeight="1" x14ac:dyDescent="0.2">
      <c r="A21" s="53">
        <f t="shared" si="9"/>
        <v>19</v>
      </c>
      <c r="B21" s="90" t="s">
        <v>163</v>
      </c>
      <c r="C21" s="104" t="s">
        <v>104</v>
      </c>
      <c r="D21" s="101" t="s">
        <v>102</v>
      </c>
      <c r="E21" s="111" t="str">
        <f>_xlfn.IFNA(VLOOKUP($D21,'Route-Details'!$B$2:$X$1048576,'Node Details'!E$1,0),"")</f>
        <v>Airtel</v>
      </c>
      <c r="F21" s="111" t="str">
        <f>_xlfn.IFNA(VLOOKUP($D21,'Route-Details'!$B$2:$X$1048576,'Node Details'!F$1,0),"")</f>
        <v>Gorai</v>
      </c>
      <c r="G21" s="111" t="str">
        <f>_xlfn.IFNA(VLOOKUP($D21,'Route-Details'!$B$2:$X$1048576,'Node Details'!G$1,0),"")</f>
        <v>Mumbai</v>
      </c>
      <c r="H21" s="111" t="str">
        <f>_xlfn.IFNA(VLOOKUP($D22,'Route-Details'!$B$2:$X$1048576,'Node Details'!H$1,0),"")</f>
        <v>Mumbai</v>
      </c>
      <c r="I21" s="111" t="str">
        <f>_xlfn.IFNA(VLOOKUP($D21,'Route-Details'!$B$2:$X$1048576,'Node Details'!I$1,0),"")</f>
        <v>1GF</v>
      </c>
      <c r="J21" s="111" t="str">
        <f>_xlfn.IFNA(VLOOKUP($D21,'Route-Details'!$B$2:$X$1048576,'Node Details'!J$1,0),"")</f>
        <v>1GF</v>
      </c>
      <c r="K21" s="101">
        <v>45230</v>
      </c>
      <c r="L21" s="101">
        <v>45230</v>
      </c>
      <c r="M21" s="102">
        <v>45379</v>
      </c>
      <c r="N21" s="55"/>
      <c r="O21" s="54"/>
      <c r="P21" s="54"/>
      <c r="Q21" s="54"/>
      <c r="R21" s="103" t="s">
        <v>94</v>
      </c>
      <c r="S21" s="104">
        <v>64</v>
      </c>
      <c r="T21" s="104">
        <v>64</v>
      </c>
      <c r="U21" s="104">
        <v>64</v>
      </c>
      <c r="V21" s="105"/>
      <c r="W21" s="64" t="s">
        <v>84</v>
      </c>
      <c r="X21" s="104">
        <v>14000</v>
      </c>
      <c r="Y21" s="109">
        <v>45181</v>
      </c>
      <c r="Z21" s="106">
        <v>102</v>
      </c>
      <c r="AA21" s="105"/>
      <c r="AB21" s="104">
        <v>64</v>
      </c>
      <c r="AC21" s="65" t="s">
        <v>85</v>
      </c>
      <c r="AD21" s="103" t="s">
        <v>94</v>
      </c>
      <c r="AE21" s="54">
        <v>20</v>
      </c>
      <c r="AF21" s="52">
        <f t="shared" si="0"/>
        <v>1280</v>
      </c>
      <c r="AG21" s="56"/>
      <c r="AH21" s="98" t="s">
        <v>86</v>
      </c>
      <c r="AI21" s="104">
        <v>64</v>
      </c>
      <c r="AJ21" s="54">
        <v>20</v>
      </c>
      <c r="AK21" s="47">
        <f t="shared" si="1"/>
        <v>1280</v>
      </c>
      <c r="AL21" s="54"/>
      <c r="AM21" s="54"/>
      <c r="AN21" s="47">
        <f t="shared" si="2"/>
        <v>0</v>
      </c>
      <c r="AO21" s="48">
        <f t="shared" si="3"/>
        <v>1280</v>
      </c>
      <c r="AP21" s="56"/>
      <c r="AQ21" s="98" t="s">
        <v>87</v>
      </c>
      <c r="AR21" s="99">
        <v>45211</v>
      </c>
      <c r="AS21" s="57">
        <f t="shared" si="4"/>
        <v>20</v>
      </c>
      <c r="AT21" s="52">
        <f t="shared" si="5"/>
        <v>1280</v>
      </c>
      <c r="AU21" s="56"/>
      <c r="AV21" s="98" t="s">
        <v>88</v>
      </c>
      <c r="AW21" s="99">
        <v>45257</v>
      </c>
      <c r="AX21" s="58">
        <f t="shared" si="6"/>
        <v>20</v>
      </c>
      <c r="AY21" s="58">
        <f t="shared" si="7"/>
        <v>64</v>
      </c>
      <c r="AZ21" s="59">
        <f t="shared" si="8"/>
        <v>1280</v>
      </c>
    </row>
    <row r="22" spans="1:54" s="60" customFormat="1" ht="11.1" customHeight="1" x14ac:dyDescent="0.2">
      <c r="A22" s="53">
        <f t="shared" si="9"/>
        <v>20</v>
      </c>
      <c r="B22" s="90" t="s">
        <v>164</v>
      </c>
      <c r="C22" s="104" t="s">
        <v>104</v>
      </c>
      <c r="D22" s="101" t="s">
        <v>102</v>
      </c>
      <c r="E22" s="111" t="str">
        <f>_xlfn.IFNA(VLOOKUP($D22,'Route-Details'!$B$2:$X$1048576,'Node Details'!E$1,0),"")</f>
        <v>Airtel</v>
      </c>
      <c r="F22" s="111" t="str">
        <f>_xlfn.IFNA(VLOOKUP($D22,'Route-Details'!$B$2:$X$1048576,'Node Details'!F$1,0),"")</f>
        <v>Gorai</v>
      </c>
      <c r="G22" s="111" t="str">
        <f>_xlfn.IFNA(VLOOKUP($D22,'Route-Details'!$B$2:$X$1048576,'Node Details'!G$1,0),"")</f>
        <v>Mumbai</v>
      </c>
      <c r="H22" s="111" t="str">
        <f>_xlfn.IFNA(VLOOKUP($D23,'Route-Details'!$B$2:$X$1048576,'Node Details'!H$1,0),"")</f>
        <v>Mumbai</v>
      </c>
      <c r="I22" s="111" t="str">
        <f>_xlfn.IFNA(VLOOKUP($D22,'Route-Details'!$B$2:$X$1048576,'Node Details'!I$1,0),"")</f>
        <v>1GF</v>
      </c>
      <c r="J22" s="111" t="str">
        <f>_xlfn.IFNA(VLOOKUP($D22,'Route-Details'!$B$2:$X$1048576,'Node Details'!J$1,0),"")</f>
        <v>1GF</v>
      </c>
      <c r="K22" s="101">
        <v>45230</v>
      </c>
      <c r="L22" s="101">
        <v>45230</v>
      </c>
      <c r="M22" s="102">
        <v>45379</v>
      </c>
      <c r="N22" s="55"/>
      <c r="O22" s="54"/>
      <c r="P22" s="54"/>
      <c r="Q22" s="54"/>
      <c r="R22" s="103" t="s">
        <v>94</v>
      </c>
      <c r="S22" s="104">
        <v>64</v>
      </c>
      <c r="T22" s="104">
        <v>64</v>
      </c>
      <c r="U22" s="104">
        <v>64</v>
      </c>
      <c r="V22" s="105"/>
      <c r="W22" s="64" t="s">
        <v>84</v>
      </c>
      <c r="X22" s="104">
        <v>14000</v>
      </c>
      <c r="Y22" s="109">
        <v>45181</v>
      </c>
      <c r="Z22" s="106">
        <v>102</v>
      </c>
      <c r="AA22" s="105"/>
      <c r="AB22" s="104">
        <v>64</v>
      </c>
      <c r="AC22" s="65" t="s">
        <v>85</v>
      </c>
      <c r="AD22" s="103" t="s">
        <v>94</v>
      </c>
      <c r="AE22" s="54">
        <v>20</v>
      </c>
      <c r="AF22" s="52">
        <f t="shared" si="0"/>
        <v>1280</v>
      </c>
      <c r="AG22" s="56"/>
      <c r="AH22" s="98" t="s">
        <v>86</v>
      </c>
      <c r="AI22" s="104">
        <v>64</v>
      </c>
      <c r="AJ22" s="54">
        <v>20</v>
      </c>
      <c r="AK22" s="47">
        <f t="shared" si="1"/>
        <v>1280</v>
      </c>
      <c r="AL22" s="54"/>
      <c r="AM22" s="54"/>
      <c r="AN22" s="47">
        <f t="shared" si="2"/>
        <v>0</v>
      </c>
      <c r="AO22" s="48">
        <f t="shared" si="3"/>
        <v>1280</v>
      </c>
      <c r="AP22" s="56"/>
      <c r="AQ22" s="98" t="s">
        <v>87</v>
      </c>
      <c r="AR22" s="99">
        <v>45211</v>
      </c>
      <c r="AS22" s="57">
        <f t="shared" si="4"/>
        <v>20</v>
      </c>
      <c r="AT22" s="52">
        <f t="shared" si="5"/>
        <v>1280</v>
      </c>
      <c r="AU22" s="56"/>
      <c r="AV22" s="98" t="s">
        <v>88</v>
      </c>
      <c r="AW22" s="99">
        <v>45257</v>
      </c>
      <c r="AX22" s="58">
        <f t="shared" si="6"/>
        <v>20</v>
      </c>
      <c r="AY22" s="58">
        <f t="shared" si="7"/>
        <v>64</v>
      </c>
      <c r="AZ22" s="59">
        <f t="shared" si="8"/>
        <v>1280</v>
      </c>
    </row>
    <row r="23" spans="1:54" s="60" customFormat="1" ht="11.1" customHeight="1" x14ac:dyDescent="0.2">
      <c r="A23" s="53">
        <f t="shared" si="9"/>
        <v>21</v>
      </c>
      <c r="B23" s="90" t="s">
        <v>165</v>
      </c>
      <c r="C23" s="104" t="s">
        <v>104</v>
      </c>
      <c r="D23" s="101" t="s">
        <v>102</v>
      </c>
      <c r="E23" s="111" t="str">
        <f>_xlfn.IFNA(VLOOKUP($D23,'Route-Details'!$B$2:$X$1048576,'Node Details'!E$1,0),"")</f>
        <v>Airtel</v>
      </c>
      <c r="F23" s="111" t="str">
        <f>_xlfn.IFNA(VLOOKUP($D23,'Route-Details'!$B$2:$X$1048576,'Node Details'!F$1,0),"")</f>
        <v>Gorai</v>
      </c>
      <c r="G23" s="111" t="str">
        <f>_xlfn.IFNA(VLOOKUP($D23,'Route-Details'!$B$2:$X$1048576,'Node Details'!G$1,0),"")</f>
        <v>Mumbai</v>
      </c>
      <c r="H23" s="111" t="str">
        <f>_xlfn.IFNA(VLOOKUP($D24,'Route-Details'!$B$2:$X$1048576,'Node Details'!H$1,0),"")</f>
        <v>Mumbai</v>
      </c>
      <c r="I23" s="111" t="str">
        <f>_xlfn.IFNA(VLOOKUP($D23,'Route-Details'!$B$2:$X$1048576,'Node Details'!I$1,0),"")</f>
        <v>1GF</v>
      </c>
      <c r="J23" s="111" t="str">
        <f>_xlfn.IFNA(VLOOKUP($D23,'Route-Details'!$B$2:$X$1048576,'Node Details'!J$1,0),"")</f>
        <v>1GF</v>
      </c>
      <c r="K23" s="101">
        <v>45147</v>
      </c>
      <c r="L23" s="101">
        <v>45147</v>
      </c>
      <c r="M23" s="102">
        <v>45379</v>
      </c>
      <c r="N23" s="55"/>
      <c r="O23" s="54"/>
      <c r="P23" s="54"/>
      <c r="Q23" s="54"/>
      <c r="R23" s="103" t="s">
        <v>94</v>
      </c>
      <c r="S23" s="104">
        <v>64</v>
      </c>
      <c r="T23" s="104">
        <v>64</v>
      </c>
      <c r="U23" s="104">
        <v>64</v>
      </c>
      <c r="V23" s="105"/>
      <c r="W23" s="64" t="s">
        <v>84</v>
      </c>
      <c r="X23" s="104">
        <v>14000</v>
      </c>
      <c r="Y23" s="109">
        <v>45181</v>
      </c>
      <c r="Z23" s="106">
        <v>102</v>
      </c>
      <c r="AA23" s="105"/>
      <c r="AB23" s="104">
        <v>64</v>
      </c>
      <c r="AC23" s="65" t="s">
        <v>85</v>
      </c>
      <c r="AD23" s="103" t="s">
        <v>94</v>
      </c>
      <c r="AE23" s="54">
        <v>20</v>
      </c>
      <c r="AF23" s="52">
        <f t="shared" si="0"/>
        <v>1280</v>
      </c>
      <c r="AG23" s="56"/>
      <c r="AH23" s="98" t="s">
        <v>86</v>
      </c>
      <c r="AI23" s="104">
        <v>64</v>
      </c>
      <c r="AJ23" s="54">
        <v>20</v>
      </c>
      <c r="AK23" s="47">
        <f t="shared" si="1"/>
        <v>1280</v>
      </c>
      <c r="AL23" s="54"/>
      <c r="AM23" s="54"/>
      <c r="AN23" s="47">
        <f t="shared" si="2"/>
        <v>0</v>
      </c>
      <c r="AO23" s="48">
        <f t="shared" si="3"/>
        <v>1280</v>
      </c>
      <c r="AP23" s="56"/>
      <c r="AQ23" s="98" t="s">
        <v>87</v>
      </c>
      <c r="AR23" s="99">
        <v>45211</v>
      </c>
      <c r="AS23" s="57">
        <f t="shared" si="4"/>
        <v>20</v>
      </c>
      <c r="AT23" s="52">
        <f t="shared" si="5"/>
        <v>1280</v>
      </c>
      <c r="AU23" s="56"/>
      <c r="AV23" s="98" t="s">
        <v>88</v>
      </c>
      <c r="AW23" s="99">
        <v>45257</v>
      </c>
      <c r="AX23" s="58">
        <f t="shared" si="6"/>
        <v>20</v>
      </c>
      <c r="AY23" s="58">
        <f t="shared" si="7"/>
        <v>64</v>
      </c>
      <c r="AZ23" s="59">
        <f t="shared" si="8"/>
        <v>1280</v>
      </c>
    </row>
    <row r="24" spans="1:54" s="60" customFormat="1" ht="11.1" customHeight="1" x14ac:dyDescent="0.2">
      <c r="A24" s="53">
        <f t="shared" si="9"/>
        <v>22</v>
      </c>
      <c r="B24" s="90" t="s">
        <v>105</v>
      </c>
      <c r="C24" s="104" t="s">
        <v>104</v>
      </c>
      <c r="D24" s="101" t="s">
        <v>102</v>
      </c>
      <c r="E24" s="111" t="str">
        <f>_xlfn.IFNA(VLOOKUP($D24,'Route-Details'!$B$2:$X$1048576,'Node Details'!E$1,0),"")</f>
        <v>Airtel</v>
      </c>
      <c r="F24" s="111" t="str">
        <f>_xlfn.IFNA(VLOOKUP($D24,'Route-Details'!$B$2:$X$1048576,'Node Details'!F$1,0),"")</f>
        <v>Gorai</v>
      </c>
      <c r="G24" s="111" t="str">
        <f>_xlfn.IFNA(VLOOKUP($D24,'Route-Details'!$B$2:$X$1048576,'Node Details'!G$1,0),"")</f>
        <v>Mumbai</v>
      </c>
      <c r="H24" s="111" t="str">
        <f>_xlfn.IFNA(VLOOKUP($D25,'Route-Details'!$B$2:$X$1048576,'Node Details'!H$1,0),"")</f>
        <v>Mumbai</v>
      </c>
      <c r="I24" s="111" t="str">
        <f>_xlfn.IFNA(VLOOKUP($D24,'Route-Details'!$B$2:$X$1048576,'Node Details'!I$1,0),"")</f>
        <v>1GF</v>
      </c>
      <c r="J24" s="111" t="str">
        <f>_xlfn.IFNA(VLOOKUP($D24,'Route-Details'!$B$2:$X$1048576,'Node Details'!J$1,0),"")</f>
        <v>1GF</v>
      </c>
      <c r="K24" s="101">
        <v>45147</v>
      </c>
      <c r="L24" s="101">
        <v>45147</v>
      </c>
      <c r="M24" s="102">
        <v>45379</v>
      </c>
      <c r="N24" s="55"/>
      <c r="O24" s="54"/>
      <c r="P24" s="54"/>
      <c r="Q24" s="54"/>
      <c r="R24" s="103" t="s">
        <v>94</v>
      </c>
      <c r="S24" s="104">
        <v>64</v>
      </c>
      <c r="T24" s="104">
        <v>64</v>
      </c>
      <c r="U24" s="104">
        <v>64</v>
      </c>
      <c r="V24" s="105"/>
      <c r="W24" s="64" t="s">
        <v>84</v>
      </c>
      <c r="X24" s="104">
        <v>14000</v>
      </c>
      <c r="Y24" s="109">
        <v>45181</v>
      </c>
      <c r="Z24" s="106">
        <v>102</v>
      </c>
      <c r="AA24" s="105"/>
      <c r="AB24" s="104">
        <v>64</v>
      </c>
      <c r="AC24" s="65" t="s">
        <v>85</v>
      </c>
      <c r="AD24" s="103" t="s">
        <v>94</v>
      </c>
      <c r="AE24" s="54">
        <v>20</v>
      </c>
      <c r="AF24" s="52">
        <f t="shared" si="0"/>
        <v>1280</v>
      </c>
      <c r="AG24" s="56"/>
      <c r="AH24" s="98" t="s">
        <v>86</v>
      </c>
      <c r="AI24" s="104">
        <v>64</v>
      </c>
      <c r="AJ24" s="54">
        <v>20</v>
      </c>
      <c r="AK24" s="47">
        <f t="shared" si="1"/>
        <v>1280</v>
      </c>
      <c r="AL24" s="54"/>
      <c r="AM24" s="54"/>
      <c r="AN24" s="47">
        <f t="shared" si="2"/>
        <v>0</v>
      </c>
      <c r="AO24" s="48">
        <f t="shared" si="3"/>
        <v>1280</v>
      </c>
      <c r="AP24" s="56"/>
      <c r="AQ24" s="98" t="s">
        <v>87</v>
      </c>
      <c r="AR24" s="99">
        <v>45211</v>
      </c>
      <c r="AS24" s="57">
        <f t="shared" si="4"/>
        <v>20</v>
      </c>
      <c r="AT24" s="52">
        <f t="shared" si="5"/>
        <v>1280</v>
      </c>
      <c r="AU24" s="56"/>
      <c r="AV24" s="98" t="s">
        <v>88</v>
      </c>
      <c r="AW24" s="99">
        <v>45257</v>
      </c>
      <c r="AX24" s="58">
        <f t="shared" si="6"/>
        <v>20</v>
      </c>
      <c r="AY24" s="58">
        <f t="shared" si="7"/>
        <v>64</v>
      </c>
      <c r="AZ24" s="59">
        <f t="shared" si="8"/>
        <v>1280</v>
      </c>
    </row>
    <row r="25" spans="1:54" s="60" customFormat="1" ht="11.1" customHeight="1" x14ac:dyDescent="0.2">
      <c r="A25" s="53">
        <f t="shared" si="9"/>
        <v>23</v>
      </c>
      <c r="B25" s="90" t="s">
        <v>107</v>
      </c>
      <c r="C25" s="104" t="s">
        <v>93</v>
      </c>
      <c r="D25" s="101" t="s">
        <v>92</v>
      </c>
      <c r="E25" s="111" t="str">
        <f>_xlfn.IFNA(VLOOKUP($D25,'Route-Details'!$B$2:$X$1048576,'Node Details'!E$1,0),"")</f>
        <v>Airtel</v>
      </c>
      <c r="F25" s="111" t="str">
        <f>_xlfn.IFNA(VLOOKUP($D25,'Route-Details'!$B$2:$X$1048576,'Node Details'!F$1,0),"")</f>
        <v>Gorai</v>
      </c>
      <c r="G25" s="111" t="str">
        <f>_xlfn.IFNA(VLOOKUP($D25,'Route-Details'!$B$2:$X$1048576,'Node Details'!G$1,0),"")</f>
        <v>Mumbai</v>
      </c>
      <c r="H25" s="111" t="str">
        <f>_xlfn.IFNA(VLOOKUP($D26,'Route-Details'!$B$2:$X$1048576,'Node Details'!H$1,0),"")</f>
        <v>Mumbai</v>
      </c>
      <c r="I25" s="111" t="str">
        <f>_xlfn.IFNA(VLOOKUP($D25,'Route-Details'!$B$2:$X$1048576,'Node Details'!I$1,0),"")</f>
        <v>1GF</v>
      </c>
      <c r="J25" s="111" t="str">
        <f>_xlfn.IFNA(VLOOKUP($D25,'Route-Details'!$B$2:$X$1048576,'Node Details'!J$1,0),"")</f>
        <v>1GF</v>
      </c>
      <c r="K25" s="101">
        <v>45147</v>
      </c>
      <c r="L25" s="101">
        <v>45147</v>
      </c>
      <c r="M25" s="102">
        <v>45379</v>
      </c>
      <c r="N25" s="55"/>
      <c r="O25" s="54"/>
      <c r="P25" s="54"/>
      <c r="Q25" s="54"/>
      <c r="R25" s="103" t="s">
        <v>94</v>
      </c>
      <c r="S25" s="104">
        <v>310</v>
      </c>
      <c r="T25" s="104">
        <v>310</v>
      </c>
      <c r="U25" s="104">
        <v>310</v>
      </c>
      <c r="V25" s="105"/>
      <c r="W25" s="64" t="s">
        <v>84</v>
      </c>
      <c r="X25" s="104">
        <v>14000</v>
      </c>
      <c r="Y25" s="109">
        <v>45181</v>
      </c>
      <c r="Z25" s="106">
        <v>102</v>
      </c>
      <c r="AA25" s="105"/>
      <c r="AB25" s="104">
        <v>310</v>
      </c>
      <c r="AC25" s="65" t="s">
        <v>85</v>
      </c>
      <c r="AD25" s="103" t="s">
        <v>94</v>
      </c>
      <c r="AE25" s="54">
        <v>20</v>
      </c>
      <c r="AF25" s="52">
        <f t="shared" si="0"/>
        <v>6200</v>
      </c>
      <c r="AG25" s="56"/>
      <c r="AH25" s="98" t="s">
        <v>86</v>
      </c>
      <c r="AI25" s="104">
        <v>310</v>
      </c>
      <c r="AJ25" s="54">
        <v>20</v>
      </c>
      <c r="AK25" s="47">
        <f t="shared" si="1"/>
        <v>6200</v>
      </c>
      <c r="AL25" s="54"/>
      <c r="AM25" s="54"/>
      <c r="AN25" s="47">
        <f t="shared" si="2"/>
        <v>0</v>
      </c>
      <c r="AO25" s="48">
        <f t="shared" si="3"/>
        <v>6200</v>
      </c>
      <c r="AP25" s="56"/>
      <c r="AQ25" s="98" t="s">
        <v>87</v>
      </c>
      <c r="AR25" s="99">
        <v>45211</v>
      </c>
      <c r="AS25" s="57">
        <f t="shared" si="4"/>
        <v>20</v>
      </c>
      <c r="AT25" s="52">
        <f t="shared" si="5"/>
        <v>6200</v>
      </c>
      <c r="AU25" s="56"/>
      <c r="AV25" s="98" t="s">
        <v>88</v>
      </c>
      <c r="AW25" s="99">
        <v>45257</v>
      </c>
      <c r="AX25" s="58">
        <f t="shared" si="6"/>
        <v>20</v>
      </c>
      <c r="AY25" s="58">
        <f t="shared" si="7"/>
        <v>310</v>
      </c>
      <c r="AZ25" s="59">
        <f t="shared" si="8"/>
        <v>6200</v>
      </c>
    </row>
    <row r="26" spans="1:54" s="60" customFormat="1" ht="11.1" customHeight="1" x14ac:dyDescent="0.2">
      <c r="A26" s="53">
        <f t="shared" si="9"/>
        <v>24</v>
      </c>
      <c r="B26" s="90" t="s">
        <v>166</v>
      </c>
      <c r="C26" s="104" t="s">
        <v>108</v>
      </c>
      <c r="D26" s="101" t="s">
        <v>106</v>
      </c>
      <c r="E26" s="111" t="str">
        <f>_xlfn.IFNA(VLOOKUP($D26,'Route-Details'!$B$2:$X$1048576,'Node Details'!E$1,0),"")</f>
        <v>Airtel</v>
      </c>
      <c r="F26" s="111" t="str">
        <f>_xlfn.IFNA(VLOOKUP($D26,'Route-Details'!$B$2:$X$1048576,'Node Details'!F$1,0),"")</f>
        <v>Gorai</v>
      </c>
      <c r="G26" s="111" t="str">
        <f>_xlfn.IFNA(VLOOKUP($D26,'Route-Details'!$B$2:$X$1048576,'Node Details'!G$1,0),"")</f>
        <v>Mumbai</v>
      </c>
      <c r="H26" s="111" t="str">
        <f>_xlfn.IFNA(VLOOKUP($D27,'Route-Details'!$B$2:$X$1048576,'Node Details'!H$1,0),"")</f>
        <v>Mumbai</v>
      </c>
      <c r="I26" s="111" t="str">
        <f>_xlfn.IFNA(VLOOKUP($D26,'Route-Details'!$B$2:$X$1048576,'Node Details'!I$1,0),"")</f>
        <v>1GF</v>
      </c>
      <c r="J26" s="111" t="str">
        <f>_xlfn.IFNA(VLOOKUP($D26,'Route-Details'!$B$2:$X$1048576,'Node Details'!J$1,0),"")</f>
        <v>1GF</v>
      </c>
      <c r="K26" s="101">
        <v>45147</v>
      </c>
      <c r="L26" s="101">
        <v>45147</v>
      </c>
      <c r="M26" s="102">
        <v>45379</v>
      </c>
      <c r="N26" s="55"/>
      <c r="O26" s="54"/>
      <c r="P26" s="54"/>
      <c r="Q26" s="54"/>
      <c r="R26" s="103" t="s">
        <v>94</v>
      </c>
      <c r="S26" s="104">
        <v>19</v>
      </c>
      <c r="T26" s="104">
        <v>19</v>
      </c>
      <c r="U26" s="104">
        <v>19</v>
      </c>
      <c r="V26" s="105"/>
      <c r="W26" s="64" t="s">
        <v>84</v>
      </c>
      <c r="X26" s="104">
        <v>14000</v>
      </c>
      <c r="Y26" s="109">
        <v>45181</v>
      </c>
      <c r="Z26" s="106">
        <v>102</v>
      </c>
      <c r="AA26" s="105"/>
      <c r="AB26" s="104">
        <v>19</v>
      </c>
      <c r="AC26" s="65" t="s">
        <v>85</v>
      </c>
      <c r="AD26" s="103" t="s">
        <v>94</v>
      </c>
      <c r="AE26" s="54">
        <v>20</v>
      </c>
      <c r="AF26" s="52">
        <f t="shared" si="0"/>
        <v>380</v>
      </c>
      <c r="AG26" s="56"/>
      <c r="AH26" s="98" t="s">
        <v>86</v>
      </c>
      <c r="AI26" s="104">
        <v>19</v>
      </c>
      <c r="AJ26" s="54">
        <v>20</v>
      </c>
      <c r="AK26" s="47">
        <f t="shared" si="1"/>
        <v>380</v>
      </c>
      <c r="AL26" s="54"/>
      <c r="AM26" s="54"/>
      <c r="AN26" s="47">
        <f t="shared" si="2"/>
        <v>0</v>
      </c>
      <c r="AO26" s="48">
        <f t="shared" si="3"/>
        <v>380</v>
      </c>
      <c r="AP26" s="56"/>
      <c r="AQ26" s="98" t="s">
        <v>87</v>
      </c>
      <c r="AR26" s="99">
        <v>45211</v>
      </c>
      <c r="AS26" s="57">
        <f t="shared" si="4"/>
        <v>20</v>
      </c>
      <c r="AT26" s="52">
        <f t="shared" si="5"/>
        <v>380</v>
      </c>
      <c r="AU26" s="56"/>
      <c r="AV26" s="98" t="s">
        <v>88</v>
      </c>
      <c r="AW26" s="99">
        <v>45257</v>
      </c>
      <c r="AX26" s="58">
        <f t="shared" si="6"/>
        <v>20</v>
      </c>
      <c r="AY26" s="58">
        <f t="shared" si="7"/>
        <v>19</v>
      </c>
      <c r="AZ26" s="59">
        <f t="shared" si="8"/>
        <v>380</v>
      </c>
    </row>
    <row r="27" spans="1:54" s="60" customFormat="1" ht="11.1" customHeight="1" x14ac:dyDescent="0.2">
      <c r="A27" s="53">
        <f t="shared" si="9"/>
        <v>25</v>
      </c>
      <c r="B27" s="90" t="s">
        <v>167</v>
      </c>
      <c r="C27" s="104" t="s">
        <v>108</v>
      </c>
      <c r="D27" s="101" t="s">
        <v>106</v>
      </c>
      <c r="E27" s="111" t="str">
        <f>_xlfn.IFNA(VLOOKUP($D27,'Route-Details'!$B$2:$X$1048576,'Node Details'!E$1,0),"")</f>
        <v>Airtel</v>
      </c>
      <c r="F27" s="111" t="str">
        <f>_xlfn.IFNA(VLOOKUP($D27,'Route-Details'!$B$2:$X$1048576,'Node Details'!F$1,0),"")</f>
        <v>Gorai</v>
      </c>
      <c r="G27" s="111" t="str">
        <f>_xlfn.IFNA(VLOOKUP($D27,'Route-Details'!$B$2:$X$1048576,'Node Details'!G$1,0),"")</f>
        <v>Mumbai</v>
      </c>
      <c r="H27" s="111" t="str">
        <f>_xlfn.IFNA(VLOOKUP($D28,'Route-Details'!$B$2:$X$1048576,'Node Details'!H$1,0),"")</f>
        <v>Mumbai</v>
      </c>
      <c r="I27" s="111" t="str">
        <f>_xlfn.IFNA(VLOOKUP($D27,'Route-Details'!$B$2:$X$1048576,'Node Details'!I$1,0),"")</f>
        <v>1GF</v>
      </c>
      <c r="J27" s="111" t="str">
        <f>_xlfn.IFNA(VLOOKUP($D27,'Route-Details'!$B$2:$X$1048576,'Node Details'!J$1,0),"")</f>
        <v>1GF</v>
      </c>
      <c r="K27" s="101">
        <v>45157</v>
      </c>
      <c r="L27" s="101">
        <v>45157</v>
      </c>
      <c r="M27" s="102">
        <v>45379</v>
      </c>
      <c r="N27" s="55"/>
      <c r="O27" s="54"/>
      <c r="P27" s="54"/>
      <c r="Q27" s="54"/>
      <c r="R27" s="103" t="s">
        <v>94</v>
      </c>
      <c r="S27" s="104">
        <v>69</v>
      </c>
      <c r="T27" s="104">
        <v>69</v>
      </c>
      <c r="U27" s="104">
        <v>69</v>
      </c>
      <c r="V27" s="105"/>
      <c r="W27" s="64" t="s">
        <v>84</v>
      </c>
      <c r="X27" s="104">
        <v>14000</v>
      </c>
      <c r="Y27" s="109">
        <v>45181</v>
      </c>
      <c r="Z27" s="106">
        <v>102</v>
      </c>
      <c r="AA27" s="105"/>
      <c r="AB27" s="104">
        <v>69</v>
      </c>
      <c r="AC27" s="65" t="s">
        <v>85</v>
      </c>
      <c r="AD27" s="103" t="s">
        <v>94</v>
      </c>
      <c r="AE27" s="54">
        <v>20</v>
      </c>
      <c r="AF27" s="52">
        <f t="shared" si="0"/>
        <v>1380</v>
      </c>
      <c r="AG27" s="56"/>
      <c r="AH27" s="98" t="s">
        <v>86</v>
      </c>
      <c r="AI27" s="104">
        <v>69</v>
      </c>
      <c r="AJ27" s="54">
        <v>20</v>
      </c>
      <c r="AK27" s="47">
        <f t="shared" si="1"/>
        <v>1380</v>
      </c>
      <c r="AL27" s="54"/>
      <c r="AM27" s="54"/>
      <c r="AN27" s="47">
        <f t="shared" si="2"/>
        <v>0</v>
      </c>
      <c r="AO27" s="48">
        <f t="shared" si="3"/>
        <v>1380</v>
      </c>
      <c r="AP27" s="56"/>
      <c r="AQ27" s="98" t="s">
        <v>87</v>
      </c>
      <c r="AR27" s="99">
        <v>45211</v>
      </c>
      <c r="AS27" s="57">
        <f t="shared" si="4"/>
        <v>20</v>
      </c>
      <c r="AT27" s="52">
        <f t="shared" si="5"/>
        <v>1380</v>
      </c>
      <c r="AU27" s="56"/>
      <c r="AV27" s="98" t="s">
        <v>88</v>
      </c>
      <c r="AW27" s="99">
        <v>45257</v>
      </c>
      <c r="AX27" s="58">
        <f t="shared" si="6"/>
        <v>20</v>
      </c>
      <c r="AY27" s="58">
        <f t="shared" si="7"/>
        <v>69</v>
      </c>
      <c r="AZ27" s="59">
        <f t="shared" si="8"/>
        <v>1380</v>
      </c>
    </row>
    <row r="28" spans="1:54" s="60" customFormat="1" ht="11.1" customHeight="1" x14ac:dyDescent="0.2">
      <c r="A28" s="53">
        <f t="shared" si="9"/>
        <v>26</v>
      </c>
      <c r="B28" s="90" t="s">
        <v>168</v>
      </c>
      <c r="C28" s="104" t="s">
        <v>108</v>
      </c>
      <c r="D28" s="101" t="s">
        <v>106</v>
      </c>
      <c r="E28" s="111" t="str">
        <f>_xlfn.IFNA(VLOOKUP($D28,'Route-Details'!$B$2:$X$1048576,'Node Details'!E$1,0),"")</f>
        <v>Airtel</v>
      </c>
      <c r="F28" s="111" t="str">
        <f>_xlfn.IFNA(VLOOKUP($D28,'Route-Details'!$B$2:$X$1048576,'Node Details'!F$1,0),"")</f>
        <v>Gorai</v>
      </c>
      <c r="G28" s="111" t="str">
        <f>_xlfn.IFNA(VLOOKUP($D28,'Route-Details'!$B$2:$X$1048576,'Node Details'!G$1,0),"")</f>
        <v>Mumbai</v>
      </c>
      <c r="H28" s="111" t="str">
        <f>_xlfn.IFNA(VLOOKUP($D29,'Route-Details'!$B$2:$X$1048576,'Node Details'!H$1,0),"")</f>
        <v>Mumbai</v>
      </c>
      <c r="I28" s="111" t="str">
        <f>_xlfn.IFNA(VLOOKUP($D28,'Route-Details'!$B$2:$X$1048576,'Node Details'!I$1,0),"")</f>
        <v>1GF</v>
      </c>
      <c r="J28" s="111" t="str">
        <f>_xlfn.IFNA(VLOOKUP($D28,'Route-Details'!$B$2:$X$1048576,'Node Details'!J$1,0),"")</f>
        <v>1GF</v>
      </c>
      <c r="K28" s="101">
        <v>45157</v>
      </c>
      <c r="L28" s="101">
        <v>45157</v>
      </c>
      <c r="M28" s="102">
        <v>45379</v>
      </c>
      <c r="N28" s="55"/>
      <c r="O28" s="54"/>
      <c r="P28" s="54"/>
      <c r="Q28" s="54"/>
      <c r="R28" s="103" t="s">
        <v>94</v>
      </c>
      <c r="S28" s="104">
        <v>68</v>
      </c>
      <c r="T28" s="104">
        <v>68</v>
      </c>
      <c r="U28" s="104">
        <v>68</v>
      </c>
      <c r="V28" s="105"/>
      <c r="W28" s="64" t="s">
        <v>84</v>
      </c>
      <c r="X28" s="104">
        <v>14000</v>
      </c>
      <c r="Y28" s="109">
        <v>45181</v>
      </c>
      <c r="Z28" s="106">
        <v>102</v>
      </c>
      <c r="AA28" s="105"/>
      <c r="AB28" s="104">
        <v>68</v>
      </c>
      <c r="AC28" s="65" t="s">
        <v>85</v>
      </c>
      <c r="AD28" s="103" t="s">
        <v>94</v>
      </c>
      <c r="AE28" s="54">
        <v>20</v>
      </c>
      <c r="AF28" s="52">
        <f t="shared" si="0"/>
        <v>1360</v>
      </c>
      <c r="AG28" s="56"/>
      <c r="AH28" s="98" t="s">
        <v>86</v>
      </c>
      <c r="AI28" s="104">
        <v>68</v>
      </c>
      <c r="AJ28" s="54">
        <v>20</v>
      </c>
      <c r="AK28" s="47">
        <f t="shared" si="1"/>
        <v>1360</v>
      </c>
      <c r="AL28" s="54"/>
      <c r="AM28" s="54"/>
      <c r="AN28" s="47">
        <f t="shared" si="2"/>
        <v>0</v>
      </c>
      <c r="AO28" s="48">
        <f t="shared" si="3"/>
        <v>1360</v>
      </c>
      <c r="AP28" s="56"/>
      <c r="AQ28" s="98" t="s">
        <v>87</v>
      </c>
      <c r="AR28" s="99">
        <v>45211</v>
      </c>
      <c r="AS28" s="57">
        <f t="shared" si="4"/>
        <v>20</v>
      </c>
      <c r="AT28" s="52">
        <f t="shared" si="5"/>
        <v>1360</v>
      </c>
      <c r="AU28" s="56"/>
      <c r="AV28" s="98" t="s">
        <v>88</v>
      </c>
      <c r="AW28" s="99">
        <v>45257</v>
      </c>
      <c r="AX28" s="58">
        <f t="shared" si="6"/>
        <v>20</v>
      </c>
      <c r="AY28" s="58">
        <f t="shared" si="7"/>
        <v>68</v>
      </c>
      <c r="AZ28" s="59">
        <f t="shared" si="8"/>
        <v>1360</v>
      </c>
    </row>
    <row r="29" spans="1:54" s="45" customFormat="1" ht="11.1" customHeight="1" x14ac:dyDescent="0.2">
      <c r="A29" s="53">
        <f t="shared" si="9"/>
        <v>27</v>
      </c>
      <c r="B29" s="90" t="s">
        <v>169</v>
      </c>
      <c r="C29" s="104" t="s">
        <v>108</v>
      </c>
      <c r="D29" s="101" t="s">
        <v>106</v>
      </c>
      <c r="E29" s="111" t="str">
        <f>_xlfn.IFNA(VLOOKUP($D29,'Route-Details'!$B$2:$X$1048576,'Node Details'!E$1,0),"")</f>
        <v>Airtel</v>
      </c>
      <c r="F29" s="111" t="str">
        <f>_xlfn.IFNA(VLOOKUP($D29,'Route-Details'!$B$2:$X$1048576,'Node Details'!F$1,0),"")</f>
        <v>Gorai</v>
      </c>
      <c r="G29" s="111" t="str">
        <f>_xlfn.IFNA(VLOOKUP($D29,'Route-Details'!$B$2:$X$1048576,'Node Details'!G$1,0),"")</f>
        <v>Mumbai</v>
      </c>
      <c r="H29" s="111" t="str">
        <f>_xlfn.IFNA(VLOOKUP($D30,'Route-Details'!$B$2:$X$1048576,'Node Details'!H$1,0),"")</f>
        <v>Mumbai</v>
      </c>
      <c r="I29" s="111" t="str">
        <f>_xlfn.IFNA(VLOOKUP($D29,'Route-Details'!$B$2:$X$1048576,'Node Details'!I$1,0),"")</f>
        <v>1GF</v>
      </c>
      <c r="J29" s="111" t="str">
        <f>_xlfn.IFNA(VLOOKUP($D29,'Route-Details'!$B$2:$X$1048576,'Node Details'!J$1,0),"")</f>
        <v>1GF</v>
      </c>
      <c r="K29" s="101">
        <v>45157</v>
      </c>
      <c r="L29" s="101">
        <v>45157</v>
      </c>
      <c r="M29" s="102">
        <v>45379</v>
      </c>
      <c r="N29" s="55"/>
      <c r="O29" s="61"/>
      <c r="P29" s="61"/>
      <c r="Q29" s="54"/>
      <c r="R29" s="103" t="s">
        <v>94</v>
      </c>
      <c r="S29" s="104">
        <v>238</v>
      </c>
      <c r="T29" s="104">
        <v>238</v>
      </c>
      <c r="U29" s="104">
        <v>238</v>
      </c>
      <c r="V29" s="107"/>
      <c r="W29" s="64" t="s">
        <v>84</v>
      </c>
      <c r="X29" s="104">
        <v>14000</v>
      </c>
      <c r="Y29" s="109">
        <v>45181</v>
      </c>
      <c r="Z29" s="106">
        <v>102</v>
      </c>
      <c r="AA29" s="107"/>
      <c r="AB29" s="104">
        <v>238</v>
      </c>
      <c r="AC29" s="65" t="s">
        <v>85</v>
      </c>
      <c r="AD29" s="103" t="s">
        <v>94</v>
      </c>
      <c r="AE29" s="54">
        <v>20</v>
      </c>
      <c r="AF29" s="52">
        <f t="shared" si="0"/>
        <v>4760</v>
      </c>
      <c r="AH29" s="98" t="s">
        <v>86</v>
      </c>
      <c r="AI29" s="104">
        <v>238</v>
      </c>
      <c r="AJ29" s="54">
        <v>20</v>
      </c>
      <c r="AK29" s="47">
        <f t="shared" si="1"/>
        <v>4760</v>
      </c>
      <c r="AL29" s="61"/>
      <c r="AM29" s="61"/>
      <c r="AN29" s="47">
        <f t="shared" si="2"/>
        <v>0</v>
      </c>
      <c r="AO29" s="48">
        <f t="shared" si="3"/>
        <v>4760</v>
      </c>
      <c r="AQ29" s="98" t="s">
        <v>87</v>
      </c>
      <c r="AR29" s="99">
        <v>45211</v>
      </c>
      <c r="AS29" s="57">
        <f t="shared" si="4"/>
        <v>20</v>
      </c>
      <c r="AT29" s="52">
        <f t="shared" si="5"/>
        <v>4760</v>
      </c>
      <c r="AV29" s="98" t="s">
        <v>88</v>
      </c>
      <c r="AW29" s="99">
        <v>45257</v>
      </c>
      <c r="AX29" s="58">
        <f t="shared" si="6"/>
        <v>20</v>
      </c>
      <c r="AY29" s="58">
        <f t="shared" si="7"/>
        <v>238</v>
      </c>
      <c r="AZ29" s="59">
        <f t="shared" si="8"/>
        <v>4760</v>
      </c>
      <c r="BB29" s="60"/>
    </row>
    <row r="30" spans="1:54" s="45" customFormat="1" ht="11.1" customHeight="1" x14ac:dyDescent="0.2">
      <c r="A30" s="53">
        <f t="shared" si="9"/>
        <v>28</v>
      </c>
      <c r="B30" s="90" t="s">
        <v>170</v>
      </c>
      <c r="C30" s="104" t="s">
        <v>108</v>
      </c>
      <c r="D30" s="101" t="s">
        <v>106</v>
      </c>
      <c r="E30" s="111" t="str">
        <f>_xlfn.IFNA(VLOOKUP($D30,'Route-Details'!$B$2:$X$1048576,'Node Details'!E$1,0),"")</f>
        <v>Airtel</v>
      </c>
      <c r="F30" s="111" t="str">
        <f>_xlfn.IFNA(VLOOKUP($D30,'Route-Details'!$B$2:$X$1048576,'Node Details'!F$1,0),"")</f>
        <v>Gorai</v>
      </c>
      <c r="G30" s="111" t="str">
        <f>_xlfn.IFNA(VLOOKUP($D30,'Route-Details'!$B$2:$X$1048576,'Node Details'!G$1,0),"")</f>
        <v>Mumbai</v>
      </c>
      <c r="H30" s="111" t="str">
        <f>_xlfn.IFNA(VLOOKUP($D31,'Route-Details'!$B$2:$X$1048576,'Node Details'!H$1,0),"")</f>
        <v>Mumbai</v>
      </c>
      <c r="I30" s="111" t="str">
        <f>_xlfn.IFNA(VLOOKUP($D30,'Route-Details'!$B$2:$X$1048576,'Node Details'!I$1,0),"")</f>
        <v>1GF</v>
      </c>
      <c r="J30" s="111" t="str">
        <f>_xlfn.IFNA(VLOOKUP($D30,'Route-Details'!$B$2:$X$1048576,'Node Details'!J$1,0),"")</f>
        <v>1GF</v>
      </c>
      <c r="K30" s="101">
        <v>45148</v>
      </c>
      <c r="L30" s="101">
        <v>45148</v>
      </c>
      <c r="M30" s="102">
        <v>45379</v>
      </c>
      <c r="N30" s="55"/>
      <c r="O30" s="61"/>
      <c r="P30" s="61"/>
      <c r="Q30" s="54"/>
      <c r="R30" s="103" t="s">
        <v>94</v>
      </c>
      <c r="S30" s="104">
        <v>143</v>
      </c>
      <c r="T30" s="104">
        <v>143</v>
      </c>
      <c r="U30" s="104">
        <v>143</v>
      </c>
      <c r="V30" s="107"/>
      <c r="W30" s="64" t="s">
        <v>84</v>
      </c>
      <c r="X30" s="104">
        <v>14000</v>
      </c>
      <c r="Y30" s="109">
        <v>45181</v>
      </c>
      <c r="Z30" s="106">
        <v>102</v>
      </c>
      <c r="AA30" s="107"/>
      <c r="AB30" s="104">
        <v>143</v>
      </c>
      <c r="AC30" s="65" t="s">
        <v>85</v>
      </c>
      <c r="AD30" s="103" t="s">
        <v>94</v>
      </c>
      <c r="AE30" s="54">
        <v>20</v>
      </c>
      <c r="AF30" s="52">
        <f t="shared" si="0"/>
        <v>2860</v>
      </c>
      <c r="AH30" s="98" t="s">
        <v>86</v>
      </c>
      <c r="AI30" s="104">
        <v>143</v>
      </c>
      <c r="AJ30" s="54">
        <v>20</v>
      </c>
      <c r="AK30" s="47">
        <f t="shared" si="1"/>
        <v>2860</v>
      </c>
      <c r="AL30" s="61"/>
      <c r="AM30" s="61"/>
      <c r="AN30" s="47">
        <f t="shared" si="2"/>
        <v>0</v>
      </c>
      <c r="AO30" s="48">
        <f t="shared" si="3"/>
        <v>2860</v>
      </c>
      <c r="AQ30" s="98" t="s">
        <v>87</v>
      </c>
      <c r="AR30" s="99">
        <v>45211</v>
      </c>
      <c r="AS30" s="57">
        <f t="shared" si="4"/>
        <v>20</v>
      </c>
      <c r="AT30" s="52">
        <f t="shared" si="5"/>
        <v>2860</v>
      </c>
      <c r="AV30" s="98" t="s">
        <v>88</v>
      </c>
      <c r="AW30" s="99">
        <v>45257</v>
      </c>
      <c r="AX30" s="58">
        <f t="shared" si="6"/>
        <v>20</v>
      </c>
      <c r="AY30" s="58">
        <f t="shared" si="7"/>
        <v>143</v>
      </c>
      <c r="AZ30" s="59">
        <f t="shared" si="8"/>
        <v>2860</v>
      </c>
      <c r="BB30" s="60"/>
    </row>
    <row r="31" spans="1:54" s="45" customFormat="1" ht="11.1" customHeight="1" x14ac:dyDescent="0.2">
      <c r="A31" s="53">
        <f t="shared" si="9"/>
        <v>29</v>
      </c>
      <c r="B31" s="90" t="s">
        <v>171</v>
      </c>
      <c r="C31" s="104" t="s">
        <v>108</v>
      </c>
      <c r="D31" s="101" t="s">
        <v>106</v>
      </c>
      <c r="E31" s="111" t="str">
        <f>_xlfn.IFNA(VLOOKUP($D31,'Route-Details'!$B$2:$X$1048576,'Node Details'!E$1,0),"")</f>
        <v>Airtel</v>
      </c>
      <c r="F31" s="111" t="str">
        <f>_xlfn.IFNA(VLOOKUP($D31,'Route-Details'!$B$2:$X$1048576,'Node Details'!F$1,0),"")</f>
        <v>Gorai</v>
      </c>
      <c r="G31" s="111" t="str">
        <f>_xlfn.IFNA(VLOOKUP($D31,'Route-Details'!$B$2:$X$1048576,'Node Details'!G$1,0),"")</f>
        <v>Mumbai</v>
      </c>
      <c r="H31" s="111" t="str">
        <f>_xlfn.IFNA(VLOOKUP($D32,'Route-Details'!$B$2:$X$1048576,'Node Details'!H$1,0),"")</f>
        <v>Mumbai</v>
      </c>
      <c r="I31" s="111" t="str">
        <f>_xlfn.IFNA(VLOOKUP($D31,'Route-Details'!$B$2:$X$1048576,'Node Details'!I$1,0),"")</f>
        <v>1GF</v>
      </c>
      <c r="J31" s="111" t="str">
        <f>_xlfn.IFNA(VLOOKUP($D31,'Route-Details'!$B$2:$X$1048576,'Node Details'!J$1,0),"")</f>
        <v>1GF</v>
      </c>
      <c r="K31" s="101">
        <v>45148</v>
      </c>
      <c r="L31" s="101">
        <v>45148</v>
      </c>
      <c r="M31" s="102">
        <v>45379</v>
      </c>
      <c r="N31" s="55"/>
      <c r="O31" s="61"/>
      <c r="P31" s="61"/>
      <c r="Q31" s="54"/>
      <c r="R31" s="103" t="s">
        <v>94</v>
      </c>
      <c r="S31" s="104">
        <v>51</v>
      </c>
      <c r="T31" s="104">
        <v>51</v>
      </c>
      <c r="U31" s="104">
        <v>51</v>
      </c>
      <c r="V31" s="107"/>
      <c r="W31" s="64" t="s">
        <v>84</v>
      </c>
      <c r="X31" s="104">
        <v>14000</v>
      </c>
      <c r="Y31" s="109">
        <v>45181</v>
      </c>
      <c r="Z31" s="106">
        <v>102</v>
      </c>
      <c r="AA31" s="107"/>
      <c r="AB31" s="104">
        <v>51</v>
      </c>
      <c r="AC31" s="65" t="s">
        <v>85</v>
      </c>
      <c r="AD31" s="103" t="s">
        <v>94</v>
      </c>
      <c r="AE31" s="54">
        <v>20</v>
      </c>
      <c r="AF31" s="52">
        <f t="shared" si="0"/>
        <v>1020</v>
      </c>
      <c r="AH31" s="98" t="s">
        <v>86</v>
      </c>
      <c r="AI31" s="104">
        <v>51</v>
      </c>
      <c r="AJ31" s="54">
        <v>20</v>
      </c>
      <c r="AK31" s="47">
        <f t="shared" si="1"/>
        <v>1020</v>
      </c>
      <c r="AL31" s="61"/>
      <c r="AM31" s="61"/>
      <c r="AN31" s="47">
        <f t="shared" si="2"/>
        <v>0</v>
      </c>
      <c r="AO31" s="48">
        <f t="shared" si="3"/>
        <v>1020</v>
      </c>
      <c r="AQ31" s="98" t="s">
        <v>87</v>
      </c>
      <c r="AR31" s="99">
        <v>45211</v>
      </c>
      <c r="AS31" s="57">
        <f t="shared" si="4"/>
        <v>20</v>
      </c>
      <c r="AT31" s="52">
        <f t="shared" si="5"/>
        <v>1020</v>
      </c>
      <c r="AV31" s="98" t="s">
        <v>88</v>
      </c>
      <c r="AW31" s="99">
        <v>45257</v>
      </c>
      <c r="AX31" s="58">
        <f t="shared" si="6"/>
        <v>20</v>
      </c>
      <c r="AY31" s="58">
        <f t="shared" si="7"/>
        <v>51</v>
      </c>
      <c r="AZ31" s="59">
        <f t="shared" si="8"/>
        <v>1020</v>
      </c>
      <c r="BB31" s="60"/>
    </row>
    <row r="32" spans="1:54" s="45" customFormat="1" ht="11.1" customHeight="1" x14ac:dyDescent="0.2">
      <c r="A32" s="53">
        <f t="shared" si="9"/>
        <v>30</v>
      </c>
      <c r="B32" s="90" t="s">
        <v>109</v>
      </c>
      <c r="C32" s="104" t="s">
        <v>108</v>
      </c>
      <c r="D32" s="101" t="s">
        <v>106</v>
      </c>
      <c r="E32" s="111" t="str">
        <f>_xlfn.IFNA(VLOOKUP($D32,'Route-Details'!$B$2:$X$1048576,'Node Details'!E$1,0),"")</f>
        <v>Airtel</v>
      </c>
      <c r="F32" s="111" t="str">
        <f>_xlfn.IFNA(VLOOKUP($D32,'Route-Details'!$B$2:$X$1048576,'Node Details'!F$1,0),"")</f>
        <v>Gorai</v>
      </c>
      <c r="G32" s="111" t="str">
        <f>_xlfn.IFNA(VLOOKUP($D32,'Route-Details'!$B$2:$X$1048576,'Node Details'!G$1,0),"")</f>
        <v>Mumbai</v>
      </c>
      <c r="H32" s="111" t="str">
        <f>_xlfn.IFNA(VLOOKUP($D33,'Route-Details'!$B$2:$X$1048576,'Node Details'!H$1,0),"")</f>
        <v>Mumbai</v>
      </c>
      <c r="I32" s="111" t="str">
        <f>_xlfn.IFNA(VLOOKUP($D32,'Route-Details'!$B$2:$X$1048576,'Node Details'!I$1,0),"")</f>
        <v>1GF</v>
      </c>
      <c r="J32" s="111" t="str">
        <f>_xlfn.IFNA(VLOOKUP($D32,'Route-Details'!$B$2:$X$1048576,'Node Details'!J$1,0),"")</f>
        <v>1GF</v>
      </c>
      <c r="K32" s="101">
        <v>45148</v>
      </c>
      <c r="L32" s="101">
        <v>45148</v>
      </c>
      <c r="M32" s="102">
        <v>45379</v>
      </c>
      <c r="N32" s="55"/>
      <c r="O32" s="61"/>
      <c r="P32" s="61"/>
      <c r="Q32" s="54"/>
      <c r="R32" s="103" t="s">
        <v>94</v>
      </c>
      <c r="S32" s="104">
        <v>43</v>
      </c>
      <c r="T32" s="104">
        <v>43</v>
      </c>
      <c r="U32" s="104">
        <v>43</v>
      </c>
      <c r="V32" s="107"/>
      <c r="W32" s="64" t="s">
        <v>84</v>
      </c>
      <c r="X32" s="104">
        <v>14000</v>
      </c>
      <c r="Y32" s="109">
        <v>45181</v>
      </c>
      <c r="Z32" s="106">
        <v>102</v>
      </c>
      <c r="AA32" s="107"/>
      <c r="AB32" s="104">
        <v>43</v>
      </c>
      <c r="AC32" s="65" t="s">
        <v>85</v>
      </c>
      <c r="AD32" s="103" t="s">
        <v>94</v>
      </c>
      <c r="AE32" s="54">
        <v>20</v>
      </c>
      <c r="AF32" s="52">
        <f t="shared" si="0"/>
        <v>860</v>
      </c>
      <c r="AH32" s="98" t="s">
        <v>86</v>
      </c>
      <c r="AI32" s="104">
        <v>43</v>
      </c>
      <c r="AJ32" s="54">
        <v>20</v>
      </c>
      <c r="AK32" s="47">
        <f t="shared" si="1"/>
        <v>860</v>
      </c>
      <c r="AL32" s="61"/>
      <c r="AM32" s="61"/>
      <c r="AN32" s="47">
        <f t="shared" si="2"/>
        <v>0</v>
      </c>
      <c r="AO32" s="48">
        <f t="shared" si="3"/>
        <v>860</v>
      </c>
      <c r="AQ32" s="98" t="s">
        <v>87</v>
      </c>
      <c r="AR32" s="99">
        <v>45211</v>
      </c>
      <c r="AS32" s="57">
        <f t="shared" si="4"/>
        <v>20</v>
      </c>
      <c r="AT32" s="52">
        <f t="shared" si="5"/>
        <v>860</v>
      </c>
      <c r="AV32" s="98" t="s">
        <v>88</v>
      </c>
      <c r="AW32" s="99">
        <v>45257</v>
      </c>
      <c r="AX32" s="58">
        <f t="shared" si="6"/>
        <v>20</v>
      </c>
      <c r="AY32" s="58">
        <f t="shared" si="7"/>
        <v>43</v>
      </c>
      <c r="AZ32" s="59">
        <f t="shared" si="8"/>
        <v>860</v>
      </c>
      <c r="BB32" s="60"/>
    </row>
    <row r="33" spans="1:54" s="45" customFormat="1" ht="11.1" customHeight="1" x14ac:dyDescent="0.2">
      <c r="A33" s="53">
        <f t="shared" si="9"/>
        <v>31</v>
      </c>
      <c r="B33" s="90" t="s">
        <v>111</v>
      </c>
      <c r="C33" s="104" t="s">
        <v>93</v>
      </c>
      <c r="D33" s="101" t="s">
        <v>92</v>
      </c>
      <c r="E33" s="111" t="str">
        <f>_xlfn.IFNA(VLOOKUP($D33,'Route-Details'!$B$2:$X$1048576,'Node Details'!E$1,0),"")</f>
        <v>Airtel</v>
      </c>
      <c r="F33" s="111" t="str">
        <f>_xlfn.IFNA(VLOOKUP($D33,'Route-Details'!$B$2:$X$1048576,'Node Details'!F$1,0),"")</f>
        <v>Gorai</v>
      </c>
      <c r="G33" s="111" t="str">
        <f>_xlfn.IFNA(VLOOKUP($D33,'Route-Details'!$B$2:$X$1048576,'Node Details'!G$1,0),"")</f>
        <v>Mumbai</v>
      </c>
      <c r="H33" s="111" t="str">
        <f>_xlfn.IFNA(VLOOKUP($D34,'Route-Details'!$B$2:$X$1048576,'Node Details'!H$1,0),"")</f>
        <v>Mumbai</v>
      </c>
      <c r="I33" s="111" t="str">
        <f>_xlfn.IFNA(VLOOKUP($D33,'Route-Details'!$B$2:$X$1048576,'Node Details'!I$1,0),"")</f>
        <v>1GF</v>
      </c>
      <c r="J33" s="111" t="str">
        <f>_xlfn.IFNA(VLOOKUP($D33,'Route-Details'!$B$2:$X$1048576,'Node Details'!J$1,0),"")</f>
        <v>1GF</v>
      </c>
      <c r="K33" s="101">
        <v>45148</v>
      </c>
      <c r="L33" s="101">
        <v>45148</v>
      </c>
      <c r="M33" s="102">
        <v>45379</v>
      </c>
      <c r="N33" s="55"/>
      <c r="O33" s="61"/>
      <c r="P33" s="61"/>
      <c r="Q33" s="54"/>
      <c r="R33" s="103" t="s">
        <v>94</v>
      </c>
      <c r="S33" s="104">
        <v>166</v>
      </c>
      <c r="T33" s="104">
        <v>166</v>
      </c>
      <c r="U33" s="104">
        <v>166</v>
      </c>
      <c r="V33" s="107"/>
      <c r="W33" s="64" t="s">
        <v>84</v>
      </c>
      <c r="X33" s="104">
        <v>14000</v>
      </c>
      <c r="Y33" s="109">
        <v>45181</v>
      </c>
      <c r="Z33" s="106">
        <v>102</v>
      </c>
      <c r="AA33" s="107"/>
      <c r="AB33" s="104">
        <v>166</v>
      </c>
      <c r="AC33" s="65" t="s">
        <v>85</v>
      </c>
      <c r="AD33" s="103" t="s">
        <v>94</v>
      </c>
      <c r="AE33" s="54">
        <v>20</v>
      </c>
      <c r="AF33" s="52">
        <f t="shared" si="0"/>
        <v>3320</v>
      </c>
      <c r="AH33" s="98" t="s">
        <v>86</v>
      </c>
      <c r="AI33" s="104">
        <v>166</v>
      </c>
      <c r="AJ33" s="54">
        <v>20</v>
      </c>
      <c r="AK33" s="47">
        <f t="shared" si="1"/>
        <v>3320</v>
      </c>
      <c r="AL33" s="61"/>
      <c r="AM33" s="61"/>
      <c r="AN33" s="47">
        <f t="shared" si="2"/>
        <v>0</v>
      </c>
      <c r="AO33" s="48">
        <f t="shared" si="3"/>
        <v>3320</v>
      </c>
      <c r="AQ33" s="98" t="s">
        <v>87</v>
      </c>
      <c r="AR33" s="99">
        <v>45211</v>
      </c>
      <c r="AS33" s="57">
        <f t="shared" si="4"/>
        <v>20</v>
      </c>
      <c r="AT33" s="52">
        <f t="shared" si="5"/>
        <v>3320</v>
      </c>
      <c r="AV33" s="98" t="s">
        <v>88</v>
      </c>
      <c r="AW33" s="99">
        <v>45257</v>
      </c>
      <c r="AX33" s="58">
        <f t="shared" si="6"/>
        <v>20</v>
      </c>
      <c r="AY33" s="58">
        <f t="shared" si="7"/>
        <v>166</v>
      </c>
      <c r="AZ33" s="59">
        <f t="shared" si="8"/>
        <v>3320</v>
      </c>
      <c r="BB33" s="60"/>
    </row>
    <row r="34" spans="1:54" s="45" customFormat="1" ht="11.1" customHeight="1" x14ac:dyDescent="0.2">
      <c r="A34" s="53">
        <f t="shared" si="9"/>
        <v>32</v>
      </c>
      <c r="B34" s="90" t="s">
        <v>172</v>
      </c>
      <c r="C34" s="104" t="s">
        <v>112</v>
      </c>
      <c r="D34" s="101" t="s">
        <v>110</v>
      </c>
      <c r="E34" s="111" t="str">
        <f>_xlfn.IFNA(VLOOKUP($D34,'Route-Details'!$B$2:$X$1048576,'Node Details'!E$1,0),"")</f>
        <v>Airtel</v>
      </c>
      <c r="F34" s="111" t="str">
        <f>_xlfn.IFNA(VLOOKUP($D34,'Route-Details'!$B$2:$X$1048576,'Node Details'!F$1,0),"")</f>
        <v>Gorai</v>
      </c>
      <c r="G34" s="111" t="str">
        <f>_xlfn.IFNA(VLOOKUP($D34,'Route-Details'!$B$2:$X$1048576,'Node Details'!G$1,0),"")</f>
        <v>Mumbai</v>
      </c>
      <c r="H34" s="111" t="str">
        <f>_xlfn.IFNA(VLOOKUP($D35,'Route-Details'!$B$2:$X$1048576,'Node Details'!H$1,0),"")</f>
        <v>Mumbai</v>
      </c>
      <c r="I34" s="111" t="str">
        <f>_xlfn.IFNA(VLOOKUP($D34,'Route-Details'!$B$2:$X$1048576,'Node Details'!I$1,0),"")</f>
        <v>1GF</v>
      </c>
      <c r="J34" s="111" t="str">
        <f>_xlfn.IFNA(VLOOKUP($D34,'Route-Details'!$B$2:$X$1048576,'Node Details'!J$1,0),"")</f>
        <v>1GF</v>
      </c>
      <c r="K34" s="101">
        <v>45157</v>
      </c>
      <c r="L34" s="101">
        <v>45157</v>
      </c>
      <c r="M34" s="102">
        <v>45379</v>
      </c>
      <c r="N34" s="55"/>
      <c r="O34" s="61"/>
      <c r="P34" s="61"/>
      <c r="Q34" s="54"/>
      <c r="R34" s="103" t="s">
        <v>94</v>
      </c>
      <c r="S34" s="104">
        <v>68</v>
      </c>
      <c r="T34" s="104">
        <v>68</v>
      </c>
      <c r="U34" s="104">
        <v>68</v>
      </c>
      <c r="V34" s="107"/>
      <c r="W34" s="64" t="s">
        <v>84</v>
      </c>
      <c r="X34" s="104">
        <v>14000</v>
      </c>
      <c r="Y34" s="109">
        <v>45181</v>
      </c>
      <c r="Z34" s="106">
        <v>102</v>
      </c>
      <c r="AA34" s="107"/>
      <c r="AB34" s="104">
        <v>68</v>
      </c>
      <c r="AC34" s="65" t="s">
        <v>85</v>
      </c>
      <c r="AD34" s="103" t="s">
        <v>94</v>
      </c>
      <c r="AE34" s="54">
        <v>20</v>
      </c>
      <c r="AF34" s="52">
        <f t="shared" si="0"/>
        <v>1360</v>
      </c>
      <c r="AH34" s="98" t="s">
        <v>86</v>
      </c>
      <c r="AI34" s="104">
        <v>68</v>
      </c>
      <c r="AJ34" s="54">
        <v>20</v>
      </c>
      <c r="AK34" s="47">
        <f t="shared" si="1"/>
        <v>1360</v>
      </c>
      <c r="AL34" s="61"/>
      <c r="AM34" s="61"/>
      <c r="AN34" s="47">
        <f t="shared" si="2"/>
        <v>0</v>
      </c>
      <c r="AO34" s="48">
        <f t="shared" si="3"/>
        <v>1360</v>
      </c>
      <c r="AQ34" s="98" t="s">
        <v>87</v>
      </c>
      <c r="AR34" s="99">
        <v>45211</v>
      </c>
      <c r="AS34" s="57">
        <f t="shared" si="4"/>
        <v>20</v>
      </c>
      <c r="AT34" s="52">
        <f t="shared" si="5"/>
        <v>1360</v>
      </c>
      <c r="AV34" s="98" t="s">
        <v>88</v>
      </c>
      <c r="AW34" s="99">
        <v>45257</v>
      </c>
      <c r="AX34" s="58">
        <f t="shared" si="6"/>
        <v>20</v>
      </c>
      <c r="AY34" s="58">
        <f t="shared" si="7"/>
        <v>68</v>
      </c>
      <c r="AZ34" s="59">
        <f t="shared" si="8"/>
        <v>1360</v>
      </c>
      <c r="BB34" s="60"/>
    </row>
    <row r="35" spans="1:54" s="45" customFormat="1" ht="11.1" customHeight="1" x14ac:dyDescent="0.2">
      <c r="A35" s="53">
        <f t="shared" si="9"/>
        <v>33</v>
      </c>
      <c r="B35" s="90" t="s">
        <v>173</v>
      </c>
      <c r="C35" s="104" t="s">
        <v>112</v>
      </c>
      <c r="D35" s="101" t="s">
        <v>110</v>
      </c>
      <c r="E35" s="111" t="str">
        <f>_xlfn.IFNA(VLOOKUP($D35,'Route-Details'!$B$2:$X$1048576,'Node Details'!E$1,0),"")</f>
        <v>Airtel</v>
      </c>
      <c r="F35" s="111" t="str">
        <f>_xlfn.IFNA(VLOOKUP($D35,'Route-Details'!$B$2:$X$1048576,'Node Details'!F$1,0),"")</f>
        <v>Gorai</v>
      </c>
      <c r="G35" s="111" t="str">
        <f>_xlfn.IFNA(VLOOKUP($D35,'Route-Details'!$B$2:$X$1048576,'Node Details'!G$1,0),"")</f>
        <v>Mumbai</v>
      </c>
      <c r="H35" s="111" t="str">
        <f>_xlfn.IFNA(VLOOKUP($D36,'Route-Details'!$B$2:$X$1048576,'Node Details'!H$1,0),"")</f>
        <v>Mumbai</v>
      </c>
      <c r="I35" s="111" t="str">
        <f>_xlfn.IFNA(VLOOKUP($D35,'Route-Details'!$B$2:$X$1048576,'Node Details'!I$1,0),"")</f>
        <v>1GF</v>
      </c>
      <c r="J35" s="111" t="str">
        <f>_xlfn.IFNA(VLOOKUP($D35,'Route-Details'!$B$2:$X$1048576,'Node Details'!J$1,0),"")</f>
        <v>1GF</v>
      </c>
      <c r="K35" s="101">
        <v>45157</v>
      </c>
      <c r="L35" s="101">
        <v>45157</v>
      </c>
      <c r="M35" s="102">
        <v>45379</v>
      </c>
      <c r="N35" s="55"/>
      <c r="O35" s="61"/>
      <c r="P35" s="61"/>
      <c r="Q35" s="54"/>
      <c r="R35" s="103" t="s">
        <v>94</v>
      </c>
      <c r="S35" s="104">
        <v>94</v>
      </c>
      <c r="T35" s="104">
        <v>94</v>
      </c>
      <c r="U35" s="104">
        <v>94</v>
      </c>
      <c r="V35" s="107"/>
      <c r="W35" s="64" t="s">
        <v>84</v>
      </c>
      <c r="X35" s="104">
        <v>14000</v>
      </c>
      <c r="Y35" s="109">
        <v>45181</v>
      </c>
      <c r="Z35" s="106">
        <v>102</v>
      </c>
      <c r="AA35" s="107"/>
      <c r="AB35" s="104">
        <v>94</v>
      </c>
      <c r="AC35" s="65" t="s">
        <v>85</v>
      </c>
      <c r="AD35" s="103" t="s">
        <v>94</v>
      </c>
      <c r="AE35" s="54">
        <v>20</v>
      </c>
      <c r="AF35" s="52">
        <f t="shared" si="0"/>
        <v>1880</v>
      </c>
      <c r="AH35" s="98" t="s">
        <v>86</v>
      </c>
      <c r="AI35" s="104">
        <v>94</v>
      </c>
      <c r="AJ35" s="54">
        <v>20</v>
      </c>
      <c r="AK35" s="47">
        <f t="shared" si="1"/>
        <v>1880</v>
      </c>
      <c r="AL35" s="61"/>
      <c r="AM35" s="61"/>
      <c r="AN35" s="47">
        <f t="shared" si="2"/>
        <v>0</v>
      </c>
      <c r="AO35" s="48">
        <f t="shared" si="3"/>
        <v>1880</v>
      </c>
      <c r="AQ35" s="98" t="s">
        <v>87</v>
      </c>
      <c r="AR35" s="99">
        <v>45211</v>
      </c>
      <c r="AS35" s="57">
        <f t="shared" si="4"/>
        <v>20</v>
      </c>
      <c r="AT35" s="52">
        <f t="shared" si="5"/>
        <v>1880</v>
      </c>
      <c r="AV35" s="98" t="s">
        <v>88</v>
      </c>
      <c r="AW35" s="99">
        <v>45257</v>
      </c>
      <c r="AX35" s="58">
        <f t="shared" si="6"/>
        <v>20</v>
      </c>
      <c r="AY35" s="58">
        <f t="shared" si="7"/>
        <v>94</v>
      </c>
      <c r="AZ35" s="59">
        <f t="shared" si="8"/>
        <v>1880</v>
      </c>
      <c r="BB35" s="60"/>
    </row>
    <row r="36" spans="1:54" s="45" customFormat="1" ht="11.1" customHeight="1" x14ac:dyDescent="0.2">
      <c r="A36" s="53">
        <f t="shared" si="9"/>
        <v>34</v>
      </c>
      <c r="B36" s="90" t="s">
        <v>174</v>
      </c>
      <c r="C36" s="104" t="s">
        <v>112</v>
      </c>
      <c r="D36" s="101" t="s">
        <v>110</v>
      </c>
      <c r="E36" s="111" t="str">
        <f>_xlfn.IFNA(VLOOKUP($D36,'Route-Details'!$B$2:$X$1048576,'Node Details'!E$1,0),"")</f>
        <v>Airtel</v>
      </c>
      <c r="F36" s="111" t="str">
        <f>_xlfn.IFNA(VLOOKUP($D36,'Route-Details'!$B$2:$X$1048576,'Node Details'!F$1,0),"")</f>
        <v>Gorai</v>
      </c>
      <c r="G36" s="111" t="str">
        <f>_xlfn.IFNA(VLOOKUP($D36,'Route-Details'!$B$2:$X$1048576,'Node Details'!G$1,0),"")</f>
        <v>Mumbai</v>
      </c>
      <c r="H36" s="111" t="str">
        <f>_xlfn.IFNA(VLOOKUP($D37,'Route-Details'!$B$2:$X$1048576,'Node Details'!H$1,0),"")</f>
        <v>Mumbai</v>
      </c>
      <c r="I36" s="111" t="str">
        <f>_xlfn.IFNA(VLOOKUP($D36,'Route-Details'!$B$2:$X$1048576,'Node Details'!I$1,0),"")</f>
        <v>1GF</v>
      </c>
      <c r="J36" s="111" t="str">
        <f>_xlfn.IFNA(VLOOKUP($D36,'Route-Details'!$B$2:$X$1048576,'Node Details'!J$1,0),"")</f>
        <v>1GF</v>
      </c>
      <c r="K36" s="101">
        <v>45157</v>
      </c>
      <c r="L36" s="101">
        <v>45157</v>
      </c>
      <c r="M36" s="102">
        <v>45379</v>
      </c>
      <c r="N36" s="55"/>
      <c r="O36" s="61"/>
      <c r="P36" s="61"/>
      <c r="Q36" s="54"/>
      <c r="R36" s="103" t="s">
        <v>94</v>
      </c>
      <c r="S36" s="104">
        <v>85</v>
      </c>
      <c r="T36" s="104">
        <v>85</v>
      </c>
      <c r="U36" s="104">
        <v>85</v>
      </c>
      <c r="V36" s="107"/>
      <c r="W36" s="64" t="s">
        <v>84</v>
      </c>
      <c r="X36" s="104">
        <v>14000</v>
      </c>
      <c r="Y36" s="109">
        <v>45181</v>
      </c>
      <c r="Z36" s="106">
        <v>102</v>
      </c>
      <c r="AA36" s="107"/>
      <c r="AB36" s="104">
        <v>85</v>
      </c>
      <c r="AC36" s="65" t="s">
        <v>85</v>
      </c>
      <c r="AD36" s="103" t="s">
        <v>94</v>
      </c>
      <c r="AE36" s="54">
        <v>20</v>
      </c>
      <c r="AF36" s="52">
        <f t="shared" si="0"/>
        <v>1700</v>
      </c>
      <c r="AH36" s="98" t="s">
        <v>86</v>
      </c>
      <c r="AI36" s="104">
        <v>85</v>
      </c>
      <c r="AJ36" s="54">
        <v>20</v>
      </c>
      <c r="AK36" s="47">
        <f t="shared" si="1"/>
        <v>1700</v>
      </c>
      <c r="AL36" s="61"/>
      <c r="AM36" s="61"/>
      <c r="AN36" s="47">
        <f t="shared" si="2"/>
        <v>0</v>
      </c>
      <c r="AO36" s="48">
        <f t="shared" si="3"/>
        <v>1700</v>
      </c>
      <c r="AQ36" s="98" t="s">
        <v>87</v>
      </c>
      <c r="AR36" s="99">
        <v>45211</v>
      </c>
      <c r="AS36" s="57">
        <f t="shared" si="4"/>
        <v>20</v>
      </c>
      <c r="AT36" s="52">
        <f t="shared" si="5"/>
        <v>1700</v>
      </c>
      <c r="AV36" s="98" t="s">
        <v>88</v>
      </c>
      <c r="AW36" s="99">
        <v>45257</v>
      </c>
      <c r="AX36" s="58">
        <f t="shared" si="6"/>
        <v>20</v>
      </c>
      <c r="AY36" s="58">
        <f t="shared" si="7"/>
        <v>85</v>
      </c>
      <c r="AZ36" s="59">
        <f t="shared" si="8"/>
        <v>1700</v>
      </c>
      <c r="BB36" s="60"/>
    </row>
    <row r="37" spans="1:54" s="45" customFormat="1" ht="11.1" customHeight="1" x14ac:dyDescent="0.2">
      <c r="A37" s="53">
        <f t="shared" si="9"/>
        <v>35</v>
      </c>
      <c r="B37" s="90" t="s">
        <v>175</v>
      </c>
      <c r="C37" s="104" t="s">
        <v>112</v>
      </c>
      <c r="D37" s="101" t="s">
        <v>110</v>
      </c>
      <c r="E37" s="111" t="str">
        <f>_xlfn.IFNA(VLOOKUP($D37,'Route-Details'!$B$2:$X$1048576,'Node Details'!E$1,0),"")</f>
        <v>Airtel</v>
      </c>
      <c r="F37" s="111" t="str">
        <f>_xlfn.IFNA(VLOOKUP($D37,'Route-Details'!$B$2:$X$1048576,'Node Details'!F$1,0),"")</f>
        <v>Gorai</v>
      </c>
      <c r="G37" s="111" t="str">
        <f>_xlfn.IFNA(VLOOKUP($D37,'Route-Details'!$B$2:$X$1048576,'Node Details'!G$1,0),"")</f>
        <v>Mumbai</v>
      </c>
      <c r="H37" s="111" t="str">
        <f>_xlfn.IFNA(VLOOKUP($D38,'Route-Details'!$B$2:$X$1048576,'Node Details'!H$1,0),"")</f>
        <v>Mumbai</v>
      </c>
      <c r="I37" s="111" t="str">
        <f>_xlfn.IFNA(VLOOKUP($D37,'Route-Details'!$B$2:$X$1048576,'Node Details'!I$1,0),"")</f>
        <v>1GF</v>
      </c>
      <c r="J37" s="111" t="str">
        <f>_xlfn.IFNA(VLOOKUP($D37,'Route-Details'!$B$2:$X$1048576,'Node Details'!J$1,0),"")</f>
        <v>1GF</v>
      </c>
      <c r="K37" s="101">
        <v>45157</v>
      </c>
      <c r="L37" s="101">
        <v>45157</v>
      </c>
      <c r="M37" s="102">
        <v>45379</v>
      </c>
      <c r="N37" s="55"/>
      <c r="O37" s="61"/>
      <c r="P37" s="61"/>
      <c r="Q37" s="54"/>
      <c r="R37" s="103" t="s">
        <v>94</v>
      </c>
      <c r="S37" s="104">
        <v>92</v>
      </c>
      <c r="T37" s="104">
        <v>92</v>
      </c>
      <c r="U37" s="104">
        <v>92</v>
      </c>
      <c r="V37" s="107"/>
      <c r="W37" s="64" t="s">
        <v>84</v>
      </c>
      <c r="X37" s="104">
        <v>14000</v>
      </c>
      <c r="Y37" s="109">
        <v>45181</v>
      </c>
      <c r="Z37" s="106">
        <v>102</v>
      </c>
      <c r="AA37" s="107"/>
      <c r="AB37" s="104">
        <v>92</v>
      </c>
      <c r="AC37" s="65" t="s">
        <v>85</v>
      </c>
      <c r="AD37" s="103" t="s">
        <v>94</v>
      </c>
      <c r="AE37" s="54">
        <v>20</v>
      </c>
      <c r="AF37" s="52">
        <f t="shared" si="0"/>
        <v>1840</v>
      </c>
      <c r="AH37" s="98" t="s">
        <v>86</v>
      </c>
      <c r="AI37" s="104">
        <v>92</v>
      </c>
      <c r="AJ37" s="54">
        <v>20</v>
      </c>
      <c r="AK37" s="47">
        <f t="shared" si="1"/>
        <v>1840</v>
      </c>
      <c r="AL37" s="61"/>
      <c r="AM37" s="61"/>
      <c r="AN37" s="47">
        <f t="shared" si="2"/>
        <v>0</v>
      </c>
      <c r="AO37" s="48">
        <f t="shared" si="3"/>
        <v>1840</v>
      </c>
      <c r="AQ37" s="98" t="s">
        <v>87</v>
      </c>
      <c r="AR37" s="99">
        <v>45211</v>
      </c>
      <c r="AS37" s="57">
        <f t="shared" si="4"/>
        <v>20</v>
      </c>
      <c r="AT37" s="52">
        <f t="shared" si="5"/>
        <v>1840</v>
      </c>
      <c r="AV37" s="98" t="s">
        <v>88</v>
      </c>
      <c r="AW37" s="99">
        <v>45257</v>
      </c>
      <c r="AX37" s="58">
        <f t="shared" si="6"/>
        <v>20</v>
      </c>
      <c r="AY37" s="58">
        <f t="shared" si="7"/>
        <v>92</v>
      </c>
      <c r="AZ37" s="59">
        <f t="shared" si="8"/>
        <v>1840</v>
      </c>
      <c r="BB37" s="60"/>
    </row>
    <row r="38" spans="1:54" s="45" customFormat="1" ht="11.1" customHeight="1" x14ac:dyDescent="0.2">
      <c r="A38" s="53">
        <f t="shared" si="9"/>
        <v>36</v>
      </c>
      <c r="B38" s="90" t="s">
        <v>176</v>
      </c>
      <c r="C38" s="104" t="s">
        <v>112</v>
      </c>
      <c r="D38" s="101" t="s">
        <v>110</v>
      </c>
      <c r="E38" s="111" t="str">
        <f>_xlfn.IFNA(VLOOKUP($D38,'Route-Details'!$B$2:$X$1048576,'Node Details'!E$1,0),"")</f>
        <v>Airtel</v>
      </c>
      <c r="F38" s="111" t="str">
        <f>_xlfn.IFNA(VLOOKUP($D38,'Route-Details'!$B$2:$X$1048576,'Node Details'!F$1,0),"")</f>
        <v>Gorai</v>
      </c>
      <c r="G38" s="111" t="str">
        <f>_xlfn.IFNA(VLOOKUP($D38,'Route-Details'!$B$2:$X$1048576,'Node Details'!G$1,0),"")</f>
        <v>Mumbai</v>
      </c>
      <c r="H38" s="111" t="str">
        <f>_xlfn.IFNA(VLOOKUP($D39,'Route-Details'!$B$2:$X$1048576,'Node Details'!H$1,0),"")</f>
        <v>Mumbai</v>
      </c>
      <c r="I38" s="111" t="str">
        <f>_xlfn.IFNA(VLOOKUP($D38,'Route-Details'!$B$2:$X$1048576,'Node Details'!I$1,0),"")</f>
        <v>1GF</v>
      </c>
      <c r="J38" s="111" t="str">
        <f>_xlfn.IFNA(VLOOKUP($D38,'Route-Details'!$B$2:$X$1048576,'Node Details'!J$1,0),"")</f>
        <v>1GF</v>
      </c>
      <c r="K38" s="101">
        <v>45159</v>
      </c>
      <c r="L38" s="101">
        <v>45159</v>
      </c>
      <c r="M38" s="102">
        <v>45379</v>
      </c>
      <c r="N38" s="55"/>
      <c r="O38" s="61"/>
      <c r="P38" s="61"/>
      <c r="Q38" s="54"/>
      <c r="R38" s="103" t="s">
        <v>94</v>
      </c>
      <c r="S38" s="104">
        <v>112</v>
      </c>
      <c r="T38" s="104">
        <v>112</v>
      </c>
      <c r="U38" s="104">
        <v>112</v>
      </c>
      <c r="V38" s="107"/>
      <c r="W38" s="64" t="s">
        <v>84</v>
      </c>
      <c r="X38" s="104">
        <v>14000</v>
      </c>
      <c r="Y38" s="109">
        <v>45181</v>
      </c>
      <c r="Z38" s="106">
        <v>102</v>
      </c>
      <c r="AA38" s="107"/>
      <c r="AB38" s="104">
        <v>112</v>
      </c>
      <c r="AC38" s="65" t="s">
        <v>85</v>
      </c>
      <c r="AD38" s="103" t="s">
        <v>94</v>
      </c>
      <c r="AE38" s="54">
        <v>20</v>
      </c>
      <c r="AF38" s="52">
        <f t="shared" si="0"/>
        <v>2240</v>
      </c>
      <c r="AH38" s="98" t="s">
        <v>86</v>
      </c>
      <c r="AI38" s="104">
        <v>112</v>
      </c>
      <c r="AJ38" s="54">
        <v>20</v>
      </c>
      <c r="AK38" s="47">
        <f t="shared" si="1"/>
        <v>2240</v>
      </c>
      <c r="AL38" s="61"/>
      <c r="AM38" s="61"/>
      <c r="AN38" s="47">
        <f t="shared" si="2"/>
        <v>0</v>
      </c>
      <c r="AO38" s="48">
        <f t="shared" si="3"/>
        <v>2240</v>
      </c>
      <c r="AQ38" s="98" t="s">
        <v>87</v>
      </c>
      <c r="AR38" s="99">
        <v>45211</v>
      </c>
      <c r="AS38" s="57">
        <f t="shared" si="4"/>
        <v>20</v>
      </c>
      <c r="AT38" s="52">
        <f t="shared" si="5"/>
        <v>2240</v>
      </c>
      <c r="AV38" s="98" t="s">
        <v>88</v>
      </c>
      <c r="AW38" s="99">
        <v>45257</v>
      </c>
      <c r="AX38" s="58">
        <f t="shared" si="6"/>
        <v>20</v>
      </c>
      <c r="AY38" s="58">
        <f t="shared" si="7"/>
        <v>112</v>
      </c>
      <c r="AZ38" s="59">
        <f t="shared" si="8"/>
        <v>2240</v>
      </c>
      <c r="BB38" s="60"/>
    </row>
    <row r="39" spans="1:54" s="45" customFormat="1" ht="11.1" customHeight="1" x14ac:dyDescent="0.2">
      <c r="A39" s="53">
        <f t="shared" si="9"/>
        <v>37</v>
      </c>
      <c r="B39" s="90" t="s">
        <v>177</v>
      </c>
      <c r="C39" s="104" t="s">
        <v>112</v>
      </c>
      <c r="D39" s="101" t="s">
        <v>110</v>
      </c>
      <c r="E39" s="111" t="str">
        <f>_xlfn.IFNA(VLOOKUP($D39,'Route-Details'!$B$2:$X$1048576,'Node Details'!E$1,0),"")</f>
        <v>Airtel</v>
      </c>
      <c r="F39" s="111" t="str">
        <f>_xlfn.IFNA(VLOOKUP($D39,'Route-Details'!$B$2:$X$1048576,'Node Details'!F$1,0),"")</f>
        <v>Gorai</v>
      </c>
      <c r="G39" s="111" t="str">
        <f>_xlfn.IFNA(VLOOKUP($D39,'Route-Details'!$B$2:$X$1048576,'Node Details'!G$1,0),"")</f>
        <v>Mumbai</v>
      </c>
      <c r="H39" s="111" t="str">
        <f>_xlfn.IFNA(VLOOKUP($D40,'Route-Details'!$B$2:$X$1048576,'Node Details'!H$1,0),"")</f>
        <v>Mumbai</v>
      </c>
      <c r="I39" s="111" t="str">
        <f>_xlfn.IFNA(VLOOKUP($D39,'Route-Details'!$B$2:$X$1048576,'Node Details'!I$1,0),"")</f>
        <v>1GF</v>
      </c>
      <c r="J39" s="111" t="str">
        <f>_xlfn.IFNA(VLOOKUP($D39,'Route-Details'!$B$2:$X$1048576,'Node Details'!J$1,0),"")</f>
        <v>1GF</v>
      </c>
      <c r="K39" s="101">
        <v>45159</v>
      </c>
      <c r="L39" s="101">
        <v>45159</v>
      </c>
      <c r="M39" s="102">
        <v>45379</v>
      </c>
      <c r="N39" s="55"/>
      <c r="O39" s="61"/>
      <c r="P39" s="61"/>
      <c r="Q39" s="54"/>
      <c r="R39" s="103" t="s">
        <v>94</v>
      </c>
      <c r="S39" s="104">
        <v>104</v>
      </c>
      <c r="T39" s="104">
        <v>104</v>
      </c>
      <c r="U39" s="104">
        <v>104</v>
      </c>
      <c r="V39" s="107"/>
      <c r="W39" s="64" t="s">
        <v>84</v>
      </c>
      <c r="X39" s="104">
        <v>14000</v>
      </c>
      <c r="Y39" s="109">
        <v>45181</v>
      </c>
      <c r="Z39" s="106">
        <v>102</v>
      </c>
      <c r="AA39" s="107"/>
      <c r="AB39" s="104">
        <v>104</v>
      </c>
      <c r="AC39" s="65" t="s">
        <v>85</v>
      </c>
      <c r="AD39" s="103" t="s">
        <v>94</v>
      </c>
      <c r="AE39" s="54">
        <v>20</v>
      </c>
      <c r="AF39" s="52">
        <f t="shared" si="0"/>
        <v>2080</v>
      </c>
      <c r="AH39" s="98" t="s">
        <v>86</v>
      </c>
      <c r="AI39" s="104">
        <v>104</v>
      </c>
      <c r="AJ39" s="54">
        <v>20</v>
      </c>
      <c r="AK39" s="47">
        <f t="shared" si="1"/>
        <v>2080</v>
      </c>
      <c r="AL39" s="61"/>
      <c r="AM39" s="61"/>
      <c r="AN39" s="47">
        <f t="shared" si="2"/>
        <v>0</v>
      </c>
      <c r="AO39" s="48">
        <f t="shared" si="3"/>
        <v>2080</v>
      </c>
      <c r="AQ39" s="98" t="s">
        <v>87</v>
      </c>
      <c r="AR39" s="99">
        <v>45211</v>
      </c>
      <c r="AS39" s="57">
        <f t="shared" si="4"/>
        <v>20</v>
      </c>
      <c r="AT39" s="52">
        <f t="shared" si="5"/>
        <v>2080</v>
      </c>
      <c r="AV39" s="98" t="s">
        <v>88</v>
      </c>
      <c r="AW39" s="99">
        <v>45257</v>
      </c>
      <c r="AX39" s="58">
        <f t="shared" si="6"/>
        <v>20</v>
      </c>
      <c r="AY39" s="58">
        <f t="shared" si="7"/>
        <v>104</v>
      </c>
      <c r="AZ39" s="59">
        <f t="shared" si="8"/>
        <v>2080</v>
      </c>
      <c r="BB39" s="60"/>
    </row>
    <row r="40" spans="1:54" s="45" customFormat="1" ht="11.1" customHeight="1" x14ac:dyDescent="0.2">
      <c r="A40" s="53">
        <f t="shared" si="9"/>
        <v>38</v>
      </c>
      <c r="B40" s="90" t="s">
        <v>113</v>
      </c>
      <c r="C40" s="104" t="s">
        <v>112</v>
      </c>
      <c r="D40" s="101" t="s">
        <v>110</v>
      </c>
      <c r="E40" s="111" t="str">
        <f>_xlfn.IFNA(VLOOKUP($D40,'Route-Details'!$B$2:$X$1048576,'Node Details'!E$1,0),"")</f>
        <v>Airtel</v>
      </c>
      <c r="F40" s="111" t="str">
        <f>_xlfn.IFNA(VLOOKUP($D40,'Route-Details'!$B$2:$X$1048576,'Node Details'!F$1,0),"")</f>
        <v>Gorai</v>
      </c>
      <c r="G40" s="111" t="str">
        <f>_xlfn.IFNA(VLOOKUP($D40,'Route-Details'!$B$2:$X$1048576,'Node Details'!G$1,0),"")</f>
        <v>Mumbai</v>
      </c>
      <c r="H40" s="111" t="str">
        <f>_xlfn.IFNA(VLOOKUP($D41,'Route-Details'!$B$2:$X$1048576,'Node Details'!H$1,0),"")</f>
        <v>Mumbai</v>
      </c>
      <c r="I40" s="111" t="str">
        <f>_xlfn.IFNA(VLOOKUP($D40,'Route-Details'!$B$2:$X$1048576,'Node Details'!I$1,0),"")</f>
        <v>1GF</v>
      </c>
      <c r="J40" s="111" t="str">
        <f>_xlfn.IFNA(VLOOKUP($D40,'Route-Details'!$B$2:$X$1048576,'Node Details'!J$1,0),"")</f>
        <v>1GF</v>
      </c>
      <c r="K40" s="101">
        <v>45159</v>
      </c>
      <c r="L40" s="101">
        <v>45159</v>
      </c>
      <c r="M40" s="102">
        <v>45379</v>
      </c>
      <c r="N40" s="55"/>
      <c r="O40" s="61"/>
      <c r="P40" s="61"/>
      <c r="Q40" s="54"/>
      <c r="R40" s="103" t="s">
        <v>94</v>
      </c>
      <c r="S40" s="104">
        <v>127</v>
      </c>
      <c r="T40" s="104">
        <v>127</v>
      </c>
      <c r="U40" s="104">
        <v>127</v>
      </c>
      <c r="V40" s="107"/>
      <c r="W40" s="64" t="s">
        <v>84</v>
      </c>
      <c r="X40" s="104">
        <v>14000</v>
      </c>
      <c r="Y40" s="109">
        <v>45181</v>
      </c>
      <c r="Z40" s="106">
        <v>102</v>
      </c>
      <c r="AA40" s="107"/>
      <c r="AB40" s="104">
        <v>127</v>
      </c>
      <c r="AC40" s="65" t="s">
        <v>85</v>
      </c>
      <c r="AD40" s="103" t="s">
        <v>94</v>
      </c>
      <c r="AE40" s="54">
        <v>20</v>
      </c>
      <c r="AF40" s="52">
        <f t="shared" si="0"/>
        <v>2540</v>
      </c>
      <c r="AH40" s="98" t="s">
        <v>86</v>
      </c>
      <c r="AI40" s="104">
        <v>127</v>
      </c>
      <c r="AJ40" s="54">
        <v>20</v>
      </c>
      <c r="AK40" s="47">
        <f t="shared" si="1"/>
        <v>2540</v>
      </c>
      <c r="AL40" s="61"/>
      <c r="AM40" s="61"/>
      <c r="AN40" s="47">
        <f t="shared" si="2"/>
        <v>0</v>
      </c>
      <c r="AO40" s="48">
        <f t="shared" si="3"/>
        <v>2540</v>
      </c>
      <c r="AQ40" s="98" t="s">
        <v>87</v>
      </c>
      <c r="AR40" s="99">
        <v>45211</v>
      </c>
      <c r="AS40" s="57">
        <f t="shared" si="4"/>
        <v>20</v>
      </c>
      <c r="AT40" s="52">
        <f t="shared" si="5"/>
        <v>2540</v>
      </c>
      <c r="AV40" s="98" t="s">
        <v>88</v>
      </c>
      <c r="AW40" s="99">
        <v>45257</v>
      </c>
      <c r="AX40" s="58">
        <f t="shared" si="6"/>
        <v>20</v>
      </c>
      <c r="AY40" s="58">
        <f t="shared" si="7"/>
        <v>127</v>
      </c>
      <c r="AZ40" s="59">
        <f t="shared" si="8"/>
        <v>2540</v>
      </c>
      <c r="BB40" s="60"/>
    </row>
    <row r="41" spans="1:54" s="45" customFormat="1" ht="11.1" customHeight="1" x14ac:dyDescent="0.2">
      <c r="A41" s="53">
        <f t="shared" si="9"/>
        <v>39</v>
      </c>
      <c r="B41" s="90" t="s">
        <v>115</v>
      </c>
      <c r="C41" s="104" t="s">
        <v>93</v>
      </c>
      <c r="D41" s="101" t="s">
        <v>92</v>
      </c>
      <c r="E41" s="111" t="str">
        <f>_xlfn.IFNA(VLOOKUP($D41,'Route-Details'!$B$2:$X$1048576,'Node Details'!E$1,0),"")</f>
        <v>Airtel</v>
      </c>
      <c r="F41" s="111" t="str">
        <f>_xlfn.IFNA(VLOOKUP($D41,'Route-Details'!$B$2:$X$1048576,'Node Details'!F$1,0),"")</f>
        <v>Gorai</v>
      </c>
      <c r="G41" s="111" t="str">
        <f>_xlfn.IFNA(VLOOKUP($D41,'Route-Details'!$B$2:$X$1048576,'Node Details'!G$1,0),"")</f>
        <v>Mumbai</v>
      </c>
      <c r="H41" s="111" t="str">
        <f>_xlfn.IFNA(VLOOKUP($D42,'Route-Details'!$B$2:$X$1048576,'Node Details'!H$1,0),"")</f>
        <v>Mumbai</v>
      </c>
      <c r="I41" s="111" t="str">
        <f>_xlfn.IFNA(VLOOKUP($D41,'Route-Details'!$B$2:$X$1048576,'Node Details'!I$1,0),"")</f>
        <v>1GF</v>
      </c>
      <c r="J41" s="111" t="str">
        <f>_xlfn.IFNA(VLOOKUP($D41,'Route-Details'!$B$2:$X$1048576,'Node Details'!J$1,0),"")</f>
        <v>1GF</v>
      </c>
      <c r="K41" s="101">
        <v>45159</v>
      </c>
      <c r="L41" s="101">
        <v>45159</v>
      </c>
      <c r="M41" s="102">
        <v>45379</v>
      </c>
      <c r="N41" s="55"/>
      <c r="O41" s="61"/>
      <c r="P41" s="61"/>
      <c r="Q41" s="54"/>
      <c r="R41" s="103" t="s">
        <v>94</v>
      </c>
      <c r="S41" s="104">
        <v>66</v>
      </c>
      <c r="T41" s="104">
        <v>66</v>
      </c>
      <c r="U41" s="104">
        <v>66</v>
      </c>
      <c r="V41" s="107"/>
      <c r="W41" s="64" t="s">
        <v>84</v>
      </c>
      <c r="X41" s="104">
        <v>14000</v>
      </c>
      <c r="Y41" s="109">
        <v>45181</v>
      </c>
      <c r="Z41" s="106">
        <v>102</v>
      </c>
      <c r="AA41" s="107"/>
      <c r="AB41" s="104">
        <v>66</v>
      </c>
      <c r="AC41" s="65" t="s">
        <v>85</v>
      </c>
      <c r="AD41" s="103" t="s">
        <v>94</v>
      </c>
      <c r="AE41" s="54">
        <v>20</v>
      </c>
      <c r="AF41" s="52">
        <f t="shared" si="0"/>
        <v>1320</v>
      </c>
      <c r="AH41" s="98" t="s">
        <v>86</v>
      </c>
      <c r="AI41" s="104">
        <v>66</v>
      </c>
      <c r="AJ41" s="54">
        <v>20</v>
      </c>
      <c r="AK41" s="47">
        <f t="shared" si="1"/>
        <v>1320</v>
      </c>
      <c r="AL41" s="61"/>
      <c r="AM41" s="61"/>
      <c r="AN41" s="47">
        <f t="shared" si="2"/>
        <v>0</v>
      </c>
      <c r="AO41" s="48">
        <f t="shared" si="3"/>
        <v>1320</v>
      </c>
      <c r="AQ41" s="98" t="s">
        <v>87</v>
      </c>
      <c r="AR41" s="99">
        <v>45211</v>
      </c>
      <c r="AS41" s="57">
        <f t="shared" si="4"/>
        <v>20</v>
      </c>
      <c r="AT41" s="52">
        <f t="shared" si="5"/>
        <v>1320</v>
      </c>
      <c r="AV41" s="98" t="s">
        <v>88</v>
      </c>
      <c r="AW41" s="99">
        <v>45257</v>
      </c>
      <c r="AX41" s="58">
        <f t="shared" si="6"/>
        <v>20</v>
      </c>
      <c r="AY41" s="58">
        <f t="shared" si="7"/>
        <v>66</v>
      </c>
      <c r="AZ41" s="59">
        <f t="shared" si="8"/>
        <v>1320</v>
      </c>
      <c r="BB41" s="60"/>
    </row>
    <row r="42" spans="1:54" s="45" customFormat="1" ht="11.1" customHeight="1" x14ac:dyDescent="0.2">
      <c r="A42" s="53">
        <f t="shared" si="9"/>
        <v>40</v>
      </c>
      <c r="B42" s="90" t="s">
        <v>178</v>
      </c>
      <c r="C42" s="104" t="s">
        <v>116</v>
      </c>
      <c r="D42" s="101" t="s">
        <v>114</v>
      </c>
      <c r="E42" s="111" t="str">
        <f>_xlfn.IFNA(VLOOKUP($D42,'Route-Details'!$B$2:$X$1048576,'Node Details'!E$1,0),"")</f>
        <v>Airtel</v>
      </c>
      <c r="F42" s="111" t="str">
        <f>_xlfn.IFNA(VLOOKUP($D42,'Route-Details'!$B$2:$X$1048576,'Node Details'!F$1,0),"")</f>
        <v>Gorai</v>
      </c>
      <c r="G42" s="111" t="str">
        <f>_xlfn.IFNA(VLOOKUP($D42,'Route-Details'!$B$2:$X$1048576,'Node Details'!G$1,0),"")</f>
        <v>Mumbai</v>
      </c>
      <c r="H42" s="111" t="str">
        <f>_xlfn.IFNA(VLOOKUP($D43,'Route-Details'!$B$2:$X$1048576,'Node Details'!H$1,0),"")</f>
        <v>Mumbai</v>
      </c>
      <c r="I42" s="111" t="str">
        <f>_xlfn.IFNA(VLOOKUP($D42,'Route-Details'!$B$2:$X$1048576,'Node Details'!I$1,0),"")</f>
        <v>1GF</v>
      </c>
      <c r="J42" s="111" t="str">
        <f>_xlfn.IFNA(VLOOKUP($D42,'Route-Details'!$B$2:$X$1048576,'Node Details'!J$1,0),"")</f>
        <v>1GF</v>
      </c>
      <c r="K42" s="101">
        <v>45159</v>
      </c>
      <c r="L42" s="101">
        <v>45159</v>
      </c>
      <c r="M42" s="102">
        <v>45379</v>
      </c>
      <c r="N42" s="55"/>
      <c r="O42" s="61"/>
      <c r="P42" s="61"/>
      <c r="Q42" s="54"/>
      <c r="R42" s="103" t="s">
        <v>94</v>
      </c>
      <c r="S42" s="104">
        <v>64</v>
      </c>
      <c r="T42" s="104">
        <v>64</v>
      </c>
      <c r="U42" s="104">
        <v>64</v>
      </c>
      <c r="V42" s="107"/>
      <c r="W42" s="64" t="s">
        <v>84</v>
      </c>
      <c r="X42" s="104">
        <v>14000</v>
      </c>
      <c r="Y42" s="109">
        <v>45181</v>
      </c>
      <c r="Z42" s="106">
        <v>102</v>
      </c>
      <c r="AA42" s="107"/>
      <c r="AB42" s="104">
        <v>64</v>
      </c>
      <c r="AC42" s="65" t="s">
        <v>85</v>
      </c>
      <c r="AD42" s="103" t="s">
        <v>94</v>
      </c>
      <c r="AE42" s="54">
        <v>20</v>
      </c>
      <c r="AF42" s="52">
        <f t="shared" si="0"/>
        <v>1280</v>
      </c>
      <c r="AH42" s="98" t="s">
        <v>86</v>
      </c>
      <c r="AI42" s="104">
        <v>64</v>
      </c>
      <c r="AJ42" s="54">
        <v>20</v>
      </c>
      <c r="AK42" s="47">
        <f t="shared" si="1"/>
        <v>1280</v>
      </c>
      <c r="AL42" s="61"/>
      <c r="AM42" s="61"/>
      <c r="AN42" s="47">
        <f t="shared" si="2"/>
        <v>0</v>
      </c>
      <c r="AO42" s="48">
        <f t="shared" si="3"/>
        <v>1280</v>
      </c>
      <c r="AQ42" s="98" t="s">
        <v>87</v>
      </c>
      <c r="AR42" s="99">
        <v>45211</v>
      </c>
      <c r="AS42" s="57">
        <f t="shared" si="4"/>
        <v>20</v>
      </c>
      <c r="AT42" s="52">
        <f t="shared" si="5"/>
        <v>1280</v>
      </c>
      <c r="AV42" s="98" t="s">
        <v>88</v>
      </c>
      <c r="AW42" s="99">
        <v>45257</v>
      </c>
      <c r="AX42" s="58">
        <f t="shared" si="6"/>
        <v>20</v>
      </c>
      <c r="AY42" s="58">
        <f t="shared" si="7"/>
        <v>64</v>
      </c>
      <c r="AZ42" s="59">
        <f t="shared" si="8"/>
        <v>1280</v>
      </c>
      <c r="BB42" s="60"/>
    </row>
    <row r="43" spans="1:54" s="45" customFormat="1" ht="11.1" customHeight="1" x14ac:dyDescent="0.2">
      <c r="A43" s="53">
        <f t="shared" si="9"/>
        <v>41</v>
      </c>
      <c r="B43" s="90" t="s">
        <v>179</v>
      </c>
      <c r="C43" s="104" t="s">
        <v>116</v>
      </c>
      <c r="D43" s="101" t="s">
        <v>114</v>
      </c>
      <c r="E43" s="111" t="str">
        <f>_xlfn.IFNA(VLOOKUP($D43,'Route-Details'!$B$2:$X$1048576,'Node Details'!E$1,0),"")</f>
        <v>Airtel</v>
      </c>
      <c r="F43" s="111" t="str">
        <f>_xlfn.IFNA(VLOOKUP($D43,'Route-Details'!$B$2:$X$1048576,'Node Details'!F$1,0),"")</f>
        <v>Gorai</v>
      </c>
      <c r="G43" s="111" t="str">
        <f>_xlfn.IFNA(VLOOKUP($D43,'Route-Details'!$B$2:$X$1048576,'Node Details'!G$1,0),"")</f>
        <v>Mumbai</v>
      </c>
      <c r="H43" s="111" t="str">
        <f>_xlfn.IFNA(VLOOKUP($D44,'Route-Details'!$B$2:$X$1048576,'Node Details'!H$1,0),"")</f>
        <v>Mumbai</v>
      </c>
      <c r="I43" s="111" t="str">
        <f>_xlfn.IFNA(VLOOKUP($D43,'Route-Details'!$B$2:$X$1048576,'Node Details'!I$1,0),"")</f>
        <v>1GF</v>
      </c>
      <c r="J43" s="111" t="str">
        <f>_xlfn.IFNA(VLOOKUP($D43,'Route-Details'!$B$2:$X$1048576,'Node Details'!J$1,0),"")</f>
        <v>1GF</v>
      </c>
      <c r="K43" s="101">
        <v>45159</v>
      </c>
      <c r="L43" s="101">
        <v>45159</v>
      </c>
      <c r="M43" s="102">
        <v>45379</v>
      </c>
      <c r="N43" s="55"/>
      <c r="O43" s="61"/>
      <c r="P43" s="61"/>
      <c r="Q43" s="54"/>
      <c r="R43" s="103" t="s">
        <v>94</v>
      </c>
      <c r="S43" s="104">
        <v>105</v>
      </c>
      <c r="T43" s="104">
        <v>105</v>
      </c>
      <c r="U43" s="104">
        <v>105</v>
      </c>
      <c r="V43" s="107"/>
      <c r="W43" s="64" t="s">
        <v>84</v>
      </c>
      <c r="X43" s="104">
        <v>14000</v>
      </c>
      <c r="Y43" s="109">
        <v>45181</v>
      </c>
      <c r="Z43" s="106">
        <v>102</v>
      </c>
      <c r="AA43" s="107"/>
      <c r="AB43" s="104">
        <v>105</v>
      </c>
      <c r="AC43" s="65" t="s">
        <v>85</v>
      </c>
      <c r="AD43" s="103" t="s">
        <v>94</v>
      </c>
      <c r="AE43" s="54">
        <v>20</v>
      </c>
      <c r="AF43" s="52">
        <f t="shared" si="0"/>
        <v>2100</v>
      </c>
      <c r="AH43" s="98" t="s">
        <v>86</v>
      </c>
      <c r="AI43" s="104">
        <v>105</v>
      </c>
      <c r="AJ43" s="54">
        <v>20</v>
      </c>
      <c r="AK43" s="47">
        <f t="shared" si="1"/>
        <v>2100</v>
      </c>
      <c r="AL43" s="61"/>
      <c r="AM43" s="61"/>
      <c r="AN43" s="47">
        <f t="shared" si="2"/>
        <v>0</v>
      </c>
      <c r="AO43" s="48">
        <f t="shared" si="3"/>
        <v>2100</v>
      </c>
      <c r="AQ43" s="98" t="s">
        <v>87</v>
      </c>
      <c r="AR43" s="99">
        <v>45211</v>
      </c>
      <c r="AS43" s="57">
        <f t="shared" si="4"/>
        <v>20</v>
      </c>
      <c r="AT43" s="52">
        <f t="shared" si="5"/>
        <v>2100</v>
      </c>
      <c r="AV43" s="98" t="s">
        <v>88</v>
      </c>
      <c r="AW43" s="99">
        <v>45257</v>
      </c>
      <c r="AX43" s="58">
        <f t="shared" si="6"/>
        <v>20</v>
      </c>
      <c r="AY43" s="58">
        <f t="shared" si="7"/>
        <v>105</v>
      </c>
      <c r="AZ43" s="59">
        <f t="shared" si="8"/>
        <v>2100</v>
      </c>
      <c r="BB43" s="60"/>
    </row>
    <row r="44" spans="1:54" s="45" customFormat="1" ht="11.1" customHeight="1" x14ac:dyDescent="0.2">
      <c r="A44" s="53">
        <f t="shared" si="9"/>
        <v>42</v>
      </c>
      <c r="B44" s="90" t="s">
        <v>180</v>
      </c>
      <c r="C44" s="104" t="s">
        <v>116</v>
      </c>
      <c r="D44" s="101" t="s">
        <v>114</v>
      </c>
      <c r="E44" s="111" t="str">
        <f>_xlfn.IFNA(VLOOKUP($D44,'Route-Details'!$B$2:$X$1048576,'Node Details'!E$1,0),"")</f>
        <v>Airtel</v>
      </c>
      <c r="F44" s="111" t="str">
        <f>_xlfn.IFNA(VLOOKUP($D44,'Route-Details'!$B$2:$X$1048576,'Node Details'!F$1,0),"")</f>
        <v>Gorai</v>
      </c>
      <c r="G44" s="111" t="str">
        <f>_xlfn.IFNA(VLOOKUP($D44,'Route-Details'!$B$2:$X$1048576,'Node Details'!G$1,0),"")</f>
        <v>Mumbai</v>
      </c>
      <c r="H44" s="111" t="str">
        <f>_xlfn.IFNA(VLOOKUP($D45,'Route-Details'!$B$2:$X$1048576,'Node Details'!H$1,0),"")</f>
        <v>Mumbai</v>
      </c>
      <c r="I44" s="111" t="str">
        <f>_xlfn.IFNA(VLOOKUP($D44,'Route-Details'!$B$2:$X$1048576,'Node Details'!I$1,0),"")</f>
        <v>1GF</v>
      </c>
      <c r="J44" s="111" t="str">
        <f>_xlfn.IFNA(VLOOKUP($D44,'Route-Details'!$B$2:$X$1048576,'Node Details'!J$1,0),"")</f>
        <v>1GF</v>
      </c>
      <c r="K44" s="101">
        <v>45159</v>
      </c>
      <c r="L44" s="101">
        <v>45159</v>
      </c>
      <c r="M44" s="102">
        <v>45379</v>
      </c>
      <c r="N44" s="55"/>
      <c r="O44" s="61"/>
      <c r="P44" s="61"/>
      <c r="Q44" s="54"/>
      <c r="R44" s="103" t="s">
        <v>94</v>
      </c>
      <c r="S44" s="104">
        <v>59</v>
      </c>
      <c r="T44" s="104">
        <v>59</v>
      </c>
      <c r="U44" s="104">
        <v>59</v>
      </c>
      <c r="V44" s="107"/>
      <c r="W44" s="64" t="s">
        <v>84</v>
      </c>
      <c r="X44" s="104">
        <v>14000</v>
      </c>
      <c r="Y44" s="109">
        <v>45181</v>
      </c>
      <c r="Z44" s="106">
        <v>102</v>
      </c>
      <c r="AA44" s="107"/>
      <c r="AB44" s="104">
        <v>59</v>
      </c>
      <c r="AC44" s="65" t="s">
        <v>85</v>
      </c>
      <c r="AD44" s="103" t="s">
        <v>94</v>
      </c>
      <c r="AE44" s="54">
        <v>20</v>
      </c>
      <c r="AF44" s="52">
        <f t="shared" si="0"/>
        <v>1180</v>
      </c>
      <c r="AH44" s="98" t="s">
        <v>86</v>
      </c>
      <c r="AI44" s="104">
        <v>59</v>
      </c>
      <c r="AJ44" s="54">
        <v>20</v>
      </c>
      <c r="AK44" s="47">
        <f t="shared" si="1"/>
        <v>1180</v>
      </c>
      <c r="AL44" s="61"/>
      <c r="AM44" s="61"/>
      <c r="AN44" s="47">
        <f t="shared" si="2"/>
        <v>0</v>
      </c>
      <c r="AO44" s="48">
        <f t="shared" si="3"/>
        <v>1180</v>
      </c>
      <c r="AQ44" s="98" t="s">
        <v>87</v>
      </c>
      <c r="AR44" s="99">
        <v>45211</v>
      </c>
      <c r="AS44" s="57">
        <f t="shared" si="4"/>
        <v>20</v>
      </c>
      <c r="AT44" s="52">
        <f t="shared" si="5"/>
        <v>1180</v>
      </c>
      <c r="AV44" s="98" t="s">
        <v>88</v>
      </c>
      <c r="AW44" s="99">
        <v>45257</v>
      </c>
      <c r="AX44" s="58">
        <f t="shared" si="6"/>
        <v>20</v>
      </c>
      <c r="AY44" s="58">
        <f t="shared" si="7"/>
        <v>59</v>
      </c>
      <c r="AZ44" s="59">
        <f t="shared" si="8"/>
        <v>1180</v>
      </c>
      <c r="BB44" s="60"/>
    </row>
    <row r="45" spans="1:54" s="45" customFormat="1" ht="11.1" customHeight="1" x14ac:dyDescent="0.2">
      <c r="A45" s="53">
        <f t="shared" si="9"/>
        <v>43</v>
      </c>
      <c r="B45" s="90" t="s">
        <v>117</v>
      </c>
      <c r="C45" s="104" t="s">
        <v>116</v>
      </c>
      <c r="D45" s="101" t="s">
        <v>114</v>
      </c>
      <c r="E45" s="111" t="str">
        <f>_xlfn.IFNA(VLOOKUP($D45,'Route-Details'!$B$2:$X$1048576,'Node Details'!E$1,0),"")</f>
        <v>Airtel</v>
      </c>
      <c r="F45" s="111" t="str">
        <f>_xlfn.IFNA(VLOOKUP($D45,'Route-Details'!$B$2:$X$1048576,'Node Details'!F$1,0),"")</f>
        <v>Gorai</v>
      </c>
      <c r="G45" s="111" t="str">
        <f>_xlfn.IFNA(VLOOKUP($D45,'Route-Details'!$B$2:$X$1048576,'Node Details'!G$1,0),"")</f>
        <v>Mumbai</v>
      </c>
      <c r="H45" s="111" t="str">
        <f>_xlfn.IFNA(VLOOKUP($D46,'Route-Details'!$B$2:$X$1048576,'Node Details'!H$1,0),"")</f>
        <v>Mumbai</v>
      </c>
      <c r="I45" s="111" t="str">
        <f>_xlfn.IFNA(VLOOKUP($D45,'Route-Details'!$B$2:$X$1048576,'Node Details'!I$1,0),"")</f>
        <v>1GF</v>
      </c>
      <c r="J45" s="111" t="str">
        <f>_xlfn.IFNA(VLOOKUP($D45,'Route-Details'!$B$2:$X$1048576,'Node Details'!J$1,0),"")</f>
        <v>1GF</v>
      </c>
      <c r="K45" s="101">
        <v>45159</v>
      </c>
      <c r="L45" s="101">
        <v>45159</v>
      </c>
      <c r="M45" s="102">
        <v>45379</v>
      </c>
      <c r="N45" s="55"/>
      <c r="O45" s="61"/>
      <c r="P45" s="61"/>
      <c r="Q45" s="54"/>
      <c r="R45" s="103" t="s">
        <v>94</v>
      </c>
      <c r="S45" s="104">
        <v>65</v>
      </c>
      <c r="T45" s="104">
        <v>65</v>
      </c>
      <c r="U45" s="104">
        <v>65</v>
      </c>
      <c r="V45" s="107"/>
      <c r="W45" s="64" t="s">
        <v>84</v>
      </c>
      <c r="X45" s="104">
        <v>14000</v>
      </c>
      <c r="Y45" s="109">
        <v>45181</v>
      </c>
      <c r="Z45" s="106">
        <v>102</v>
      </c>
      <c r="AA45" s="107"/>
      <c r="AB45" s="104">
        <v>65</v>
      </c>
      <c r="AC45" s="65" t="s">
        <v>85</v>
      </c>
      <c r="AD45" s="103" t="s">
        <v>94</v>
      </c>
      <c r="AE45" s="54">
        <v>20</v>
      </c>
      <c r="AF45" s="52">
        <f t="shared" si="0"/>
        <v>1300</v>
      </c>
      <c r="AH45" s="98" t="s">
        <v>86</v>
      </c>
      <c r="AI45" s="104">
        <v>65</v>
      </c>
      <c r="AJ45" s="54">
        <v>20</v>
      </c>
      <c r="AK45" s="47">
        <f t="shared" si="1"/>
        <v>1300</v>
      </c>
      <c r="AL45" s="61"/>
      <c r="AM45" s="61"/>
      <c r="AN45" s="47">
        <f t="shared" si="2"/>
        <v>0</v>
      </c>
      <c r="AO45" s="48">
        <f t="shared" si="3"/>
        <v>1300</v>
      </c>
      <c r="AQ45" s="98" t="s">
        <v>87</v>
      </c>
      <c r="AR45" s="99">
        <v>45211</v>
      </c>
      <c r="AS45" s="57">
        <f t="shared" si="4"/>
        <v>20</v>
      </c>
      <c r="AT45" s="52">
        <f t="shared" si="5"/>
        <v>1300</v>
      </c>
      <c r="AV45" s="98" t="s">
        <v>88</v>
      </c>
      <c r="AW45" s="99">
        <v>45257</v>
      </c>
      <c r="AX45" s="58">
        <f t="shared" si="6"/>
        <v>20</v>
      </c>
      <c r="AY45" s="58">
        <f t="shared" si="7"/>
        <v>65</v>
      </c>
      <c r="AZ45" s="59">
        <f t="shared" si="8"/>
        <v>1300</v>
      </c>
      <c r="BB45" s="60"/>
    </row>
    <row r="46" spans="1:54" s="45" customFormat="1" ht="11.1" customHeight="1" x14ac:dyDescent="0.2">
      <c r="A46" s="53">
        <f t="shared" si="9"/>
        <v>44</v>
      </c>
      <c r="B46" s="90" t="s">
        <v>119</v>
      </c>
      <c r="C46" s="104" t="s">
        <v>93</v>
      </c>
      <c r="D46" s="101" t="s">
        <v>92</v>
      </c>
      <c r="E46" s="111" t="str">
        <f>_xlfn.IFNA(VLOOKUP($D46,'Route-Details'!$B$2:$X$1048576,'Node Details'!E$1,0),"")</f>
        <v>Airtel</v>
      </c>
      <c r="F46" s="111" t="str">
        <f>_xlfn.IFNA(VLOOKUP($D46,'Route-Details'!$B$2:$X$1048576,'Node Details'!F$1,0),"")</f>
        <v>Gorai</v>
      </c>
      <c r="G46" s="111" t="str">
        <f>_xlfn.IFNA(VLOOKUP($D46,'Route-Details'!$B$2:$X$1048576,'Node Details'!G$1,0),"")</f>
        <v>Mumbai</v>
      </c>
      <c r="H46" s="111" t="str">
        <f>_xlfn.IFNA(VLOOKUP($D47,'Route-Details'!$B$2:$X$1048576,'Node Details'!H$1,0),"")</f>
        <v>Mumbai</v>
      </c>
      <c r="I46" s="111" t="str">
        <f>_xlfn.IFNA(VLOOKUP($D46,'Route-Details'!$B$2:$X$1048576,'Node Details'!I$1,0),"")</f>
        <v>1GF</v>
      </c>
      <c r="J46" s="111" t="str">
        <f>_xlfn.IFNA(VLOOKUP($D46,'Route-Details'!$B$2:$X$1048576,'Node Details'!J$1,0),"")</f>
        <v>1GF</v>
      </c>
      <c r="K46" s="101">
        <v>45168</v>
      </c>
      <c r="L46" s="101">
        <v>45168</v>
      </c>
      <c r="M46" s="102">
        <v>45379</v>
      </c>
      <c r="N46" s="55"/>
      <c r="O46" s="61"/>
      <c r="P46" s="61"/>
      <c r="Q46" s="54"/>
      <c r="R46" s="103" t="s">
        <v>94</v>
      </c>
      <c r="S46" s="104">
        <v>51</v>
      </c>
      <c r="T46" s="104">
        <v>51</v>
      </c>
      <c r="U46" s="104">
        <v>51</v>
      </c>
      <c r="V46" s="107"/>
      <c r="W46" s="64" t="s">
        <v>84</v>
      </c>
      <c r="X46" s="104">
        <v>14000</v>
      </c>
      <c r="Y46" s="109">
        <v>45181</v>
      </c>
      <c r="Z46" s="106">
        <v>102</v>
      </c>
      <c r="AA46" s="107"/>
      <c r="AB46" s="104">
        <v>51</v>
      </c>
      <c r="AC46" s="65" t="s">
        <v>85</v>
      </c>
      <c r="AD46" s="103" t="s">
        <v>94</v>
      </c>
      <c r="AE46" s="54">
        <v>20</v>
      </c>
      <c r="AF46" s="52">
        <f t="shared" si="0"/>
        <v>1020</v>
      </c>
      <c r="AH46" s="98" t="s">
        <v>86</v>
      </c>
      <c r="AI46" s="104">
        <v>51</v>
      </c>
      <c r="AJ46" s="54">
        <v>20</v>
      </c>
      <c r="AK46" s="47">
        <f t="shared" si="1"/>
        <v>1020</v>
      </c>
      <c r="AL46" s="61"/>
      <c r="AM46" s="61"/>
      <c r="AN46" s="47">
        <f t="shared" si="2"/>
        <v>0</v>
      </c>
      <c r="AO46" s="48">
        <f t="shared" si="3"/>
        <v>1020</v>
      </c>
      <c r="AQ46" s="98" t="s">
        <v>87</v>
      </c>
      <c r="AR46" s="99">
        <v>45211</v>
      </c>
      <c r="AS46" s="57">
        <f t="shared" si="4"/>
        <v>20</v>
      </c>
      <c r="AT46" s="52">
        <f t="shared" si="5"/>
        <v>1020</v>
      </c>
      <c r="AV46" s="98" t="s">
        <v>88</v>
      </c>
      <c r="AW46" s="99">
        <v>45257</v>
      </c>
      <c r="AX46" s="58">
        <f t="shared" si="6"/>
        <v>20</v>
      </c>
      <c r="AY46" s="58">
        <f t="shared" si="7"/>
        <v>51</v>
      </c>
      <c r="AZ46" s="59">
        <f t="shared" si="8"/>
        <v>1020</v>
      </c>
      <c r="BB46" s="60"/>
    </row>
    <row r="47" spans="1:54" s="45" customFormat="1" ht="11.1" customHeight="1" x14ac:dyDescent="0.2">
      <c r="A47" s="53">
        <f t="shared" si="9"/>
        <v>45</v>
      </c>
      <c r="B47" s="90" t="s">
        <v>181</v>
      </c>
      <c r="C47" s="104" t="s">
        <v>120</v>
      </c>
      <c r="D47" s="101" t="s">
        <v>118</v>
      </c>
      <c r="E47" s="111" t="str">
        <f>_xlfn.IFNA(VLOOKUP($D47,'Route-Details'!$B$2:$X$1048576,'Node Details'!E$1,0),"")</f>
        <v>Airtel</v>
      </c>
      <c r="F47" s="111" t="str">
        <f>_xlfn.IFNA(VLOOKUP($D47,'Route-Details'!$B$2:$X$1048576,'Node Details'!F$1,0),"")</f>
        <v>Gorai</v>
      </c>
      <c r="G47" s="111" t="str">
        <f>_xlfn.IFNA(VLOOKUP($D47,'Route-Details'!$B$2:$X$1048576,'Node Details'!G$1,0),"")</f>
        <v>Mumbai</v>
      </c>
      <c r="H47" s="111" t="str">
        <f>_xlfn.IFNA(VLOOKUP($D48,'Route-Details'!$B$2:$X$1048576,'Node Details'!H$1,0),"")</f>
        <v>Mumbai</v>
      </c>
      <c r="I47" s="111" t="str">
        <f>_xlfn.IFNA(VLOOKUP($D47,'Route-Details'!$B$2:$X$1048576,'Node Details'!I$1,0),"")</f>
        <v>1GF</v>
      </c>
      <c r="J47" s="111" t="str">
        <f>_xlfn.IFNA(VLOOKUP($D47,'Route-Details'!$B$2:$X$1048576,'Node Details'!J$1,0),"")</f>
        <v>1GF</v>
      </c>
      <c r="K47" s="101">
        <v>45168</v>
      </c>
      <c r="L47" s="101">
        <v>45168</v>
      </c>
      <c r="M47" s="102">
        <v>45379</v>
      </c>
      <c r="N47" s="55"/>
      <c r="O47" s="61"/>
      <c r="P47" s="61"/>
      <c r="Q47" s="54"/>
      <c r="R47" s="103" t="s">
        <v>94</v>
      </c>
      <c r="S47" s="104">
        <v>46</v>
      </c>
      <c r="T47" s="104">
        <v>46</v>
      </c>
      <c r="U47" s="104">
        <v>46</v>
      </c>
      <c r="V47" s="107"/>
      <c r="W47" s="64" t="s">
        <v>84</v>
      </c>
      <c r="X47" s="104">
        <v>14000</v>
      </c>
      <c r="Y47" s="109">
        <v>45181</v>
      </c>
      <c r="Z47" s="106">
        <v>102</v>
      </c>
      <c r="AA47" s="107"/>
      <c r="AB47" s="104">
        <v>46</v>
      </c>
      <c r="AC47" s="65" t="s">
        <v>85</v>
      </c>
      <c r="AD47" s="103" t="s">
        <v>94</v>
      </c>
      <c r="AE47" s="54">
        <v>20</v>
      </c>
      <c r="AF47" s="52">
        <f t="shared" si="0"/>
        <v>920</v>
      </c>
      <c r="AH47" s="98" t="s">
        <v>86</v>
      </c>
      <c r="AI47" s="104">
        <v>46</v>
      </c>
      <c r="AJ47" s="54">
        <v>20</v>
      </c>
      <c r="AK47" s="47">
        <f t="shared" si="1"/>
        <v>920</v>
      </c>
      <c r="AL47" s="61"/>
      <c r="AM47" s="61"/>
      <c r="AN47" s="47">
        <f t="shared" si="2"/>
        <v>0</v>
      </c>
      <c r="AO47" s="48">
        <f t="shared" si="3"/>
        <v>920</v>
      </c>
      <c r="AQ47" s="98" t="s">
        <v>87</v>
      </c>
      <c r="AR47" s="99">
        <v>45211</v>
      </c>
      <c r="AS47" s="57">
        <f t="shared" si="4"/>
        <v>20</v>
      </c>
      <c r="AT47" s="52">
        <f t="shared" si="5"/>
        <v>920</v>
      </c>
      <c r="AV47" s="98" t="s">
        <v>88</v>
      </c>
      <c r="AW47" s="99">
        <v>45257</v>
      </c>
      <c r="AX47" s="58">
        <f t="shared" si="6"/>
        <v>20</v>
      </c>
      <c r="AY47" s="58">
        <f t="shared" si="7"/>
        <v>46</v>
      </c>
      <c r="AZ47" s="59">
        <f t="shared" si="8"/>
        <v>920</v>
      </c>
      <c r="BB47" s="60"/>
    </row>
    <row r="48" spans="1:54" s="45" customFormat="1" ht="11.1" customHeight="1" x14ac:dyDescent="0.2">
      <c r="A48" s="53">
        <f t="shared" si="9"/>
        <v>46</v>
      </c>
      <c r="B48" s="90" t="s">
        <v>182</v>
      </c>
      <c r="C48" s="104" t="s">
        <v>120</v>
      </c>
      <c r="D48" s="101" t="s">
        <v>118</v>
      </c>
      <c r="E48" s="111" t="str">
        <f>_xlfn.IFNA(VLOOKUP($D48,'Route-Details'!$B$2:$X$1048576,'Node Details'!E$1,0),"")</f>
        <v>Airtel</v>
      </c>
      <c r="F48" s="111" t="str">
        <f>_xlfn.IFNA(VLOOKUP($D48,'Route-Details'!$B$2:$X$1048576,'Node Details'!F$1,0),"")</f>
        <v>Gorai</v>
      </c>
      <c r="G48" s="111" t="str">
        <f>_xlfn.IFNA(VLOOKUP($D48,'Route-Details'!$B$2:$X$1048576,'Node Details'!G$1,0),"")</f>
        <v>Mumbai</v>
      </c>
      <c r="H48" s="111" t="str">
        <f>_xlfn.IFNA(VLOOKUP($D49,'Route-Details'!$B$2:$X$1048576,'Node Details'!H$1,0),"")</f>
        <v>Mumbai</v>
      </c>
      <c r="I48" s="111" t="str">
        <f>_xlfn.IFNA(VLOOKUP($D48,'Route-Details'!$B$2:$X$1048576,'Node Details'!I$1,0),"")</f>
        <v>1GF</v>
      </c>
      <c r="J48" s="111" t="str">
        <f>_xlfn.IFNA(VLOOKUP($D48,'Route-Details'!$B$2:$X$1048576,'Node Details'!J$1,0),"")</f>
        <v>1GF</v>
      </c>
      <c r="K48" s="101">
        <v>45168</v>
      </c>
      <c r="L48" s="101">
        <v>45168</v>
      </c>
      <c r="M48" s="102">
        <v>45379</v>
      </c>
      <c r="N48" s="55"/>
      <c r="O48" s="61"/>
      <c r="P48" s="61"/>
      <c r="Q48" s="54"/>
      <c r="R48" s="103" t="s">
        <v>94</v>
      </c>
      <c r="S48" s="104">
        <v>62</v>
      </c>
      <c r="T48" s="104">
        <v>62</v>
      </c>
      <c r="U48" s="104">
        <v>62</v>
      </c>
      <c r="V48" s="107"/>
      <c r="W48" s="64" t="s">
        <v>84</v>
      </c>
      <c r="X48" s="104">
        <v>14000</v>
      </c>
      <c r="Y48" s="109">
        <v>45181</v>
      </c>
      <c r="Z48" s="106">
        <v>102</v>
      </c>
      <c r="AA48" s="107"/>
      <c r="AB48" s="104">
        <v>62</v>
      </c>
      <c r="AC48" s="65" t="s">
        <v>85</v>
      </c>
      <c r="AD48" s="103" t="s">
        <v>94</v>
      </c>
      <c r="AE48" s="54">
        <v>20</v>
      </c>
      <c r="AF48" s="52">
        <f t="shared" si="0"/>
        <v>1240</v>
      </c>
      <c r="AH48" s="98" t="s">
        <v>86</v>
      </c>
      <c r="AI48" s="104">
        <v>62</v>
      </c>
      <c r="AJ48" s="54">
        <v>20</v>
      </c>
      <c r="AK48" s="47">
        <f t="shared" si="1"/>
        <v>1240</v>
      </c>
      <c r="AL48" s="61"/>
      <c r="AM48" s="61"/>
      <c r="AN48" s="47">
        <f t="shared" si="2"/>
        <v>0</v>
      </c>
      <c r="AO48" s="48">
        <f t="shared" si="3"/>
        <v>1240</v>
      </c>
      <c r="AQ48" s="98" t="s">
        <v>87</v>
      </c>
      <c r="AR48" s="99">
        <v>45211</v>
      </c>
      <c r="AS48" s="57">
        <f t="shared" si="4"/>
        <v>20</v>
      </c>
      <c r="AT48" s="52">
        <f t="shared" si="5"/>
        <v>1240</v>
      </c>
      <c r="AV48" s="98" t="s">
        <v>88</v>
      </c>
      <c r="AW48" s="99">
        <v>45257</v>
      </c>
      <c r="AX48" s="58">
        <f t="shared" si="6"/>
        <v>20</v>
      </c>
      <c r="AY48" s="58">
        <f t="shared" si="7"/>
        <v>62</v>
      </c>
      <c r="AZ48" s="59">
        <f t="shared" si="8"/>
        <v>1240</v>
      </c>
      <c r="BB48" s="60"/>
    </row>
    <row r="49" spans="1:54" s="45" customFormat="1" ht="11.1" customHeight="1" x14ac:dyDescent="0.2">
      <c r="A49" s="53">
        <f t="shared" si="9"/>
        <v>47</v>
      </c>
      <c r="B49" s="90" t="s">
        <v>183</v>
      </c>
      <c r="C49" s="104" t="s">
        <v>120</v>
      </c>
      <c r="D49" s="101" t="s">
        <v>118</v>
      </c>
      <c r="E49" s="111" t="str">
        <f>_xlfn.IFNA(VLOOKUP($D49,'Route-Details'!$B$2:$X$1048576,'Node Details'!E$1,0),"")</f>
        <v>Airtel</v>
      </c>
      <c r="F49" s="111" t="str">
        <f>_xlfn.IFNA(VLOOKUP($D49,'Route-Details'!$B$2:$X$1048576,'Node Details'!F$1,0),"")</f>
        <v>Gorai</v>
      </c>
      <c r="G49" s="111" t="str">
        <f>_xlfn.IFNA(VLOOKUP($D49,'Route-Details'!$B$2:$X$1048576,'Node Details'!G$1,0),"")</f>
        <v>Mumbai</v>
      </c>
      <c r="H49" s="111" t="str">
        <f>_xlfn.IFNA(VLOOKUP($D50,'Route-Details'!$B$2:$X$1048576,'Node Details'!H$1,0),"")</f>
        <v>Mumbai</v>
      </c>
      <c r="I49" s="111" t="str">
        <f>_xlfn.IFNA(VLOOKUP($D49,'Route-Details'!$B$2:$X$1048576,'Node Details'!I$1,0),"")</f>
        <v>1GF</v>
      </c>
      <c r="J49" s="111" t="str">
        <f>_xlfn.IFNA(VLOOKUP($D49,'Route-Details'!$B$2:$X$1048576,'Node Details'!J$1,0),"")</f>
        <v>1GF</v>
      </c>
      <c r="K49" s="101">
        <v>45168</v>
      </c>
      <c r="L49" s="101">
        <v>45168</v>
      </c>
      <c r="M49" s="102">
        <v>45379</v>
      </c>
      <c r="N49" s="55"/>
      <c r="O49" s="61"/>
      <c r="P49" s="61"/>
      <c r="Q49" s="54"/>
      <c r="R49" s="103" t="s">
        <v>94</v>
      </c>
      <c r="S49" s="104">
        <v>80</v>
      </c>
      <c r="T49" s="104">
        <v>80</v>
      </c>
      <c r="U49" s="104">
        <v>80</v>
      </c>
      <c r="V49" s="107"/>
      <c r="W49" s="64" t="s">
        <v>84</v>
      </c>
      <c r="X49" s="104">
        <v>14000</v>
      </c>
      <c r="Y49" s="109">
        <v>45181</v>
      </c>
      <c r="Z49" s="106">
        <v>102</v>
      </c>
      <c r="AA49" s="107"/>
      <c r="AB49" s="104">
        <v>80</v>
      </c>
      <c r="AC49" s="65" t="s">
        <v>85</v>
      </c>
      <c r="AD49" s="103" t="s">
        <v>94</v>
      </c>
      <c r="AE49" s="54">
        <v>20</v>
      </c>
      <c r="AF49" s="52">
        <f t="shared" si="0"/>
        <v>1600</v>
      </c>
      <c r="AH49" s="98" t="s">
        <v>86</v>
      </c>
      <c r="AI49" s="104">
        <v>80</v>
      </c>
      <c r="AJ49" s="54">
        <v>20</v>
      </c>
      <c r="AK49" s="47">
        <f t="shared" si="1"/>
        <v>1600</v>
      </c>
      <c r="AL49" s="61"/>
      <c r="AM49" s="61"/>
      <c r="AN49" s="47">
        <f t="shared" si="2"/>
        <v>0</v>
      </c>
      <c r="AO49" s="48">
        <f t="shared" si="3"/>
        <v>1600</v>
      </c>
      <c r="AQ49" s="98" t="s">
        <v>87</v>
      </c>
      <c r="AR49" s="99">
        <v>45211</v>
      </c>
      <c r="AS49" s="57">
        <f t="shared" si="4"/>
        <v>20</v>
      </c>
      <c r="AT49" s="52">
        <f t="shared" si="5"/>
        <v>1600</v>
      </c>
      <c r="AV49" s="98" t="s">
        <v>88</v>
      </c>
      <c r="AW49" s="99">
        <v>45257</v>
      </c>
      <c r="AX49" s="58">
        <f t="shared" si="6"/>
        <v>20</v>
      </c>
      <c r="AY49" s="58">
        <f t="shared" si="7"/>
        <v>80</v>
      </c>
      <c r="AZ49" s="59">
        <f t="shared" si="8"/>
        <v>1600</v>
      </c>
      <c r="BB49" s="60"/>
    </row>
    <row r="50" spans="1:54" s="45" customFormat="1" ht="11.1" customHeight="1" x14ac:dyDescent="0.2">
      <c r="A50" s="53">
        <f t="shared" si="9"/>
        <v>48</v>
      </c>
      <c r="B50" s="90" t="s">
        <v>121</v>
      </c>
      <c r="C50" s="104" t="s">
        <v>120</v>
      </c>
      <c r="D50" s="101" t="s">
        <v>118</v>
      </c>
      <c r="E50" s="111" t="str">
        <f>_xlfn.IFNA(VLOOKUP($D50,'Route-Details'!$B$2:$X$1048576,'Node Details'!E$1,0),"")</f>
        <v>Airtel</v>
      </c>
      <c r="F50" s="111" t="str">
        <f>_xlfn.IFNA(VLOOKUP($D50,'Route-Details'!$B$2:$X$1048576,'Node Details'!F$1,0),"")</f>
        <v>Gorai</v>
      </c>
      <c r="G50" s="111" t="str">
        <f>_xlfn.IFNA(VLOOKUP($D50,'Route-Details'!$B$2:$X$1048576,'Node Details'!G$1,0),"")</f>
        <v>Mumbai</v>
      </c>
      <c r="H50" s="111" t="str">
        <f>_xlfn.IFNA(VLOOKUP($D51,'Route-Details'!$B$2:$X$1048576,'Node Details'!H$1,0),"")</f>
        <v>Mumbai</v>
      </c>
      <c r="I50" s="111" t="str">
        <f>_xlfn.IFNA(VLOOKUP($D50,'Route-Details'!$B$2:$X$1048576,'Node Details'!I$1,0),"")</f>
        <v>1GF</v>
      </c>
      <c r="J50" s="111" t="str">
        <f>_xlfn.IFNA(VLOOKUP($D50,'Route-Details'!$B$2:$X$1048576,'Node Details'!J$1,0),"")</f>
        <v>1GF</v>
      </c>
      <c r="K50" s="101">
        <v>45168</v>
      </c>
      <c r="L50" s="101">
        <v>45168</v>
      </c>
      <c r="M50" s="102">
        <v>45379</v>
      </c>
      <c r="N50" s="55"/>
      <c r="O50" s="61"/>
      <c r="P50" s="61"/>
      <c r="Q50" s="54"/>
      <c r="R50" s="103" t="s">
        <v>94</v>
      </c>
      <c r="S50" s="104">
        <v>74</v>
      </c>
      <c r="T50" s="104">
        <v>74</v>
      </c>
      <c r="U50" s="104">
        <v>74</v>
      </c>
      <c r="V50" s="107"/>
      <c r="W50" s="64" t="s">
        <v>84</v>
      </c>
      <c r="X50" s="104">
        <v>14000</v>
      </c>
      <c r="Y50" s="109">
        <v>45181</v>
      </c>
      <c r="Z50" s="106">
        <v>102</v>
      </c>
      <c r="AA50" s="107"/>
      <c r="AB50" s="104">
        <v>74</v>
      </c>
      <c r="AC50" s="65" t="s">
        <v>85</v>
      </c>
      <c r="AD50" s="103" t="s">
        <v>94</v>
      </c>
      <c r="AE50" s="54">
        <v>20</v>
      </c>
      <c r="AF50" s="52">
        <f t="shared" si="0"/>
        <v>1480</v>
      </c>
      <c r="AH50" s="98" t="s">
        <v>86</v>
      </c>
      <c r="AI50" s="104">
        <v>74</v>
      </c>
      <c r="AJ50" s="54">
        <v>20</v>
      </c>
      <c r="AK50" s="47">
        <f t="shared" si="1"/>
        <v>1480</v>
      </c>
      <c r="AL50" s="61"/>
      <c r="AM50" s="61"/>
      <c r="AN50" s="47">
        <f t="shared" si="2"/>
        <v>0</v>
      </c>
      <c r="AO50" s="48">
        <f t="shared" si="3"/>
        <v>1480</v>
      </c>
      <c r="AQ50" s="98" t="s">
        <v>87</v>
      </c>
      <c r="AR50" s="99">
        <v>45211</v>
      </c>
      <c r="AS50" s="57">
        <f t="shared" si="4"/>
        <v>20</v>
      </c>
      <c r="AT50" s="52">
        <f t="shared" si="5"/>
        <v>1480</v>
      </c>
      <c r="AV50" s="98" t="s">
        <v>88</v>
      </c>
      <c r="AW50" s="99">
        <v>45257</v>
      </c>
      <c r="AX50" s="58">
        <f t="shared" si="6"/>
        <v>20</v>
      </c>
      <c r="AY50" s="58">
        <f t="shared" si="7"/>
        <v>74</v>
      </c>
      <c r="AZ50" s="59">
        <f t="shared" si="8"/>
        <v>1480</v>
      </c>
      <c r="BB50" s="60"/>
    </row>
    <row r="51" spans="1:54" s="45" customFormat="1" ht="11.1" customHeight="1" x14ac:dyDescent="0.2">
      <c r="A51" s="53">
        <f t="shared" si="9"/>
        <v>49</v>
      </c>
      <c r="B51" s="90" t="s">
        <v>123</v>
      </c>
      <c r="C51" s="104" t="s">
        <v>93</v>
      </c>
      <c r="D51" s="101" t="s">
        <v>92</v>
      </c>
      <c r="E51" s="111" t="str">
        <f>_xlfn.IFNA(VLOOKUP($D51,'Route-Details'!$B$2:$X$1048576,'Node Details'!E$1,0),"")</f>
        <v>Airtel</v>
      </c>
      <c r="F51" s="111" t="str">
        <f>_xlfn.IFNA(VLOOKUP($D51,'Route-Details'!$B$2:$X$1048576,'Node Details'!F$1,0),"")</f>
        <v>Gorai</v>
      </c>
      <c r="G51" s="111" t="str">
        <f>_xlfn.IFNA(VLOOKUP($D51,'Route-Details'!$B$2:$X$1048576,'Node Details'!G$1,0),"")</f>
        <v>Mumbai</v>
      </c>
      <c r="H51" s="111" t="str">
        <f>_xlfn.IFNA(VLOOKUP($D52,'Route-Details'!$B$2:$X$1048576,'Node Details'!H$1,0),"")</f>
        <v>Mumbai</v>
      </c>
      <c r="I51" s="111" t="str">
        <f>_xlfn.IFNA(VLOOKUP($D51,'Route-Details'!$B$2:$X$1048576,'Node Details'!I$1,0),"")</f>
        <v>1GF</v>
      </c>
      <c r="J51" s="111" t="str">
        <f>_xlfn.IFNA(VLOOKUP($D51,'Route-Details'!$B$2:$X$1048576,'Node Details'!J$1,0),"")</f>
        <v>1GF</v>
      </c>
      <c r="K51" s="101">
        <v>45168</v>
      </c>
      <c r="L51" s="101">
        <v>45168</v>
      </c>
      <c r="M51" s="102">
        <v>45379</v>
      </c>
      <c r="N51" s="55"/>
      <c r="O51" s="61"/>
      <c r="P51" s="61"/>
      <c r="Q51" s="54"/>
      <c r="R51" s="103" t="s">
        <v>94</v>
      </c>
      <c r="S51" s="104">
        <v>117</v>
      </c>
      <c r="T51" s="104">
        <v>117</v>
      </c>
      <c r="U51" s="104">
        <v>117</v>
      </c>
      <c r="V51" s="107"/>
      <c r="W51" s="64" t="s">
        <v>84</v>
      </c>
      <c r="X51" s="104">
        <v>14000</v>
      </c>
      <c r="Y51" s="109">
        <v>45181</v>
      </c>
      <c r="Z51" s="106">
        <v>102</v>
      </c>
      <c r="AA51" s="107"/>
      <c r="AB51" s="104">
        <v>117</v>
      </c>
      <c r="AC51" s="65" t="s">
        <v>85</v>
      </c>
      <c r="AD51" s="103" t="s">
        <v>94</v>
      </c>
      <c r="AE51" s="54">
        <v>20</v>
      </c>
      <c r="AF51" s="52">
        <f t="shared" si="0"/>
        <v>2340</v>
      </c>
      <c r="AH51" s="98" t="s">
        <v>86</v>
      </c>
      <c r="AI51" s="104">
        <v>117</v>
      </c>
      <c r="AJ51" s="54">
        <v>20</v>
      </c>
      <c r="AK51" s="47">
        <f t="shared" si="1"/>
        <v>2340</v>
      </c>
      <c r="AL51" s="61"/>
      <c r="AM51" s="61"/>
      <c r="AN51" s="47">
        <f t="shared" si="2"/>
        <v>0</v>
      </c>
      <c r="AO51" s="48">
        <f t="shared" si="3"/>
        <v>2340</v>
      </c>
      <c r="AQ51" s="98" t="s">
        <v>87</v>
      </c>
      <c r="AR51" s="99">
        <v>45211</v>
      </c>
      <c r="AS51" s="57">
        <f t="shared" si="4"/>
        <v>20</v>
      </c>
      <c r="AT51" s="52">
        <f t="shared" si="5"/>
        <v>2340</v>
      </c>
      <c r="AV51" s="98" t="s">
        <v>88</v>
      </c>
      <c r="AW51" s="99">
        <v>45257</v>
      </c>
      <c r="AX51" s="58">
        <f t="shared" si="6"/>
        <v>20</v>
      </c>
      <c r="AY51" s="58">
        <f t="shared" si="7"/>
        <v>117</v>
      </c>
      <c r="AZ51" s="59">
        <f t="shared" si="8"/>
        <v>2340</v>
      </c>
      <c r="BB51" s="60"/>
    </row>
    <row r="52" spans="1:54" s="45" customFormat="1" ht="11.1" customHeight="1" x14ac:dyDescent="0.2">
      <c r="A52" s="53">
        <f t="shared" si="9"/>
        <v>50</v>
      </c>
      <c r="B52" s="90" t="s">
        <v>184</v>
      </c>
      <c r="C52" s="104" t="s">
        <v>124</v>
      </c>
      <c r="D52" s="101" t="s">
        <v>122</v>
      </c>
      <c r="E52" s="111" t="str">
        <f>_xlfn.IFNA(VLOOKUP($D52,'Route-Details'!$B$2:$X$1048576,'Node Details'!E$1,0),"")</f>
        <v>Airtel</v>
      </c>
      <c r="F52" s="111" t="str">
        <f>_xlfn.IFNA(VLOOKUP($D52,'Route-Details'!$B$2:$X$1048576,'Node Details'!F$1,0),"")</f>
        <v>Gorai</v>
      </c>
      <c r="G52" s="111" t="str">
        <f>_xlfn.IFNA(VLOOKUP($D52,'Route-Details'!$B$2:$X$1048576,'Node Details'!G$1,0),"")</f>
        <v>Mumbai</v>
      </c>
      <c r="H52" s="111" t="str">
        <f>_xlfn.IFNA(VLOOKUP($D53,'Route-Details'!$B$2:$X$1048576,'Node Details'!H$1,0),"")</f>
        <v>Mumbai</v>
      </c>
      <c r="I52" s="111" t="str">
        <f>_xlfn.IFNA(VLOOKUP($D52,'Route-Details'!$B$2:$X$1048576,'Node Details'!I$1,0),"")</f>
        <v>1GF</v>
      </c>
      <c r="J52" s="111" t="str">
        <f>_xlfn.IFNA(VLOOKUP($D52,'Route-Details'!$B$2:$X$1048576,'Node Details'!J$1,0),"")</f>
        <v>1GF</v>
      </c>
      <c r="K52" s="101">
        <v>45168</v>
      </c>
      <c r="L52" s="101">
        <v>45168</v>
      </c>
      <c r="M52" s="102">
        <v>45379</v>
      </c>
      <c r="N52" s="55"/>
      <c r="O52" s="61"/>
      <c r="P52" s="61"/>
      <c r="Q52" s="54"/>
      <c r="R52" s="103" t="s">
        <v>94</v>
      </c>
      <c r="S52" s="104">
        <v>72</v>
      </c>
      <c r="T52" s="104">
        <v>72</v>
      </c>
      <c r="U52" s="104">
        <v>72</v>
      </c>
      <c r="V52" s="107"/>
      <c r="W52" s="64" t="s">
        <v>84</v>
      </c>
      <c r="X52" s="104">
        <v>14000</v>
      </c>
      <c r="Y52" s="109">
        <v>45181</v>
      </c>
      <c r="Z52" s="106">
        <v>102</v>
      </c>
      <c r="AA52" s="107"/>
      <c r="AB52" s="104">
        <v>72</v>
      </c>
      <c r="AC52" s="65" t="s">
        <v>85</v>
      </c>
      <c r="AD52" s="103" t="s">
        <v>94</v>
      </c>
      <c r="AE52" s="54">
        <v>20</v>
      </c>
      <c r="AF52" s="52">
        <f t="shared" si="0"/>
        <v>1440</v>
      </c>
      <c r="AH52" s="98" t="s">
        <v>86</v>
      </c>
      <c r="AI52" s="104">
        <v>72</v>
      </c>
      <c r="AJ52" s="54">
        <v>20</v>
      </c>
      <c r="AK52" s="47">
        <f t="shared" si="1"/>
        <v>1440</v>
      </c>
      <c r="AL52" s="61"/>
      <c r="AM52" s="61"/>
      <c r="AN52" s="47">
        <f t="shared" si="2"/>
        <v>0</v>
      </c>
      <c r="AO52" s="48">
        <f t="shared" si="3"/>
        <v>1440</v>
      </c>
      <c r="AQ52" s="98" t="s">
        <v>87</v>
      </c>
      <c r="AR52" s="99">
        <v>45211</v>
      </c>
      <c r="AS52" s="57">
        <f t="shared" si="4"/>
        <v>20</v>
      </c>
      <c r="AT52" s="52">
        <f t="shared" si="5"/>
        <v>1440</v>
      </c>
      <c r="AV52" s="98" t="s">
        <v>88</v>
      </c>
      <c r="AW52" s="99">
        <v>45257</v>
      </c>
      <c r="AX52" s="58">
        <f t="shared" si="6"/>
        <v>20</v>
      </c>
      <c r="AY52" s="58">
        <f t="shared" si="7"/>
        <v>72</v>
      </c>
      <c r="AZ52" s="59">
        <f t="shared" si="8"/>
        <v>1440</v>
      </c>
      <c r="BB52" s="60"/>
    </row>
    <row r="53" spans="1:54" s="45" customFormat="1" ht="11.1" customHeight="1" x14ac:dyDescent="0.2">
      <c r="A53" s="53">
        <f t="shared" si="9"/>
        <v>51</v>
      </c>
      <c r="B53" s="90" t="s">
        <v>185</v>
      </c>
      <c r="C53" s="104" t="s">
        <v>124</v>
      </c>
      <c r="D53" s="101" t="s">
        <v>122</v>
      </c>
      <c r="E53" s="111" t="str">
        <f>_xlfn.IFNA(VLOOKUP($D53,'Route-Details'!$B$2:$X$1048576,'Node Details'!E$1,0),"")</f>
        <v>Airtel</v>
      </c>
      <c r="F53" s="111" t="str">
        <f>_xlfn.IFNA(VLOOKUP($D53,'Route-Details'!$B$2:$X$1048576,'Node Details'!F$1,0),"")</f>
        <v>Gorai</v>
      </c>
      <c r="G53" s="111" t="str">
        <f>_xlfn.IFNA(VLOOKUP($D53,'Route-Details'!$B$2:$X$1048576,'Node Details'!G$1,0),"")</f>
        <v>Mumbai</v>
      </c>
      <c r="H53" s="111" t="str">
        <f>_xlfn.IFNA(VLOOKUP($D54,'Route-Details'!$B$2:$X$1048576,'Node Details'!H$1,0),"")</f>
        <v>Mumbai</v>
      </c>
      <c r="I53" s="111" t="str">
        <f>_xlfn.IFNA(VLOOKUP($D53,'Route-Details'!$B$2:$X$1048576,'Node Details'!I$1,0),"")</f>
        <v>1GF</v>
      </c>
      <c r="J53" s="111" t="str">
        <f>_xlfn.IFNA(VLOOKUP($D53,'Route-Details'!$B$2:$X$1048576,'Node Details'!J$1,0),"")</f>
        <v>1GF</v>
      </c>
      <c r="K53" s="101">
        <v>45173</v>
      </c>
      <c r="L53" s="101">
        <v>45173</v>
      </c>
      <c r="M53" s="102">
        <v>45379</v>
      </c>
      <c r="N53" s="55"/>
      <c r="O53" s="61"/>
      <c r="P53" s="61"/>
      <c r="Q53" s="54"/>
      <c r="R53" s="103" t="s">
        <v>94</v>
      </c>
      <c r="S53" s="104">
        <v>80</v>
      </c>
      <c r="T53" s="104">
        <v>80</v>
      </c>
      <c r="U53" s="104">
        <v>80</v>
      </c>
      <c r="V53" s="107"/>
      <c r="W53" s="64" t="s">
        <v>84</v>
      </c>
      <c r="X53" s="104">
        <v>14000</v>
      </c>
      <c r="Y53" s="109">
        <v>45181</v>
      </c>
      <c r="Z53" s="106">
        <v>102</v>
      </c>
      <c r="AA53" s="107"/>
      <c r="AB53" s="104">
        <v>80</v>
      </c>
      <c r="AC53" s="65" t="s">
        <v>85</v>
      </c>
      <c r="AD53" s="103" t="s">
        <v>94</v>
      </c>
      <c r="AE53" s="54">
        <v>20</v>
      </c>
      <c r="AF53" s="52">
        <f t="shared" si="0"/>
        <v>1600</v>
      </c>
      <c r="AH53" s="98" t="s">
        <v>86</v>
      </c>
      <c r="AI53" s="104">
        <v>80</v>
      </c>
      <c r="AJ53" s="54">
        <v>20</v>
      </c>
      <c r="AK53" s="47">
        <f t="shared" si="1"/>
        <v>1600</v>
      </c>
      <c r="AL53" s="61"/>
      <c r="AM53" s="61"/>
      <c r="AN53" s="47">
        <f t="shared" si="2"/>
        <v>0</v>
      </c>
      <c r="AO53" s="48">
        <f t="shared" si="3"/>
        <v>1600</v>
      </c>
      <c r="AQ53" s="98" t="s">
        <v>87</v>
      </c>
      <c r="AR53" s="99">
        <v>45211</v>
      </c>
      <c r="AS53" s="57">
        <f t="shared" si="4"/>
        <v>20</v>
      </c>
      <c r="AT53" s="52">
        <f t="shared" si="5"/>
        <v>1600</v>
      </c>
      <c r="AV53" s="98" t="s">
        <v>88</v>
      </c>
      <c r="AW53" s="99">
        <v>45257</v>
      </c>
      <c r="AX53" s="58">
        <f t="shared" si="6"/>
        <v>20</v>
      </c>
      <c r="AY53" s="58">
        <f t="shared" si="7"/>
        <v>80</v>
      </c>
      <c r="AZ53" s="59">
        <f t="shared" si="8"/>
        <v>1600</v>
      </c>
      <c r="BB53" s="60"/>
    </row>
    <row r="54" spans="1:54" s="45" customFormat="1" ht="11.1" customHeight="1" x14ac:dyDescent="0.2">
      <c r="A54" s="53">
        <f t="shared" si="9"/>
        <v>52</v>
      </c>
      <c r="B54" s="90" t="s">
        <v>186</v>
      </c>
      <c r="C54" s="104" t="s">
        <v>124</v>
      </c>
      <c r="D54" s="101" t="s">
        <v>122</v>
      </c>
      <c r="E54" s="111" t="str">
        <f>_xlfn.IFNA(VLOOKUP($D54,'Route-Details'!$B$2:$X$1048576,'Node Details'!E$1,0),"")</f>
        <v>Airtel</v>
      </c>
      <c r="F54" s="111" t="str">
        <f>_xlfn.IFNA(VLOOKUP($D54,'Route-Details'!$B$2:$X$1048576,'Node Details'!F$1,0),"")</f>
        <v>Gorai</v>
      </c>
      <c r="G54" s="111" t="str">
        <f>_xlfn.IFNA(VLOOKUP($D54,'Route-Details'!$B$2:$X$1048576,'Node Details'!G$1,0),"")</f>
        <v>Mumbai</v>
      </c>
      <c r="H54" s="111" t="str">
        <f>_xlfn.IFNA(VLOOKUP($D55,'Route-Details'!$B$2:$X$1048576,'Node Details'!H$1,0),"")</f>
        <v>Mumbai</v>
      </c>
      <c r="I54" s="111" t="str">
        <f>_xlfn.IFNA(VLOOKUP($D54,'Route-Details'!$B$2:$X$1048576,'Node Details'!I$1,0),"")</f>
        <v>1GF</v>
      </c>
      <c r="J54" s="111" t="str">
        <f>_xlfn.IFNA(VLOOKUP($D54,'Route-Details'!$B$2:$X$1048576,'Node Details'!J$1,0),"")</f>
        <v>1GF</v>
      </c>
      <c r="K54" s="101">
        <v>45173</v>
      </c>
      <c r="L54" s="101">
        <v>45173</v>
      </c>
      <c r="M54" s="102">
        <v>45379</v>
      </c>
      <c r="N54" s="55"/>
      <c r="O54" s="61"/>
      <c r="P54" s="61"/>
      <c r="Q54" s="54"/>
      <c r="R54" s="103" t="s">
        <v>94</v>
      </c>
      <c r="S54" s="104">
        <v>78</v>
      </c>
      <c r="T54" s="104">
        <v>78</v>
      </c>
      <c r="U54" s="104">
        <v>78</v>
      </c>
      <c r="V54" s="107"/>
      <c r="W54" s="64" t="s">
        <v>84</v>
      </c>
      <c r="X54" s="104">
        <v>14000</v>
      </c>
      <c r="Y54" s="109">
        <v>45181</v>
      </c>
      <c r="Z54" s="106">
        <v>102</v>
      </c>
      <c r="AA54" s="107"/>
      <c r="AB54" s="104">
        <v>78</v>
      </c>
      <c r="AC54" s="65" t="s">
        <v>85</v>
      </c>
      <c r="AD54" s="103" t="s">
        <v>94</v>
      </c>
      <c r="AE54" s="54">
        <v>20</v>
      </c>
      <c r="AF54" s="52">
        <f t="shared" si="0"/>
        <v>1560</v>
      </c>
      <c r="AH54" s="98" t="s">
        <v>86</v>
      </c>
      <c r="AI54" s="104">
        <v>78</v>
      </c>
      <c r="AJ54" s="54">
        <v>20</v>
      </c>
      <c r="AK54" s="47">
        <f t="shared" si="1"/>
        <v>1560</v>
      </c>
      <c r="AL54" s="61"/>
      <c r="AM54" s="61"/>
      <c r="AN54" s="47">
        <f t="shared" si="2"/>
        <v>0</v>
      </c>
      <c r="AO54" s="48">
        <f t="shared" si="3"/>
        <v>1560</v>
      </c>
      <c r="AQ54" s="98" t="s">
        <v>87</v>
      </c>
      <c r="AR54" s="99">
        <v>45211</v>
      </c>
      <c r="AS54" s="57">
        <f t="shared" si="4"/>
        <v>20</v>
      </c>
      <c r="AT54" s="52">
        <f t="shared" si="5"/>
        <v>1560</v>
      </c>
      <c r="AV54" s="98" t="s">
        <v>88</v>
      </c>
      <c r="AW54" s="99">
        <v>45257</v>
      </c>
      <c r="AX54" s="58">
        <f t="shared" si="6"/>
        <v>20</v>
      </c>
      <c r="AY54" s="58">
        <f t="shared" si="7"/>
        <v>78</v>
      </c>
      <c r="AZ54" s="59">
        <f t="shared" si="8"/>
        <v>1560</v>
      </c>
      <c r="BB54" s="60"/>
    </row>
    <row r="55" spans="1:54" s="45" customFormat="1" ht="11.1" customHeight="1" x14ac:dyDescent="0.2">
      <c r="A55" s="53">
        <f t="shared" si="9"/>
        <v>53</v>
      </c>
      <c r="B55" s="90" t="s">
        <v>125</v>
      </c>
      <c r="C55" s="104" t="s">
        <v>124</v>
      </c>
      <c r="D55" s="101" t="s">
        <v>122</v>
      </c>
      <c r="E55" s="111" t="str">
        <f>_xlfn.IFNA(VLOOKUP($D55,'Route-Details'!$B$2:$X$1048576,'Node Details'!E$1,0),"")</f>
        <v>Airtel</v>
      </c>
      <c r="F55" s="111" t="str">
        <f>_xlfn.IFNA(VLOOKUP($D55,'Route-Details'!$B$2:$X$1048576,'Node Details'!F$1,0),"")</f>
        <v>Gorai</v>
      </c>
      <c r="G55" s="111" t="str">
        <f>_xlfn.IFNA(VLOOKUP($D55,'Route-Details'!$B$2:$X$1048576,'Node Details'!G$1,0),"")</f>
        <v>Mumbai</v>
      </c>
      <c r="H55" s="111" t="str">
        <f>_xlfn.IFNA(VLOOKUP($D56,'Route-Details'!$B$2:$X$1048576,'Node Details'!H$1,0),"")</f>
        <v>Mumbai</v>
      </c>
      <c r="I55" s="111" t="str">
        <f>_xlfn.IFNA(VLOOKUP($D55,'Route-Details'!$B$2:$X$1048576,'Node Details'!I$1,0),"")</f>
        <v>1GF</v>
      </c>
      <c r="J55" s="111" t="str">
        <f>_xlfn.IFNA(VLOOKUP($D55,'Route-Details'!$B$2:$X$1048576,'Node Details'!J$1,0),"")</f>
        <v>1GF</v>
      </c>
      <c r="K55" s="101">
        <v>45175</v>
      </c>
      <c r="L55" s="101">
        <v>45175</v>
      </c>
      <c r="M55" s="102">
        <v>45379</v>
      </c>
      <c r="N55" s="55"/>
      <c r="O55" s="61"/>
      <c r="P55" s="61"/>
      <c r="Q55" s="54"/>
      <c r="R55" s="103" t="s">
        <v>94</v>
      </c>
      <c r="S55" s="104">
        <v>142</v>
      </c>
      <c r="T55" s="104">
        <v>142</v>
      </c>
      <c r="U55" s="104">
        <v>142</v>
      </c>
      <c r="V55" s="107"/>
      <c r="W55" s="64" t="s">
        <v>84</v>
      </c>
      <c r="X55" s="104">
        <v>14000</v>
      </c>
      <c r="Y55" s="109">
        <v>45181</v>
      </c>
      <c r="Z55" s="106">
        <v>102</v>
      </c>
      <c r="AA55" s="107"/>
      <c r="AB55" s="104">
        <v>142</v>
      </c>
      <c r="AC55" s="65" t="s">
        <v>85</v>
      </c>
      <c r="AD55" s="103" t="s">
        <v>94</v>
      </c>
      <c r="AE55" s="54">
        <v>20</v>
      </c>
      <c r="AF55" s="52">
        <f t="shared" si="0"/>
        <v>2840</v>
      </c>
      <c r="AH55" s="98" t="s">
        <v>86</v>
      </c>
      <c r="AI55" s="104">
        <v>142</v>
      </c>
      <c r="AJ55" s="54">
        <v>20</v>
      </c>
      <c r="AK55" s="47">
        <f t="shared" si="1"/>
        <v>2840</v>
      </c>
      <c r="AL55" s="61"/>
      <c r="AM55" s="61"/>
      <c r="AN55" s="47">
        <f t="shared" si="2"/>
        <v>0</v>
      </c>
      <c r="AO55" s="48">
        <f t="shared" si="3"/>
        <v>2840</v>
      </c>
      <c r="AQ55" s="98" t="s">
        <v>87</v>
      </c>
      <c r="AR55" s="99">
        <v>45211</v>
      </c>
      <c r="AS55" s="57">
        <f t="shared" si="4"/>
        <v>20</v>
      </c>
      <c r="AT55" s="52">
        <f t="shared" si="5"/>
        <v>2840</v>
      </c>
      <c r="AV55" s="98" t="s">
        <v>88</v>
      </c>
      <c r="AW55" s="99">
        <v>45257</v>
      </c>
      <c r="AX55" s="58">
        <f t="shared" si="6"/>
        <v>20</v>
      </c>
      <c r="AY55" s="58">
        <f t="shared" si="7"/>
        <v>142</v>
      </c>
      <c r="AZ55" s="59">
        <f t="shared" si="8"/>
        <v>2840</v>
      </c>
      <c r="BB55" s="60"/>
    </row>
    <row r="56" spans="1:54" s="45" customFormat="1" ht="11.1" customHeight="1" x14ac:dyDescent="0.2">
      <c r="A56" s="53">
        <f t="shared" si="9"/>
        <v>54</v>
      </c>
      <c r="B56" s="90" t="s">
        <v>127</v>
      </c>
      <c r="C56" s="104" t="s">
        <v>93</v>
      </c>
      <c r="D56" s="101" t="s">
        <v>92</v>
      </c>
      <c r="E56" s="111" t="str">
        <f>_xlfn.IFNA(VLOOKUP($D56,'Route-Details'!$B$2:$X$1048576,'Node Details'!E$1,0),"")</f>
        <v>Airtel</v>
      </c>
      <c r="F56" s="111" t="str">
        <f>_xlfn.IFNA(VLOOKUP($D56,'Route-Details'!$B$2:$X$1048576,'Node Details'!F$1,0),"")</f>
        <v>Gorai</v>
      </c>
      <c r="G56" s="111" t="str">
        <f>_xlfn.IFNA(VLOOKUP($D56,'Route-Details'!$B$2:$X$1048576,'Node Details'!G$1,0),"")</f>
        <v>Mumbai</v>
      </c>
      <c r="H56" s="111" t="str">
        <f>_xlfn.IFNA(VLOOKUP($D57,'Route-Details'!$B$2:$X$1048576,'Node Details'!H$1,0),"")</f>
        <v>Mumbai</v>
      </c>
      <c r="I56" s="111" t="str">
        <f>_xlfn.IFNA(VLOOKUP($D56,'Route-Details'!$B$2:$X$1048576,'Node Details'!I$1,0),"")</f>
        <v>1GF</v>
      </c>
      <c r="J56" s="111" t="str">
        <f>_xlfn.IFNA(VLOOKUP($D56,'Route-Details'!$B$2:$X$1048576,'Node Details'!J$1,0),"")</f>
        <v>1GF</v>
      </c>
      <c r="K56" s="101">
        <v>45175</v>
      </c>
      <c r="L56" s="101">
        <v>45175</v>
      </c>
      <c r="M56" s="102">
        <v>45379</v>
      </c>
      <c r="N56" s="55"/>
      <c r="O56" s="61"/>
      <c r="P56" s="61"/>
      <c r="Q56" s="54"/>
      <c r="R56" s="103" t="s">
        <v>94</v>
      </c>
      <c r="S56" s="104">
        <v>130</v>
      </c>
      <c r="T56" s="104">
        <v>130</v>
      </c>
      <c r="U56" s="104">
        <v>130</v>
      </c>
      <c r="V56" s="107"/>
      <c r="W56" s="64" t="s">
        <v>84</v>
      </c>
      <c r="X56" s="104">
        <v>14000</v>
      </c>
      <c r="Y56" s="109">
        <v>45181</v>
      </c>
      <c r="Z56" s="106">
        <v>102</v>
      </c>
      <c r="AA56" s="107"/>
      <c r="AB56" s="104">
        <v>130</v>
      </c>
      <c r="AC56" s="65" t="s">
        <v>85</v>
      </c>
      <c r="AD56" s="103" t="s">
        <v>94</v>
      </c>
      <c r="AE56" s="54">
        <v>20</v>
      </c>
      <c r="AF56" s="52">
        <f t="shared" si="0"/>
        <v>2600</v>
      </c>
      <c r="AH56" s="98" t="s">
        <v>86</v>
      </c>
      <c r="AI56" s="104">
        <v>130</v>
      </c>
      <c r="AJ56" s="54">
        <v>20</v>
      </c>
      <c r="AK56" s="47">
        <f t="shared" si="1"/>
        <v>2600</v>
      </c>
      <c r="AL56" s="61"/>
      <c r="AM56" s="61"/>
      <c r="AN56" s="47">
        <f t="shared" si="2"/>
        <v>0</v>
      </c>
      <c r="AO56" s="48">
        <f t="shared" si="3"/>
        <v>2600</v>
      </c>
      <c r="AQ56" s="98" t="s">
        <v>87</v>
      </c>
      <c r="AR56" s="99">
        <v>45211</v>
      </c>
      <c r="AS56" s="57">
        <f t="shared" si="4"/>
        <v>20</v>
      </c>
      <c r="AT56" s="52">
        <f t="shared" si="5"/>
        <v>2600</v>
      </c>
      <c r="AV56" s="98" t="s">
        <v>88</v>
      </c>
      <c r="AW56" s="99">
        <v>45257</v>
      </c>
      <c r="AX56" s="58">
        <f t="shared" si="6"/>
        <v>20</v>
      </c>
      <c r="AY56" s="58">
        <f t="shared" si="7"/>
        <v>130</v>
      </c>
      <c r="AZ56" s="59">
        <f t="shared" si="8"/>
        <v>2600</v>
      </c>
      <c r="BB56" s="60"/>
    </row>
    <row r="57" spans="1:54" s="45" customFormat="1" ht="11.1" customHeight="1" x14ac:dyDescent="0.2">
      <c r="A57" s="53">
        <f t="shared" si="9"/>
        <v>55</v>
      </c>
      <c r="B57" s="90" t="s">
        <v>187</v>
      </c>
      <c r="C57" s="104" t="s">
        <v>128</v>
      </c>
      <c r="D57" s="101" t="s">
        <v>126</v>
      </c>
      <c r="E57" s="111" t="str">
        <f>_xlfn.IFNA(VLOOKUP($D57,'Route-Details'!$B$2:$X$1048576,'Node Details'!E$1,0),"")</f>
        <v>Airtel</v>
      </c>
      <c r="F57" s="111" t="str">
        <f>_xlfn.IFNA(VLOOKUP($D57,'Route-Details'!$B$2:$X$1048576,'Node Details'!F$1,0),"")</f>
        <v>Gorai</v>
      </c>
      <c r="G57" s="111" t="str">
        <f>_xlfn.IFNA(VLOOKUP($D57,'Route-Details'!$B$2:$X$1048576,'Node Details'!G$1,0),"")</f>
        <v>Mumbai</v>
      </c>
      <c r="H57" s="111" t="str">
        <f>_xlfn.IFNA(VLOOKUP($D58,'Route-Details'!$B$2:$X$1048576,'Node Details'!H$1,0),"")</f>
        <v>Mumbai</v>
      </c>
      <c r="I57" s="111" t="str">
        <f>_xlfn.IFNA(VLOOKUP($D57,'Route-Details'!$B$2:$X$1048576,'Node Details'!I$1,0),"")</f>
        <v>1GF</v>
      </c>
      <c r="J57" s="111" t="str">
        <f>_xlfn.IFNA(VLOOKUP($D57,'Route-Details'!$B$2:$X$1048576,'Node Details'!J$1,0),"")</f>
        <v>1GF</v>
      </c>
      <c r="K57" s="101">
        <v>45229</v>
      </c>
      <c r="L57" s="101">
        <v>45229</v>
      </c>
      <c r="M57" s="102">
        <v>45379</v>
      </c>
      <c r="N57" s="55"/>
      <c r="O57" s="61"/>
      <c r="P57" s="61"/>
      <c r="Q57" s="54"/>
      <c r="R57" s="103" t="s">
        <v>94</v>
      </c>
      <c r="S57" s="104">
        <v>86</v>
      </c>
      <c r="T57" s="104">
        <v>86</v>
      </c>
      <c r="U57" s="104">
        <v>86</v>
      </c>
      <c r="V57" s="107"/>
      <c r="W57" s="64" t="s">
        <v>84</v>
      </c>
      <c r="X57" s="104">
        <v>14000</v>
      </c>
      <c r="Y57" s="109">
        <v>45181</v>
      </c>
      <c r="Z57" s="106">
        <v>102</v>
      </c>
      <c r="AA57" s="107"/>
      <c r="AB57" s="104">
        <v>86</v>
      </c>
      <c r="AC57" s="65" t="s">
        <v>85</v>
      </c>
      <c r="AD57" s="103" t="s">
        <v>94</v>
      </c>
      <c r="AE57" s="54">
        <v>20</v>
      </c>
      <c r="AF57" s="52">
        <f t="shared" si="0"/>
        <v>1720</v>
      </c>
      <c r="AH57" s="98" t="s">
        <v>86</v>
      </c>
      <c r="AI57" s="104">
        <v>86</v>
      </c>
      <c r="AJ57" s="54">
        <v>20</v>
      </c>
      <c r="AK57" s="47">
        <f t="shared" si="1"/>
        <v>1720</v>
      </c>
      <c r="AL57" s="61"/>
      <c r="AM57" s="61"/>
      <c r="AN57" s="47">
        <f t="shared" si="2"/>
        <v>0</v>
      </c>
      <c r="AO57" s="48">
        <f t="shared" si="3"/>
        <v>1720</v>
      </c>
      <c r="AQ57" s="98" t="s">
        <v>87</v>
      </c>
      <c r="AR57" s="99">
        <v>45211</v>
      </c>
      <c r="AS57" s="57">
        <f t="shared" si="4"/>
        <v>20</v>
      </c>
      <c r="AT57" s="52">
        <f t="shared" si="5"/>
        <v>1720</v>
      </c>
      <c r="AV57" s="98" t="s">
        <v>88</v>
      </c>
      <c r="AW57" s="99">
        <v>45257</v>
      </c>
      <c r="AX57" s="58">
        <f t="shared" si="6"/>
        <v>20</v>
      </c>
      <c r="AY57" s="58">
        <f t="shared" si="7"/>
        <v>86</v>
      </c>
      <c r="AZ57" s="59">
        <f t="shared" si="8"/>
        <v>1720</v>
      </c>
      <c r="BB57" s="60"/>
    </row>
    <row r="58" spans="1:54" s="45" customFormat="1" ht="11.1" customHeight="1" x14ac:dyDescent="0.2">
      <c r="A58" s="53">
        <f t="shared" si="9"/>
        <v>56</v>
      </c>
      <c r="B58" s="90" t="s">
        <v>188</v>
      </c>
      <c r="C58" s="104" t="s">
        <v>128</v>
      </c>
      <c r="D58" s="101" t="s">
        <v>126</v>
      </c>
      <c r="E58" s="111" t="str">
        <f>_xlfn.IFNA(VLOOKUP($D58,'Route-Details'!$B$2:$X$1048576,'Node Details'!E$1,0),"")</f>
        <v>Airtel</v>
      </c>
      <c r="F58" s="111" t="str">
        <f>_xlfn.IFNA(VLOOKUP($D58,'Route-Details'!$B$2:$X$1048576,'Node Details'!F$1,0),"")</f>
        <v>Gorai</v>
      </c>
      <c r="G58" s="111" t="str">
        <f>_xlfn.IFNA(VLOOKUP($D58,'Route-Details'!$B$2:$X$1048576,'Node Details'!G$1,0),"")</f>
        <v>Mumbai</v>
      </c>
      <c r="H58" s="111" t="str">
        <f>_xlfn.IFNA(VLOOKUP($D59,'Route-Details'!$B$2:$X$1048576,'Node Details'!H$1,0),"")</f>
        <v>Mumbai</v>
      </c>
      <c r="I58" s="111" t="str">
        <f>_xlfn.IFNA(VLOOKUP($D58,'Route-Details'!$B$2:$X$1048576,'Node Details'!I$1,0),"")</f>
        <v>1GF</v>
      </c>
      <c r="J58" s="111" t="str">
        <f>_xlfn.IFNA(VLOOKUP($D58,'Route-Details'!$B$2:$X$1048576,'Node Details'!J$1,0),"")</f>
        <v>1GF</v>
      </c>
      <c r="K58" s="101">
        <v>45229</v>
      </c>
      <c r="L58" s="101">
        <v>45229</v>
      </c>
      <c r="M58" s="102">
        <v>45379</v>
      </c>
      <c r="N58" s="55"/>
      <c r="O58" s="61"/>
      <c r="P58" s="61"/>
      <c r="Q58" s="54"/>
      <c r="R58" s="103" t="s">
        <v>94</v>
      </c>
      <c r="S58" s="104">
        <v>150</v>
      </c>
      <c r="T58" s="104">
        <v>150</v>
      </c>
      <c r="U58" s="104">
        <v>150</v>
      </c>
      <c r="V58" s="107"/>
      <c r="W58" s="64" t="s">
        <v>84</v>
      </c>
      <c r="X58" s="104">
        <v>14000</v>
      </c>
      <c r="Y58" s="109">
        <v>45181</v>
      </c>
      <c r="Z58" s="106">
        <v>102</v>
      </c>
      <c r="AA58" s="107"/>
      <c r="AB58" s="104">
        <v>150</v>
      </c>
      <c r="AC58" s="65" t="s">
        <v>85</v>
      </c>
      <c r="AD58" s="103" t="s">
        <v>94</v>
      </c>
      <c r="AE58" s="54">
        <v>20</v>
      </c>
      <c r="AF58" s="52">
        <f t="shared" si="0"/>
        <v>3000</v>
      </c>
      <c r="AH58" s="98" t="s">
        <v>86</v>
      </c>
      <c r="AI58" s="104">
        <v>150</v>
      </c>
      <c r="AJ58" s="54">
        <v>20</v>
      </c>
      <c r="AK58" s="47">
        <f t="shared" si="1"/>
        <v>3000</v>
      </c>
      <c r="AL58" s="61"/>
      <c r="AM58" s="61"/>
      <c r="AN58" s="47">
        <f t="shared" si="2"/>
        <v>0</v>
      </c>
      <c r="AO58" s="48">
        <f t="shared" si="3"/>
        <v>3000</v>
      </c>
      <c r="AQ58" s="98" t="s">
        <v>87</v>
      </c>
      <c r="AR58" s="99">
        <v>45211</v>
      </c>
      <c r="AS58" s="57">
        <f t="shared" si="4"/>
        <v>20</v>
      </c>
      <c r="AT58" s="52">
        <f t="shared" si="5"/>
        <v>3000</v>
      </c>
      <c r="AV58" s="98" t="s">
        <v>88</v>
      </c>
      <c r="AW58" s="99">
        <v>45257</v>
      </c>
      <c r="AX58" s="58">
        <f t="shared" si="6"/>
        <v>20</v>
      </c>
      <c r="AY58" s="58">
        <f t="shared" si="7"/>
        <v>150</v>
      </c>
      <c r="AZ58" s="59">
        <f t="shared" si="8"/>
        <v>3000</v>
      </c>
      <c r="BB58" s="60"/>
    </row>
    <row r="59" spans="1:54" s="45" customFormat="1" ht="11.1" customHeight="1" x14ac:dyDescent="0.2">
      <c r="A59" s="53">
        <f t="shared" si="9"/>
        <v>57</v>
      </c>
      <c r="B59" s="90" t="s">
        <v>189</v>
      </c>
      <c r="C59" s="104" t="s">
        <v>128</v>
      </c>
      <c r="D59" s="101" t="s">
        <v>126</v>
      </c>
      <c r="E59" s="111" t="str">
        <f>_xlfn.IFNA(VLOOKUP($D59,'Route-Details'!$B$2:$X$1048576,'Node Details'!E$1,0),"")</f>
        <v>Airtel</v>
      </c>
      <c r="F59" s="111" t="str">
        <f>_xlfn.IFNA(VLOOKUP($D59,'Route-Details'!$B$2:$X$1048576,'Node Details'!F$1,0),"")</f>
        <v>Gorai</v>
      </c>
      <c r="G59" s="111" t="str">
        <f>_xlfn.IFNA(VLOOKUP($D59,'Route-Details'!$B$2:$X$1048576,'Node Details'!G$1,0),"")</f>
        <v>Mumbai</v>
      </c>
      <c r="H59" s="111" t="str">
        <f>_xlfn.IFNA(VLOOKUP($D60,'Route-Details'!$B$2:$X$1048576,'Node Details'!H$1,0),"")</f>
        <v>Mumbai</v>
      </c>
      <c r="I59" s="111" t="str">
        <f>_xlfn.IFNA(VLOOKUP($D59,'Route-Details'!$B$2:$X$1048576,'Node Details'!I$1,0),"")</f>
        <v>1GF</v>
      </c>
      <c r="J59" s="111" t="str">
        <f>_xlfn.IFNA(VLOOKUP($D59,'Route-Details'!$B$2:$X$1048576,'Node Details'!J$1,0),"")</f>
        <v>1GF</v>
      </c>
      <c r="K59" s="101">
        <v>45229</v>
      </c>
      <c r="L59" s="101">
        <v>45229</v>
      </c>
      <c r="M59" s="102">
        <v>45379</v>
      </c>
      <c r="N59" s="55"/>
      <c r="O59" s="61"/>
      <c r="P59" s="61"/>
      <c r="Q59" s="54"/>
      <c r="R59" s="103" t="s">
        <v>94</v>
      </c>
      <c r="S59" s="104">
        <v>120</v>
      </c>
      <c r="T59" s="104">
        <v>120</v>
      </c>
      <c r="U59" s="104">
        <v>120</v>
      </c>
      <c r="V59" s="107"/>
      <c r="W59" s="64" t="s">
        <v>84</v>
      </c>
      <c r="X59" s="104">
        <v>14000</v>
      </c>
      <c r="Y59" s="109">
        <v>45181</v>
      </c>
      <c r="Z59" s="106">
        <v>102</v>
      </c>
      <c r="AA59" s="107"/>
      <c r="AB59" s="104">
        <v>120</v>
      </c>
      <c r="AC59" s="65" t="s">
        <v>85</v>
      </c>
      <c r="AD59" s="103" t="s">
        <v>94</v>
      </c>
      <c r="AE59" s="54">
        <v>20</v>
      </c>
      <c r="AF59" s="52">
        <f t="shared" si="0"/>
        <v>2400</v>
      </c>
      <c r="AH59" s="98" t="s">
        <v>86</v>
      </c>
      <c r="AI59" s="104">
        <v>120</v>
      </c>
      <c r="AJ59" s="54">
        <v>20</v>
      </c>
      <c r="AK59" s="47">
        <f t="shared" si="1"/>
        <v>2400</v>
      </c>
      <c r="AL59" s="61"/>
      <c r="AM59" s="61"/>
      <c r="AN59" s="47">
        <f t="shared" si="2"/>
        <v>0</v>
      </c>
      <c r="AO59" s="48">
        <f t="shared" si="3"/>
        <v>2400</v>
      </c>
      <c r="AQ59" s="98" t="s">
        <v>87</v>
      </c>
      <c r="AR59" s="99">
        <v>45211</v>
      </c>
      <c r="AS59" s="57">
        <f t="shared" si="4"/>
        <v>20</v>
      </c>
      <c r="AT59" s="52">
        <f t="shared" si="5"/>
        <v>2400</v>
      </c>
      <c r="AV59" s="98" t="s">
        <v>88</v>
      </c>
      <c r="AW59" s="99">
        <v>45257</v>
      </c>
      <c r="AX59" s="58">
        <f t="shared" si="6"/>
        <v>20</v>
      </c>
      <c r="AY59" s="58">
        <f t="shared" si="7"/>
        <v>120</v>
      </c>
      <c r="AZ59" s="59">
        <f t="shared" si="8"/>
        <v>2400</v>
      </c>
      <c r="BB59" s="60"/>
    </row>
    <row r="60" spans="1:54" s="45" customFormat="1" ht="11.1" customHeight="1" x14ac:dyDescent="0.2">
      <c r="A60" s="53">
        <f t="shared" si="9"/>
        <v>58</v>
      </c>
      <c r="B60" s="90" t="s">
        <v>129</v>
      </c>
      <c r="C60" s="104" t="s">
        <v>128</v>
      </c>
      <c r="D60" s="101" t="s">
        <v>126</v>
      </c>
      <c r="E60" s="111" t="str">
        <f>_xlfn.IFNA(VLOOKUP($D60,'Route-Details'!$B$2:$X$1048576,'Node Details'!E$1,0),"")</f>
        <v>Airtel</v>
      </c>
      <c r="F60" s="111" t="str">
        <f>_xlfn.IFNA(VLOOKUP($D60,'Route-Details'!$B$2:$X$1048576,'Node Details'!F$1,0),"")</f>
        <v>Gorai</v>
      </c>
      <c r="G60" s="111" t="str">
        <f>_xlfn.IFNA(VLOOKUP($D60,'Route-Details'!$B$2:$X$1048576,'Node Details'!G$1,0),"")</f>
        <v>Mumbai</v>
      </c>
      <c r="H60" s="111" t="str">
        <f>_xlfn.IFNA(VLOOKUP($D61,'Route-Details'!$B$2:$X$1048576,'Node Details'!H$1,0),"")</f>
        <v>Mumbai</v>
      </c>
      <c r="I60" s="111" t="str">
        <f>_xlfn.IFNA(VLOOKUP($D60,'Route-Details'!$B$2:$X$1048576,'Node Details'!I$1,0),"")</f>
        <v>1GF</v>
      </c>
      <c r="J60" s="111" t="str">
        <f>_xlfn.IFNA(VLOOKUP($D60,'Route-Details'!$B$2:$X$1048576,'Node Details'!J$1,0),"")</f>
        <v>1GF</v>
      </c>
      <c r="K60" s="101">
        <v>45229</v>
      </c>
      <c r="L60" s="101">
        <v>45229</v>
      </c>
      <c r="M60" s="102">
        <v>45379</v>
      </c>
      <c r="N60" s="55"/>
      <c r="O60" s="61"/>
      <c r="P60" s="61"/>
      <c r="Q60" s="54"/>
      <c r="R60" s="103" t="s">
        <v>94</v>
      </c>
      <c r="S60" s="104">
        <v>94</v>
      </c>
      <c r="T60" s="104">
        <v>94</v>
      </c>
      <c r="U60" s="104">
        <v>94</v>
      </c>
      <c r="V60" s="107"/>
      <c r="W60" s="64" t="s">
        <v>84</v>
      </c>
      <c r="X60" s="104">
        <v>14000</v>
      </c>
      <c r="Y60" s="109">
        <v>45181</v>
      </c>
      <c r="Z60" s="106">
        <v>102</v>
      </c>
      <c r="AA60" s="107"/>
      <c r="AB60" s="104">
        <v>94</v>
      </c>
      <c r="AC60" s="65" t="s">
        <v>85</v>
      </c>
      <c r="AD60" s="103" t="s">
        <v>94</v>
      </c>
      <c r="AE60" s="54">
        <v>20</v>
      </c>
      <c r="AF60" s="52">
        <f t="shared" si="0"/>
        <v>1880</v>
      </c>
      <c r="AH60" s="98" t="s">
        <v>86</v>
      </c>
      <c r="AI60" s="104">
        <v>94</v>
      </c>
      <c r="AJ60" s="54">
        <v>20</v>
      </c>
      <c r="AK60" s="47">
        <f t="shared" si="1"/>
        <v>1880</v>
      </c>
      <c r="AL60" s="61"/>
      <c r="AM60" s="61"/>
      <c r="AN60" s="47">
        <f t="shared" si="2"/>
        <v>0</v>
      </c>
      <c r="AO60" s="48">
        <f t="shared" si="3"/>
        <v>1880</v>
      </c>
      <c r="AQ60" s="98" t="s">
        <v>87</v>
      </c>
      <c r="AR60" s="99">
        <v>45211</v>
      </c>
      <c r="AS60" s="57">
        <f t="shared" si="4"/>
        <v>20</v>
      </c>
      <c r="AT60" s="52">
        <f t="shared" si="5"/>
        <v>1880</v>
      </c>
      <c r="AV60" s="98" t="s">
        <v>88</v>
      </c>
      <c r="AW60" s="99">
        <v>45257</v>
      </c>
      <c r="AX60" s="58">
        <f t="shared" si="6"/>
        <v>20</v>
      </c>
      <c r="AY60" s="58">
        <f t="shared" si="7"/>
        <v>94</v>
      </c>
      <c r="AZ60" s="59">
        <f t="shared" si="8"/>
        <v>1880</v>
      </c>
      <c r="BB60" s="60"/>
    </row>
    <row r="61" spans="1:54" s="45" customFormat="1" ht="11.1" customHeight="1" x14ac:dyDescent="0.2">
      <c r="A61" s="53">
        <f t="shared" si="9"/>
        <v>59</v>
      </c>
      <c r="B61" s="90" t="s">
        <v>131</v>
      </c>
      <c r="C61" s="104" t="s">
        <v>93</v>
      </c>
      <c r="D61" s="101" t="s">
        <v>92</v>
      </c>
      <c r="E61" s="111" t="str">
        <f>_xlfn.IFNA(VLOOKUP($D61,'Route-Details'!$B$2:$X$1048576,'Node Details'!E$1,0),"")</f>
        <v>Airtel</v>
      </c>
      <c r="F61" s="111" t="str">
        <f>_xlfn.IFNA(VLOOKUP($D61,'Route-Details'!$B$2:$X$1048576,'Node Details'!F$1,0),"")</f>
        <v>Gorai</v>
      </c>
      <c r="G61" s="111" t="str">
        <f>_xlfn.IFNA(VLOOKUP($D61,'Route-Details'!$B$2:$X$1048576,'Node Details'!G$1,0),"")</f>
        <v>Mumbai</v>
      </c>
      <c r="H61" s="111" t="str">
        <f>_xlfn.IFNA(VLOOKUP($D62,'Route-Details'!$B$2:$X$1048576,'Node Details'!H$1,0),"")</f>
        <v>Mumbai</v>
      </c>
      <c r="I61" s="111" t="str">
        <f>_xlfn.IFNA(VLOOKUP($D61,'Route-Details'!$B$2:$X$1048576,'Node Details'!I$1,0),"")</f>
        <v>1GF</v>
      </c>
      <c r="J61" s="111" t="str">
        <f>_xlfn.IFNA(VLOOKUP($D61,'Route-Details'!$B$2:$X$1048576,'Node Details'!J$1,0),"")</f>
        <v>1GF</v>
      </c>
      <c r="K61" s="101">
        <v>45229</v>
      </c>
      <c r="L61" s="101">
        <v>45229</v>
      </c>
      <c r="M61" s="102">
        <v>45379</v>
      </c>
      <c r="N61" s="55"/>
      <c r="O61" s="61"/>
      <c r="P61" s="61"/>
      <c r="Q61" s="54"/>
      <c r="R61" s="103" t="s">
        <v>94</v>
      </c>
      <c r="S61" s="104">
        <v>124</v>
      </c>
      <c r="T61" s="104">
        <v>124</v>
      </c>
      <c r="U61" s="104">
        <v>124</v>
      </c>
      <c r="V61" s="107"/>
      <c r="W61" s="64" t="s">
        <v>84</v>
      </c>
      <c r="X61" s="104">
        <v>14000</v>
      </c>
      <c r="Y61" s="109">
        <v>45181</v>
      </c>
      <c r="Z61" s="106">
        <v>102</v>
      </c>
      <c r="AA61" s="107"/>
      <c r="AB61" s="104">
        <v>124</v>
      </c>
      <c r="AC61" s="65" t="s">
        <v>85</v>
      </c>
      <c r="AD61" s="103" t="s">
        <v>94</v>
      </c>
      <c r="AE61" s="54">
        <v>20</v>
      </c>
      <c r="AF61" s="52">
        <f t="shared" si="0"/>
        <v>2480</v>
      </c>
      <c r="AH61" s="98" t="s">
        <v>86</v>
      </c>
      <c r="AI61" s="104">
        <v>124</v>
      </c>
      <c r="AJ61" s="54">
        <v>20</v>
      </c>
      <c r="AK61" s="47">
        <f t="shared" si="1"/>
        <v>2480</v>
      </c>
      <c r="AL61" s="61"/>
      <c r="AM61" s="61"/>
      <c r="AN61" s="47">
        <f t="shared" si="2"/>
        <v>0</v>
      </c>
      <c r="AO61" s="48">
        <f t="shared" si="3"/>
        <v>2480</v>
      </c>
      <c r="AQ61" s="98" t="s">
        <v>87</v>
      </c>
      <c r="AR61" s="99">
        <v>45211</v>
      </c>
      <c r="AS61" s="57">
        <f t="shared" si="4"/>
        <v>20</v>
      </c>
      <c r="AT61" s="52">
        <f t="shared" si="5"/>
        <v>2480</v>
      </c>
      <c r="AV61" s="98" t="s">
        <v>88</v>
      </c>
      <c r="AW61" s="99">
        <v>45257</v>
      </c>
      <c r="AX61" s="58">
        <f t="shared" si="6"/>
        <v>20</v>
      </c>
      <c r="AY61" s="58">
        <f t="shared" si="7"/>
        <v>124</v>
      </c>
      <c r="AZ61" s="59">
        <f t="shared" si="8"/>
        <v>2480</v>
      </c>
      <c r="BB61" s="60"/>
    </row>
    <row r="62" spans="1:54" s="45" customFormat="1" ht="11.1" customHeight="1" x14ac:dyDescent="0.2">
      <c r="A62" s="53">
        <f t="shared" si="9"/>
        <v>60</v>
      </c>
      <c r="B62" s="90" t="s">
        <v>190</v>
      </c>
      <c r="C62" s="104" t="s">
        <v>132</v>
      </c>
      <c r="D62" s="101" t="s">
        <v>130</v>
      </c>
      <c r="E62" s="111" t="str">
        <f>_xlfn.IFNA(VLOOKUP($D62,'Route-Details'!$B$2:$X$1048576,'Node Details'!E$1,0),"")</f>
        <v>Airtel</v>
      </c>
      <c r="F62" s="111" t="str">
        <f>_xlfn.IFNA(VLOOKUP($D62,'Route-Details'!$B$2:$X$1048576,'Node Details'!F$1,0),"")</f>
        <v>Gorai</v>
      </c>
      <c r="G62" s="111" t="str">
        <f>_xlfn.IFNA(VLOOKUP($D62,'Route-Details'!$B$2:$X$1048576,'Node Details'!G$1,0),"")</f>
        <v>Mumbai</v>
      </c>
      <c r="H62" s="111" t="str">
        <f>_xlfn.IFNA(VLOOKUP($D63,'Route-Details'!$B$2:$X$1048576,'Node Details'!H$1,0),"")</f>
        <v>Mumbai</v>
      </c>
      <c r="I62" s="111" t="str">
        <f>_xlfn.IFNA(VLOOKUP($D62,'Route-Details'!$B$2:$X$1048576,'Node Details'!I$1,0),"")</f>
        <v>1GF</v>
      </c>
      <c r="J62" s="111" t="str">
        <f>_xlfn.IFNA(VLOOKUP($D62,'Route-Details'!$B$2:$X$1048576,'Node Details'!J$1,0),"")</f>
        <v>1GF</v>
      </c>
      <c r="K62" s="101">
        <v>45229</v>
      </c>
      <c r="L62" s="101">
        <v>45229</v>
      </c>
      <c r="M62" s="102">
        <v>45379</v>
      </c>
      <c r="N62" s="55"/>
      <c r="O62" s="61"/>
      <c r="P62" s="61"/>
      <c r="Q62" s="54"/>
      <c r="R62" s="103" t="s">
        <v>94</v>
      </c>
      <c r="S62" s="104">
        <v>100</v>
      </c>
      <c r="T62" s="104">
        <v>100</v>
      </c>
      <c r="U62" s="104">
        <v>100</v>
      </c>
      <c r="V62" s="107"/>
      <c r="W62" s="64" t="s">
        <v>84</v>
      </c>
      <c r="X62" s="104">
        <v>14000</v>
      </c>
      <c r="Y62" s="109">
        <v>45181</v>
      </c>
      <c r="Z62" s="106">
        <v>102</v>
      </c>
      <c r="AA62" s="107"/>
      <c r="AB62" s="104">
        <v>100</v>
      </c>
      <c r="AC62" s="65" t="s">
        <v>85</v>
      </c>
      <c r="AD62" s="103" t="s">
        <v>94</v>
      </c>
      <c r="AE62" s="54">
        <v>20</v>
      </c>
      <c r="AF62" s="52">
        <f t="shared" si="0"/>
        <v>2000</v>
      </c>
      <c r="AH62" s="98" t="s">
        <v>86</v>
      </c>
      <c r="AI62" s="104">
        <v>100</v>
      </c>
      <c r="AJ62" s="54">
        <v>20</v>
      </c>
      <c r="AK62" s="47">
        <f t="shared" si="1"/>
        <v>2000</v>
      </c>
      <c r="AL62" s="61"/>
      <c r="AM62" s="61"/>
      <c r="AN62" s="47">
        <f t="shared" si="2"/>
        <v>0</v>
      </c>
      <c r="AO62" s="48">
        <f t="shared" si="3"/>
        <v>2000</v>
      </c>
      <c r="AQ62" s="98" t="s">
        <v>87</v>
      </c>
      <c r="AR62" s="99">
        <v>45211</v>
      </c>
      <c r="AS62" s="57">
        <f t="shared" si="4"/>
        <v>20</v>
      </c>
      <c r="AT62" s="52">
        <f t="shared" si="5"/>
        <v>2000</v>
      </c>
      <c r="AV62" s="98" t="s">
        <v>88</v>
      </c>
      <c r="AW62" s="99">
        <v>45257</v>
      </c>
      <c r="AX62" s="58">
        <f t="shared" si="6"/>
        <v>20</v>
      </c>
      <c r="AY62" s="58">
        <f t="shared" si="7"/>
        <v>100</v>
      </c>
      <c r="AZ62" s="59">
        <f t="shared" si="8"/>
        <v>2000</v>
      </c>
      <c r="BB62" s="60"/>
    </row>
    <row r="63" spans="1:54" s="45" customFormat="1" ht="11.1" customHeight="1" x14ac:dyDescent="0.2">
      <c r="A63" s="53">
        <f t="shared" si="9"/>
        <v>61</v>
      </c>
      <c r="B63" s="90" t="s">
        <v>136</v>
      </c>
      <c r="C63" s="104" t="s">
        <v>132</v>
      </c>
      <c r="D63" s="101" t="s">
        <v>130</v>
      </c>
      <c r="E63" s="111" t="str">
        <f>_xlfn.IFNA(VLOOKUP($D63,'Route-Details'!$B$2:$X$1048576,'Node Details'!E$1,0),"")</f>
        <v>Airtel</v>
      </c>
      <c r="F63" s="111" t="str">
        <f>_xlfn.IFNA(VLOOKUP($D63,'Route-Details'!$B$2:$X$1048576,'Node Details'!F$1,0),"")</f>
        <v>Gorai</v>
      </c>
      <c r="G63" s="111" t="str">
        <f>_xlfn.IFNA(VLOOKUP($D63,'Route-Details'!$B$2:$X$1048576,'Node Details'!G$1,0),"")</f>
        <v>Mumbai</v>
      </c>
      <c r="H63" s="111" t="str">
        <f>_xlfn.IFNA(VLOOKUP($D64,'Route-Details'!$B$2:$X$1048576,'Node Details'!H$1,0),"")</f>
        <v>Mumbai</v>
      </c>
      <c r="I63" s="111" t="str">
        <f>_xlfn.IFNA(VLOOKUP($D63,'Route-Details'!$B$2:$X$1048576,'Node Details'!I$1,0),"")</f>
        <v>1GF</v>
      </c>
      <c r="J63" s="111" t="str">
        <f>_xlfn.IFNA(VLOOKUP($D63,'Route-Details'!$B$2:$X$1048576,'Node Details'!J$1,0),"")</f>
        <v>1GF</v>
      </c>
      <c r="K63" s="101">
        <v>45229</v>
      </c>
      <c r="L63" s="101">
        <v>45229</v>
      </c>
      <c r="M63" s="102">
        <v>45379</v>
      </c>
      <c r="N63" s="55"/>
      <c r="O63" s="61"/>
      <c r="P63" s="61"/>
      <c r="Q63" s="54"/>
      <c r="R63" s="103" t="s">
        <v>94</v>
      </c>
      <c r="S63" s="104">
        <v>124</v>
      </c>
      <c r="T63" s="104">
        <v>124</v>
      </c>
      <c r="U63" s="104">
        <v>124</v>
      </c>
      <c r="V63" s="107"/>
      <c r="W63" s="64" t="s">
        <v>84</v>
      </c>
      <c r="X63" s="104">
        <v>14000</v>
      </c>
      <c r="Y63" s="109">
        <v>45181</v>
      </c>
      <c r="Z63" s="106">
        <v>102</v>
      </c>
      <c r="AA63" s="107"/>
      <c r="AB63" s="104">
        <v>124</v>
      </c>
      <c r="AC63" s="65" t="s">
        <v>85</v>
      </c>
      <c r="AD63" s="103" t="s">
        <v>94</v>
      </c>
      <c r="AE63" s="54">
        <v>20</v>
      </c>
      <c r="AF63" s="52">
        <f t="shared" si="0"/>
        <v>2480</v>
      </c>
      <c r="AH63" s="98" t="s">
        <v>86</v>
      </c>
      <c r="AI63" s="104">
        <v>124</v>
      </c>
      <c r="AJ63" s="54">
        <v>20</v>
      </c>
      <c r="AK63" s="47">
        <f t="shared" si="1"/>
        <v>2480</v>
      </c>
      <c r="AL63" s="61"/>
      <c r="AM63" s="61"/>
      <c r="AN63" s="47">
        <f t="shared" si="2"/>
        <v>0</v>
      </c>
      <c r="AO63" s="48">
        <f t="shared" si="3"/>
        <v>2480</v>
      </c>
      <c r="AQ63" s="98" t="s">
        <v>87</v>
      </c>
      <c r="AR63" s="99">
        <v>45211</v>
      </c>
      <c r="AS63" s="57">
        <f t="shared" si="4"/>
        <v>20</v>
      </c>
      <c r="AT63" s="52">
        <f t="shared" si="5"/>
        <v>2480</v>
      </c>
      <c r="AV63" s="98" t="s">
        <v>88</v>
      </c>
      <c r="AW63" s="99">
        <v>45257</v>
      </c>
      <c r="AX63" s="58">
        <f t="shared" si="6"/>
        <v>20</v>
      </c>
      <c r="AY63" s="58">
        <f t="shared" si="7"/>
        <v>124</v>
      </c>
      <c r="AZ63" s="59">
        <f t="shared" si="8"/>
        <v>2480</v>
      </c>
      <c r="BB63" s="60"/>
    </row>
    <row r="64" spans="1:54" s="45" customFormat="1" ht="11.1" customHeight="1" x14ac:dyDescent="0.2">
      <c r="A64" s="53">
        <f t="shared" si="9"/>
        <v>62</v>
      </c>
      <c r="B64" s="90" t="s">
        <v>191</v>
      </c>
      <c r="C64" s="104" t="s">
        <v>132</v>
      </c>
      <c r="D64" s="101" t="s">
        <v>130</v>
      </c>
      <c r="E64" s="111" t="str">
        <f>_xlfn.IFNA(VLOOKUP($D64,'Route-Details'!$B$2:$X$1048576,'Node Details'!E$1,0),"")</f>
        <v>Airtel</v>
      </c>
      <c r="F64" s="111" t="str">
        <f>_xlfn.IFNA(VLOOKUP($D64,'Route-Details'!$B$2:$X$1048576,'Node Details'!F$1,0),"")</f>
        <v>Gorai</v>
      </c>
      <c r="G64" s="111" t="str">
        <f>_xlfn.IFNA(VLOOKUP($D64,'Route-Details'!$B$2:$X$1048576,'Node Details'!G$1,0),"")</f>
        <v>Mumbai</v>
      </c>
      <c r="H64" s="111" t="str">
        <f>_xlfn.IFNA(VLOOKUP($D65,'Route-Details'!$B$2:$X$1048576,'Node Details'!H$1,0),"")</f>
        <v>Mumbai</v>
      </c>
      <c r="I64" s="111" t="str">
        <f>_xlfn.IFNA(VLOOKUP($D64,'Route-Details'!$B$2:$X$1048576,'Node Details'!I$1,0),"")</f>
        <v>1GF</v>
      </c>
      <c r="J64" s="111" t="str">
        <f>_xlfn.IFNA(VLOOKUP($D64,'Route-Details'!$B$2:$X$1048576,'Node Details'!J$1,0),"")</f>
        <v>1GF</v>
      </c>
      <c r="K64" s="101">
        <v>45229</v>
      </c>
      <c r="L64" s="101">
        <v>45229</v>
      </c>
      <c r="M64" s="102">
        <v>45379</v>
      </c>
      <c r="N64" s="55"/>
      <c r="O64" s="61"/>
      <c r="P64" s="61"/>
      <c r="Q64" s="54"/>
      <c r="R64" s="103" t="s">
        <v>94</v>
      </c>
      <c r="S64" s="104">
        <v>106</v>
      </c>
      <c r="T64" s="104">
        <v>106</v>
      </c>
      <c r="U64" s="104">
        <v>106</v>
      </c>
      <c r="V64" s="107"/>
      <c r="W64" s="64" t="s">
        <v>84</v>
      </c>
      <c r="X64" s="104">
        <v>14000</v>
      </c>
      <c r="Y64" s="109">
        <v>45181</v>
      </c>
      <c r="Z64" s="106">
        <v>102</v>
      </c>
      <c r="AA64" s="107"/>
      <c r="AB64" s="104">
        <v>106</v>
      </c>
      <c r="AC64" s="65" t="s">
        <v>85</v>
      </c>
      <c r="AD64" s="103" t="s">
        <v>94</v>
      </c>
      <c r="AE64" s="54">
        <v>20</v>
      </c>
      <c r="AF64" s="52">
        <f t="shared" si="0"/>
        <v>2120</v>
      </c>
      <c r="AH64" s="98" t="s">
        <v>86</v>
      </c>
      <c r="AI64" s="104">
        <v>106</v>
      </c>
      <c r="AJ64" s="54">
        <v>20</v>
      </c>
      <c r="AK64" s="47">
        <f t="shared" si="1"/>
        <v>2120</v>
      </c>
      <c r="AL64" s="61"/>
      <c r="AM64" s="61"/>
      <c r="AN64" s="47">
        <f t="shared" si="2"/>
        <v>0</v>
      </c>
      <c r="AO64" s="48">
        <f t="shared" si="3"/>
        <v>2120</v>
      </c>
      <c r="AQ64" s="98" t="s">
        <v>87</v>
      </c>
      <c r="AR64" s="99">
        <v>45211</v>
      </c>
      <c r="AS64" s="57">
        <f t="shared" si="4"/>
        <v>20</v>
      </c>
      <c r="AT64" s="52">
        <f t="shared" si="5"/>
        <v>2120</v>
      </c>
      <c r="AV64" s="98" t="s">
        <v>88</v>
      </c>
      <c r="AW64" s="99">
        <v>45257</v>
      </c>
      <c r="AX64" s="58">
        <f t="shared" si="6"/>
        <v>20</v>
      </c>
      <c r="AY64" s="58">
        <f t="shared" si="7"/>
        <v>106</v>
      </c>
      <c r="AZ64" s="59">
        <f t="shared" si="8"/>
        <v>2120</v>
      </c>
      <c r="BB64" s="60"/>
    </row>
    <row r="65" spans="1:54" s="45" customFormat="1" ht="11.1" customHeight="1" x14ac:dyDescent="0.2">
      <c r="A65" s="53">
        <f t="shared" si="9"/>
        <v>63</v>
      </c>
      <c r="B65" s="90" t="s">
        <v>133</v>
      </c>
      <c r="C65" s="104" t="s">
        <v>132</v>
      </c>
      <c r="D65" s="101" t="s">
        <v>130</v>
      </c>
      <c r="E65" s="111" t="str">
        <f>_xlfn.IFNA(VLOOKUP($D65,'Route-Details'!$B$2:$X$1048576,'Node Details'!E$1,0),"")</f>
        <v>Airtel</v>
      </c>
      <c r="F65" s="111" t="str">
        <f>_xlfn.IFNA(VLOOKUP($D65,'Route-Details'!$B$2:$X$1048576,'Node Details'!F$1,0),"")</f>
        <v>Gorai</v>
      </c>
      <c r="G65" s="111" t="str">
        <f>_xlfn.IFNA(VLOOKUP($D65,'Route-Details'!$B$2:$X$1048576,'Node Details'!G$1,0),"")</f>
        <v>Mumbai</v>
      </c>
      <c r="H65" s="111" t="str">
        <f>_xlfn.IFNA(VLOOKUP($D66,'Route-Details'!$B$2:$X$1048576,'Node Details'!H$1,0),"")</f>
        <v>Mumbai</v>
      </c>
      <c r="I65" s="111" t="str">
        <f>_xlfn.IFNA(VLOOKUP($D65,'Route-Details'!$B$2:$X$1048576,'Node Details'!I$1,0),"")</f>
        <v>1GF</v>
      </c>
      <c r="J65" s="111" t="str">
        <f>_xlfn.IFNA(VLOOKUP($D65,'Route-Details'!$B$2:$X$1048576,'Node Details'!J$1,0),"")</f>
        <v>1GF</v>
      </c>
      <c r="K65" s="101">
        <v>45229</v>
      </c>
      <c r="L65" s="101">
        <v>45229</v>
      </c>
      <c r="M65" s="102">
        <v>45379</v>
      </c>
      <c r="N65" s="55"/>
      <c r="O65" s="61"/>
      <c r="P65" s="61"/>
      <c r="Q65" s="54"/>
      <c r="R65" s="103" t="s">
        <v>94</v>
      </c>
      <c r="S65" s="104">
        <v>100</v>
      </c>
      <c r="T65" s="104">
        <v>100</v>
      </c>
      <c r="U65" s="104">
        <v>100</v>
      </c>
      <c r="V65" s="107"/>
      <c r="W65" s="64" t="s">
        <v>84</v>
      </c>
      <c r="X65" s="104">
        <v>14000</v>
      </c>
      <c r="Y65" s="109">
        <v>45181</v>
      </c>
      <c r="Z65" s="106">
        <v>102</v>
      </c>
      <c r="AA65" s="107"/>
      <c r="AB65" s="104">
        <v>100</v>
      </c>
      <c r="AC65" s="65" t="s">
        <v>85</v>
      </c>
      <c r="AD65" s="103" t="s">
        <v>94</v>
      </c>
      <c r="AE65" s="54">
        <v>20</v>
      </c>
      <c r="AF65" s="52">
        <f t="shared" si="0"/>
        <v>2000</v>
      </c>
      <c r="AH65" s="98" t="s">
        <v>86</v>
      </c>
      <c r="AI65" s="104">
        <v>100</v>
      </c>
      <c r="AJ65" s="54">
        <v>20</v>
      </c>
      <c r="AK65" s="47">
        <f t="shared" si="1"/>
        <v>2000</v>
      </c>
      <c r="AL65" s="61"/>
      <c r="AM65" s="61"/>
      <c r="AN65" s="47">
        <f t="shared" si="2"/>
        <v>0</v>
      </c>
      <c r="AO65" s="48">
        <f t="shared" si="3"/>
        <v>2000</v>
      </c>
      <c r="AQ65" s="98" t="s">
        <v>87</v>
      </c>
      <c r="AR65" s="99">
        <v>45211</v>
      </c>
      <c r="AS65" s="57">
        <f t="shared" si="4"/>
        <v>20</v>
      </c>
      <c r="AT65" s="52">
        <f t="shared" si="5"/>
        <v>2000</v>
      </c>
      <c r="AV65" s="98" t="s">
        <v>88</v>
      </c>
      <c r="AW65" s="99">
        <v>45257</v>
      </c>
      <c r="AX65" s="58">
        <f t="shared" si="6"/>
        <v>20</v>
      </c>
      <c r="AY65" s="58">
        <f t="shared" si="7"/>
        <v>100</v>
      </c>
      <c r="AZ65" s="59">
        <f t="shared" si="8"/>
        <v>2000</v>
      </c>
      <c r="BB65" s="60"/>
    </row>
    <row r="66" spans="1:54" s="45" customFormat="1" ht="11.1" customHeight="1" x14ac:dyDescent="0.2">
      <c r="A66" s="53">
        <f t="shared" si="9"/>
        <v>64</v>
      </c>
      <c r="B66" s="90" t="s">
        <v>90</v>
      </c>
      <c r="C66" s="104" t="s">
        <v>93</v>
      </c>
      <c r="D66" s="101" t="s">
        <v>92</v>
      </c>
      <c r="E66" s="111" t="str">
        <f>_xlfn.IFNA(VLOOKUP($D66,'Route-Details'!$B$2:$X$1048576,'Node Details'!E$1,0),"")</f>
        <v>Airtel</v>
      </c>
      <c r="F66" s="111" t="str">
        <f>_xlfn.IFNA(VLOOKUP($D66,'Route-Details'!$B$2:$X$1048576,'Node Details'!F$1,0),"")</f>
        <v>Gorai</v>
      </c>
      <c r="G66" s="111" t="str">
        <f>_xlfn.IFNA(VLOOKUP($D66,'Route-Details'!$B$2:$X$1048576,'Node Details'!G$1,0),"")</f>
        <v>Mumbai</v>
      </c>
      <c r="H66" s="111" t="str">
        <f>_xlfn.IFNA(VLOOKUP($D67,'Route-Details'!$B$2:$X$1048576,'Node Details'!H$1,0),"")</f>
        <v>Mumbai</v>
      </c>
      <c r="I66" s="111" t="str">
        <f>_xlfn.IFNA(VLOOKUP($D66,'Route-Details'!$B$2:$X$1048576,'Node Details'!I$1,0),"")</f>
        <v>1GF</v>
      </c>
      <c r="J66" s="111" t="str">
        <f>_xlfn.IFNA(VLOOKUP($D66,'Route-Details'!$B$2:$X$1048576,'Node Details'!J$1,0),"")</f>
        <v>1GF</v>
      </c>
      <c r="K66" s="101">
        <v>45229</v>
      </c>
      <c r="L66" s="101">
        <v>45229</v>
      </c>
      <c r="M66" s="102">
        <v>45379</v>
      </c>
      <c r="N66" s="55"/>
      <c r="O66" s="61"/>
      <c r="P66" s="61"/>
      <c r="Q66" s="54"/>
      <c r="R66" s="103" t="s">
        <v>94</v>
      </c>
      <c r="S66" s="104">
        <v>75</v>
      </c>
      <c r="T66" s="104">
        <v>75</v>
      </c>
      <c r="U66" s="104">
        <v>75</v>
      </c>
      <c r="V66" s="107"/>
      <c r="W66" s="64" t="s">
        <v>84</v>
      </c>
      <c r="X66" s="104">
        <v>14000</v>
      </c>
      <c r="Y66" s="109">
        <v>45181</v>
      </c>
      <c r="Z66" s="106">
        <v>102</v>
      </c>
      <c r="AA66" s="107"/>
      <c r="AB66" s="104">
        <v>75</v>
      </c>
      <c r="AC66" s="65" t="s">
        <v>85</v>
      </c>
      <c r="AD66" s="103" t="s">
        <v>94</v>
      </c>
      <c r="AE66" s="54">
        <v>20</v>
      </c>
      <c r="AF66" s="52">
        <f t="shared" si="0"/>
        <v>1500</v>
      </c>
      <c r="AH66" s="98" t="s">
        <v>86</v>
      </c>
      <c r="AI66" s="104">
        <v>75</v>
      </c>
      <c r="AJ66" s="54">
        <v>20</v>
      </c>
      <c r="AK66" s="47">
        <f t="shared" si="1"/>
        <v>1500</v>
      </c>
      <c r="AL66" s="61"/>
      <c r="AM66" s="61"/>
      <c r="AN66" s="47">
        <f t="shared" si="2"/>
        <v>0</v>
      </c>
      <c r="AO66" s="48">
        <f t="shared" si="3"/>
        <v>1500</v>
      </c>
      <c r="AQ66" s="98" t="s">
        <v>87</v>
      </c>
      <c r="AR66" s="99">
        <v>45211</v>
      </c>
      <c r="AS66" s="57">
        <f t="shared" si="4"/>
        <v>20</v>
      </c>
      <c r="AT66" s="52">
        <f t="shared" si="5"/>
        <v>1500</v>
      </c>
      <c r="AV66" s="98" t="s">
        <v>88</v>
      </c>
      <c r="AW66" s="99">
        <v>45257</v>
      </c>
      <c r="AX66" s="58">
        <f t="shared" si="6"/>
        <v>20</v>
      </c>
      <c r="AY66" s="58">
        <f t="shared" si="7"/>
        <v>75</v>
      </c>
      <c r="AZ66" s="59">
        <f t="shared" si="8"/>
        <v>1500</v>
      </c>
      <c r="BB66" s="60"/>
    </row>
    <row r="67" spans="1:54" s="45" customFormat="1" ht="11.1" customHeight="1" x14ac:dyDescent="0.2">
      <c r="A67" s="53">
        <f t="shared" si="9"/>
        <v>65</v>
      </c>
      <c r="B67" s="90" t="s">
        <v>192</v>
      </c>
      <c r="C67" s="104" t="s">
        <v>135</v>
      </c>
      <c r="D67" s="101" t="s">
        <v>134</v>
      </c>
      <c r="E67" s="111" t="str">
        <f>_xlfn.IFNA(VLOOKUP($D67,'Route-Details'!$B$2:$X$1048576,'Node Details'!E$1,0),"")</f>
        <v>Airtel</v>
      </c>
      <c r="F67" s="111" t="str">
        <f>_xlfn.IFNA(VLOOKUP($D67,'Route-Details'!$B$2:$X$1048576,'Node Details'!F$1,0),"")</f>
        <v>Gorai</v>
      </c>
      <c r="G67" s="111" t="str">
        <f>_xlfn.IFNA(VLOOKUP($D67,'Route-Details'!$B$2:$X$1048576,'Node Details'!G$1,0),"")</f>
        <v>Mumbai</v>
      </c>
      <c r="H67" s="111" t="str">
        <f>_xlfn.IFNA(VLOOKUP($D68,'Route-Details'!$B$2:$X$1048576,'Node Details'!H$1,0),"")</f>
        <v>Mumbai</v>
      </c>
      <c r="I67" s="111" t="str">
        <f>_xlfn.IFNA(VLOOKUP($D67,'Route-Details'!$B$2:$X$1048576,'Node Details'!I$1,0),"")</f>
        <v>1GF</v>
      </c>
      <c r="J67" s="111" t="str">
        <f>_xlfn.IFNA(VLOOKUP($D67,'Route-Details'!$B$2:$X$1048576,'Node Details'!J$1,0),"")</f>
        <v>1GF</v>
      </c>
      <c r="K67" s="101">
        <v>45229</v>
      </c>
      <c r="L67" s="101">
        <v>45229</v>
      </c>
      <c r="M67" s="102" t="s">
        <v>193</v>
      </c>
      <c r="N67" s="55"/>
      <c r="O67" s="61"/>
      <c r="P67" s="61"/>
      <c r="Q67" s="54"/>
      <c r="R67" s="103" t="s">
        <v>94</v>
      </c>
      <c r="S67" s="104">
        <v>94</v>
      </c>
      <c r="T67" s="104">
        <v>94</v>
      </c>
      <c r="U67" s="104">
        <v>94</v>
      </c>
      <c r="V67" s="107"/>
      <c r="W67" s="64" t="s">
        <v>84</v>
      </c>
      <c r="X67" s="104">
        <v>14000</v>
      </c>
      <c r="Y67" s="109">
        <v>45181</v>
      </c>
      <c r="Z67" s="106">
        <v>102</v>
      </c>
      <c r="AA67" s="107"/>
      <c r="AB67" s="104">
        <v>94</v>
      </c>
      <c r="AC67" s="65" t="s">
        <v>85</v>
      </c>
      <c r="AD67" s="103" t="s">
        <v>94</v>
      </c>
      <c r="AE67" s="54">
        <v>20</v>
      </c>
      <c r="AF67" s="52">
        <f t="shared" ref="AF67:AF81" si="10">IF(AB67&lt;&gt;"",AE67*AB67,0)</f>
        <v>1880</v>
      </c>
      <c r="AH67" s="98" t="s">
        <v>86</v>
      </c>
      <c r="AI67" s="104">
        <v>94</v>
      </c>
      <c r="AJ67" s="54">
        <v>20</v>
      </c>
      <c r="AK67" s="47">
        <f t="shared" ref="AK67:AK81" si="11">IF(AI67&lt;&gt;"",AJ67*AI67,0)</f>
        <v>1880</v>
      </c>
      <c r="AL67" s="61"/>
      <c r="AM67" s="61"/>
      <c r="AN67" s="47">
        <f t="shared" ref="AN67:AN81" si="12">IF(AL67&lt;&gt;"",AM67*AL67,0)</f>
        <v>0</v>
      </c>
      <c r="AO67" s="48">
        <f t="shared" ref="AO67:AO81" si="13">AN67+AK67</f>
        <v>1880</v>
      </c>
      <c r="AQ67" s="98" t="s">
        <v>87</v>
      </c>
      <c r="AR67" s="99">
        <v>45211</v>
      </c>
      <c r="AS67" s="57">
        <f t="shared" ref="AS67:AS81" si="14">AJ67</f>
        <v>20</v>
      </c>
      <c r="AT67" s="52">
        <f t="shared" ref="AT67:AT81" si="15">AS67*AI67</f>
        <v>1880</v>
      </c>
      <c r="AV67" s="98" t="s">
        <v>88</v>
      </c>
      <c r="AW67" s="99">
        <v>45257</v>
      </c>
      <c r="AX67" s="58">
        <f t="shared" ref="AX67:AX81" si="16">AJ67</f>
        <v>20</v>
      </c>
      <c r="AY67" s="58">
        <f t="shared" ref="AY67:AY81" si="17">AI67</f>
        <v>94</v>
      </c>
      <c r="AZ67" s="59">
        <f t="shared" ref="AZ67:AZ81" si="18">IF(AY67&lt;&gt;"",AY67*AX67,0)</f>
        <v>1880</v>
      </c>
      <c r="BB67" s="60"/>
    </row>
    <row r="68" spans="1:54" s="45" customFormat="1" ht="11.1" customHeight="1" x14ac:dyDescent="0.2">
      <c r="A68" s="53">
        <f t="shared" ref="A68:A81" si="19">A67+1</f>
        <v>66</v>
      </c>
      <c r="B68" s="90" t="s">
        <v>194</v>
      </c>
      <c r="C68" s="104" t="s">
        <v>135</v>
      </c>
      <c r="D68" s="101" t="s">
        <v>134</v>
      </c>
      <c r="E68" s="111" t="str">
        <f>_xlfn.IFNA(VLOOKUP($D68,'Route-Details'!$B$2:$X$1048576,'Node Details'!E$1,0),"")</f>
        <v>Airtel</v>
      </c>
      <c r="F68" s="111" t="str">
        <f>_xlfn.IFNA(VLOOKUP($D68,'Route-Details'!$B$2:$X$1048576,'Node Details'!F$1,0),"")</f>
        <v>Gorai</v>
      </c>
      <c r="G68" s="111" t="str">
        <f>_xlfn.IFNA(VLOOKUP($D68,'Route-Details'!$B$2:$X$1048576,'Node Details'!G$1,0),"")</f>
        <v>Mumbai</v>
      </c>
      <c r="H68" s="111" t="str">
        <f>_xlfn.IFNA(VLOOKUP($D69,'Route-Details'!$B$2:$X$1048576,'Node Details'!H$1,0),"")</f>
        <v>Mumbai</v>
      </c>
      <c r="I68" s="111" t="str">
        <f>_xlfn.IFNA(VLOOKUP($D68,'Route-Details'!$B$2:$X$1048576,'Node Details'!I$1,0),"")</f>
        <v>1GF</v>
      </c>
      <c r="J68" s="111" t="str">
        <f>_xlfn.IFNA(VLOOKUP($D68,'Route-Details'!$B$2:$X$1048576,'Node Details'!J$1,0),"")</f>
        <v>1GF</v>
      </c>
      <c r="K68" s="101">
        <v>45229</v>
      </c>
      <c r="L68" s="101">
        <v>45229</v>
      </c>
      <c r="M68" s="102" t="s">
        <v>193</v>
      </c>
      <c r="N68" s="55"/>
      <c r="O68" s="61"/>
      <c r="P68" s="61"/>
      <c r="Q68" s="54"/>
      <c r="R68" s="103" t="s">
        <v>94</v>
      </c>
      <c r="S68" s="104">
        <v>213</v>
      </c>
      <c r="T68" s="104">
        <v>213</v>
      </c>
      <c r="U68" s="104">
        <v>213</v>
      </c>
      <c r="V68" s="107"/>
      <c r="W68" s="64" t="s">
        <v>84</v>
      </c>
      <c r="X68" s="104">
        <v>14000</v>
      </c>
      <c r="Y68" s="109">
        <v>45181</v>
      </c>
      <c r="Z68" s="106">
        <v>102</v>
      </c>
      <c r="AA68" s="107"/>
      <c r="AB68" s="104">
        <v>213</v>
      </c>
      <c r="AC68" s="65" t="s">
        <v>85</v>
      </c>
      <c r="AD68" s="103" t="s">
        <v>94</v>
      </c>
      <c r="AE68" s="54">
        <v>20</v>
      </c>
      <c r="AF68" s="52">
        <f t="shared" si="10"/>
        <v>4260</v>
      </c>
      <c r="AH68" s="98" t="s">
        <v>86</v>
      </c>
      <c r="AI68" s="104">
        <v>213</v>
      </c>
      <c r="AJ68" s="54">
        <v>20</v>
      </c>
      <c r="AK68" s="47">
        <f t="shared" si="11"/>
        <v>4260</v>
      </c>
      <c r="AL68" s="61"/>
      <c r="AM68" s="61"/>
      <c r="AN68" s="47">
        <f t="shared" si="12"/>
        <v>0</v>
      </c>
      <c r="AO68" s="48">
        <f t="shared" si="13"/>
        <v>4260</v>
      </c>
      <c r="AQ68" s="98" t="s">
        <v>87</v>
      </c>
      <c r="AR68" s="99">
        <v>45211</v>
      </c>
      <c r="AS68" s="57">
        <f t="shared" si="14"/>
        <v>20</v>
      </c>
      <c r="AT68" s="52">
        <f t="shared" si="15"/>
        <v>4260</v>
      </c>
      <c r="AV68" s="98" t="s">
        <v>88</v>
      </c>
      <c r="AW68" s="99">
        <v>45257</v>
      </c>
      <c r="AX68" s="58">
        <f t="shared" si="16"/>
        <v>20</v>
      </c>
      <c r="AY68" s="58">
        <f t="shared" si="17"/>
        <v>213</v>
      </c>
      <c r="AZ68" s="59">
        <f t="shared" si="18"/>
        <v>4260</v>
      </c>
      <c r="BB68" s="60"/>
    </row>
    <row r="69" spans="1:54" s="45" customFormat="1" ht="11.1" customHeight="1" x14ac:dyDescent="0.2">
      <c r="A69" s="53">
        <f t="shared" si="19"/>
        <v>67</v>
      </c>
      <c r="B69" s="90" t="s">
        <v>76</v>
      </c>
      <c r="C69" s="104" t="s">
        <v>91</v>
      </c>
      <c r="D69" s="101" t="s">
        <v>89</v>
      </c>
      <c r="E69" s="111" t="str">
        <f>_xlfn.IFNA(VLOOKUP($D69,'Route-Details'!$B$2:$X$1048576,'Node Details'!E$1,0),"")</f>
        <v>Airtel</v>
      </c>
      <c r="F69" s="111" t="str">
        <f>_xlfn.IFNA(VLOOKUP($D69,'Route-Details'!$B$2:$X$1048576,'Node Details'!F$1,0),"")</f>
        <v>Gorai</v>
      </c>
      <c r="G69" s="111" t="str">
        <f>_xlfn.IFNA(VLOOKUP($D69,'Route-Details'!$B$2:$X$1048576,'Node Details'!G$1,0),"")</f>
        <v>Mumbai</v>
      </c>
      <c r="H69" s="111" t="str">
        <f>_xlfn.IFNA(VLOOKUP($D70,'Route-Details'!$B$2:$X$1048576,'Node Details'!H$1,0),"")</f>
        <v>Mumbai</v>
      </c>
      <c r="I69" s="111" t="str">
        <f>_xlfn.IFNA(VLOOKUP($D69,'Route-Details'!$B$2:$X$1048576,'Node Details'!I$1,0),"")</f>
        <v>1GF</v>
      </c>
      <c r="J69" s="111" t="str">
        <f>_xlfn.IFNA(VLOOKUP($D69,'Route-Details'!$B$2:$X$1048576,'Node Details'!J$1,0),"")</f>
        <v>1GF</v>
      </c>
      <c r="K69" s="101">
        <v>45229</v>
      </c>
      <c r="L69" s="101">
        <v>45229</v>
      </c>
      <c r="M69" s="102">
        <v>45379</v>
      </c>
      <c r="N69" s="55"/>
      <c r="O69" s="61"/>
      <c r="P69" s="61"/>
      <c r="Q69" s="54"/>
      <c r="R69" s="103" t="s">
        <v>83</v>
      </c>
      <c r="S69" s="104">
        <v>800</v>
      </c>
      <c r="T69" s="104">
        <v>800</v>
      </c>
      <c r="U69" s="104">
        <v>800</v>
      </c>
      <c r="V69" s="107"/>
      <c r="W69" s="64" t="s">
        <v>84</v>
      </c>
      <c r="X69" s="104">
        <v>3500</v>
      </c>
      <c r="Y69" s="109">
        <v>45181</v>
      </c>
      <c r="Z69" s="106">
        <v>122</v>
      </c>
      <c r="AA69" s="107"/>
      <c r="AB69" s="104">
        <v>800</v>
      </c>
      <c r="AC69" s="65" t="s">
        <v>85</v>
      </c>
      <c r="AD69" s="103" t="s">
        <v>83</v>
      </c>
      <c r="AE69" s="54">
        <v>20</v>
      </c>
      <c r="AF69" s="52">
        <f t="shared" si="10"/>
        <v>16000</v>
      </c>
      <c r="AH69" s="98" t="s">
        <v>86</v>
      </c>
      <c r="AI69" s="104">
        <v>800</v>
      </c>
      <c r="AJ69" s="54">
        <v>20</v>
      </c>
      <c r="AK69" s="47">
        <f t="shared" si="11"/>
        <v>16000</v>
      </c>
      <c r="AL69" s="61"/>
      <c r="AM69" s="61"/>
      <c r="AN69" s="47">
        <f t="shared" si="12"/>
        <v>0</v>
      </c>
      <c r="AO69" s="48">
        <f t="shared" si="13"/>
        <v>16000</v>
      </c>
      <c r="AQ69" s="98" t="s">
        <v>87</v>
      </c>
      <c r="AR69" s="99">
        <v>45211</v>
      </c>
      <c r="AS69" s="57">
        <f t="shared" si="14"/>
        <v>20</v>
      </c>
      <c r="AT69" s="52">
        <f t="shared" si="15"/>
        <v>16000</v>
      </c>
      <c r="AV69" s="98" t="s">
        <v>88</v>
      </c>
      <c r="AW69" s="99">
        <v>45257</v>
      </c>
      <c r="AX69" s="58">
        <f t="shared" si="16"/>
        <v>20</v>
      </c>
      <c r="AY69" s="58">
        <f t="shared" si="17"/>
        <v>800</v>
      </c>
      <c r="AZ69" s="59">
        <f t="shared" si="18"/>
        <v>16000</v>
      </c>
      <c r="BB69" s="60"/>
    </row>
    <row r="70" spans="1:54" s="45" customFormat="1" ht="11.1" customHeight="1" x14ac:dyDescent="0.2">
      <c r="A70" s="53">
        <f t="shared" si="19"/>
        <v>68</v>
      </c>
      <c r="B70" s="90" t="s">
        <v>195</v>
      </c>
      <c r="C70" s="104" t="s">
        <v>135</v>
      </c>
      <c r="D70" s="101" t="s">
        <v>134</v>
      </c>
      <c r="E70" s="111" t="str">
        <f>_xlfn.IFNA(VLOOKUP($D70,'Route-Details'!$B$2:$X$1048576,'Node Details'!E$1,0),"")</f>
        <v>Airtel</v>
      </c>
      <c r="F70" s="111" t="str">
        <f>_xlfn.IFNA(VLOOKUP($D70,'Route-Details'!$B$2:$X$1048576,'Node Details'!F$1,0),"")</f>
        <v>Gorai</v>
      </c>
      <c r="G70" s="111" t="str">
        <f>_xlfn.IFNA(VLOOKUP($D70,'Route-Details'!$B$2:$X$1048576,'Node Details'!G$1,0),"")</f>
        <v>Mumbai</v>
      </c>
      <c r="H70" s="111" t="str">
        <f>_xlfn.IFNA(VLOOKUP($D71,'Route-Details'!$B$2:$X$1048576,'Node Details'!H$1,0),"")</f>
        <v>Mumbai</v>
      </c>
      <c r="I70" s="111" t="str">
        <f>_xlfn.IFNA(VLOOKUP($D70,'Route-Details'!$B$2:$X$1048576,'Node Details'!I$1,0),"")</f>
        <v>1GF</v>
      </c>
      <c r="J70" s="111" t="str">
        <f>_xlfn.IFNA(VLOOKUP($D70,'Route-Details'!$B$2:$X$1048576,'Node Details'!J$1,0),"")</f>
        <v>1GF</v>
      </c>
      <c r="K70" s="101">
        <v>45229</v>
      </c>
      <c r="L70" s="101">
        <v>45229</v>
      </c>
      <c r="M70" s="102" t="s">
        <v>193</v>
      </c>
      <c r="N70" s="55"/>
      <c r="O70" s="61"/>
      <c r="P70" s="61"/>
      <c r="Q70" s="54"/>
      <c r="R70" s="103"/>
      <c r="S70" s="104"/>
      <c r="T70" s="104"/>
      <c r="U70" s="104"/>
      <c r="W70" s="63"/>
      <c r="X70" s="61"/>
      <c r="Y70" s="61"/>
      <c r="Z70" s="62"/>
      <c r="AB70" s="104"/>
      <c r="AC70" s="65"/>
      <c r="AD70" s="103"/>
      <c r="AE70" s="54"/>
      <c r="AF70" s="52">
        <f t="shared" si="10"/>
        <v>0</v>
      </c>
      <c r="AH70" s="63"/>
      <c r="AI70" s="61"/>
      <c r="AJ70" s="54">
        <v>20</v>
      </c>
      <c r="AK70" s="47">
        <f t="shared" si="11"/>
        <v>0</v>
      </c>
      <c r="AL70" s="61"/>
      <c r="AM70" s="61"/>
      <c r="AN70" s="47">
        <f t="shared" si="12"/>
        <v>0</v>
      </c>
      <c r="AO70" s="48">
        <f t="shared" si="13"/>
        <v>0</v>
      </c>
      <c r="AQ70" s="98"/>
      <c r="AR70" s="99"/>
      <c r="AS70" s="57">
        <f t="shared" si="14"/>
        <v>20</v>
      </c>
      <c r="AT70" s="52">
        <f t="shared" si="15"/>
        <v>0</v>
      </c>
      <c r="AV70" s="98"/>
      <c r="AW70" s="99"/>
      <c r="AX70" s="58">
        <f t="shared" si="16"/>
        <v>20</v>
      </c>
      <c r="AY70" s="58">
        <f t="shared" si="17"/>
        <v>0</v>
      </c>
      <c r="AZ70" s="59">
        <f t="shared" si="18"/>
        <v>0</v>
      </c>
      <c r="BB70" s="60"/>
    </row>
    <row r="71" spans="1:54" s="45" customFormat="1" ht="11.1" customHeight="1" x14ac:dyDescent="0.2">
      <c r="A71" s="53">
        <f t="shared" si="19"/>
        <v>69</v>
      </c>
      <c r="B71" s="90" t="s">
        <v>196</v>
      </c>
      <c r="C71" s="104" t="s">
        <v>135</v>
      </c>
      <c r="D71" s="101" t="s">
        <v>134</v>
      </c>
      <c r="E71" s="111" t="str">
        <f>_xlfn.IFNA(VLOOKUP($D71,'Route-Details'!$B$2:$X$1048576,'Node Details'!E$1,0),"")</f>
        <v>Airtel</v>
      </c>
      <c r="F71" s="111" t="str">
        <f>_xlfn.IFNA(VLOOKUP($D71,'Route-Details'!$B$2:$X$1048576,'Node Details'!F$1,0),"")</f>
        <v>Gorai</v>
      </c>
      <c r="G71" s="111" t="str">
        <f>_xlfn.IFNA(VLOOKUP($D71,'Route-Details'!$B$2:$X$1048576,'Node Details'!G$1,0),"")</f>
        <v>Mumbai</v>
      </c>
      <c r="H71" s="111" t="str">
        <f>_xlfn.IFNA(VLOOKUP($D72,'Route-Details'!$B$2:$X$1048576,'Node Details'!H$1,0),"")</f>
        <v>Mumbai</v>
      </c>
      <c r="I71" s="111" t="str">
        <f>_xlfn.IFNA(VLOOKUP($D71,'Route-Details'!$B$2:$X$1048576,'Node Details'!I$1,0),"")</f>
        <v>1GF</v>
      </c>
      <c r="J71" s="111" t="str">
        <f>_xlfn.IFNA(VLOOKUP($D71,'Route-Details'!$B$2:$X$1048576,'Node Details'!J$1,0),"")</f>
        <v>1GF</v>
      </c>
      <c r="K71" s="101">
        <v>45229</v>
      </c>
      <c r="L71" s="101">
        <v>45229</v>
      </c>
      <c r="M71" s="102" t="s">
        <v>193</v>
      </c>
      <c r="N71" s="55"/>
      <c r="O71" s="61"/>
      <c r="P71" s="61"/>
      <c r="Q71" s="54"/>
      <c r="R71" s="61"/>
      <c r="S71" s="61"/>
      <c r="T71" s="61"/>
      <c r="U71" s="62"/>
      <c r="W71" s="63"/>
      <c r="X71" s="61"/>
      <c r="Y71" s="61"/>
      <c r="Z71" s="62"/>
      <c r="AB71" s="63"/>
      <c r="AC71" s="61"/>
      <c r="AD71" s="61"/>
      <c r="AE71" s="61"/>
      <c r="AF71" s="52">
        <f t="shared" si="10"/>
        <v>0</v>
      </c>
      <c r="AH71" s="63"/>
      <c r="AI71" s="61"/>
      <c r="AJ71" s="54">
        <v>20</v>
      </c>
      <c r="AK71" s="47">
        <f t="shared" si="11"/>
        <v>0</v>
      </c>
      <c r="AL71" s="61"/>
      <c r="AM71" s="61"/>
      <c r="AN71" s="47">
        <f t="shared" si="12"/>
        <v>0</v>
      </c>
      <c r="AO71" s="48">
        <f t="shared" si="13"/>
        <v>0</v>
      </c>
      <c r="AQ71" s="63"/>
      <c r="AR71" s="61"/>
      <c r="AS71" s="57">
        <f t="shared" si="14"/>
        <v>20</v>
      </c>
      <c r="AT71" s="52">
        <f t="shared" si="15"/>
        <v>0</v>
      </c>
      <c r="AV71" s="63"/>
      <c r="AW71" s="61"/>
      <c r="AX71" s="58">
        <f t="shared" si="16"/>
        <v>20</v>
      </c>
      <c r="AY71" s="58">
        <f t="shared" si="17"/>
        <v>0</v>
      </c>
      <c r="AZ71" s="59">
        <f t="shared" si="18"/>
        <v>0</v>
      </c>
      <c r="BB71" s="60"/>
    </row>
    <row r="72" spans="1:54" s="45" customFormat="1" ht="11.1" customHeight="1" x14ac:dyDescent="0.2">
      <c r="A72" s="53">
        <f t="shared" si="19"/>
        <v>70</v>
      </c>
      <c r="B72" s="90" t="s">
        <v>197</v>
      </c>
      <c r="C72" s="104" t="s">
        <v>135</v>
      </c>
      <c r="D72" s="101" t="s">
        <v>134</v>
      </c>
      <c r="E72" s="111" t="str">
        <f>_xlfn.IFNA(VLOOKUP($D72,'Route-Details'!$B$2:$X$1048576,'Node Details'!E$1,0),"")</f>
        <v>Airtel</v>
      </c>
      <c r="F72" s="111" t="str">
        <f>_xlfn.IFNA(VLOOKUP($D72,'Route-Details'!$B$2:$X$1048576,'Node Details'!F$1,0),"")</f>
        <v>Gorai</v>
      </c>
      <c r="G72" s="111" t="str">
        <f>_xlfn.IFNA(VLOOKUP($D72,'Route-Details'!$B$2:$X$1048576,'Node Details'!G$1,0),"")</f>
        <v>Mumbai</v>
      </c>
      <c r="H72" s="111" t="str">
        <f>_xlfn.IFNA(VLOOKUP($D73,'Route-Details'!$B$2:$X$1048576,'Node Details'!H$1,0),"")</f>
        <v>Mumbai</v>
      </c>
      <c r="I72" s="111" t="str">
        <f>_xlfn.IFNA(VLOOKUP($D72,'Route-Details'!$B$2:$X$1048576,'Node Details'!I$1,0),"")</f>
        <v>1GF</v>
      </c>
      <c r="J72" s="111" t="str">
        <f>_xlfn.IFNA(VLOOKUP($D72,'Route-Details'!$B$2:$X$1048576,'Node Details'!J$1,0),"")</f>
        <v>1GF</v>
      </c>
      <c r="K72" s="101">
        <v>45229</v>
      </c>
      <c r="L72" s="101">
        <v>45229</v>
      </c>
      <c r="M72" s="102" t="s">
        <v>193</v>
      </c>
      <c r="N72" s="55"/>
      <c r="O72" s="61"/>
      <c r="P72" s="61"/>
      <c r="Q72" s="54"/>
      <c r="R72" s="61"/>
      <c r="S72" s="61"/>
      <c r="T72" s="61"/>
      <c r="U72" s="62"/>
      <c r="W72" s="63"/>
      <c r="X72" s="61"/>
      <c r="Y72" s="61"/>
      <c r="Z72" s="62"/>
      <c r="AB72" s="63"/>
      <c r="AC72" s="61"/>
      <c r="AD72" s="61"/>
      <c r="AE72" s="61"/>
      <c r="AF72" s="52">
        <f t="shared" si="10"/>
        <v>0</v>
      </c>
      <c r="AH72" s="63"/>
      <c r="AI72" s="61"/>
      <c r="AJ72" s="54">
        <v>20</v>
      </c>
      <c r="AK72" s="47">
        <f t="shared" si="11"/>
        <v>0</v>
      </c>
      <c r="AL72" s="61"/>
      <c r="AM72" s="61"/>
      <c r="AN72" s="47">
        <f t="shared" si="12"/>
        <v>0</v>
      </c>
      <c r="AO72" s="48">
        <f t="shared" si="13"/>
        <v>0</v>
      </c>
      <c r="AQ72" s="63"/>
      <c r="AR72" s="61"/>
      <c r="AS72" s="57">
        <f t="shared" si="14"/>
        <v>20</v>
      </c>
      <c r="AT72" s="52">
        <f t="shared" si="15"/>
        <v>0</v>
      </c>
      <c r="AV72" s="63"/>
      <c r="AW72" s="61"/>
      <c r="AX72" s="58">
        <f t="shared" si="16"/>
        <v>20</v>
      </c>
      <c r="AY72" s="58">
        <f t="shared" si="17"/>
        <v>0</v>
      </c>
      <c r="AZ72" s="59">
        <f t="shared" si="18"/>
        <v>0</v>
      </c>
      <c r="BB72" s="60"/>
    </row>
    <row r="73" spans="1:54" s="45" customFormat="1" ht="11.1" customHeight="1" x14ac:dyDescent="0.2">
      <c r="A73" s="53">
        <f t="shared" si="19"/>
        <v>71</v>
      </c>
      <c r="B73" s="90" t="s">
        <v>198</v>
      </c>
      <c r="C73" s="104" t="s">
        <v>135</v>
      </c>
      <c r="D73" s="101" t="s">
        <v>134</v>
      </c>
      <c r="E73" s="111" t="str">
        <f>_xlfn.IFNA(VLOOKUP($D73,'Route-Details'!$B$2:$X$1048576,'Node Details'!E$1,0),"")</f>
        <v>Airtel</v>
      </c>
      <c r="F73" s="111" t="str">
        <f>_xlfn.IFNA(VLOOKUP($D73,'Route-Details'!$B$2:$X$1048576,'Node Details'!F$1,0),"")</f>
        <v>Gorai</v>
      </c>
      <c r="G73" s="111" t="str">
        <f>_xlfn.IFNA(VLOOKUP($D73,'Route-Details'!$B$2:$X$1048576,'Node Details'!G$1,0),"")</f>
        <v>Mumbai</v>
      </c>
      <c r="H73" s="111" t="str">
        <f>_xlfn.IFNA(VLOOKUP($D74,'Route-Details'!$B$2:$X$1048576,'Node Details'!H$1,0),"")</f>
        <v>Mumbai</v>
      </c>
      <c r="I73" s="111" t="str">
        <f>_xlfn.IFNA(VLOOKUP($D73,'Route-Details'!$B$2:$X$1048576,'Node Details'!I$1,0),"")</f>
        <v>1GF</v>
      </c>
      <c r="J73" s="111" t="str">
        <f>_xlfn.IFNA(VLOOKUP($D73,'Route-Details'!$B$2:$X$1048576,'Node Details'!J$1,0),"")</f>
        <v>1GF</v>
      </c>
      <c r="K73" s="101">
        <v>45229</v>
      </c>
      <c r="L73" s="101">
        <v>45229</v>
      </c>
      <c r="M73" s="102" t="s">
        <v>193</v>
      </c>
      <c r="N73" s="55"/>
      <c r="O73" s="61"/>
      <c r="P73" s="61"/>
      <c r="Q73" s="54"/>
      <c r="R73" s="61"/>
      <c r="S73" s="61"/>
      <c r="T73" s="61"/>
      <c r="U73" s="62"/>
      <c r="W73" s="63"/>
      <c r="X73" s="61"/>
      <c r="Y73" s="61"/>
      <c r="Z73" s="62"/>
      <c r="AB73" s="63"/>
      <c r="AC73" s="61"/>
      <c r="AD73" s="61"/>
      <c r="AE73" s="61"/>
      <c r="AF73" s="52">
        <f t="shared" si="10"/>
        <v>0</v>
      </c>
      <c r="AH73" s="63"/>
      <c r="AI73" s="61"/>
      <c r="AJ73" s="54">
        <v>20</v>
      </c>
      <c r="AK73" s="47">
        <f t="shared" si="11"/>
        <v>0</v>
      </c>
      <c r="AL73" s="61"/>
      <c r="AM73" s="61"/>
      <c r="AN73" s="47">
        <f t="shared" si="12"/>
        <v>0</v>
      </c>
      <c r="AO73" s="48">
        <f t="shared" si="13"/>
        <v>0</v>
      </c>
      <c r="AQ73" s="63"/>
      <c r="AR73" s="61"/>
      <c r="AS73" s="57">
        <f t="shared" si="14"/>
        <v>20</v>
      </c>
      <c r="AT73" s="52">
        <f t="shared" si="15"/>
        <v>0</v>
      </c>
      <c r="AV73" s="63"/>
      <c r="AW73" s="61"/>
      <c r="AX73" s="58">
        <f t="shared" si="16"/>
        <v>20</v>
      </c>
      <c r="AY73" s="58">
        <f t="shared" si="17"/>
        <v>0</v>
      </c>
      <c r="AZ73" s="59">
        <f t="shared" si="18"/>
        <v>0</v>
      </c>
      <c r="BB73" s="60"/>
    </row>
    <row r="74" spans="1:54" s="45" customFormat="1" ht="11.1" customHeight="1" x14ac:dyDescent="0.2">
      <c r="A74" s="53">
        <f t="shared" si="19"/>
        <v>72</v>
      </c>
      <c r="B74" s="90" t="s">
        <v>199</v>
      </c>
      <c r="C74" s="104" t="s">
        <v>96</v>
      </c>
      <c r="D74" s="101" t="s">
        <v>95</v>
      </c>
      <c r="E74" s="111" t="str">
        <f>_xlfn.IFNA(VLOOKUP($D74,'Route-Details'!$B$2:$X$1048576,'Node Details'!E$1,0),"")</f>
        <v>Airtel</v>
      </c>
      <c r="F74" s="111" t="str">
        <f>_xlfn.IFNA(VLOOKUP($D74,'Route-Details'!$B$2:$X$1048576,'Node Details'!F$1,0),"")</f>
        <v>Gorai</v>
      </c>
      <c r="G74" s="111" t="str">
        <f>_xlfn.IFNA(VLOOKUP($D74,'Route-Details'!$B$2:$X$1048576,'Node Details'!G$1,0),"")</f>
        <v>Mumbai</v>
      </c>
      <c r="H74" s="111" t="str">
        <f>_xlfn.IFNA(VLOOKUP($D75,'Route-Details'!$B$2:$X$1048576,'Node Details'!H$1,0),"")</f>
        <v>Mumbai</v>
      </c>
      <c r="I74" s="111" t="str">
        <f>_xlfn.IFNA(VLOOKUP($D74,'Route-Details'!$B$2:$X$1048576,'Node Details'!I$1,0),"")</f>
        <v>1GF</v>
      </c>
      <c r="J74" s="111" t="str">
        <f>_xlfn.IFNA(VLOOKUP($D74,'Route-Details'!$B$2:$X$1048576,'Node Details'!J$1,0),"")</f>
        <v>1GF</v>
      </c>
      <c r="K74" s="101">
        <v>45092</v>
      </c>
      <c r="L74" s="101">
        <v>45092</v>
      </c>
      <c r="M74" s="102" t="s">
        <v>193</v>
      </c>
      <c r="N74" s="55"/>
      <c r="O74" s="61"/>
      <c r="P74" s="61"/>
      <c r="Q74" s="54"/>
      <c r="R74" s="103" t="s">
        <v>94</v>
      </c>
      <c r="S74" s="104">
        <v>51</v>
      </c>
      <c r="T74" s="104">
        <v>51</v>
      </c>
      <c r="U74" s="104">
        <v>51</v>
      </c>
      <c r="W74" s="64" t="s">
        <v>84</v>
      </c>
      <c r="X74" s="104">
        <v>14000</v>
      </c>
      <c r="Y74" s="109">
        <v>45181</v>
      </c>
      <c r="Z74" s="106">
        <v>102</v>
      </c>
      <c r="AB74" s="104">
        <v>51</v>
      </c>
      <c r="AC74" s="65" t="s">
        <v>85</v>
      </c>
      <c r="AD74" s="103" t="s">
        <v>94</v>
      </c>
      <c r="AE74" s="54">
        <v>20</v>
      </c>
      <c r="AF74" s="52">
        <f t="shared" si="10"/>
        <v>1020</v>
      </c>
      <c r="AH74" s="98" t="s">
        <v>86</v>
      </c>
      <c r="AI74" s="104">
        <v>51</v>
      </c>
      <c r="AJ74" s="54">
        <v>20</v>
      </c>
      <c r="AK74" s="47">
        <f t="shared" si="11"/>
        <v>1020</v>
      </c>
      <c r="AL74" s="61"/>
      <c r="AM74" s="61"/>
      <c r="AN74" s="47">
        <f t="shared" si="12"/>
        <v>0</v>
      </c>
      <c r="AO74" s="48">
        <f t="shared" si="13"/>
        <v>1020</v>
      </c>
      <c r="AQ74" s="98" t="s">
        <v>141</v>
      </c>
      <c r="AR74" s="112">
        <v>45461</v>
      </c>
      <c r="AS74" s="57">
        <f t="shared" si="14"/>
        <v>20</v>
      </c>
      <c r="AT74" s="52">
        <f t="shared" si="15"/>
        <v>1020</v>
      </c>
      <c r="AV74" s="98" t="s">
        <v>142</v>
      </c>
      <c r="AW74" s="99">
        <v>45461</v>
      </c>
      <c r="AX74" s="58">
        <f t="shared" si="16"/>
        <v>20</v>
      </c>
      <c r="AY74" s="58">
        <f t="shared" si="17"/>
        <v>51</v>
      </c>
      <c r="AZ74" s="59">
        <f t="shared" si="18"/>
        <v>1020</v>
      </c>
      <c r="BB74" s="60"/>
    </row>
    <row r="75" spans="1:54" s="45" customFormat="1" ht="11.1" customHeight="1" x14ac:dyDescent="0.2">
      <c r="A75" s="53">
        <f t="shared" si="19"/>
        <v>73</v>
      </c>
      <c r="B75" s="90" t="s">
        <v>200</v>
      </c>
      <c r="C75" s="104" t="s">
        <v>96</v>
      </c>
      <c r="D75" s="101" t="s">
        <v>95</v>
      </c>
      <c r="E75" s="111" t="str">
        <f>_xlfn.IFNA(VLOOKUP($D75,'Route-Details'!$B$2:$X$1048576,'Node Details'!E$1,0),"")</f>
        <v>Airtel</v>
      </c>
      <c r="F75" s="111" t="str">
        <f>_xlfn.IFNA(VLOOKUP($D75,'Route-Details'!$B$2:$X$1048576,'Node Details'!F$1,0),"")</f>
        <v>Gorai</v>
      </c>
      <c r="G75" s="111" t="str">
        <f>_xlfn.IFNA(VLOOKUP($D75,'Route-Details'!$B$2:$X$1048576,'Node Details'!G$1,0),"")</f>
        <v>Mumbai</v>
      </c>
      <c r="H75" s="111" t="str">
        <f>_xlfn.IFNA(VLOOKUP($D76,'Route-Details'!$B$2:$X$1048576,'Node Details'!H$1,0),"")</f>
        <v>Mumbai</v>
      </c>
      <c r="I75" s="111" t="str">
        <f>_xlfn.IFNA(VLOOKUP($D75,'Route-Details'!$B$2:$X$1048576,'Node Details'!I$1,0),"")</f>
        <v>1GF</v>
      </c>
      <c r="J75" s="111" t="str">
        <f>_xlfn.IFNA(VLOOKUP($D75,'Route-Details'!$B$2:$X$1048576,'Node Details'!J$1,0),"")</f>
        <v>1GF</v>
      </c>
      <c r="K75" s="101">
        <v>45092</v>
      </c>
      <c r="L75" s="101">
        <v>45092</v>
      </c>
      <c r="M75" s="102" t="s">
        <v>193</v>
      </c>
      <c r="N75" s="55"/>
      <c r="O75" s="61"/>
      <c r="P75" s="61"/>
      <c r="Q75" s="54"/>
      <c r="R75" s="61"/>
      <c r="S75" s="61"/>
      <c r="T75" s="61"/>
      <c r="U75" s="62"/>
      <c r="W75" s="64" t="s">
        <v>84</v>
      </c>
      <c r="X75" s="104">
        <v>14000</v>
      </c>
      <c r="Y75" s="109">
        <v>45181</v>
      </c>
      <c r="Z75" s="106">
        <v>102</v>
      </c>
      <c r="AB75" s="63"/>
      <c r="AC75" s="61"/>
      <c r="AD75" s="61"/>
      <c r="AE75" s="61"/>
      <c r="AF75" s="52">
        <f t="shared" si="10"/>
        <v>0</v>
      </c>
      <c r="AH75" s="98" t="s">
        <v>86</v>
      </c>
      <c r="AI75" s="61"/>
      <c r="AJ75" s="54">
        <v>20</v>
      </c>
      <c r="AK75" s="47">
        <f t="shared" si="11"/>
        <v>0</v>
      </c>
      <c r="AL75" s="61"/>
      <c r="AM75" s="61"/>
      <c r="AN75" s="47">
        <f t="shared" si="12"/>
        <v>0</v>
      </c>
      <c r="AO75" s="48">
        <f t="shared" si="13"/>
        <v>0</v>
      </c>
      <c r="AQ75" s="98" t="s">
        <v>141</v>
      </c>
      <c r="AR75" s="112">
        <v>45461</v>
      </c>
      <c r="AS75" s="57">
        <f t="shared" si="14"/>
        <v>20</v>
      </c>
      <c r="AT75" s="52">
        <f t="shared" si="15"/>
        <v>0</v>
      </c>
      <c r="AV75" s="98" t="s">
        <v>142</v>
      </c>
      <c r="AW75" s="99">
        <v>45461</v>
      </c>
      <c r="AX75" s="58">
        <f t="shared" si="16"/>
        <v>20</v>
      </c>
      <c r="AY75" s="58">
        <f t="shared" si="17"/>
        <v>0</v>
      </c>
      <c r="AZ75" s="59">
        <f t="shared" si="18"/>
        <v>0</v>
      </c>
      <c r="BB75" s="60"/>
    </row>
    <row r="76" spans="1:54" s="45" customFormat="1" ht="11.1" customHeight="1" x14ac:dyDescent="0.2">
      <c r="A76" s="53">
        <f t="shared" si="19"/>
        <v>74</v>
      </c>
      <c r="B76" s="90" t="s">
        <v>138</v>
      </c>
      <c r="C76" s="104" t="s">
        <v>139</v>
      </c>
      <c r="D76" s="101" t="s">
        <v>95</v>
      </c>
      <c r="E76" s="111" t="str">
        <f>_xlfn.IFNA(VLOOKUP($D76,'Route-Details'!$B$2:$X$1048576,'Node Details'!E$1,0),"")</f>
        <v>Airtel</v>
      </c>
      <c r="F76" s="111" t="str">
        <f>_xlfn.IFNA(VLOOKUP($D76,'Route-Details'!$B$2:$X$1048576,'Node Details'!F$1,0),"")</f>
        <v>Gorai</v>
      </c>
      <c r="G76" s="111" t="str">
        <f>_xlfn.IFNA(VLOOKUP($D76,'Route-Details'!$B$2:$X$1048576,'Node Details'!G$1,0),"")</f>
        <v>Mumbai</v>
      </c>
      <c r="H76" s="111" t="str">
        <f>_xlfn.IFNA(VLOOKUP($D77,'Route-Details'!$B$2:$X$1048576,'Node Details'!H$1,0),"")</f>
        <v>Mumbai</v>
      </c>
      <c r="I76" s="111" t="str">
        <f>_xlfn.IFNA(VLOOKUP($D76,'Route-Details'!$B$2:$X$1048576,'Node Details'!I$1,0),"")</f>
        <v>1GF</v>
      </c>
      <c r="J76" s="111" t="str">
        <f>_xlfn.IFNA(VLOOKUP($D76,'Route-Details'!$B$2:$X$1048576,'Node Details'!J$1,0),"")</f>
        <v>1GF</v>
      </c>
      <c r="K76" s="101">
        <v>45092</v>
      </c>
      <c r="L76" s="101">
        <v>45092</v>
      </c>
      <c r="M76" s="102" t="s">
        <v>193</v>
      </c>
      <c r="N76" s="55"/>
      <c r="O76" s="61"/>
      <c r="P76" s="61"/>
      <c r="Q76" s="54"/>
      <c r="R76" s="103" t="s">
        <v>94</v>
      </c>
      <c r="S76" s="104">
        <v>140</v>
      </c>
      <c r="T76" s="104">
        <v>140</v>
      </c>
      <c r="U76" s="104">
        <v>140</v>
      </c>
      <c r="W76" s="64" t="s">
        <v>84</v>
      </c>
      <c r="X76" s="104">
        <v>14000</v>
      </c>
      <c r="Y76" s="109">
        <v>45181</v>
      </c>
      <c r="Z76" s="106">
        <v>102</v>
      </c>
      <c r="AB76" s="104">
        <v>140</v>
      </c>
      <c r="AC76" s="65" t="s">
        <v>85</v>
      </c>
      <c r="AD76" s="103" t="s">
        <v>94</v>
      </c>
      <c r="AE76" s="54">
        <v>20</v>
      </c>
      <c r="AF76" s="52">
        <f t="shared" si="10"/>
        <v>2800</v>
      </c>
      <c r="AH76" s="98" t="s">
        <v>86</v>
      </c>
      <c r="AI76" s="104">
        <v>140</v>
      </c>
      <c r="AJ76" s="54">
        <v>20</v>
      </c>
      <c r="AK76" s="47">
        <f t="shared" si="11"/>
        <v>2800</v>
      </c>
      <c r="AL76" s="61"/>
      <c r="AM76" s="61"/>
      <c r="AN76" s="47">
        <f t="shared" si="12"/>
        <v>0</v>
      </c>
      <c r="AO76" s="48">
        <f t="shared" si="13"/>
        <v>2800</v>
      </c>
      <c r="AQ76" s="98" t="s">
        <v>141</v>
      </c>
      <c r="AR76" s="112">
        <v>45461</v>
      </c>
      <c r="AS76" s="57">
        <f t="shared" si="14"/>
        <v>20</v>
      </c>
      <c r="AT76" s="52">
        <f t="shared" si="15"/>
        <v>2800</v>
      </c>
      <c r="AV76" s="98" t="s">
        <v>142</v>
      </c>
      <c r="AW76" s="99">
        <v>45461</v>
      </c>
      <c r="AX76" s="58">
        <f t="shared" si="16"/>
        <v>20</v>
      </c>
      <c r="AY76" s="58">
        <f t="shared" si="17"/>
        <v>140</v>
      </c>
      <c r="AZ76" s="59">
        <f t="shared" si="18"/>
        <v>2800</v>
      </c>
      <c r="BB76" s="60"/>
    </row>
    <row r="77" spans="1:54" s="45" customFormat="1" ht="11.1" customHeight="1" x14ac:dyDescent="0.2">
      <c r="A77" s="53">
        <f t="shared" si="19"/>
        <v>75</v>
      </c>
      <c r="B77" s="90" t="s">
        <v>201</v>
      </c>
      <c r="C77" s="104" t="s">
        <v>139</v>
      </c>
      <c r="D77" s="101" t="s">
        <v>95</v>
      </c>
      <c r="E77" s="111" t="str">
        <f>_xlfn.IFNA(VLOOKUP($D77,'Route-Details'!$B$2:$X$1048576,'Node Details'!E$1,0),"")</f>
        <v>Airtel</v>
      </c>
      <c r="F77" s="111" t="str">
        <f>_xlfn.IFNA(VLOOKUP($D77,'Route-Details'!$B$2:$X$1048576,'Node Details'!F$1,0),"")</f>
        <v>Gorai</v>
      </c>
      <c r="G77" s="111" t="str">
        <f>_xlfn.IFNA(VLOOKUP($D77,'Route-Details'!$B$2:$X$1048576,'Node Details'!G$1,0),"")</f>
        <v>Mumbai</v>
      </c>
      <c r="H77" s="111" t="str">
        <f>_xlfn.IFNA(VLOOKUP($D78,'Route-Details'!$B$2:$X$1048576,'Node Details'!H$1,0),"")</f>
        <v>Mumbai</v>
      </c>
      <c r="I77" s="111" t="str">
        <f>_xlfn.IFNA(VLOOKUP($D77,'Route-Details'!$B$2:$X$1048576,'Node Details'!I$1,0),"")</f>
        <v>1GF</v>
      </c>
      <c r="J77" s="111" t="str">
        <f>_xlfn.IFNA(VLOOKUP($D77,'Route-Details'!$B$2:$X$1048576,'Node Details'!J$1,0),"")</f>
        <v>1GF</v>
      </c>
      <c r="K77" s="101">
        <v>45092</v>
      </c>
      <c r="L77" s="101">
        <v>45092</v>
      </c>
      <c r="M77" s="102" t="s">
        <v>193</v>
      </c>
      <c r="N77" s="55"/>
      <c r="O77" s="61"/>
      <c r="P77" s="61"/>
      <c r="Q77" s="54"/>
      <c r="R77" s="61"/>
      <c r="S77" s="61"/>
      <c r="T77" s="61"/>
      <c r="U77" s="62"/>
      <c r="W77" s="64" t="s">
        <v>84</v>
      </c>
      <c r="X77" s="104">
        <v>14000</v>
      </c>
      <c r="Y77" s="109">
        <v>45181</v>
      </c>
      <c r="Z77" s="106">
        <v>102</v>
      </c>
      <c r="AB77" s="63"/>
      <c r="AC77" s="61"/>
      <c r="AD77" s="61"/>
      <c r="AE77" s="61"/>
      <c r="AF77" s="52">
        <f t="shared" si="10"/>
        <v>0</v>
      </c>
      <c r="AH77" s="98" t="s">
        <v>86</v>
      </c>
      <c r="AI77" s="61"/>
      <c r="AJ77" s="54">
        <v>20</v>
      </c>
      <c r="AK77" s="47">
        <f t="shared" si="11"/>
        <v>0</v>
      </c>
      <c r="AL77" s="61"/>
      <c r="AM77" s="61"/>
      <c r="AN77" s="47">
        <f t="shared" si="12"/>
        <v>0</v>
      </c>
      <c r="AO77" s="48">
        <f t="shared" si="13"/>
        <v>0</v>
      </c>
      <c r="AQ77" s="98" t="s">
        <v>141</v>
      </c>
      <c r="AR77" s="112">
        <v>45461</v>
      </c>
      <c r="AS77" s="57">
        <f t="shared" si="14"/>
        <v>20</v>
      </c>
      <c r="AT77" s="52">
        <f t="shared" si="15"/>
        <v>0</v>
      </c>
      <c r="AV77" s="98" t="s">
        <v>142</v>
      </c>
      <c r="AW77" s="99">
        <v>45461</v>
      </c>
      <c r="AX77" s="58">
        <f t="shared" si="16"/>
        <v>20</v>
      </c>
      <c r="AY77" s="58">
        <f t="shared" si="17"/>
        <v>0</v>
      </c>
      <c r="AZ77" s="59">
        <f t="shared" si="18"/>
        <v>0</v>
      </c>
      <c r="BB77" s="60"/>
    </row>
    <row r="78" spans="1:54" s="45" customFormat="1" ht="11.1" customHeight="1" x14ac:dyDescent="0.2">
      <c r="A78" s="53">
        <f t="shared" si="19"/>
        <v>76</v>
      </c>
      <c r="B78" s="90" t="s">
        <v>140</v>
      </c>
      <c r="C78" s="104" t="s">
        <v>139</v>
      </c>
      <c r="D78" s="101" t="s">
        <v>95</v>
      </c>
      <c r="E78" s="111" t="str">
        <f>_xlfn.IFNA(VLOOKUP($D78,'Route-Details'!$B$2:$X$1048576,'Node Details'!E$1,0),"")</f>
        <v>Airtel</v>
      </c>
      <c r="F78" s="111" t="str">
        <f>_xlfn.IFNA(VLOOKUP($D78,'Route-Details'!$B$2:$X$1048576,'Node Details'!F$1,0),"")</f>
        <v>Gorai</v>
      </c>
      <c r="G78" s="111" t="str">
        <f>_xlfn.IFNA(VLOOKUP($D78,'Route-Details'!$B$2:$X$1048576,'Node Details'!G$1,0),"")</f>
        <v>Mumbai</v>
      </c>
      <c r="H78" s="111" t="str">
        <f>_xlfn.IFNA(VLOOKUP($D79,'Route-Details'!$B$2:$X$1048576,'Node Details'!H$1,0),"")</f>
        <v>Mumbai</v>
      </c>
      <c r="I78" s="111" t="str">
        <f>_xlfn.IFNA(VLOOKUP($D78,'Route-Details'!$B$2:$X$1048576,'Node Details'!I$1,0),"")</f>
        <v>1GF</v>
      </c>
      <c r="J78" s="111" t="str">
        <f>_xlfn.IFNA(VLOOKUP($D78,'Route-Details'!$B$2:$X$1048576,'Node Details'!J$1,0),"")</f>
        <v>1GF</v>
      </c>
      <c r="K78" s="101">
        <v>45092</v>
      </c>
      <c r="L78" s="101">
        <v>45092</v>
      </c>
      <c r="M78" s="102" t="s">
        <v>193</v>
      </c>
      <c r="N78" s="55"/>
      <c r="O78" s="61"/>
      <c r="P78" s="61"/>
      <c r="Q78" s="54"/>
      <c r="R78" s="61"/>
      <c r="S78" s="61"/>
      <c r="T78" s="61"/>
      <c r="U78" s="62"/>
      <c r="W78" s="64" t="s">
        <v>84</v>
      </c>
      <c r="X78" s="104">
        <v>14000</v>
      </c>
      <c r="Y78" s="109">
        <v>45181</v>
      </c>
      <c r="Z78" s="106">
        <v>102</v>
      </c>
      <c r="AB78" s="63"/>
      <c r="AC78" s="61"/>
      <c r="AD78" s="61"/>
      <c r="AE78" s="61"/>
      <c r="AF78" s="52">
        <f t="shared" si="10"/>
        <v>0</v>
      </c>
      <c r="AH78" s="98" t="s">
        <v>86</v>
      </c>
      <c r="AI78" s="61"/>
      <c r="AJ78" s="54">
        <v>20</v>
      </c>
      <c r="AK78" s="47">
        <f t="shared" si="11"/>
        <v>0</v>
      </c>
      <c r="AL78" s="61"/>
      <c r="AM78" s="61"/>
      <c r="AN78" s="47">
        <f t="shared" si="12"/>
        <v>0</v>
      </c>
      <c r="AO78" s="48">
        <f t="shared" si="13"/>
        <v>0</v>
      </c>
      <c r="AQ78" s="98" t="s">
        <v>141</v>
      </c>
      <c r="AR78" s="112">
        <v>45461</v>
      </c>
      <c r="AS78" s="57">
        <f t="shared" si="14"/>
        <v>20</v>
      </c>
      <c r="AT78" s="52">
        <f t="shared" si="15"/>
        <v>0</v>
      </c>
      <c r="AV78" s="98" t="s">
        <v>142</v>
      </c>
      <c r="AW78" s="99">
        <v>45461</v>
      </c>
      <c r="AX78" s="58">
        <f t="shared" si="16"/>
        <v>20</v>
      </c>
      <c r="AY78" s="58">
        <f t="shared" si="17"/>
        <v>0</v>
      </c>
      <c r="AZ78" s="59">
        <f t="shared" si="18"/>
        <v>0</v>
      </c>
      <c r="BB78" s="60"/>
    </row>
    <row r="79" spans="1:54" s="45" customFormat="1" ht="11.1" customHeight="1" x14ac:dyDescent="0.2">
      <c r="A79" s="53">
        <f t="shared" si="19"/>
        <v>77</v>
      </c>
      <c r="B79" s="90" t="s">
        <v>144</v>
      </c>
      <c r="C79" s="104" t="s">
        <v>145</v>
      </c>
      <c r="D79" s="101" t="s">
        <v>95</v>
      </c>
      <c r="E79" s="111" t="str">
        <f>_xlfn.IFNA(VLOOKUP($D79,'Route-Details'!$B$2:$X$1048576,'Node Details'!E$1,0),"")</f>
        <v>Airtel</v>
      </c>
      <c r="F79" s="111" t="str">
        <f>_xlfn.IFNA(VLOOKUP($D79,'Route-Details'!$B$2:$X$1048576,'Node Details'!F$1,0),"")</f>
        <v>Gorai</v>
      </c>
      <c r="G79" s="111" t="str">
        <f>_xlfn.IFNA(VLOOKUP($D79,'Route-Details'!$B$2:$X$1048576,'Node Details'!G$1,0),"")</f>
        <v>Mumbai</v>
      </c>
      <c r="H79" s="111" t="str">
        <f>_xlfn.IFNA(VLOOKUP($D80,'Route-Details'!$B$2:$X$1048576,'Node Details'!H$1,0),"")</f>
        <v>Mumbai</v>
      </c>
      <c r="I79" s="111" t="str">
        <f>_xlfn.IFNA(VLOOKUP($D79,'Route-Details'!$B$2:$X$1048576,'Node Details'!I$1,0),"")</f>
        <v>1GF</v>
      </c>
      <c r="J79" s="111" t="str">
        <f>_xlfn.IFNA(VLOOKUP($D79,'Route-Details'!$B$2:$X$1048576,'Node Details'!J$1,0),"")</f>
        <v>1GF</v>
      </c>
      <c r="K79" s="101">
        <v>45092</v>
      </c>
      <c r="L79" s="101">
        <v>45092</v>
      </c>
      <c r="M79" s="102" t="s">
        <v>193</v>
      </c>
      <c r="N79" s="55"/>
      <c r="O79" s="61"/>
      <c r="P79" s="61"/>
      <c r="Q79" s="54"/>
      <c r="R79" s="103" t="s">
        <v>94</v>
      </c>
      <c r="S79" s="104">
        <v>170</v>
      </c>
      <c r="T79" s="104">
        <v>170</v>
      </c>
      <c r="U79" s="104">
        <v>170</v>
      </c>
      <c r="W79" s="64" t="s">
        <v>84</v>
      </c>
      <c r="X79" s="104">
        <v>14000</v>
      </c>
      <c r="Y79" s="109">
        <v>45181</v>
      </c>
      <c r="Z79" s="106">
        <v>102</v>
      </c>
      <c r="AB79" s="104">
        <v>170</v>
      </c>
      <c r="AC79" s="65" t="s">
        <v>85</v>
      </c>
      <c r="AD79" s="103" t="s">
        <v>94</v>
      </c>
      <c r="AE79" s="54">
        <v>20</v>
      </c>
      <c r="AF79" s="52">
        <f t="shared" si="10"/>
        <v>3400</v>
      </c>
      <c r="AH79" s="98" t="s">
        <v>86</v>
      </c>
      <c r="AI79" s="104">
        <v>170</v>
      </c>
      <c r="AJ79" s="54">
        <v>20</v>
      </c>
      <c r="AK79" s="47">
        <f t="shared" si="11"/>
        <v>3400</v>
      </c>
      <c r="AL79" s="61"/>
      <c r="AM79" s="61"/>
      <c r="AN79" s="47">
        <f t="shared" si="12"/>
        <v>0</v>
      </c>
      <c r="AO79" s="48">
        <f t="shared" si="13"/>
        <v>3400</v>
      </c>
      <c r="AQ79" s="98" t="s">
        <v>141</v>
      </c>
      <c r="AR79" s="112">
        <v>45461</v>
      </c>
      <c r="AS79" s="57">
        <f t="shared" si="14"/>
        <v>20</v>
      </c>
      <c r="AT79" s="52">
        <f t="shared" si="15"/>
        <v>3400</v>
      </c>
      <c r="AV79" s="98" t="s">
        <v>142</v>
      </c>
      <c r="AW79" s="99">
        <v>45461</v>
      </c>
      <c r="AX79" s="58">
        <f t="shared" si="16"/>
        <v>20</v>
      </c>
      <c r="AY79" s="58">
        <f t="shared" si="17"/>
        <v>170</v>
      </c>
      <c r="AZ79" s="59">
        <f t="shared" si="18"/>
        <v>3400</v>
      </c>
      <c r="BB79" s="60"/>
    </row>
    <row r="80" spans="1:54" s="45" customFormat="1" ht="11.1" customHeight="1" x14ac:dyDescent="0.2">
      <c r="A80" s="53">
        <f t="shared" si="19"/>
        <v>78</v>
      </c>
      <c r="B80" s="90" t="s">
        <v>202</v>
      </c>
      <c r="C80" s="104" t="s">
        <v>145</v>
      </c>
      <c r="D80" s="101" t="s">
        <v>95</v>
      </c>
      <c r="E80" s="111" t="str">
        <f>_xlfn.IFNA(VLOOKUP($D80,'Route-Details'!$B$2:$X$1048576,'Node Details'!E$1,0),"")</f>
        <v>Airtel</v>
      </c>
      <c r="F80" s="111" t="str">
        <f>_xlfn.IFNA(VLOOKUP($D80,'Route-Details'!$B$2:$X$1048576,'Node Details'!F$1,0),"")</f>
        <v>Gorai</v>
      </c>
      <c r="G80" s="111" t="str">
        <f>_xlfn.IFNA(VLOOKUP($D80,'Route-Details'!$B$2:$X$1048576,'Node Details'!G$1,0),"")</f>
        <v>Mumbai</v>
      </c>
      <c r="H80" s="111" t="str">
        <f>_xlfn.IFNA(VLOOKUP($D81,'Route-Details'!$B$2:$X$1048576,'Node Details'!H$1,0),"")</f>
        <v>Mumbai</v>
      </c>
      <c r="I80" s="111" t="str">
        <f>_xlfn.IFNA(VLOOKUP($D80,'Route-Details'!$B$2:$X$1048576,'Node Details'!I$1,0),"")</f>
        <v>1GF</v>
      </c>
      <c r="J80" s="111" t="str">
        <f>_xlfn.IFNA(VLOOKUP($D80,'Route-Details'!$B$2:$X$1048576,'Node Details'!J$1,0),"")</f>
        <v>1GF</v>
      </c>
      <c r="K80" s="101">
        <v>45092</v>
      </c>
      <c r="L80" s="101">
        <v>45092</v>
      </c>
      <c r="M80" s="102" t="s">
        <v>193</v>
      </c>
      <c r="N80" s="55"/>
      <c r="O80" s="61"/>
      <c r="P80" s="61"/>
      <c r="Q80" s="54"/>
      <c r="R80" s="61"/>
      <c r="S80" s="61"/>
      <c r="T80" s="61"/>
      <c r="U80" s="62"/>
      <c r="W80" s="64" t="s">
        <v>84</v>
      </c>
      <c r="X80" s="104">
        <v>14000</v>
      </c>
      <c r="Y80" s="109">
        <v>45181</v>
      </c>
      <c r="Z80" s="106">
        <v>102</v>
      </c>
      <c r="AB80" s="63"/>
      <c r="AC80" s="61"/>
      <c r="AD80" s="61"/>
      <c r="AE80" s="61"/>
      <c r="AF80" s="52">
        <f t="shared" si="10"/>
        <v>0</v>
      </c>
      <c r="AH80" s="98" t="s">
        <v>86</v>
      </c>
      <c r="AI80" s="61"/>
      <c r="AJ80" s="61"/>
      <c r="AK80" s="47">
        <f t="shared" si="11"/>
        <v>0</v>
      </c>
      <c r="AL80" s="61"/>
      <c r="AM80" s="61"/>
      <c r="AN80" s="47">
        <f t="shared" si="12"/>
        <v>0</v>
      </c>
      <c r="AO80" s="48">
        <f t="shared" si="13"/>
        <v>0</v>
      </c>
      <c r="AQ80" s="98" t="s">
        <v>141</v>
      </c>
      <c r="AR80" s="112">
        <v>45461</v>
      </c>
      <c r="AS80" s="57">
        <f t="shared" si="14"/>
        <v>0</v>
      </c>
      <c r="AT80" s="52">
        <f t="shared" si="15"/>
        <v>0</v>
      </c>
      <c r="AV80" s="98" t="s">
        <v>142</v>
      </c>
      <c r="AW80" s="99">
        <v>45461</v>
      </c>
      <c r="AX80" s="58">
        <f t="shared" si="16"/>
        <v>0</v>
      </c>
      <c r="AY80" s="58">
        <f t="shared" si="17"/>
        <v>0</v>
      </c>
      <c r="AZ80" s="59">
        <f t="shared" si="18"/>
        <v>0</v>
      </c>
      <c r="BB80" s="60"/>
    </row>
    <row r="81" spans="1:54" s="45" customFormat="1" ht="11.1" customHeight="1" x14ac:dyDescent="0.2">
      <c r="A81" s="53">
        <f t="shared" si="19"/>
        <v>79</v>
      </c>
      <c r="B81" s="90" t="s">
        <v>203</v>
      </c>
      <c r="C81" s="104" t="s">
        <v>145</v>
      </c>
      <c r="D81" s="101" t="s">
        <v>95</v>
      </c>
      <c r="E81" s="111" t="str">
        <f>_xlfn.IFNA(VLOOKUP($D81,'Route-Details'!$B$2:$X$1048576,'Node Details'!E$1,0),"")</f>
        <v>Airtel</v>
      </c>
      <c r="F81" s="111" t="str">
        <f>_xlfn.IFNA(VLOOKUP($D81,'Route-Details'!$B$2:$X$1048576,'Node Details'!F$1,0),"")</f>
        <v>Gorai</v>
      </c>
      <c r="G81" s="111" t="str">
        <f>_xlfn.IFNA(VLOOKUP($D81,'Route-Details'!$B$2:$X$1048576,'Node Details'!G$1,0),"")</f>
        <v>Mumbai</v>
      </c>
      <c r="H81" s="111" t="str">
        <f>_xlfn.IFNA(VLOOKUP($D82,'Route-Details'!$B$2:$X$1048576,'Node Details'!H$1,0),"")</f>
        <v/>
      </c>
      <c r="I81" s="111" t="str">
        <f>_xlfn.IFNA(VLOOKUP($D81,'Route-Details'!$B$2:$X$1048576,'Node Details'!I$1,0),"")</f>
        <v>1GF</v>
      </c>
      <c r="J81" s="111" t="str">
        <f>_xlfn.IFNA(VLOOKUP($D81,'Route-Details'!$B$2:$X$1048576,'Node Details'!J$1,0),"")</f>
        <v>1GF</v>
      </c>
      <c r="K81" s="101">
        <v>45092</v>
      </c>
      <c r="L81" s="101">
        <v>45092</v>
      </c>
      <c r="M81" s="102" t="s">
        <v>193</v>
      </c>
      <c r="N81" s="55"/>
      <c r="O81" s="61"/>
      <c r="P81" s="61"/>
      <c r="Q81" s="54"/>
      <c r="R81" s="61"/>
      <c r="S81" s="61"/>
      <c r="T81" s="61"/>
      <c r="U81" s="62"/>
      <c r="W81" s="64" t="s">
        <v>84</v>
      </c>
      <c r="X81" s="104">
        <v>14000</v>
      </c>
      <c r="Y81" s="109">
        <v>45181</v>
      </c>
      <c r="Z81" s="106">
        <v>102</v>
      </c>
      <c r="AB81" s="63"/>
      <c r="AC81" s="61"/>
      <c r="AD81" s="61"/>
      <c r="AE81" s="61"/>
      <c r="AF81" s="52">
        <f t="shared" si="10"/>
        <v>0</v>
      </c>
      <c r="AH81" s="98" t="s">
        <v>86</v>
      </c>
      <c r="AI81" s="61"/>
      <c r="AJ81" s="61"/>
      <c r="AK81" s="47">
        <f t="shared" si="11"/>
        <v>0</v>
      </c>
      <c r="AL81" s="61"/>
      <c r="AM81" s="61"/>
      <c r="AN81" s="47">
        <f t="shared" si="12"/>
        <v>0</v>
      </c>
      <c r="AO81" s="48">
        <f t="shared" si="13"/>
        <v>0</v>
      </c>
      <c r="AQ81" s="98" t="s">
        <v>141</v>
      </c>
      <c r="AR81" s="112">
        <v>45461</v>
      </c>
      <c r="AS81" s="57">
        <f t="shared" si="14"/>
        <v>0</v>
      </c>
      <c r="AT81" s="52">
        <f t="shared" si="15"/>
        <v>0</v>
      </c>
      <c r="AV81" s="98" t="s">
        <v>142</v>
      </c>
      <c r="AW81" s="99">
        <v>45461</v>
      </c>
      <c r="AX81" s="58">
        <f t="shared" si="16"/>
        <v>0</v>
      </c>
      <c r="AY81" s="58">
        <f t="shared" si="17"/>
        <v>0</v>
      </c>
      <c r="AZ81" s="59">
        <f t="shared" si="18"/>
        <v>0</v>
      </c>
      <c r="BB81" s="60"/>
    </row>
  </sheetData>
  <conditionalFormatting sqref="B3:B69">
    <cfRule type="duplicateValues" dxfId="24" priority="7"/>
    <cfRule type="duplicateValues" dxfId="23" priority="8"/>
  </conditionalFormatting>
  <conditionalFormatting sqref="B70:B73">
    <cfRule type="duplicateValues" dxfId="22" priority="3"/>
    <cfRule type="duplicateValues" dxfId="21" priority="4"/>
  </conditionalFormatting>
  <conditionalFormatting sqref="B74:B81">
    <cfRule type="duplicateValues" dxfId="20" priority="1"/>
    <cfRule type="duplicateValues" dxfId="19" priority="2"/>
  </conditionalFormatting>
  <dataValidations count="3">
    <dataValidation type="list" allowBlank="1" showInputMessage="1" showErrorMessage="1" sqref="R3:S14 AD3:AD14" xr:uid="{00000000-0002-0000-0400-000000000000}">
      <formula1>"6F,12F,24F,48F"</formula1>
    </dataValidation>
    <dataValidation type="list" allowBlank="1" showInputMessage="1" showErrorMessage="1" sqref="Q3:Q81" xr:uid="{00000000-0002-0000-0400-000001000000}">
      <formula1>"Yes,No"</formula1>
    </dataValidation>
    <dataValidation type="list" allowBlank="1" showInputMessage="1" showErrorMessage="1" sqref="AC3:AC70 AC74 AC76 AC79" xr:uid="{00000000-0002-0000-0400-000002000000}">
      <formula1>"ADSS, UA, A"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215"/>
  <sheetViews>
    <sheetView zoomScaleNormal="100"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1" width="7.5703125" style="9" bestFit="1" customWidth="1"/>
    <col min="2" max="2" width="12.85546875" style="9" customWidth="1"/>
    <col min="3" max="3" width="20.85546875" style="9" bestFit="1" customWidth="1"/>
    <col min="4" max="4" width="9.140625" style="9" bestFit="1" customWidth="1"/>
    <col min="5" max="5" width="9.28515625" style="9" bestFit="1" customWidth="1"/>
    <col min="6" max="6" width="10.42578125" style="15" bestFit="1" customWidth="1"/>
    <col min="7" max="7" width="1.7109375" style="9" customWidth="1"/>
    <col min="8" max="8" width="21.42578125" style="9" bestFit="1" customWidth="1"/>
    <col min="9" max="10" width="8.7109375" style="9" customWidth="1"/>
    <col min="11" max="11" width="11.5703125" style="9" bestFit="1" customWidth="1"/>
    <col min="12" max="12" width="11.5703125" style="14" customWidth="1"/>
    <col min="13" max="13" width="1.7109375" customWidth="1"/>
    <col min="14" max="14" width="25.85546875" bestFit="1" customWidth="1"/>
    <col min="15" max="15" width="9.85546875" style="12" bestFit="1" customWidth="1"/>
    <col min="16" max="16" width="7.85546875" bestFit="1" customWidth="1"/>
    <col min="17" max="17" width="13" bestFit="1" customWidth="1"/>
    <col min="18" max="18" width="1.7109375" customWidth="1"/>
    <col min="19" max="19" width="16" bestFit="1" customWidth="1"/>
    <col min="20" max="20" width="9.85546875" style="12" bestFit="1" customWidth="1"/>
    <col min="21" max="21" width="7.42578125" bestFit="1" customWidth="1"/>
    <col min="22" max="22" width="8.42578125" bestFit="1" customWidth="1"/>
    <col min="23" max="23" width="7.28515625" bestFit="1" customWidth="1"/>
    <col min="24" max="24" width="7.28515625" customWidth="1"/>
  </cols>
  <sheetData>
    <row r="1" spans="1:25" s="72" customFormat="1" ht="15.75" customHeight="1" thickBot="1" x14ac:dyDescent="0.3">
      <c r="A1" s="89"/>
      <c r="B1" s="89"/>
      <c r="C1" s="89">
        <f>MATCH(C2,'Node Details'!$B$2:$U$2,0)</f>
        <v>3</v>
      </c>
      <c r="D1" s="89">
        <f>MATCH(D2,'Node Details'!$B$2:$U$2,0)</f>
        <v>9</v>
      </c>
      <c r="E1" s="89">
        <f>MATCH(E2,'Node Details'!$B$2:$U$2,0)</f>
        <v>4</v>
      </c>
      <c r="F1" s="89"/>
      <c r="G1" s="89"/>
      <c r="H1" s="89"/>
      <c r="I1" s="89">
        <f>SUBTOTAL(9,I3:I1048576)</f>
        <v>912</v>
      </c>
      <c r="J1" s="89"/>
      <c r="K1" s="89">
        <f>SUBTOTAL(9,K3:K1048576)</f>
        <v>179090</v>
      </c>
      <c r="L1" s="89"/>
      <c r="Q1" s="89">
        <f>SUBTOTAL(9,Q3:Q1048576)</f>
        <v>179090</v>
      </c>
    </row>
    <row r="2" spans="1:25" s="29" customFormat="1" ht="36" customHeight="1" x14ac:dyDescent="0.25">
      <c r="A2" s="18" t="s">
        <v>0</v>
      </c>
      <c r="B2" s="19" t="s">
        <v>204</v>
      </c>
      <c r="C2" s="20" t="s">
        <v>148</v>
      </c>
      <c r="D2" s="20" t="s">
        <v>38</v>
      </c>
      <c r="E2" s="20" t="s">
        <v>32</v>
      </c>
      <c r="F2" s="31" t="s">
        <v>41</v>
      </c>
      <c r="G2" s="32"/>
      <c r="H2" s="33" t="s">
        <v>5</v>
      </c>
      <c r="I2" s="19" t="s">
        <v>205</v>
      </c>
      <c r="J2" s="19" t="s">
        <v>206</v>
      </c>
      <c r="K2" s="34" t="s">
        <v>207</v>
      </c>
      <c r="L2" s="35" t="s">
        <v>208</v>
      </c>
      <c r="M2" s="36"/>
      <c r="N2" s="18" t="s">
        <v>66</v>
      </c>
      <c r="O2" s="37" t="s">
        <v>67</v>
      </c>
      <c r="P2" s="20" t="s">
        <v>68</v>
      </c>
      <c r="Q2" s="27" t="s">
        <v>69</v>
      </c>
      <c r="R2" s="32"/>
      <c r="S2" s="18" t="s">
        <v>70</v>
      </c>
      <c r="T2" s="37" t="s">
        <v>71</v>
      </c>
      <c r="U2" s="20" t="s">
        <v>72</v>
      </c>
      <c r="V2" s="20" t="s">
        <v>73</v>
      </c>
      <c r="W2" s="27" t="s">
        <v>74</v>
      </c>
      <c r="X2" s="123" t="s">
        <v>209</v>
      </c>
    </row>
    <row r="3" spans="1:25" s="45" customFormat="1" ht="11.1" customHeight="1" x14ac:dyDescent="0.2">
      <c r="A3" s="38">
        <v>1</v>
      </c>
      <c r="B3" s="90" t="s">
        <v>150</v>
      </c>
      <c r="C3" s="40" t="str">
        <f>IF($B3&lt;&gt;"",_xlfn.IFNA(VLOOKUP($B3,'Node Details'!$B:$U,C$1,0),"Check"),"")</f>
        <v>00001GF12-1GF120106</v>
      </c>
      <c r="D3" s="40" t="str">
        <f>IF($B3&lt;&gt;"",_xlfn.IFNA(VLOOKUP($B3,'Node Details'!$B:$U,D$1,0),"Check"),"")</f>
        <v>1GF</v>
      </c>
      <c r="E3" s="40" t="str">
        <f>IF($B3&lt;&gt;"",_xlfn.IFNA(VLOOKUP($B3,'Node Details'!$B:$U,E$1,0),"Check"),"")</f>
        <v>Airtel</v>
      </c>
      <c r="F3" s="101">
        <v>45141</v>
      </c>
      <c r="G3" s="42"/>
      <c r="H3" s="93" t="s">
        <v>22</v>
      </c>
      <c r="I3" s="93">
        <v>12</v>
      </c>
      <c r="J3" s="93">
        <v>80</v>
      </c>
      <c r="K3" s="44">
        <f t="shared" ref="K3:K66" si="0">IF(I3&lt;&gt;"",J3*I3,0)</f>
        <v>960</v>
      </c>
      <c r="L3" s="41">
        <v>45141</v>
      </c>
      <c r="N3" s="100" t="s">
        <v>210</v>
      </c>
      <c r="O3" s="96">
        <v>45273</v>
      </c>
      <c r="P3" s="47">
        <f t="shared" ref="P3:P66" si="1">J3</f>
        <v>80</v>
      </c>
      <c r="Q3" s="48">
        <f t="shared" ref="Q3:Q66" si="2">P3*I3</f>
        <v>960</v>
      </c>
      <c r="R3" s="49"/>
      <c r="S3" s="100" t="s">
        <v>211</v>
      </c>
      <c r="T3" s="96">
        <v>45273</v>
      </c>
      <c r="U3" s="47">
        <f t="shared" ref="U3:U66" si="3">J3</f>
        <v>80</v>
      </c>
      <c r="V3" s="47">
        <f t="shared" ref="V3:V66" si="4">I3</f>
        <v>12</v>
      </c>
      <c r="W3" s="52">
        <f t="shared" ref="W3:W66" si="5">IF(V3&lt;&gt;"",V3*U3,0)</f>
        <v>960</v>
      </c>
      <c r="X3" s="124" t="s">
        <v>81</v>
      </c>
      <c r="Y3" s="45" t="s">
        <v>212</v>
      </c>
    </row>
    <row r="4" spans="1:25" s="45" customFormat="1" ht="11.1" customHeight="1" x14ac:dyDescent="0.2">
      <c r="A4" s="38">
        <f t="shared" ref="A4:A67" si="6">A3+1</f>
        <v>2</v>
      </c>
      <c r="B4" s="90" t="s">
        <v>151</v>
      </c>
      <c r="C4" s="40" t="str">
        <f>IF($B4&lt;&gt;"",_xlfn.IFNA(VLOOKUP($B4,'Node Details'!$B:$U,C$1,0),"Check"),"")</f>
        <v>00001GF12-1GF120106</v>
      </c>
      <c r="D4" s="40" t="str">
        <f>IF($B4&lt;&gt;"",_xlfn.IFNA(VLOOKUP($B4,'Node Details'!$B:$U,D$1,0),"Check"),"")</f>
        <v>1GF</v>
      </c>
      <c r="E4" s="40" t="str">
        <f>IF($B4&lt;&gt;"",_xlfn.IFNA(VLOOKUP($B4,'Node Details'!$B:$U,E$1,0),"Check"),"")</f>
        <v>Airtel</v>
      </c>
      <c r="F4" s="101">
        <v>45141</v>
      </c>
      <c r="G4" s="42"/>
      <c r="H4" s="93" t="s">
        <v>22</v>
      </c>
      <c r="I4" s="93">
        <v>10</v>
      </c>
      <c r="J4" s="93">
        <v>80</v>
      </c>
      <c r="K4" s="44">
        <f t="shared" si="0"/>
        <v>800</v>
      </c>
      <c r="L4" s="41">
        <v>45141</v>
      </c>
      <c r="N4" s="100" t="s">
        <v>210</v>
      </c>
      <c r="O4" s="96">
        <v>45273</v>
      </c>
      <c r="P4" s="47">
        <f t="shared" si="1"/>
        <v>80</v>
      </c>
      <c r="Q4" s="48">
        <f t="shared" si="2"/>
        <v>800</v>
      </c>
      <c r="R4" s="49"/>
      <c r="S4" s="100" t="s">
        <v>211</v>
      </c>
      <c r="T4" s="96">
        <v>45273</v>
      </c>
      <c r="U4" s="47">
        <f t="shared" si="3"/>
        <v>80</v>
      </c>
      <c r="V4" s="47">
        <f t="shared" si="4"/>
        <v>10</v>
      </c>
      <c r="W4" s="52">
        <f t="shared" si="5"/>
        <v>800</v>
      </c>
      <c r="X4" s="124" t="s">
        <v>81</v>
      </c>
      <c r="Y4" s="45" t="s">
        <v>212</v>
      </c>
    </row>
    <row r="5" spans="1:25" s="45" customFormat="1" ht="11.1" customHeight="1" x14ac:dyDescent="0.2">
      <c r="A5" s="38">
        <f t="shared" si="6"/>
        <v>3</v>
      </c>
      <c r="B5" s="90" t="s">
        <v>152</v>
      </c>
      <c r="C5" s="40" t="str">
        <f>IF($B5&lt;&gt;"",_xlfn.IFNA(VLOOKUP($B5,'Node Details'!$B:$U,C$1,0),"Check"),"")</f>
        <v>00001GF12-1GF120106</v>
      </c>
      <c r="D5" s="40" t="str">
        <f>IF($B5&lt;&gt;"",_xlfn.IFNA(VLOOKUP($B5,'Node Details'!$B:$U,D$1,0),"Check"),"")</f>
        <v>1GF</v>
      </c>
      <c r="E5" s="40" t="str">
        <f>IF($B5&lt;&gt;"",_xlfn.IFNA(VLOOKUP($B5,'Node Details'!$B:$U,E$1,0),"Check"),"")</f>
        <v>Airtel</v>
      </c>
      <c r="F5" s="101">
        <v>45141</v>
      </c>
      <c r="G5" s="42"/>
      <c r="H5" s="93" t="s">
        <v>22</v>
      </c>
      <c r="I5" s="93">
        <v>10</v>
      </c>
      <c r="J5" s="93">
        <v>80</v>
      </c>
      <c r="K5" s="44">
        <f t="shared" si="0"/>
        <v>800</v>
      </c>
      <c r="L5" s="41">
        <v>45141</v>
      </c>
      <c r="N5" s="100" t="s">
        <v>210</v>
      </c>
      <c r="O5" s="96">
        <v>45273</v>
      </c>
      <c r="P5" s="47">
        <f t="shared" si="1"/>
        <v>80</v>
      </c>
      <c r="Q5" s="48">
        <f t="shared" si="2"/>
        <v>800</v>
      </c>
      <c r="R5" s="49"/>
      <c r="S5" s="100" t="s">
        <v>211</v>
      </c>
      <c r="T5" s="96">
        <v>45273</v>
      </c>
      <c r="U5" s="47">
        <f t="shared" si="3"/>
        <v>80</v>
      </c>
      <c r="V5" s="47">
        <f t="shared" si="4"/>
        <v>10</v>
      </c>
      <c r="W5" s="52">
        <f t="shared" si="5"/>
        <v>800</v>
      </c>
      <c r="X5" s="124" t="s">
        <v>81</v>
      </c>
      <c r="Y5" s="45" t="s">
        <v>212</v>
      </c>
    </row>
    <row r="6" spans="1:25" s="45" customFormat="1" ht="11.1" customHeight="1" x14ac:dyDescent="0.2">
      <c r="A6" s="38">
        <f t="shared" si="6"/>
        <v>4</v>
      </c>
      <c r="B6" s="90" t="s">
        <v>153</v>
      </c>
      <c r="C6" s="40" t="str">
        <f>IF($B6&lt;&gt;"",_xlfn.IFNA(VLOOKUP($B6,'Node Details'!$B:$U,C$1,0),"Check"),"")</f>
        <v>00001GF12-1GF120106</v>
      </c>
      <c r="D6" s="40" t="str">
        <f>IF($B6&lt;&gt;"",_xlfn.IFNA(VLOOKUP($B6,'Node Details'!$B:$U,D$1,0),"Check"),"")</f>
        <v>1GF</v>
      </c>
      <c r="E6" s="40" t="str">
        <f>IF($B6&lt;&gt;"",_xlfn.IFNA(VLOOKUP($B6,'Node Details'!$B:$U,E$1,0),"Check"),"")</f>
        <v>Airtel</v>
      </c>
      <c r="F6" s="101">
        <v>45141</v>
      </c>
      <c r="G6" s="42"/>
      <c r="H6" s="93" t="s">
        <v>22</v>
      </c>
      <c r="I6" s="93">
        <v>10</v>
      </c>
      <c r="J6" s="93">
        <v>80</v>
      </c>
      <c r="K6" s="44">
        <f t="shared" si="0"/>
        <v>800</v>
      </c>
      <c r="L6" s="41">
        <v>45141</v>
      </c>
      <c r="N6" s="100" t="s">
        <v>210</v>
      </c>
      <c r="O6" s="96">
        <v>45273</v>
      </c>
      <c r="P6" s="47">
        <f t="shared" si="1"/>
        <v>80</v>
      </c>
      <c r="Q6" s="48">
        <f t="shared" si="2"/>
        <v>800</v>
      </c>
      <c r="R6" s="49"/>
      <c r="S6" s="100" t="s">
        <v>211</v>
      </c>
      <c r="T6" s="96">
        <v>45273</v>
      </c>
      <c r="U6" s="47">
        <f t="shared" si="3"/>
        <v>80</v>
      </c>
      <c r="V6" s="47">
        <f t="shared" si="4"/>
        <v>10</v>
      </c>
      <c r="W6" s="52">
        <f t="shared" si="5"/>
        <v>800</v>
      </c>
      <c r="X6" s="124" t="s">
        <v>81</v>
      </c>
      <c r="Y6" s="45" t="s">
        <v>212</v>
      </c>
    </row>
    <row r="7" spans="1:25" s="45" customFormat="1" ht="11.1" customHeight="1" x14ac:dyDescent="0.2">
      <c r="A7" s="38">
        <f t="shared" si="6"/>
        <v>5</v>
      </c>
      <c r="B7" s="90" t="s">
        <v>154</v>
      </c>
      <c r="C7" s="40" t="str">
        <f>IF($B7&lt;&gt;"",_xlfn.IFNA(VLOOKUP($B7,'Node Details'!$B:$U,C$1,0),"Check"),"")</f>
        <v>00001GF12-1GF120106</v>
      </c>
      <c r="D7" s="40" t="str">
        <f>IF($B7&lt;&gt;"",_xlfn.IFNA(VLOOKUP($B7,'Node Details'!$B:$U,D$1,0),"Check"),"")</f>
        <v>1GF</v>
      </c>
      <c r="E7" s="40" t="str">
        <f>IF($B7&lt;&gt;"",_xlfn.IFNA(VLOOKUP($B7,'Node Details'!$B:$U,E$1,0),"Check"),"")</f>
        <v>Airtel</v>
      </c>
      <c r="F7" s="101">
        <v>45141</v>
      </c>
      <c r="G7" s="42"/>
      <c r="H7" s="93" t="s">
        <v>22</v>
      </c>
      <c r="I7" s="93">
        <v>10</v>
      </c>
      <c r="J7" s="93">
        <v>80</v>
      </c>
      <c r="K7" s="44">
        <f t="shared" si="0"/>
        <v>800</v>
      </c>
      <c r="L7" s="41">
        <v>45141</v>
      </c>
      <c r="N7" s="100" t="s">
        <v>210</v>
      </c>
      <c r="O7" s="96">
        <v>45273</v>
      </c>
      <c r="P7" s="47">
        <f t="shared" si="1"/>
        <v>80</v>
      </c>
      <c r="Q7" s="48">
        <f t="shared" si="2"/>
        <v>800</v>
      </c>
      <c r="R7" s="49"/>
      <c r="S7" s="100" t="s">
        <v>211</v>
      </c>
      <c r="T7" s="96">
        <v>45273</v>
      </c>
      <c r="U7" s="47">
        <f t="shared" si="3"/>
        <v>80</v>
      </c>
      <c r="V7" s="47">
        <f t="shared" si="4"/>
        <v>10</v>
      </c>
      <c r="W7" s="52">
        <f t="shared" si="5"/>
        <v>800</v>
      </c>
      <c r="X7" s="124" t="s">
        <v>81</v>
      </c>
      <c r="Y7" s="45" t="s">
        <v>212</v>
      </c>
    </row>
    <row r="8" spans="1:25" s="45" customFormat="1" ht="11.1" customHeight="1" x14ac:dyDescent="0.2">
      <c r="A8" s="38">
        <f t="shared" si="6"/>
        <v>6</v>
      </c>
      <c r="B8" s="90" t="s">
        <v>97</v>
      </c>
      <c r="C8" s="40" t="str">
        <f>IF($B8&lt;&gt;"",_xlfn.IFNA(VLOOKUP($B8,'Node Details'!$B:$U,C$1,0),"Check"),"")</f>
        <v>00001GF12-1GF120106</v>
      </c>
      <c r="D8" s="40" t="str">
        <f>IF($B8&lt;&gt;"",_xlfn.IFNA(VLOOKUP($B8,'Node Details'!$B:$U,D$1,0),"Check"),"")</f>
        <v>1GF</v>
      </c>
      <c r="E8" s="40" t="str">
        <f>IF($B8&lt;&gt;"",_xlfn.IFNA(VLOOKUP($B8,'Node Details'!$B:$U,E$1,0),"Check"),"")</f>
        <v>Airtel</v>
      </c>
      <c r="F8" s="101">
        <v>45141</v>
      </c>
      <c r="G8" s="42"/>
      <c r="H8" s="93" t="s">
        <v>22</v>
      </c>
      <c r="I8" s="93">
        <v>10</v>
      </c>
      <c r="J8" s="93">
        <v>80</v>
      </c>
      <c r="K8" s="44">
        <f t="shared" si="0"/>
        <v>800</v>
      </c>
      <c r="L8" s="41">
        <v>45141</v>
      </c>
      <c r="N8" s="100" t="s">
        <v>210</v>
      </c>
      <c r="O8" s="96">
        <v>45273</v>
      </c>
      <c r="P8" s="47">
        <f t="shared" si="1"/>
        <v>80</v>
      </c>
      <c r="Q8" s="48">
        <f t="shared" si="2"/>
        <v>800</v>
      </c>
      <c r="R8" s="49"/>
      <c r="S8" s="100" t="s">
        <v>211</v>
      </c>
      <c r="T8" s="96">
        <v>45273</v>
      </c>
      <c r="U8" s="47">
        <f t="shared" si="3"/>
        <v>80</v>
      </c>
      <c r="V8" s="47">
        <f t="shared" si="4"/>
        <v>10</v>
      </c>
      <c r="W8" s="52">
        <f t="shared" si="5"/>
        <v>800</v>
      </c>
      <c r="X8" s="124" t="s">
        <v>81</v>
      </c>
      <c r="Y8" s="45" t="s">
        <v>212</v>
      </c>
    </row>
    <row r="9" spans="1:25" s="45" customFormat="1" ht="11.1" customHeight="1" x14ac:dyDescent="0.2">
      <c r="A9" s="38">
        <f t="shared" si="6"/>
        <v>7</v>
      </c>
      <c r="B9" s="90" t="s">
        <v>155</v>
      </c>
      <c r="C9" s="40" t="str">
        <f>IF($B9&lt;&gt;"",_xlfn.IFNA(VLOOKUP($B9,'Node Details'!$B:$U,C$1,0),"Check"),"")</f>
        <v>00001GF13-1GF130106</v>
      </c>
      <c r="D9" s="40" t="str">
        <f>IF($B9&lt;&gt;"",_xlfn.IFNA(VLOOKUP($B9,'Node Details'!$B:$U,D$1,0),"Check"),"")</f>
        <v>1GF</v>
      </c>
      <c r="E9" s="40" t="str">
        <f>IF($B9&lt;&gt;"",_xlfn.IFNA(VLOOKUP($B9,'Node Details'!$B:$U,E$1,0),"Check"),"")</f>
        <v>Airtel</v>
      </c>
      <c r="F9" s="101">
        <v>45141</v>
      </c>
      <c r="G9" s="42"/>
      <c r="H9" s="93" t="s">
        <v>22</v>
      </c>
      <c r="I9" s="93">
        <v>12</v>
      </c>
      <c r="J9" s="93">
        <v>80</v>
      </c>
      <c r="K9" s="44">
        <f t="shared" si="0"/>
        <v>960</v>
      </c>
      <c r="L9" s="41">
        <v>45141</v>
      </c>
      <c r="N9" s="100" t="s">
        <v>210</v>
      </c>
      <c r="O9" s="96">
        <v>45273</v>
      </c>
      <c r="P9" s="47">
        <f t="shared" si="1"/>
        <v>80</v>
      </c>
      <c r="Q9" s="48">
        <f t="shared" si="2"/>
        <v>960</v>
      </c>
      <c r="R9" s="49"/>
      <c r="S9" s="100" t="s">
        <v>211</v>
      </c>
      <c r="T9" s="96">
        <v>45273</v>
      </c>
      <c r="U9" s="47">
        <f t="shared" si="3"/>
        <v>80</v>
      </c>
      <c r="V9" s="47">
        <f t="shared" si="4"/>
        <v>12</v>
      </c>
      <c r="W9" s="52">
        <f t="shared" si="5"/>
        <v>960</v>
      </c>
      <c r="X9" s="124" t="s">
        <v>81</v>
      </c>
      <c r="Y9" s="45" t="s">
        <v>212</v>
      </c>
    </row>
    <row r="10" spans="1:25" s="45" customFormat="1" ht="11.1" customHeight="1" x14ac:dyDescent="0.2">
      <c r="A10" s="38">
        <f t="shared" si="6"/>
        <v>8</v>
      </c>
      <c r="B10" s="90" t="s">
        <v>156</v>
      </c>
      <c r="C10" s="40" t="str">
        <f>IF($B10&lt;&gt;"",_xlfn.IFNA(VLOOKUP($B10,'Node Details'!$B:$U,C$1,0),"Check"),"")</f>
        <v>00001GF13-1GF130106</v>
      </c>
      <c r="D10" s="40" t="str">
        <f>IF($B10&lt;&gt;"",_xlfn.IFNA(VLOOKUP($B10,'Node Details'!$B:$U,D$1,0),"Check"),"")</f>
        <v>1GF</v>
      </c>
      <c r="E10" s="40" t="str">
        <f>IF($B10&lt;&gt;"",_xlfn.IFNA(VLOOKUP($B10,'Node Details'!$B:$U,E$1,0),"Check"),"")</f>
        <v>Airtel</v>
      </c>
      <c r="F10" s="101">
        <v>45141</v>
      </c>
      <c r="G10" s="42"/>
      <c r="H10" s="93" t="s">
        <v>22</v>
      </c>
      <c r="I10" s="93">
        <v>14</v>
      </c>
      <c r="J10" s="93">
        <v>80</v>
      </c>
      <c r="K10" s="44">
        <f t="shared" si="0"/>
        <v>1120</v>
      </c>
      <c r="L10" s="41">
        <v>45141</v>
      </c>
      <c r="N10" s="100" t="s">
        <v>210</v>
      </c>
      <c r="O10" s="96">
        <v>45273</v>
      </c>
      <c r="P10" s="47">
        <f t="shared" si="1"/>
        <v>80</v>
      </c>
      <c r="Q10" s="48">
        <f t="shared" si="2"/>
        <v>1120</v>
      </c>
      <c r="R10" s="49"/>
      <c r="S10" s="100" t="s">
        <v>211</v>
      </c>
      <c r="T10" s="96">
        <v>45273</v>
      </c>
      <c r="U10" s="47">
        <f t="shared" si="3"/>
        <v>80</v>
      </c>
      <c r="V10" s="47">
        <f t="shared" si="4"/>
        <v>14</v>
      </c>
      <c r="W10" s="52">
        <f t="shared" si="5"/>
        <v>1120</v>
      </c>
      <c r="X10" s="124" t="s">
        <v>81</v>
      </c>
      <c r="Y10" s="45" t="s">
        <v>212</v>
      </c>
    </row>
    <row r="11" spans="1:25" s="45" customFormat="1" ht="11.1" customHeight="1" x14ac:dyDescent="0.2">
      <c r="A11" s="38">
        <f t="shared" si="6"/>
        <v>9</v>
      </c>
      <c r="B11" s="90" t="s">
        <v>157</v>
      </c>
      <c r="C11" s="40" t="str">
        <f>IF($B11&lt;&gt;"",_xlfn.IFNA(VLOOKUP($B11,'Node Details'!$B:$U,C$1,0),"Check"),"")</f>
        <v>00001GF13-1GF130106</v>
      </c>
      <c r="D11" s="40" t="str">
        <f>IF($B11&lt;&gt;"",_xlfn.IFNA(VLOOKUP($B11,'Node Details'!$B:$U,D$1,0),"Check"),"")</f>
        <v>1GF</v>
      </c>
      <c r="E11" s="40" t="str">
        <f>IF($B11&lt;&gt;"",_xlfn.IFNA(VLOOKUP($B11,'Node Details'!$B:$U,E$1,0),"Check"),"")</f>
        <v>Airtel</v>
      </c>
      <c r="F11" s="101">
        <v>45141</v>
      </c>
      <c r="G11" s="42"/>
      <c r="H11" s="93" t="s">
        <v>22</v>
      </c>
      <c r="I11" s="93">
        <v>10</v>
      </c>
      <c r="J11" s="93">
        <v>80</v>
      </c>
      <c r="K11" s="44">
        <f t="shared" si="0"/>
        <v>800</v>
      </c>
      <c r="L11" s="41">
        <v>45141</v>
      </c>
      <c r="N11" s="100" t="s">
        <v>210</v>
      </c>
      <c r="O11" s="96">
        <v>45273</v>
      </c>
      <c r="P11" s="47">
        <f t="shared" si="1"/>
        <v>80</v>
      </c>
      <c r="Q11" s="48">
        <f t="shared" si="2"/>
        <v>800</v>
      </c>
      <c r="R11" s="49"/>
      <c r="S11" s="100" t="s">
        <v>211</v>
      </c>
      <c r="T11" s="96">
        <v>45273</v>
      </c>
      <c r="U11" s="47">
        <f t="shared" si="3"/>
        <v>80</v>
      </c>
      <c r="V11" s="47">
        <f t="shared" si="4"/>
        <v>10</v>
      </c>
      <c r="W11" s="52">
        <f t="shared" si="5"/>
        <v>800</v>
      </c>
      <c r="X11" s="124" t="s">
        <v>81</v>
      </c>
      <c r="Y11" s="45" t="s">
        <v>212</v>
      </c>
    </row>
    <row r="12" spans="1:25" s="45" customFormat="1" ht="11.1" customHeight="1" x14ac:dyDescent="0.2">
      <c r="A12" s="38">
        <f t="shared" si="6"/>
        <v>10</v>
      </c>
      <c r="B12" s="90" t="s">
        <v>158</v>
      </c>
      <c r="C12" s="40" t="str">
        <f>IF($B12&lt;&gt;"",_xlfn.IFNA(VLOOKUP($B12,'Node Details'!$B:$U,C$1,0),"Check"),"")</f>
        <v>00001GF13-1GF130106</v>
      </c>
      <c r="D12" s="40" t="str">
        <f>IF($B12&lt;&gt;"",_xlfn.IFNA(VLOOKUP($B12,'Node Details'!$B:$U,D$1,0),"Check"),"")</f>
        <v>1GF</v>
      </c>
      <c r="E12" s="40" t="str">
        <f>IF($B12&lt;&gt;"",_xlfn.IFNA(VLOOKUP($B12,'Node Details'!$B:$U,E$1,0),"Check"),"")</f>
        <v>Airtel</v>
      </c>
      <c r="F12" s="101">
        <v>45141</v>
      </c>
      <c r="G12" s="42"/>
      <c r="H12" s="93" t="s">
        <v>22</v>
      </c>
      <c r="I12" s="93">
        <v>14</v>
      </c>
      <c r="J12" s="93">
        <v>80</v>
      </c>
      <c r="K12" s="44">
        <f t="shared" si="0"/>
        <v>1120</v>
      </c>
      <c r="L12" s="41">
        <v>45141</v>
      </c>
      <c r="N12" s="100" t="s">
        <v>210</v>
      </c>
      <c r="O12" s="96">
        <v>45273</v>
      </c>
      <c r="P12" s="47">
        <f t="shared" si="1"/>
        <v>80</v>
      </c>
      <c r="Q12" s="48">
        <f t="shared" si="2"/>
        <v>1120</v>
      </c>
      <c r="R12" s="49"/>
      <c r="S12" s="100" t="s">
        <v>211</v>
      </c>
      <c r="T12" s="96">
        <v>45273</v>
      </c>
      <c r="U12" s="47">
        <f t="shared" si="3"/>
        <v>80</v>
      </c>
      <c r="V12" s="47">
        <f t="shared" si="4"/>
        <v>14</v>
      </c>
      <c r="W12" s="52">
        <f t="shared" si="5"/>
        <v>1120</v>
      </c>
      <c r="X12" s="124" t="s">
        <v>81</v>
      </c>
      <c r="Y12" s="45" t="s">
        <v>212</v>
      </c>
    </row>
    <row r="13" spans="1:25" s="45" customFormat="1" ht="11.1" customHeight="1" x14ac:dyDescent="0.2">
      <c r="A13" s="38">
        <f t="shared" si="6"/>
        <v>11</v>
      </c>
      <c r="B13" s="90" t="s">
        <v>159</v>
      </c>
      <c r="C13" s="40" t="str">
        <f>IF($B13&lt;&gt;"",_xlfn.IFNA(VLOOKUP($B13,'Node Details'!$B:$U,C$1,0),"Check"),"")</f>
        <v>00001GF13-1GF130106</v>
      </c>
      <c r="D13" s="40" t="str">
        <f>IF($B13&lt;&gt;"",_xlfn.IFNA(VLOOKUP($B13,'Node Details'!$B:$U,D$1,0),"Check"),"")</f>
        <v>1GF</v>
      </c>
      <c r="E13" s="40" t="str">
        <f>IF($B13&lt;&gt;"",_xlfn.IFNA(VLOOKUP($B13,'Node Details'!$B:$U,E$1,0),"Check"),"")</f>
        <v>Airtel</v>
      </c>
      <c r="F13" s="101">
        <v>45141</v>
      </c>
      <c r="G13" s="42"/>
      <c r="H13" s="93" t="s">
        <v>22</v>
      </c>
      <c r="I13" s="93">
        <v>10</v>
      </c>
      <c r="J13" s="93">
        <v>80</v>
      </c>
      <c r="K13" s="44">
        <f t="shared" si="0"/>
        <v>800</v>
      </c>
      <c r="L13" s="41">
        <v>45141</v>
      </c>
      <c r="N13" s="100" t="s">
        <v>210</v>
      </c>
      <c r="O13" s="96">
        <v>45273</v>
      </c>
      <c r="P13" s="47">
        <f t="shared" si="1"/>
        <v>80</v>
      </c>
      <c r="Q13" s="48">
        <f t="shared" si="2"/>
        <v>800</v>
      </c>
      <c r="R13" s="49"/>
      <c r="S13" s="100" t="s">
        <v>211</v>
      </c>
      <c r="T13" s="96">
        <v>45273</v>
      </c>
      <c r="U13" s="47">
        <f t="shared" si="3"/>
        <v>80</v>
      </c>
      <c r="V13" s="47">
        <f t="shared" si="4"/>
        <v>10</v>
      </c>
      <c r="W13" s="52">
        <f t="shared" si="5"/>
        <v>800</v>
      </c>
      <c r="X13" s="124" t="s">
        <v>81</v>
      </c>
      <c r="Y13" s="45" t="s">
        <v>212</v>
      </c>
    </row>
    <row r="14" spans="1:25" s="45" customFormat="1" ht="11.1" customHeight="1" x14ac:dyDescent="0.2">
      <c r="A14" s="38">
        <f t="shared" si="6"/>
        <v>12</v>
      </c>
      <c r="B14" s="90" t="s">
        <v>101</v>
      </c>
      <c r="C14" s="40" t="str">
        <f>IF($B14&lt;&gt;"",_xlfn.IFNA(VLOOKUP($B14,'Node Details'!$B:$U,C$1,0),"Check"),"")</f>
        <v>00001GF13-1GF130106</v>
      </c>
      <c r="D14" s="40" t="str">
        <f>IF($B14&lt;&gt;"",_xlfn.IFNA(VLOOKUP($B14,'Node Details'!$B:$U,D$1,0),"Check"),"")</f>
        <v>1GF</v>
      </c>
      <c r="E14" s="40" t="str">
        <f>IF($B14&lt;&gt;"",_xlfn.IFNA(VLOOKUP($B14,'Node Details'!$B:$U,E$1,0),"Check"),"")</f>
        <v>Airtel</v>
      </c>
      <c r="F14" s="101">
        <v>45141</v>
      </c>
      <c r="G14" s="42"/>
      <c r="H14" s="93" t="s">
        <v>22</v>
      </c>
      <c r="I14" s="93">
        <v>8</v>
      </c>
      <c r="J14" s="93">
        <v>80</v>
      </c>
      <c r="K14" s="44">
        <f t="shared" si="0"/>
        <v>640</v>
      </c>
      <c r="L14" s="41">
        <v>45141</v>
      </c>
      <c r="N14" s="100" t="s">
        <v>210</v>
      </c>
      <c r="O14" s="96">
        <v>45273</v>
      </c>
      <c r="P14" s="47">
        <f t="shared" si="1"/>
        <v>80</v>
      </c>
      <c r="Q14" s="48">
        <f t="shared" si="2"/>
        <v>640</v>
      </c>
      <c r="R14" s="49"/>
      <c r="S14" s="100" t="s">
        <v>211</v>
      </c>
      <c r="T14" s="96">
        <v>45273</v>
      </c>
      <c r="U14" s="47">
        <f t="shared" si="3"/>
        <v>80</v>
      </c>
      <c r="V14" s="47">
        <f t="shared" si="4"/>
        <v>8</v>
      </c>
      <c r="W14" s="52">
        <f t="shared" si="5"/>
        <v>640</v>
      </c>
      <c r="X14" s="124" t="s">
        <v>81</v>
      </c>
      <c r="Y14" s="45" t="s">
        <v>212</v>
      </c>
    </row>
    <row r="15" spans="1:25" s="45" customFormat="1" ht="11.1" customHeight="1" x14ac:dyDescent="0.2">
      <c r="A15" s="38">
        <f t="shared" si="6"/>
        <v>13</v>
      </c>
      <c r="B15" s="90" t="s">
        <v>160</v>
      </c>
      <c r="C15" s="40" t="str">
        <f>IF($B15&lt;&gt;"",_xlfn.IFNA(VLOOKUP($B15,'Node Details'!$B:$U,C$1,0),"Check"),"")</f>
        <v>00001GF14-1GF140107</v>
      </c>
      <c r="D15" s="40" t="str">
        <f>IF($B15&lt;&gt;"",_xlfn.IFNA(VLOOKUP($B15,'Node Details'!$B:$U,D$1,0),"Check"),"")</f>
        <v>1GF</v>
      </c>
      <c r="E15" s="40" t="str">
        <f>IF($B15&lt;&gt;"",_xlfn.IFNA(VLOOKUP($B15,'Node Details'!$B:$U,E$1,0),"Check"),"")</f>
        <v>Airtel</v>
      </c>
      <c r="F15" s="101">
        <v>45141</v>
      </c>
      <c r="G15" s="42"/>
      <c r="H15" s="93" t="s">
        <v>22</v>
      </c>
      <c r="I15" s="93">
        <v>14</v>
      </c>
      <c r="J15" s="93">
        <v>40</v>
      </c>
      <c r="K15" s="44">
        <f t="shared" si="0"/>
        <v>560</v>
      </c>
      <c r="L15" s="41">
        <v>45141</v>
      </c>
      <c r="N15" s="43"/>
      <c r="O15" s="46"/>
      <c r="P15" s="47">
        <f t="shared" si="1"/>
        <v>40</v>
      </c>
      <c r="Q15" s="48">
        <f t="shared" si="2"/>
        <v>560</v>
      </c>
      <c r="R15" s="49"/>
      <c r="S15" s="50"/>
      <c r="T15" s="51"/>
      <c r="U15" s="47">
        <f t="shared" si="3"/>
        <v>40</v>
      </c>
      <c r="V15" s="47">
        <f t="shared" si="4"/>
        <v>14</v>
      </c>
      <c r="W15" s="52">
        <f t="shared" si="5"/>
        <v>560</v>
      </c>
      <c r="X15" s="124" t="s">
        <v>81</v>
      </c>
      <c r="Y15" s="45" t="s">
        <v>213</v>
      </c>
    </row>
    <row r="16" spans="1:25" s="45" customFormat="1" ht="11.1" customHeight="1" x14ac:dyDescent="0.2">
      <c r="A16" s="38">
        <f t="shared" si="6"/>
        <v>14</v>
      </c>
      <c r="B16" s="90" t="s">
        <v>161</v>
      </c>
      <c r="C16" s="40" t="str">
        <f>IF($B16&lt;&gt;"",_xlfn.IFNA(VLOOKUP($B16,'Node Details'!$B:$U,C$1,0),"Check"),"")</f>
        <v>00001GF14-1GF140107</v>
      </c>
      <c r="D16" s="40" t="str">
        <f>IF($B16&lt;&gt;"",_xlfn.IFNA(VLOOKUP($B16,'Node Details'!$B:$U,D$1,0),"Check"),"")</f>
        <v>1GF</v>
      </c>
      <c r="E16" s="40" t="str">
        <f>IF($B16&lt;&gt;"",_xlfn.IFNA(VLOOKUP($B16,'Node Details'!$B:$U,E$1,0),"Check"),"")</f>
        <v>Airtel</v>
      </c>
      <c r="F16" s="101">
        <v>45141</v>
      </c>
      <c r="G16" s="42"/>
      <c r="H16" s="93" t="s">
        <v>22</v>
      </c>
      <c r="I16" s="93">
        <v>14</v>
      </c>
      <c r="J16" s="93">
        <v>40</v>
      </c>
      <c r="K16" s="44">
        <f t="shared" si="0"/>
        <v>560</v>
      </c>
      <c r="L16" s="41">
        <v>45141</v>
      </c>
      <c r="N16" s="43"/>
      <c r="O16" s="46"/>
      <c r="P16" s="47">
        <f t="shared" si="1"/>
        <v>40</v>
      </c>
      <c r="Q16" s="48">
        <f t="shared" si="2"/>
        <v>560</v>
      </c>
      <c r="R16" s="49"/>
      <c r="S16" s="50"/>
      <c r="T16" s="51"/>
      <c r="U16" s="47">
        <f t="shared" si="3"/>
        <v>40</v>
      </c>
      <c r="V16" s="47">
        <f t="shared" si="4"/>
        <v>14</v>
      </c>
      <c r="W16" s="52">
        <f t="shared" si="5"/>
        <v>560</v>
      </c>
      <c r="X16" s="124" t="s">
        <v>81</v>
      </c>
      <c r="Y16" s="45" t="s">
        <v>213</v>
      </c>
    </row>
    <row r="17" spans="1:25" s="45" customFormat="1" ht="11.1" customHeight="1" x14ac:dyDescent="0.2">
      <c r="A17" s="38">
        <f t="shared" si="6"/>
        <v>15</v>
      </c>
      <c r="B17" s="90" t="s">
        <v>162</v>
      </c>
      <c r="C17" s="40" t="str">
        <f>IF($B17&lt;&gt;"",_xlfn.IFNA(VLOOKUP($B17,'Node Details'!$B:$U,C$1,0),"Check"),"")</f>
        <v>00001GF14-1GF140107</v>
      </c>
      <c r="D17" s="40" t="str">
        <f>IF($B17&lt;&gt;"",_xlfn.IFNA(VLOOKUP($B17,'Node Details'!$B:$U,D$1,0),"Check"),"")</f>
        <v>1GF</v>
      </c>
      <c r="E17" s="40" t="str">
        <f>IF($B17&lt;&gt;"",_xlfn.IFNA(VLOOKUP($B17,'Node Details'!$B:$U,E$1,0),"Check"),"")</f>
        <v>Airtel</v>
      </c>
      <c r="F17" s="101">
        <v>45141</v>
      </c>
      <c r="G17" s="42"/>
      <c r="H17" s="93" t="s">
        <v>22</v>
      </c>
      <c r="I17" s="93">
        <v>14</v>
      </c>
      <c r="J17" s="93">
        <v>40</v>
      </c>
      <c r="K17" s="44">
        <f t="shared" si="0"/>
        <v>560</v>
      </c>
      <c r="L17" s="41">
        <v>45141</v>
      </c>
      <c r="N17" s="43"/>
      <c r="O17" s="46"/>
      <c r="P17" s="47">
        <f t="shared" si="1"/>
        <v>40</v>
      </c>
      <c r="Q17" s="48">
        <f t="shared" si="2"/>
        <v>560</v>
      </c>
      <c r="R17" s="49"/>
      <c r="S17" s="50"/>
      <c r="T17" s="51"/>
      <c r="U17" s="47">
        <f t="shared" si="3"/>
        <v>40</v>
      </c>
      <c r="V17" s="47">
        <f t="shared" si="4"/>
        <v>14</v>
      </c>
      <c r="W17" s="52">
        <f t="shared" si="5"/>
        <v>560</v>
      </c>
      <c r="X17" s="124" t="s">
        <v>81</v>
      </c>
      <c r="Y17" s="45" t="s">
        <v>213</v>
      </c>
    </row>
    <row r="18" spans="1:25" s="45" customFormat="1" ht="11.1" customHeight="1" x14ac:dyDescent="0.2">
      <c r="A18" s="38">
        <f t="shared" si="6"/>
        <v>16</v>
      </c>
      <c r="B18" s="90" t="s">
        <v>163</v>
      </c>
      <c r="C18" s="40" t="str">
        <f>IF($B18&lt;&gt;"",_xlfn.IFNA(VLOOKUP($B18,'Node Details'!$B:$U,C$1,0),"Check"),"")</f>
        <v>00001GF14-1GF140107</v>
      </c>
      <c r="D18" s="40" t="str">
        <f>IF($B18&lt;&gt;"",_xlfn.IFNA(VLOOKUP($B18,'Node Details'!$B:$U,D$1,0),"Check"),"")</f>
        <v>1GF</v>
      </c>
      <c r="E18" s="40" t="str">
        <f>IF($B18&lt;&gt;"",_xlfn.IFNA(VLOOKUP($B18,'Node Details'!$B:$U,E$1,0),"Check"),"")</f>
        <v>Airtel</v>
      </c>
      <c r="F18" s="101">
        <v>45141</v>
      </c>
      <c r="G18" s="42"/>
      <c r="H18" s="93" t="s">
        <v>22</v>
      </c>
      <c r="I18" s="93">
        <v>10</v>
      </c>
      <c r="J18" s="93">
        <v>40</v>
      </c>
      <c r="K18" s="44">
        <f t="shared" si="0"/>
        <v>400</v>
      </c>
      <c r="L18" s="41">
        <v>45141</v>
      </c>
      <c r="N18" s="43"/>
      <c r="O18" s="46"/>
      <c r="P18" s="47">
        <f t="shared" si="1"/>
        <v>40</v>
      </c>
      <c r="Q18" s="48">
        <f t="shared" si="2"/>
        <v>400</v>
      </c>
      <c r="R18" s="49"/>
      <c r="S18" s="50"/>
      <c r="T18" s="51"/>
      <c r="U18" s="47">
        <f t="shared" si="3"/>
        <v>40</v>
      </c>
      <c r="V18" s="47">
        <f t="shared" si="4"/>
        <v>10</v>
      </c>
      <c r="W18" s="52">
        <f t="shared" si="5"/>
        <v>400</v>
      </c>
      <c r="X18" s="124" t="s">
        <v>81</v>
      </c>
      <c r="Y18" s="45" t="s">
        <v>213</v>
      </c>
    </row>
    <row r="19" spans="1:25" s="45" customFormat="1" ht="11.1" customHeight="1" x14ac:dyDescent="0.2">
      <c r="A19" s="38">
        <f t="shared" si="6"/>
        <v>17</v>
      </c>
      <c r="B19" s="90" t="s">
        <v>164</v>
      </c>
      <c r="C19" s="40" t="str">
        <f>IF($B19&lt;&gt;"",_xlfn.IFNA(VLOOKUP($B19,'Node Details'!$B:$U,C$1,0),"Check"),"")</f>
        <v>00001GF14-1GF140107</v>
      </c>
      <c r="D19" s="40" t="str">
        <f>IF($B19&lt;&gt;"",_xlfn.IFNA(VLOOKUP($B19,'Node Details'!$B:$U,D$1,0),"Check"),"")</f>
        <v>1GF</v>
      </c>
      <c r="E19" s="40" t="str">
        <f>IF($B19&lt;&gt;"",_xlfn.IFNA(VLOOKUP($B19,'Node Details'!$B:$U,E$1,0),"Check"),"")</f>
        <v>Airtel</v>
      </c>
      <c r="F19" s="101">
        <v>45141</v>
      </c>
      <c r="G19" s="42"/>
      <c r="H19" s="93" t="s">
        <v>22</v>
      </c>
      <c r="I19" s="93">
        <v>14</v>
      </c>
      <c r="J19" s="93">
        <v>40</v>
      </c>
      <c r="K19" s="44">
        <f t="shared" si="0"/>
        <v>560</v>
      </c>
      <c r="L19" s="41">
        <v>45141</v>
      </c>
      <c r="N19" s="43"/>
      <c r="O19" s="46"/>
      <c r="P19" s="47">
        <f t="shared" si="1"/>
        <v>40</v>
      </c>
      <c r="Q19" s="48">
        <f t="shared" si="2"/>
        <v>560</v>
      </c>
      <c r="R19" s="49"/>
      <c r="S19" s="50"/>
      <c r="T19" s="51"/>
      <c r="U19" s="47">
        <f t="shared" si="3"/>
        <v>40</v>
      </c>
      <c r="V19" s="47">
        <f t="shared" si="4"/>
        <v>14</v>
      </c>
      <c r="W19" s="52">
        <f t="shared" si="5"/>
        <v>560</v>
      </c>
      <c r="X19" s="124" t="s">
        <v>81</v>
      </c>
      <c r="Y19" s="45" t="s">
        <v>213</v>
      </c>
    </row>
    <row r="20" spans="1:25" s="45" customFormat="1" ht="11.1" customHeight="1" x14ac:dyDescent="0.2">
      <c r="A20" s="38">
        <f t="shared" si="6"/>
        <v>18</v>
      </c>
      <c r="B20" s="90" t="s">
        <v>165</v>
      </c>
      <c r="C20" s="40" t="str">
        <f>IF($B20&lt;&gt;"",_xlfn.IFNA(VLOOKUP($B20,'Node Details'!$B:$U,C$1,0),"Check"),"")</f>
        <v>00001GF14-1GF140107</v>
      </c>
      <c r="D20" s="40" t="str">
        <f>IF($B20&lt;&gt;"",_xlfn.IFNA(VLOOKUP($B20,'Node Details'!$B:$U,D$1,0),"Check"),"")</f>
        <v>1GF</v>
      </c>
      <c r="E20" s="40" t="str">
        <f>IF($B20&lt;&gt;"",_xlfn.IFNA(VLOOKUP($B20,'Node Details'!$B:$U,E$1,0),"Check"),"")</f>
        <v>Airtel</v>
      </c>
      <c r="F20" s="101">
        <v>45141</v>
      </c>
      <c r="G20" s="42"/>
      <c r="H20" s="93" t="s">
        <v>22</v>
      </c>
      <c r="I20" s="93">
        <v>10</v>
      </c>
      <c r="J20" s="93">
        <v>40</v>
      </c>
      <c r="K20" s="44">
        <f t="shared" si="0"/>
        <v>400</v>
      </c>
      <c r="L20" s="41">
        <v>45141</v>
      </c>
      <c r="N20" s="43"/>
      <c r="O20" s="46"/>
      <c r="P20" s="47">
        <f t="shared" si="1"/>
        <v>40</v>
      </c>
      <c r="Q20" s="48">
        <f t="shared" si="2"/>
        <v>400</v>
      </c>
      <c r="R20" s="49"/>
      <c r="S20" s="50"/>
      <c r="T20" s="51"/>
      <c r="U20" s="47">
        <f t="shared" si="3"/>
        <v>40</v>
      </c>
      <c r="V20" s="47">
        <f t="shared" si="4"/>
        <v>10</v>
      </c>
      <c r="W20" s="52">
        <f t="shared" si="5"/>
        <v>400</v>
      </c>
      <c r="X20" s="124" t="s">
        <v>81</v>
      </c>
      <c r="Y20" s="45" t="s">
        <v>213</v>
      </c>
    </row>
    <row r="21" spans="1:25" s="45" customFormat="1" ht="11.1" customHeight="1" x14ac:dyDescent="0.2">
      <c r="A21" s="38">
        <f t="shared" si="6"/>
        <v>19</v>
      </c>
      <c r="B21" s="90" t="s">
        <v>105</v>
      </c>
      <c r="C21" s="40" t="str">
        <f>IF($B21&lt;&gt;"",_xlfn.IFNA(VLOOKUP($B21,'Node Details'!$B:$U,C$1,0),"Check"),"")</f>
        <v>00001GF14-1GF140107</v>
      </c>
      <c r="D21" s="40" t="str">
        <f>IF($B21&lt;&gt;"",_xlfn.IFNA(VLOOKUP($B21,'Node Details'!$B:$U,D$1,0),"Check"),"")</f>
        <v>1GF</v>
      </c>
      <c r="E21" s="40" t="str">
        <f>IF($B21&lt;&gt;"",_xlfn.IFNA(VLOOKUP($B21,'Node Details'!$B:$U,E$1,0),"Check"),"")</f>
        <v>Airtel</v>
      </c>
      <c r="F21" s="101">
        <v>45141</v>
      </c>
      <c r="G21" s="42"/>
      <c r="H21" s="93" t="s">
        <v>22</v>
      </c>
      <c r="I21" s="93">
        <v>10</v>
      </c>
      <c r="J21" s="93">
        <v>40</v>
      </c>
      <c r="K21" s="44">
        <f t="shared" si="0"/>
        <v>400</v>
      </c>
      <c r="L21" s="41">
        <v>45141</v>
      </c>
      <c r="N21" s="43"/>
      <c r="O21" s="46"/>
      <c r="P21" s="47">
        <f t="shared" si="1"/>
        <v>40</v>
      </c>
      <c r="Q21" s="48">
        <f t="shared" si="2"/>
        <v>400</v>
      </c>
      <c r="R21" s="49"/>
      <c r="S21" s="50"/>
      <c r="T21" s="51"/>
      <c r="U21" s="47">
        <f t="shared" si="3"/>
        <v>40</v>
      </c>
      <c r="V21" s="47">
        <f t="shared" si="4"/>
        <v>10</v>
      </c>
      <c r="W21" s="52">
        <f t="shared" si="5"/>
        <v>400</v>
      </c>
      <c r="X21" s="124" t="s">
        <v>81</v>
      </c>
      <c r="Y21" s="45" t="s">
        <v>213</v>
      </c>
    </row>
    <row r="22" spans="1:25" s="45" customFormat="1" ht="11.1" customHeight="1" x14ac:dyDescent="0.2">
      <c r="A22" s="38">
        <f t="shared" si="6"/>
        <v>20</v>
      </c>
      <c r="B22" s="90" t="s">
        <v>166</v>
      </c>
      <c r="C22" s="40" t="str">
        <f>IF($B22&lt;&gt;"",_xlfn.IFNA(VLOOKUP($B22,'Node Details'!$B:$U,C$1,0),"Check"),"")</f>
        <v>00001GF15-1GF150107</v>
      </c>
      <c r="D22" s="40" t="str">
        <f>IF($B22&lt;&gt;"",_xlfn.IFNA(VLOOKUP($B22,'Node Details'!$B:$U,D$1,0),"Check"),"")</f>
        <v>1GF</v>
      </c>
      <c r="E22" s="40" t="str">
        <f>IF($B22&lt;&gt;"",_xlfn.IFNA(VLOOKUP($B22,'Node Details'!$B:$U,E$1,0),"Check"),"")</f>
        <v>Airtel</v>
      </c>
      <c r="F22" s="101">
        <v>45141</v>
      </c>
      <c r="G22" s="42"/>
      <c r="H22" s="93" t="s">
        <v>22</v>
      </c>
      <c r="I22" s="93">
        <v>12</v>
      </c>
      <c r="J22" s="93">
        <v>40</v>
      </c>
      <c r="K22" s="44">
        <f t="shared" si="0"/>
        <v>480</v>
      </c>
      <c r="L22" s="41">
        <v>45141</v>
      </c>
      <c r="N22" s="43"/>
      <c r="O22" s="46"/>
      <c r="P22" s="47">
        <f t="shared" si="1"/>
        <v>40</v>
      </c>
      <c r="Q22" s="48">
        <f t="shared" si="2"/>
        <v>480</v>
      </c>
      <c r="R22" s="49"/>
      <c r="S22" s="50"/>
      <c r="T22" s="51"/>
      <c r="U22" s="47">
        <f t="shared" si="3"/>
        <v>40</v>
      </c>
      <c r="V22" s="47">
        <f t="shared" si="4"/>
        <v>12</v>
      </c>
      <c r="W22" s="52">
        <f t="shared" si="5"/>
        <v>480</v>
      </c>
      <c r="X22" s="124" t="s">
        <v>81</v>
      </c>
      <c r="Y22" s="45" t="s">
        <v>213</v>
      </c>
    </row>
    <row r="23" spans="1:25" s="45" customFormat="1" ht="11.1" customHeight="1" x14ac:dyDescent="0.2">
      <c r="A23" s="38">
        <f t="shared" si="6"/>
        <v>21</v>
      </c>
      <c r="B23" s="90" t="s">
        <v>167</v>
      </c>
      <c r="C23" s="40" t="str">
        <f>IF($B23&lt;&gt;"",_xlfn.IFNA(VLOOKUP($B23,'Node Details'!$B:$U,C$1,0),"Check"),"")</f>
        <v>00001GF15-1GF150107</v>
      </c>
      <c r="D23" s="40" t="str">
        <f>IF($B23&lt;&gt;"",_xlfn.IFNA(VLOOKUP($B23,'Node Details'!$B:$U,D$1,0),"Check"),"")</f>
        <v>1GF</v>
      </c>
      <c r="E23" s="40" t="str">
        <f>IF($B23&lt;&gt;"",_xlfn.IFNA(VLOOKUP($B23,'Node Details'!$B:$U,E$1,0),"Check"),"")</f>
        <v>Airtel</v>
      </c>
      <c r="F23" s="101">
        <v>45141</v>
      </c>
      <c r="G23" s="42"/>
      <c r="H23" s="93" t="s">
        <v>22</v>
      </c>
      <c r="I23" s="93">
        <v>10</v>
      </c>
      <c r="J23" s="93">
        <v>40</v>
      </c>
      <c r="K23" s="44">
        <f t="shared" si="0"/>
        <v>400</v>
      </c>
      <c r="L23" s="41">
        <v>45141</v>
      </c>
      <c r="N23" s="43"/>
      <c r="O23" s="46"/>
      <c r="P23" s="47">
        <f t="shared" si="1"/>
        <v>40</v>
      </c>
      <c r="Q23" s="48">
        <f t="shared" si="2"/>
        <v>400</v>
      </c>
      <c r="R23" s="49"/>
      <c r="S23" s="50"/>
      <c r="T23" s="51"/>
      <c r="U23" s="47">
        <f t="shared" si="3"/>
        <v>40</v>
      </c>
      <c r="V23" s="47">
        <f t="shared" si="4"/>
        <v>10</v>
      </c>
      <c r="W23" s="52">
        <f t="shared" si="5"/>
        <v>400</v>
      </c>
      <c r="X23" s="124" t="s">
        <v>81</v>
      </c>
      <c r="Y23" s="45" t="s">
        <v>213</v>
      </c>
    </row>
    <row r="24" spans="1:25" s="45" customFormat="1" ht="11.1" customHeight="1" x14ac:dyDescent="0.2">
      <c r="A24" s="38">
        <f t="shared" si="6"/>
        <v>22</v>
      </c>
      <c r="B24" s="90" t="s">
        <v>168</v>
      </c>
      <c r="C24" s="40" t="str">
        <f>IF($B24&lt;&gt;"",_xlfn.IFNA(VLOOKUP($B24,'Node Details'!$B:$U,C$1,0),"Check"),"")</f>
        <v>00001GF15-1GF150107</v>
      </c>
      <c r="D24" s="40" t="str">
        <f>IF($B24&lt;&gt;"",_xlfn.IFNA(VLOOKUP($B24,'Node Details'!$B:$U,D$1,0),"Check"),"")</f>
        <v>1GF</v>
      </c>
      <c r="E24" s="40" t="str">
        <f>IF($B24&lt;&gt;"",_xlfn.IFNA(VLOOKUP($B24,'Node Details'!$B:$U,E$1,0),"Check"),"")</f>
        <v>Airtel</v>
      </c>
      <c r="F24" s="101">
        <v>45141</v>
      </c>
      <c r="G24" s="42"/>
      <c r="H24" s="93" t="s">
        <v>22</v>
      </c>
      <c r="I24" s="93">
        <v>14</v>
      </c>
      <c r="J24" s="93">
        <v>40</v>
      </c>
      <c r="K24" s="44">
        <f t="shared" si="0"/>
        <v>560</v>
      </c>
      <c r="L24" s="41">
        <v>45141</v>
      </c>
      <c r="N24" s="43"/>
      <c r="O24" s="46"/>
      <c r="P24" s="47">
        <f t="shared" si="1"/>
        <v>40</v>
      </c>
      <c r="Q24" s="48">
        <f t="shared" si="2"/>
        <v>560</v>
      </c>
      <c r="R24" s="49"/>
      <c r="S24" s="50"/>
      <c r="T24" s="51"/>
      <c r="U24" s="47">
        <f t="shared" si="3"/>
        <v>40</v>
      </c>
      <c r="V24" s="47">
        <f t="shared" si="4"/>
        <v>14</v>
      </c>
      <c r="W24" s="52">
        <f t="shared" si="5"/>
        <v>560</v>
      </c>
      <c r="X24" s="124" t="s">
        <v>81</v>
      </c>
      <c r="Y24" s="45" t="s">
        <v>213</v>
      </c>
    </row>
    <row r="25" spans="1:25" s="45" customFormat="1" ht="11.1" customHeight="1" x14ac:dyDescent="0.2">
      <c r="A25" s="38">
        <f t="shared" si="6"/>
        <v>23</v>
      </c>
      <c r="B25" s="90" t="s">
        <v>169</v>
      </c>
      <c r="C25" s="40" t="str">
        <f>IF($B25&lt;&gt;"",_xlfn.IFNA(VLOOKUP($B25,'Node Details'!$B:$U,C$1,0),"Check"),"")</f>
        <v>00001GF15-1GF150107</v>
      </c>
      <c r="D25" s="40" t="str">
        <f>IF($B25&lt;&gt;"",_xlfn.IFNA(VLOOKUP($B25,'Node Details'!$B:$U,D$1,0),"Check"),"")</f>
        <v>1GF</v>
      </c>
      <c r="E25" s="40" t="str">
        <f>IF($B25&lt;&gt;"",_xlfn.IFNA(VLOOKUP($B25,'Node Details'!$B:$U,E$1,0),"Check"),"")</f>
        <v>Airtel</v>
      </c>
      <c r="F25" s="101">
        <v>45141</v>
      </c>
      <c r="G25" s="42"/>
      <c r="H25" s="93" t="s">
        <v>22</v>
      </c>
      <c r="I25" s="93">
        <v>8</v>
      </c>
      <c r="J25" s="93">
        <v>40</v>
      </c>
      <c r="K25" s="44">
        <f t="shared" si="0"/>
        <v>320</v>
      </c>
      <c r="L25" s="41">
        <v>45141</v>
      </c>
      <c r="N25" s="43"/>
      <c r="O25" s="46"/>
      <c r="P25" s="47">
        <f t="shared" si="1"/>
        <v>40</v>
      </c>
      <c r="Q25" s="48">
        <f t="shared" si="2"/>
        <v>320</v>
      </c>
      <c r="R25" s="49"/>
      <c r="S25" s="50"/>
      <c r="T25" s="51"/>
      <c r="U25" s="47">
        <f t="shared" si="3"/>
        <v>40</v>
      </c>
      <c r="V25" s="47">
        <f t="shared" si="4"/>
        <v>8</v>
      </c>
      <c r="W25" s="52">
        <f t="shared" si="5"/>
        <v>320</v>
      </c>
      <c r="X25" s="124" t="s">
        <v>81</v>
      </c>
      <c r="Y25" s="45" t="s">
        <v>213</v>
      </c>
    </row>
    <row r="26" spans="1:25" s="45" customFormat="1" ht="11.1" customHeight="1" x14ac:dyDescent="0.2">
      <c r="A26" s="38">
        <f t="shared" si="6"/>
        <v>24</v>
      </c>
      <c r="B26" s="90" t="s">
        <v>170</v>
      </c>
      <c r="C26" s="40" t="str">
        <f>IF($B26&lt;&gt;"",_xlfn.IFNA(VLOOKUP($B26,'Node Details'!$B:$U,C$1,0),"Check"),"")</f>
        <v>00001GF15-1GF150107</v>
      </c>
      <c r="D26" s="40" t="str">
        <f>IF($B26&lt;&gt;"",_xlfn.IFNA(VLOOKUP($B26,'Node Details'!$B:$U,D$1,0),"Check"),"")</f>
        <v>1GF</v>
      </c>
      <c r="E26" s="40" t="str">
        <f>IF($B26&lt;&gt;"",_xlfn.IFNA(VLOOKUP($B26,'Node Details'!$B:$U,E$1,0),"Check"),"")</f>
        <v>Airtel</v>
      </c>
      <c r="F26" s="101">
        <v>45141</v>
      </c>
      <c r="G26" s="42"/>
      <c r="H26" s="93" t="s">
        <v>22</v>
      </c>
      <c r="I26" s="93">
        <v>12</v>
      </c>
      <c r="J26" s="93">
        <v>40</v>
      </c>
      <c r="K26" s="44">
        <f t="shared" si="0"/>
        <v>480</v>
      </c>
      <c r="L26" s="41">
        <v>45141</v>
      </c>
      <c r="N26" s="43"/>
      <c r="O26" s="46"/>
      <c r="P26" s="47">
        <f t="shared" si="1"/>
        <v>40</v>
      </c>
      <c r="Q26" s="48">
        <f t="shared" si="2"/>
        <v>480</v>
      </c>
      <c r="R26" s="49"/>
      <c r="S26" s="50"/>
      <c r="T26" s="51"/>
      <c r="U26" s="47">
        <f t="shared" si="3"/>
        <v>40</v>
      </c>
      <c r="V26" s="47">
        <f t="shared" si="4"/>
        <v>12</v>
      </c>
      <c r="W26" s="52">
        <f t="shared" si="5"/>
        <v>480</v>
      </c>
      <c r="X26" s="124" t="s">
        <v>81</v>
      </c>
      <c r="Y26" s="45" t="s">
        <v>213</v>
      </c>
    </row>
    <row r="27" spans="1:25" s="45" customFormat="1" ht="11.1" customHeight="1" x14ac:dyDescent="0.2">
      <c r="A27" s="38">
        <f t="shared" si="6"/>
        <v>25</v>
      </c>
      <c r="B27" s="90" t="s">
        <v>171</v>
      </c>
      <c r="C27" s="40" t="str">
        <f>IF($B27&lt;&gt;"",_xlfn.IFNA(VLOOKUP($B27,'Node Details'!$B:$U,C$1,0),"Check"),"")</f>
        <v>00001GF15-1GF150107</v>
      </c>
      <c r="D27" s="40" t="str">
        <f>IF($B27&lt;&gt;"",_xlfn.IFNA(VLOOKUP($B27,'Node Details'!$B:$U,D$1,0),"Check"),"")</f>
        <v>1GF</v>
      </c>
      <c r="E27" s="40" t="str">
        <f>IF($B27&lt;&gt;"",_xlfn.IFNA(VLOOKUP($B27,'Node Details'!$B:$U,E$1,0),"Check"),"")</f>
        <v>Airtel</v>
      </c>
      <c r="F27" s="101">
        <v>45141</v>
      </c>
      <c r="G27" s="42"/>
      <c r="H27" s="93" t="s">
        <v>22</v>
      </c>
      <c r="I27" s="93">
        <v>14</v>
      </c>
      <c r="J27" s="93">
        <v>40</v>
      </c>
      <c r="K27" s="44">
        <f t="shared" si="0"/>
        <v>560</v>
      </c>
      <c r="L27" s="41">
        <v>45141</v>
      </c>
      <c r="N27" s="43"/>
      <c r="O27" s="46"/>
      <c r="P27" s="47">
        <f t="shared" si="1"/>
        <v>40</v>
      </c>
      <c r="Q27" s="48">
        <f t="shared" si="2"/>
        <v>560</v>
      </c>
      <c r="R27" s="49"/>
      <c r="S27" s="50"/>
      <c r="T27" s="51"/>
      <c r="U27" s="47">
        <f t="shared" si="3"/>
        <v>40</v>
      </c>
      <c r="V27" s="47">
        <f t="shared" si="4"/>
        <v>14</v>
      </c>
      <c r="W27" s="52">
        <f t="shared" si="5"/>
        <v>560</v>
      </c>
      <c r="X27" s="124" t="s">
        <v>81</v>
      </c>
      <c r="Y27" s="45" t="s">
        <v>213</v>
      </c>
    </row>
    <row r="28" spans="1:25" s="45" customFormat="1" ht="11.1" customHeight="1" x14ac:dyDescent="0.2">
      <c r="A28" s="38">
        <f t="shared" si="6"/>
        <v>26</v>
      </c>
      <c r="B28" s="90" t="s">
        <v>109</v>
      </c>
      <c r="C28" s="40" t="str">
        <f>IF($B28&lt;&gt;"",_xlfn.IFNA(VLOOKUP($B28,'Node Details'!$B:$U,C$1,0),"Check"),"")</f>
        <v>00001GF15-1GF150107</v>
      </c>
      <c r="D28" s="40" t="str">
        <f>IF($B28&lt;&gt;"",_xlfn.IFNA(VLOOKUP($B28,'Node Details'!$B:$U,D$1,0),"Check"),"")</f>
        <v>1GF</v>
      </c>
      <c r="E28" s="40" t="str">
        <f>IF($B28&lt;&gt;"",_xlfn.IFNA(VLOOKUP($B28,'Node Details'!$B:$U,E$1,0),"Check"),"")</f>
        <v>Airtel</v>
      </c>
      <c r="F28" s="101">
        <v>45141</v>
      </c>
      <c r="G28" s="42"/>
      <c r="H28" s="93" t="s">
        <v>22</v>
      </c>
      <c r="I28" s="93">
        <v>10</v>
      </c>
      <c r="J28" s="93">
        <v>40</v>
      </c>
      <c r="K28" s="44">
        <f t="shared" si="0"/>
        <v>400</v>
      </c>
      <c r="L28" s="41">
        <v>45141</v>
      </c>
      <c r="N28" s="43"/>
      <c r="O28" s="46"/>
      <c r="P28" s="47">
        <f t="shared" si="1"/>
        <v>40</v>
      </c>
      <c r="Q28" s="48">
        <f t="shared" si="2"/>
        <v>400</v>
      </c>
      <c r="R28" s="49"/>
      <c r="S28" s="50"/>
      <c r="T28" s="51"/>
      <c r="U28" s="47">
        <f t="shared" si="3"/>
        <v>40</v>
      </c>
      <c r="V28" s="47">
        <f t="shared" si="4"/>
        <v>10</v>
      </c>
      <c r="W28" s="52">
        <f t="shared" si="5"/>
        <v>400</v>
      </c>
      <c r="X28" s="124" t="s">
        <v>81</v>
      </c>
      <c r="Y28" s="45" t="s">
        <v>213</v>
      </c>
    </row>
    <row r="29" spans="1:25" s="45" customFormat="1" ht="11.1" customHeight="1" x14ac:dyDescent="0.2">
      <c r="A29" s="38">
        <f t="shared" si="6"/>
        <v>27</v>
      </c>
      <c r="B29" s="90" t="s">
        <v>172</v>
      </c>
      <c r="C29" s="40" t="str">
        <f>IF($B29&lt;&gt;"",_xlfn.IFNA(VLOOKUP($B29,'Node Details'!$B:$U,C$1,0),"Check"),"")</f>
        <v>00001GF16-1GF160107</v>
      </c>
      <c r="D29" s="40" t="str">
        <f>IF($B29&lt;&gt;"",_xlfn.IFNA(VLOOKUP($B29,'Node Details'!$B:$U,D$1,0),"Check"),"")</f>
        <v>1GF</v>
      </c>
      <c r="E29" s="40" t="str">
        <f>IF($B29&lt;&gt;"",_xlfn.IFNA(VLOOKUP($B29,'Node Details'!$B:$U,E$1,0),"Check"),"")</f>
        <v>Airtel</v>
      </c>
      <c r="F29" s="101">
        <v>45141</v>
      </c>
      <c r="G29" s="42"/>
      <c r="H29" s="93" t="s">
        <v>22</v>
      </c>
      <c r="I29" s="93">
        <v>12</v>
      </c>
      <c r="J29" s="93">
        <v>40</v>
      </c>
      <c r="K29" s="44">
        <f t="shared" si="0"/>
        <v>480</v>
      </c>
      <c r="L29" s="41">
        <v>45141</v>
      </c>
      <c r="N29" s="43"/>
      <c r="O29" s="46"/>
      <c r="P29" s="47">
        <f t="shared" si="1"/>
        <v>40</v>
      </c>
      <c r="Q29" s="48">
        <f t="shared" si="2"/>
        <v>480</v>
      </c>
      <c r="R29" s="49"/>
      <c r="S29" s="50"/>
      <c r="T29" s="51"/>
      <c r="U29" s="47">
        <f t="shared" si="3"/>
        <v>40</v>
      </c>
      <c r="V29" s="47">
        <f t="shared" si="4"/>
        <v>12</v>
      </c>
      <c r="W29" s="52">
        <f t="shared" si="5"/>
        <v>480</v>
      </c>
      <c r="X29" s="124" t="s">
        <v>81</v>
      </c>
      <c r="Y29" s="45" t="s">
        <v>213</v>
      </c>
    </row>
    <row r="30" spans="1:25" s="45" customFormat="1" ht="11.1" customHeight="1" x14ac:dyDescent="0.2">
      <c r="A30" s="38">
        <f t="shared" si="6"/>
        <v>28</v>
      </c>
      <c r="B30" s="90" t="s">
        <v>173</v>
      </c>
      <c r="C30" s="40" t="str">
        <f>IF($B30&lt;&gt;"",_xlfn.IFNA(VLOOKUP($B30,'Node Details'!$B:$U,C$1,0),"Check"),"")</f>
        <v>00001GF16-1GF160107</v>
      </c>
      <c r="D30" s="40" t="str">
        <f>IF($B30&lt;&gt;"",_xlfn.IFNA(VLOOKUP($B30,'Node Details'!$B:$U,D$1,0),"Check"),"")</f>
        <v>1GF</v>
      </c>
      <c r="E30" s="40" t="str">
        <f>IF($B30&lt;&gt;"",_xlfn.IFNA(VLOOKUP($B30,'Node Details'!$B:$U,E$1,0),"Check"),"")</f>
        <v>Airtel</v>
      </c>
      <c r="F30" s="101">
        <v>45141</v>
      </c>
      <c r="G30" s="42"/>
      <c r="H30" s="93" t="s">
        <v>22</v>
      </c>
      <c r="I30" s="93">
        <v>10</v>
      </c>
      <c r="J30" s="93">
        <v>40</v>
      </c>
      <c r="K30" s="44">
        <f t="shared" si="0"/>
        <v>400</v>
      </c>
      <c r="L30" s="41">
        <v>45141</v>
      </c>
      <c r="N30" s="43"/>
      <c r="O30" s="46"/>
      <c r="P30" s="47">
        <f t="shared" si="1"/>
        <v>40</v>
      </c>
      <c r="Q30" s="48">
        <f t="shared" si="2"/>
        <v>400</v>
      </c>
      <c r="R30" s="49"/>
      <c r="S30" s="50"/>
      <c r="T30" s="51"/>
      <c r="U30" s="47">
        <f t="shared" si="3"/>
        <v>40</v>
      </c>
      <c r="V30" s="47">
        <f t="shared" si="4"/>
        <v>10</v>
      </c>
      <c r="W30" s="52">
        <f t="shared" si="5"/>
        <v>400</v>
      </c>
      <c r="X30" s="124" t="s">
        <v>81</v>
      </c>
      <c r="Y30" s="45" t="s">
        <v>213</v>
      </c>
    </row>
    <row r="31" spans="1:25" s="45" customFormat="1" ht="11.1" customHeight="1" x14ac:dyDescent="0.2">
      <c r="A31" s="38">
        <f t="shared" si="6"/>
        <v>29</v>
      </c>
      <c r="B31" s="90" t="s">
        <v>174</v>
      </c>
      <c r="C31" s="40" t="str">
        <f>IF($B31&lt;&gt;"",_xlfn.IFNA(VLOOKUP($B31,'Node Details'!$B:$U,C$1,0),"Check"),"")</f>
        <v>00001GF16-1GF160107</v>
      </c>
      <c r="D31" s="40" t="str">
        <f>IF($B31&lt;&gt;"",_xlfn.IFNA(VLOOKUP($B31,'Node Details'!$B:$U,D$1,0),"Check"),"")</f>
        <v>1GF</v>
      </c>
      <c r="E31" s="40" t="str">
        <f>IF($B31&lt;&gt;"",_xlfn.IFNA(VLOOKUP($B31,'Node Details'!$B:$U,E$1,0),"Check"),"")</f>
        <v>Airtel</v>
      </c>
      <c r="F31" s="101">
        <v>45141</v>
      </c>
      <c r="G31" s="42"/>
      <c r="H31" s="93" t="s">
        <v>22</v>
      </c>
      <c r="I31" s="93">
        <v>15</v>
      </c>
      <c r="J31" s="93">
        <v>40</v>
      </c>
      <c r="K31" s="44">
        <f t="shared" si="0"/>
        <v>600</v>
      </c>
      <c r="L31" s="41">
        <v>45141</v>
      </c>
      <c r="N31" s="43"/>
      <c r="O31" s="46"/>
      <c r="P31" s="47">
        <f t="shared" si="1"/>
        <v>40</v>
      </c>
      <c r="Q31" s="48">
        <f t="shared" si="2"/>
        <v>600</v>
      </c>
      <c r="R31" s="49"/>
      <c r="S31" s="50"/>
      <c r="T31" s="51"/>
      <c r="U31" s="47">
        <f t="shared" si="3"/>
        <v>40</v>
      </c>
      <c r="V31" s="47">
        <f t="shared" si="4"/>
        <v>15</v>
      </c>
      <c r="W31" s="52">
        <f t="shared" si="5"/>
        <v>600</v>
      </c>
      <c r="X31" s="124" t="s">
        <v>81</v>
      </c>
      <c r="Y31" s="45" t="s">
        <v>213</v>
      </c>
    </row>
    <row r="32" spans="1:25" s="45" customFormat="1" ht="11.1" customHeight="1" x14ac:dyDescent="0.2">
      <c r="A32" s="38">
        <f t="shared" si="6"/>
        <v>30</v>
      </c>
      <c r="B32" s="90" t="s">
        <v>175</v>
      </c>
      <c r="C32" s="40" t="str">
        <f>IF($B32&lt;&gt;"",_xlfn.IFNA(VLOOKUP($B32,'Node Details'!$B:$U,C$1,0),"Check"),"")</f>
        <v>00001GF16-1GF160107</v>
      </c>
      <c r="D32" s="40" t="str">
        <f>IF($B32&lt;&gt;"",_xlfn.IFNA(VLOOKUP($B32,'Node Details'!$B:$U,D$1,0),"Check"),"")</f>
        <v>1GF</v>
      </c>
      <c r="E32" s="40" t="str">
        <f>IF($B32&lt;&gt;"",_xlfn.IFNA(VLOOKUP($B32,'Node Details'!$B:$U,E$1,0),"Check"),"")</f>
        <v>Airtel</v>
      </c>
      <c r="F32" s="101">
        <v>45141</v>
      </c>
      <c r="G32" s="42"/>
      <c r="H32" s="93" t="s">
        <v>22</v>
      </c>
      <c r="I32" s="93">
        <v>10</v>
      </c>
      <c r="J32" s="93">
        <v>40</v>
      </c>
      <c r="K32" s="44">
        <f t="shared" si="0"/>
        <v>400</v>
      </c>
      <c r="L32" s="41">
        <v>45141</v>
      </c>
      <c r="N32" s="43"/>
      <c r="O32" s="46"/>
      <c r="P32" s="47">
        <f t="shared" si="1"/>
        <v>40</v>
      </c>
      <c r="Q32" s="48">
        <f t="shared" si="2"/>
        <v>400</v>
      </c>
      <c r="R32" s="49"/>
      <c r="S32" s="50"/>
      <c r="T32" s="51"/>
      <c r="U32" s="47">
        <f t="shared" si="3"/>
        <v>40</v>
      </c>
      <c r="V32" s="47">
        <f t="shared" si="4"/>
        <v>10</v>
      </c>
      <c r="W32" s="52">
        <f t="shared" si="5"/>
        <v>400</v>
      </c>
      <c r="X32" s="124" t="s">
        <v>81</v>
      </c>
      <c r="Y32" s="45" t="s">
        <v>213</v>
      </c>
    </row>
    <row r="33" spans="1:25" s="45" customFormat="1" ht="11.1" customHeight="1" x14ac:dyDescent="0.2">
      <c r="A33" s="38">
        <f t="shared" si="6"/>
        <v>31</v>
      </c>
      <c r="B33" s="90" t="s">
        <v>176</v>
      </c>
      <c r="C33" s="40" t="str">
        <f>IF($B33&lt;&gt;"",_xlfn.IFNA(VLOOKUP($B33,'Node Details'!$B:$U,C$1,0),"Check"),"")</f>
        <v>00001GF16-1GF160107</v>
      </c>
      <c r="D33" s="40" t="str">
        <f>IF($B33&lt;&gt;"",_xlfn.IFNA(VLOOKUP($B33,'Node Details'!$B:$U,D$1,0),"Check"),"")</f>
        <v>1GF</v>
      </c>
      <c r="E33" s="40" t="str">
        <f>IF($B33&lt;&gt;"",_xlfn.IFNA(VLOOKUP($B33,'Node Details'!$B:$U,E$1,0),"Check"),"")</f>
        <v>Airtel</v>
      </c>
      <c r="F33" s="101">
        <v>45141</v>
      </c>
      <c r="G33" s="42"/>
      <c r="H33" s="93" t="s">
        <v>22</v>
      </c>
      <c r="I33" s="93">
        <v>14</v>
      </c>
      <c r="J33" s="93">
        <v>40</v>
      </c>
      <c r="K33" s="44">
        <f t="shared" si="0"/>
        <v>560</v>
      </c>
      <c r="L33" s="41">
        <v>45141</v>
      </c>
      <c r="N33" s="43"/>
      <c r="O33" s="46"/>
      <c r="P33" s="47">
        <f t="shared" si="1"/>
        <v>40</v>
      </c>
      <c r="Q33" s="48">
        <f t="shared" si="2"/>
        <v>560</v>
      </c>
      <c r="R33" s="49"/>
      <c r="S33" s="50"/>
      <c r="T33" s="51"/>
      <c r="U33" s="47">
        <f t="shared" si="3"/>
        <v>40</v>
      </c>
      <c r="V33" s="47">
        <f t="shared" si="4"/>
        <v>14</v>
      </c>
      <c r="W33" s="52">
        <f t="shared" si="5"/>
        <v>560</v>
      </c>
      <c r="X33" s="124" t="s">
        <v>81</v>
      </c>
      <c r="Y33" s="45" t="s">
        <v>213</v>
      </c>
    </row>
    <row r="34" spans="1:25" s="45" customFormat="1" ht="11.1" customHeight="1" x14ac:dyDescent="0.2">
      <c r="A34" s="38">
        <f t="shared" si="6"/>
        <v>32</v>
      </c>
      <c r="B34" s="90" t="s">
        <v>177</v>
      </c>
      <c r="C34" s="40" t="str">
        <f>IF($B34&lt;&gt;"",_xlfn.IFNA(VLOOKUP($B34,'Node Details'!$B:$U,C$1,0),"Check"),"")</f>
        <v>00001GF16-1GF160107</v>
      </c>
      <c r="D34" s="40" t="str">
        <f>IF($B34&lt;&gt;"",_xlfn.IFNA(VLOOKUP($B34,'Node Details'!$B:$U,D$1,0),"Check"),"")</f>
        <v>1GF</v>
      </c>
      <c r="E34" s="40" t="str">
        <f>IF($B34&lt;&gt;"",_xlfn.IFNA(VLOOKUP($B34,'Node Details'!$B:$U,E$1,0),"Check"),"")</f>
        <v>Airtel</v>
      </c>
      <c r="F34" s="101">
        <v>45141</v>
      </c>
      <c r="G34" s="42"/>
      <c r="H34" s="93" t="s">
        <v>22</v>
      </c>
      <c r="I34" s="93">
        <v>12</v>
      </c>
      <c r="J34" s="93">
        <v>40</v>
      </c>
      <c r="K34" s="44">
        <f t="shared" si="0"/>
        <v>480</v>
      </c>
      <c r="L34" s="41">
        <v>45141</v>
      </c>
      <c r="N34" s="43"/>
      <c r="O34" s="46"/>
      <c r="P34" s="47">
        <f t="shared" si="1"/>
        <v>40</v>
      </c>
      <c r="Q34" s="48">
        <f t="shared" si="2"/>
        <v>480</v>
      </c>
      <c r="R34" s="49"/>
      <c r="S34" s="50"/>
      <c r="T34" s="51"/>
      <c r="U34" s="47">
        <f t="shared" si="3"/>
        <v>40</v>
      </c>
      <c r="V34" s="47">
        <f t="shared" si="4"/>
        <v>12</v>
      </c>
      <c r="W34" s="52">
        <f t="shared" si="5"/>
        <v>480</v>
      </c>
      <c r="X34" s="124" t="s">
        <v>81</v>
      </c>
      <c r="Y34" s="45" t="s">
        <v>213</v>
      </c>
    </row>
    <row r="35" spans="1:25" s="45" customFormat="1" ht="11.1" customHeight="1" x14ac:dyDescent="0.2">
      <c r="A35" s="38">
        <f t="shared" si="6"/>
        <v>33</v>
      </c>
      <c r="B35" s="90" t="s">
        <v>113</v>
      </c>
      <c r="C35" s="40" t="str">
        <f>IF($B35&lt;&gt;"",_xlfn.IFNA(VLOOKUP($B35,'Node Details'!$B:$U,C$1,0),"Check"),"")</f>
        <v>00001GF16-1GF160107</v>
      </c>
      <c r="D35" s="40" t="str">
        <f>IF($B35&lt;&gt;"",_xlfn.IFNA(VLOOKUP($B35,'Node Details'!$B:$U,D$1,0),"Check"),"")</f>
        <v>1GF</v>
      </c>
      <c r="E35" s="40" t="str">
        <f>IF($B35&lt;&gt;"",_xlfn.IFNA(VLOOKUP($B35,'Node Details'!$B:$U,E$1,0),"Check"),"")</f>
        <v>Airtel</v>
      </c>
      <c r="F35" s="101">
        <v>45141</v>
      </c>
      <c r="G35" s="42"/>
      <c r="H35" s="93" t="s">
        <v>22</v>
      </c>
      <c r="I35" s="93">
        <v>10</v>
      </c>
      <c r="J35" s="93">
        <v>40</v>
      </c>
      <c r="K35" s="44">
        <f t="shared" si="0"/>
        <v>400</v>
      </c>
      <c r="L35" s="41">
        <v>45141</v>
      </c>
      <c r="N35" s="43"/>
      <c r="O35" s="46"/>
      <c r="P35" s="47">
        <f t="shared" si="1"/>
        <v>40</v>
      </c>
      <c r="Q35" s="48">
        <f t="shared" si="2"/>
        <v>400</v>
      </c>
      <c r="R35" s="49"/>
      <c r="S35" s="50"/>
      <c r="T35" s="51"/>
      <c r="U35" s="47">
        <f t="shared" si="3"/>
        <v>40</v>
      </c>
      <c r="V35" s="47">
        <f t="shared" si="4"/>
        <v>10</v>
      </c>
      <c r="W35" s="52">
        <f t="shared" si="5"/>
        <v>400</v>
      </c>
      <c r="X35" s="124" t="s">
        <v>81</v>
      </c>
      <c r="Y35" s="45" t="s">
        <v>213</v>
      </c>
    </row>
    <row r="36" spans="1:25" s="45" customFormat="1" ht="11.1" customHeight="1" x14ac:dyDescent="0.2">
      <c r="A36" s="38">
        <f t="shared" si="6"/>
        <v>34</v>
      </c>
      <c r="B36" s="90" t="s">
        <v>178</v>
      </c>
      <c r="C36" s="40" t="str">
        <f>IF($B36&lt;&gt;"",_xlfn.IFNA(VLOOKUP($B36,'Node Details'!$B:$U,C$1,0),"Check"),"")</f>
        <v>00001GF17-1GF170104</v>
      </c>
      <c r="D36" s="40" t="str">
        <f>IF($B36&lt;&gt;"",_xlfn.IFNA(VLOOKUP($B36,'Node Details'!$B:$U,D$1,0),"Check"),"")</f>
        <v>1GF</v>
      </c>
      <c r="E36" s="40" t="str">
        <f>IF($B36&lt;&gt;"",_xlfn.IFNA(VLOOKUP($B36,'Node Details'!$B:$U,E$1,0),"Check"),"")</f>
        <v>Airtel</v>
      </c>
      <c r="F36" s="101">
        <v>45141</v>
      </c>
      <c r="G36" s="42"/>
      <c r="H36" s="93" t="s">
        <v>22</v>
      </c>
      <c r="I36" s="93">
        <v>12</v>
      </c>
      <c r="J36" s="93">
        <v>40</v>
      </c>
      <c r="K36" s="44">
        <f t="shared" si="0"/>
        <v>480</v>
      </c>
      <c r="L36" s="41">
        <v>45141</v>
      </c>
      <c r="N36" s="43"/>
      <c r="O36" s="46"/>
      <c r="P36" s="47">
        <f t="shared" si="1"/>
        <v>40</v>
      </c>
      <c r="Q36" s="48">
        <f t="shared" si="2"/>
        <v>480</v>
      </c>
      <c r="R36" s="49"/>
      <c r="S36" s="50"/>
      <c r="T36" s="51"/>
      <c r="U36" s="47">
        <f t="shared" si="3"/>
        <v>40</v>
      </c>
      <c r="V36" s="47">
        <f t="shared" si="4"/>
        <v>12</v>
      </c>
      <c r="W36" s="52">
        <f t="shared" si="5"/>
        <v>480</v>
      </c>
      <c r="X36" s="124" t="s">
        <v>81</v>
      </c>
      <c r="Y36" s="45" t="s">
        <v>213</v>
      </c>
    </row>
    <row r="37" spans="1:25" s="45" customFormat="1" ht="11.1" customHeight="1" x14ac:dyDescent="0.2">
      <c r="A37" s="38">
        <f t="shared" si="6"/>
        <v>35</v>
      </c>
      <c r="B37" s="90" t="s">
        <v>179</v>
      </c>
      <c r="C37" s="40" t="str">
        <f>IF($B37&lt;&gt;"",_xlfn.IFNA(VLOOKUP($B37,'Node Details'!$B:$U,C$1,0),"Check"),"")</f>
        <v>00001GF17-1GF170104</v>
      </c>
      <c r="D37" s="40" t="str">
        <f>IF($B37&lt;&gt;"",_xlfn.IFNA(VLOOKUP($B37,'Node Details'!$B:$U,D$1,0),"Check"),"")</f>
        <v>1GF</v>
      </c>
      <c r="E37" s="40" t="str">
        <f>IF($B37&lt;&gt;"",_xlfn.IFNA(VLOOKUP($B37,'Node Details'!$B:$U,E$1,0),"Check"),"")</f>
        <v>Airtel</v>
      </c>
      <c r="F37" s="101">
        <v>45141</v>
      </c>
      <c r="G37" s="42"/>
      <c r="H37" s="93" t="s">
        <v>22</v>
      </c>
      <c r="I37" s="93">
        <v>10</v>
      </c>
      <c r="J37" s="93">
        <v>40</v>
      </c>
      <c r="K37" s="44">
        <f t="shared" si="0"/>
        <v>400</v>
      </c>
      <c r="L37" s="41">
        <v>45141</v>
      </c>
      <c r="N37" s="43"/>
      <c r="O37" s="46"/>
      <c r="P37" s="47">
        <f t="shared" si="1"/>
        <v>40</v>
      </c>
      <c r="Q37" s="48">
        <f t="shared" si="2"/>
        <v>400</v>
      </c>
      <c r="R37" s="49"/>
      <c r="S37" s="50"/>
      <c r="T37" s="51"/>
      <c r="U37" s="47">
        <f t="shared" si="3"/>
        <v>40</v>
      </c>
      <c r="V37" s="47">
        <f t="shared" si="4"/>
        <v>10</v>
      </c>
      <c r="W37" s="52">
        <f t="shared" si="5"/>
        <v>400</v>
      </c>
      <c r="X37" s="124" t="s">
        <v>81</v>
      </c>
      <c r="Y37" s="45" t="s">
        <v>213</v>
      </c>
    </row>
    <row r="38" spans="1:25" s="45" customFormat="1" ht="11.1" customHeight="1" x14ac:dyDescent="0.2">
      <c r="A38" s="38">
        <f t="shared" si="6"/>
        <v>36</v>
      </c>
      <c r="B38" s="90" t="s">
        <v>180</v>
      </c>
      <c r="C38" s="40" t="str">
        <f>IF($B38&lt;&gt;"",_xlfn.IFNA(VLOOKUP($B38,'Node Details'!$B:$U,C$1,0),"Check"),"")</f>
        <v>00001GF17-1GF170104</v>
      </c>
      <c r="D38" s="40" t="str">
        <f>IF($B38&lt;&gt;"",_xlfn.IFNA(VLOOKUP($B38,'Node Details'!$B:$U,D$1,0),"Check"),"")</f>
        <v>1GF</v>
      </c>
      <c r="E38" s="40" t="str">
        <f>IF($B38&lt;&gt;"",_xlfn.IFNA(VLOOKUP($B38,'Node Details'!$B:$U,E$1,0),"Check"),"")</f>
        <v>Airtel</v>
      </c>
      <c r="F38" s="101">
        <v>45141</v>
      </c>
      <c r="G38" s="42"/>
      <c r="H38" s="93" t="s">
        <v>22</v>
      </c>
      <c r="I38" s="93">
        <v>10</v>
      </c>
      <c r="J38" s="93">
        <v>40</v>
      </c>
      <c r="K38" s="44">
        <f t="shared" si="0"/>
        <v>400</v>
      </c>
      <c r="L38" s="41">
        <v>45141</v>
      </c>
      <c r="N38" s="43"/>
      <c r="O38" s="46"/>
      <c r="P38" s="47">
        <f t="shared" si="1"/>
        <v>40</v>
      </c>
      <c r="Q38" s="48">
        <f t="shared" si="2"/>
        <v>400</v>
      </c>
      <c r="R38" s="49"/>
      <c r="S38" s="50"/>
      <c r="T38" s="51"/>
      <c r="U38" s="47">
        <f t="shared" si="3"/>
        <v>40</v>
      </c>
      <c r="V38" s="47">
        <f t="shared" si="4"/>
        <v>10</v>
      </c>
      <c r="W38" s="52">
        <f t="shared" si="5"/>
        <v>400</v>
      </c>
      <c r="X38" s="124" t="s">
        <v>81</v>
      </c>
      <c r="Y38" s="45" t="s">
        <v>213</v>
      </c>
    </row>
    <row r="39" spans="1:25" s="45" customFormat="1" ht="11.1" customHeight="1" x14ac:dyDescent="0.2">
      <c r="A39" s="38">
        <f t="shared" si="6"/>
        <v>37</v>
      </c>
      <c r="B39" s="90" t="s">
        <v>117</v>
      </c>
      <c r="C39" s="40" t="str">
        <f>IF($B39&lt;&gt;"",_xlfn.IFNA(VLOOKUP($B39,'Node Details'!$B:$U,C$1,0),"Check"),"")</f>
        <v>00001GF17-1GF170104</v>
      </c>
      <c r="D39" s="40" t="str">
        <f>IF($B39&lt;&gt;"",_xlfn.IFNA(VLOOKUP($B39,'Node Details'!$B:$U,D$1,0),"Check"),"")</f>
        <v>1GF</v>
      </c>
      <c r="E39" s="40" t="str">
        <f>IF($B39&lt;&gt;"",_xlfn.IFNA(VLOOKUP($B39,'Node Details'!$B:$U,E$1,0),"Check"),"")</f>
        <v>Airtel</v>
      </c>
      <c r="F39" s="101">
        <v>45141</v>
      </c>
      <c r="G39" s="42"/>
      <c r="H39" s="93" t="s">
        <v>22</v>
      </c>
      <c r="I39" s="93">
        <v>10</v>
      </c>
      <c r="J39" s="93">
        <v>40</v>
      </c>
      <c r="K39" s="44">
        <f t="shared" si="0"/>
        <v>400</v>
      </c>
      <c r="L39" s="41">
        <v>45141</v>
      </c>
      <c r="N39" s="43"/>
      <c r="O39" s="46"/>
      <c r="P39" s="47">
        <f t="shared" si="1"/>
        <v>40</v>
      </c>
      <c r="Q39" s="48">
        <f t="shared" si="2"/>
        <v>400</v>
      </c>
      <c r="R39" s="49"/>
      <c r="S39" s="50"/>
      <c r="T39" s="51"/>
      <c r="U39" s="47">
        <f t="shared" si="3"/>
        <v>40</v>
      </c>
      <c r="V39" s="47">
        <f t="shared" si="4"/>
        <v>10</v>
      </c>
      <c r="W39" s="52">
        <f t="shared" si="5"/>
        <v>400</v>
      </c>
      <c r="X39" s="124" t="s">
        <v>81</v>
      </c>
      <c r="Y39" s="45" t="s">
        <v>213</v>
      </c>
    </row>
    <row r="40" spans="1:25" s="45" customFormat="1" ht="11.1" customHeight="1" x14ac:dyDescent="0.2">
      <c r="A40" s="38">
        <f t="shared" si="6"/>
        <v>38</v>
      </c>
      <c r="B40" s="90" t="s">
        <v>181</v>
      </c>
      <c r="C40" s="40" t="str">
        <f>IF($B40&lt;&gt;"",_xlfn.IFNA(VLOOKUP($B40,'Node Details'!$B:$U,C$1,0),"Check"),"")</f>
        <v>00001GF18-1GF180104</v>
      </c>
      <c r="D40" s="40" t="str">
        <f>IF($B40&lt;&gt;"",_xlfn.IFNA(VLOOKUP($B40,'Node Details'!$B:$U,D$1,0),"Check"),"")</f>
        <v>1GF</v>
      </c>
      <c r="E40" s="40" t="str">
        <f>IF($B40&lt;&gt;"",_xlfn.IFNA(VLOOKUP($B40,'Node Details'!$B:$U,E$1,0),"Check"),"")</f>
        <v>Airtel</v>
      </c>
      <c r="F40" s="101">
        <v>45141</v>
      </c>
      <c r="G40" s="42"/>
      <c r="H40" s="93" t="s">
        <v>22</v>
      </c>
      <c r="I40" s="93">
        <v>12</v>
      </c>
      <c r="J40" s="93">
        <v>40</v>
      </c>
      <c r="K40" s="44">
        <f t="shared" si="0"/>
        <v>480</v>
      </c>
      <c r="L40" s="41">
        <v>45141</v>
      </c>
      <c r="N40" s="43"/>
      <c r="O40" s="46"/>
      <c r="P40" s="47">
        <f t="shared" si="1"/>
        <v>40</v>
      </c>
      <c r="Q40" s="48">
        <f t="shared" si="2"/>
        <v>480</v>
      </c>
      <c r="R40" s="49"/>
      <c r="S40" s="50"/>
      <c r="T40" s="51"/>
      <c r="U40" s="47">
        <f t="shared" si="3"/>
        <v>40</v>
      </c>
      <c r="V40" s="47">
        <f t="shared" si="4"/>
        <v>12</v>
      </c>
      <c r="W40" s="52">
        <f t="shared" si="5"/>
        <v>480</v>
      </c>
      <c r="X40" s="124" t="s">
        <v>81</v>
      </c>
      <c r="Y40" s="45" t="s">
        <v>213</v>
      </c>
    </row>
    <row r="41" spans="1:25" s="45" customFormat="1" ht="11.1" customHeight="1" x14ac:dyDescent="0.2">
      <c r="A41" s="38">
        <f t="shared" si="6"/>
        <v>39</v>
      </c>
      <c r="B41" s="90" t="s">
        <v>182</v>
      </c>
      <c r="C41" s="40" t="str">
        <f>IF($B41&lt;&gt;"",_xlfn.IFNA(VLOOKUP($B41,'Node Details'!$B:$U,C$1,0),"Check"),"")</f>
        <v>00001GF18-1GF180104</v>
      </c>
      <c r="D41" s="40" t="str">
        <f>IF($B41&lt;&gt;"",_xlfn.IFNA(VLOOKUP($B41,'Node Details'!$B:$U,D$1,0),"Check"),"")</f>
        <v>1GF</v>
      </c>
      <c r="E41" s="40" t="str">
        <f>IF($B41&lt;&gt;"",_xlfn.IFNA(VLOOKUP($B41,'Node Details'!$B:$U,E$1,0),"Check"),"")</f>
        <v>Airtel</v>
      </c>
      <c r="F41" s="101">
        <v>45141</v>
      </c>
      <c r="G41" s="42"/>
      <c r="H41" s="93" t="s">
        <v>22</v>
      </c>
      <c r="I41" s="93">
        <v>10</v>
      </c>
      <c r="J41" s="93">
        <v>40</v>
      </c>
      <c r="K41" s="44">
        <f t="shared" si="0"/>
        <v>400</v>
      </c>
      <c r="L41" s="41">
        <v>45141</v>
      </c>
      <c r="N41" s="43"/>
      <c r="O41" s="46"/>
      <c r="P41" s="47">
        <f t="shared" si="1"/>
        <v>40</v>
      </c>
      <c r="Q41" s="48">
        <f t="shared" si="2"/>
        <v>400</v>
      </c>
      <c r="R41" s="49"/>
      <c r="S41" s="50"/>
      <c r="T41" s="51"/>
      <c r="U41" s="47">
        <f t="shared" si="3"/>
        <v>40</v>
      </c>
      <c r="V41" s="47">
        <f t="shared" si="4"/>
        <v>10</v>
      </c>
      <c r="W41" s="52">
        <f t="shared" si="5"/>
        <v>400</v>
      </c>
      <c r="X41" s="124" t="s">
        <v>81</v>
      </c>
      <c r="Y41" s="45" t="s">
        <v>213</v>
      </c>
    </row>
    <row r="42" spans="1:25" s="45" customFormat="1" ht="11.1" customHeight="1" x14ac:dyDescent="0.2">
      <c r="A42" s="38">
        <f t="shared" si="6"/>
        <v>40</v>
      </c>
      <c r="B42" s="90" t="s">
        <v>183</v>
      </c>
      <c r="C42" s="40" t="str">
        <f>IF($B42&lt;&gt;"",_xlfn.IFNA(VLOOKUP($B42,'Node Details'!$B:$U,C$1,0),"Check"),"")</f>
        <v>00001GF18-1GF180104</v>
      </c>
      <c r="D42" s="40" t="str">
        <f>IF($B42&lt;&gt;"",_xlfn.IFNA(VLOOKUP($B42,'Node Details'!$B:$U,D$1,0),"Check"),"")</f>
        <v>1GF</v>
      </c>
      <c r="E42" s="40" t="str">
        <f>IF($B42&lt;&gt;"",_xlfn.IFNA(VLOOKUP($B42,'Node Details'!$B:$U,E$1,0),"Check"),"")</f>
        <v>Airtel</v>
      </c>
      <c r="F42" s="101">
        <v>45141</v>
      </c>
      <c r="G42" s="42"/>
      <c r="H42" s="93" t="s">
        <v>22</v>
      </c>
      <c r="I42" s="93">
        <v>14</v>
      </c>
      <c r="J42" s="93">
        <v>40</v>
      </c>
      <c r="K42" s="44">
        <f t="shared" si="0"/>
        <v>560</v>
      </c>
      <c r="L42" s="41">
        <v>45141</v>
      </c>
      <c r="N42" s="43"/>
      <c r="O42" s="46"/>
      <c r="P42" s="47">
        <f t="shared" si="1"/>
        <v>40</v>
      </c>
      <c r="Q42" s="48">
        <f t="shared" si="2"/>
        <v>560</v>
      </c>
      <c r="R42" s="49"/>
      <c r="S42" s="50"/>
      <c r="T42" s="51"/>
      <c r="U42" s="47">
        <f t="shared" si="3"/>
        <v>40</v>
      </c>
      <c r="V42" s="47">
        <f t="shared" si="4"/>
        <v>14</v>
      </c>
      <c r="W42" s="52">
        <f t="shared" si="5"/>
        <v>560</v>
      </c>
      <c r="X42" s="124" t="s">
        <v>81</v>
      </c>
      <c r="Y42" s="45" t="s">
        <v>213</v>
      </c>
    </row>
    <row r="43" spans="1:25" s="45" customFormat="1" ht="11.1" customHeight="1" x14ac:dyDescent="0.2">
      <c r="A43" s="38">
        <f t="shared" si="6"/>
        <v>41</v>
      </c>
      <c r="B43" s="90" t="s">
        <v>121</v>
      </c>
      <c r="C43" s="40" t="str">
        <f>IF($B43&lt;&gt;"",_xlfn.IFNA(VLOOKUP($B43,'Node Details'!$B:$U,C$1,0),"Check"),"")</f>
        <v>00001GF18-1GF180104</v>
      </c>
      <c r="D43" s="40" t="str">
        <f>IF($B43&lt;&gt;"",_xlfn.IFNA(VLOOKUP($B43,'Node Details'!$B:$U,D$1,0),"Check"),"")</f>
        <v>1GF</v>
      </c>
      <c r="E43" s="40" t="str">
        <f>IF($B43&lt;&gt;"",_xlfn.IFNA(VLOOKUP($B43,'Node Details'!$B:$U,E$1,0),"Check"),"")</f>
        <v>Airtel</v>
      </c>
      <c r="F43" s="101">
        <v>45141</v>
      </c>
      <c r="G43" s="42"/>
      <c r="H43" s="93" t="s">
        <v>22</v>
      </c>
      <c r="I43" s="93">
        <v>10</v>
      </c>
      <c r="J43" s="93">
        <v>40</v>
      </c>
      <c r="K43" s="44">
        <f t="shared" si="0"/>
        <v>400</v>
      </c>
      <c r="L43" s="41">
        <v>45141</v>
      </c>
      <c r="N43" s="43"/>
      <c r="O43" s="46"/>
      <c r="P43" s="47">
        <f t="shared" si="1"/>
        <v>40</v>
      </c>
      <c r="Q43" s="48">
        <f t="shared" si="2"/>
        <v>400</v>
      </c>
      <c r="R43" s="49"/>
      <c r="S43" s="50"/>
      <c r="T43" s="51"/>
      <c r="U43" s="47">
        <f t="shared" si="3"/>
        <v>40</v>
      </c>
      <c r="V43" s="47">
        <f t="shared" si="4"/>
        <v>10</v>
      </c>
      <c r="W43" s="52">
        <f t="shared" si="5"/>
        <v>400</v>
      </c>
      <c r="X43" s="124" t="s">
        <v>81</v>
      </c>
      <c r="Y43" s="45" t="s">
        <v>213</v>
      </c>
    </row>
    <row r="44" spans="1:25" s="45" customFormat="1" ht="11.1" customHeight="1" x14ac:dyDescent="0.2">
      <c r="A44" s="38">
        <f t="shared" si="6"/>
        <v>42</v>
      </c>
      <c r="B44" s="90" t="s">
        <v>184</v>
      </c>
      <c r="C44" s="40" t="str">
        <f>IF($B44&lt;&gt;"",_xlfn.IFNA(VLOOKUP($B44,'Node Details'!$B:$U,C$1,0),"Check"),"")</f>
        <v>00001GF19-1GF190104</v>
      </c>
      <c r="D44" s="40" t="str">
        <f>IF($B44&lt;&gt;"",_xlfn.IFNA(VLOOKUP($B44,'Node Details'!$B:$U,D$1,0),"Check"),"")</f>
        <v>1GF</v>
      </c>
      <c r="E44" s="40" t="str">
        <f>IF($B44&lt;&gt;"",_xlfn.IFNA(VLOOKUP($B44,'Node Details'!$B:$U,E$1,0),"Check"),"")</f>
        <v>Airtel</v>
      </c>
      <c r="F44" s="101">
        <v>45141</v>
      </c>
      <c r="G44" s="42"/>
      <c r="H44" s="93" t="s">
        <v>22</v>
      </c>
      <c r="I44" s="93">
        <v>12</v>
      </c>
      <c r="J44" s="93">
        <v>40</v>
      </c>
      <c r="K44" s="44">
        <f t="shared" si="0"/>
        <v>480</v>
      </c>
      <c r="L44" s="41">
        <v>45141</v>
      </c>
      <c r="N44" s="43"/>
      <c r="O44" s="46"/>
      <c r="P44" s="47">
        <f t="shared" si="1"/>
        <v>40</v>
      </c>
      <c r="Q44" s="48">
        <f t="shared" si="2"/>
        <v>480</v>
      </c>
      <c r="R44" s="49"/>
      <c r="S44" s="50"/>
      <c r="T44" s="51"/>
      <c r="U44" s="47">
        <f t="shared" si="3"/>
        <v>40</v>
      </c>
      <c r="V44" s="47">
        <f t="shared" si="4"/>
        <v>12</v>
      </c>
      <c r="W44" s="52">
        <f t="shared" si="5"/>
        <v>480</v>
      </c>
      <c r="X44" s="124" t="s">
        <v>81</v>
      </c>
      <c r="Y44" s="45" t="s">
        <v>213</v>
      </c>
    </row>
    <row r="45" spans="1:25" s="45" customFormat="1" ht="11.1" customHeight="1" x14ac:dyDescent="0.2">
      <c r="A45" s="38">
        <f t="shared" si="6"/>
        <v>43</v>
      </c>
      <c r="B45" s="90" t="s">
        <v>185</v>
      </c>
      <c r="C45" s="40" t="str">
        <f>IF($B45&lt;&gt;"",_xlfn.IFNA(VLOOKUP($B45,'Node Details'!$B:$U,C$1,0),"Check"),"")</f>
        <v>00001GF19-1GF190104</v>
      </c>
      <c r="D45" s="40" t="str">
        <f>IF($B45&lt;&gt;"",_xlfn.IFNA(VLOOKUP($B45,'Node Details'!$B:$U,D$1,0),"Check"),"")</f>
        <v>1GF</v>
      </c>
      <c r="E45" s="40" t="str">
        <f>IF($B45&lt;&gt;"",_xlfn.IFNA(VLOOKUP($B45,'Node Details'!$B:$U,E$1,0),"Check"),"")</f>
        <v>Airtel</v>
      </c>
      <c r="F45" s="101">
        <v>45141</v>
      </c>
      <c r="G45" s="42"/>
      <c r="H45" s="93" t="s">
        <v>22</v>
      </c>
      <c r="I45" s="93">
        <v>14</v>
      </c>
      <c r="J45" s="93">
        <v>40</v>
      </c>
      <c r="K45" s="44">
        <f t="shared" si="0"/>
        <v>560</v>
      </c>
      <c r="L45" s="41">
        <v>45141</v>
      </c>
      <c r="N45" s="43"/>
      <c r="O45" s="46"/>
      <c r="P45" s="47">
        <f t="shared" si="1"/>
        <v>40</v>
      </c>
      <c r="Q45" s="48">
        <f t="shared" si="2"/>
        <v>560</v>
      </c>
      <c r="R45" s="49"/>
      <c r="S45" s="50"/>
      <c r="T45" s="51"/>
      <c r="U45" s="47">
        <f t="shared" si="3"/>
        <v>40</v>
      </c>
      <c r="V45" s="47">
        <f t="shared" si="4"/>
        <v>14</v>
      </c>
      <c r="W45" s="52">
        <f t="shared" si="5"/>
        <v>560</v>
      </c>
      <c r="X45" s="124" t="s">
        <v>81</v>
      </c>
      <c r="Y45" s="45" t="s">
        <v>213</v>
      </c>
    </row>
    <row r="46" spans="1:25" s="45" customFormat="1" ht="11.1" customHeight="1" x14ac:dyDescent="0.2">
      <c r="A46" s="38">
        <f t="shared" si="6"/>
        <v>44</v>
      </c>
      <c r="B46" s="90" t="s">
        <v>186</v>
      </c>
      <c r="C46" s="40" t="str">
        <f>IF($B46&lt;&gt;"",_xlfn.IFNA(VLOOKUP($B46,'Node Details'!$B:$U,C$1,0),"Check"),"")</f>
        <v>00001GF19-1GF190104</v>
      </c>
      <c r="D46" s="40" t="str">
        <f>IF($B46&lt;&gt;"",_xlfn.IFNA(VLOOKUP($B46,'Node Details'!$B:$U,D$1,0),"Check"),"")</f>
        <v>1GF</v>
      </c>
      <c r="E46" s="40" t="str">
        <f>IF($B46&lt;&gt;"",_xlfn.IFNA(VLOOKUP($B46,'Node Details'!$B:$U,E$1,0),"Check"),"")</f>
        <v>Airtel</v>
      </c>
      <c r="F46" s="101">
        <v>45141</v>
      </c>
      <c r="G46" s="42"/>
      <c r="H46" s="93" t="s">
        <v>22</v>
      </c>
      <c r="I46" s="93">
        <v>10</v>
      </c>
      <c r="J46" s="93">
        <v>40</v>
      </c>
      <c r="K46" s="44">
        <f t="shared" si="0"/>
        <v>400</v>
      </c>
      <c r="L46" s="41">
        <v>45141</v>
      </c>
      <c r="N46" s="43"/>
      <c r="O46" s="46"/>
      <c r="P46" s="47">
        <f t="shared" si="1"/>
        <v>40</v>
      </c>
      <c r="Q46" s="48">
        <f t="shared" si="2"/>
        <v>400</v>
      </c>
      <c r="R46" s="49"/>
      <c r="S46" s="50"/>
      <c r="T46" s="51"/>
      <c r="U46" s="47">
        <f t="shared" si="3"/>
        <v>40</v>
      </c>
      <c r="V46" s="47">
        <f t="shared" si="4"/>
        <v>10</v>
      </c>
      <c r="W46" s="52">
        <f t="shared" si="5"/>
        <v>400</v>
      </c>
      <c r="X46" s="124" t="s">
        <v>81</v>
      </c>
      <c r="Y46" s="45" t="s">
        <v>213</v>
      </c>
    </row>
    <row r="47" spans="1:25" s="45" customFormat="1" ht="11.1" customHeight="1" x14ac:dyDescent="0.2">
      <c r="A47" s="38">
        <f t="shared" si="6"/>
        <v>45</v>
      </c>
      <c r="B47" s="90" t="s">
        <v>125</v>
      </c>
      <c r="C47" s="40" t="str">
        <f>IF($B47&lt;&gt;"",_xlfn.IFNA(VLOOKUP($B47,'Node Details'!$B:$U,C$1,0),"Check"),"")</f>
        <v>00001GF19-1GF190104</v>
      </c>
      <c r="D47" s="40" t="str">
        <f>IF($B47&lt;&gt;"",_xlfn.IFNA(VLOOKUP($B47,'Node Details'!$B:$U,D$1,0),"Check"),"")</f>
        <v>1GF</v>
      </c>
      <c r="E47" s="40" t="str">
        <f>IF($B47&lt;&gt;"",_xlfn.IFNA(VLOOKUP($B47,'Node Details'!$B:$U,E$1,0),"Check"),"")</f>
        <v>Airtel</v>
      </c>
      <c r="F47" s="101">
        <v>45141</v>
      </c>
      <c r="G47" s="42"/>
      <c r="H47" s="93" t="s">
        <v>22</v>
      </c>
      <c r="I47" s="93">
        <v>10</v>
      </c>
      <c r="J47" s="93">
        <v>40</v>
      </c>
      <c r="K47" s="44">
        <f t="shared" si="0"/>
        <v>400</v>
      </c>
      <c r="L47" s="41">
        <v>45141</v>
      </c>
      <c r="N47" s="43"/>
      <c r="O47" s="46"/>
      <c r="P47" s="47">
        <f t="shared" si="1"/>
        <v>40</v>
      </c>
      <c r="Q47" s="48">
        <f t="shared" si="2"/>
        <v>400</v>
      </c>
      <c r="R47" s="49"/>
      <c r="S47" s="50"/>
      <c r="T47" s="51"/>
      <c r="U47" s="47">
        <f t="shared" si="3"/>
        <v>40</v>
      </c>
      <c r="V47" s="47">
        <f t="shared" si="4"/>
        <v>10</v>
      </c>
      <c r="W47" s="52">
        <f t="shared" si="5"/>
        <v>400</v>
      </c>
      <c r="X47" s="124" t="s">
        <v>81</v>
      </c>
      <c r="Y47" s="45" t="s">
        <v>213</v>
      </c>
    </row>
    <row r="48" spans="1:25" s="45" customFormat="1" ht="11.1" customHeight="1" x14ac:dyDescent="0.2">
      <c r="A48" s="38">
        <f t="shared" si="6"/>
        <v>46</v>
      </c>
      <c r="B48" s="90" t="s">
        <v>187</v>
      </c>
      <c r="C48" s="40" t="str">
        <f>IF($B48&lt;&gt;"",_xlfn.IFNA(VLOOKUP($B48,'Node Details'!$B:$U,C$1,0),"Check"),"")</f>
        <v>00001GF20-1GF200104</v>
      </c>
      <c r="D48" s="40" t="str">
        <f>IF($B48&lt;&gt;"",_xlfn.IFNA(VLOOKUP($B48,'Node Details'!$B:$U,D$1,0),"Check"),"")</f>
        <v>1GF</v>
      </c>
      <c r="E48" s="40" t="str">
        <f>IF($B48&lt;&gt;"",_xlfn.IFNA(VLOOKUP($B48,'Node Details'!$B:$U,E$1,0),"Check"),"")</f>
        <v>Airtel</v>
      </c>
      <c r="F48" s="101">
        <v>45141</v>
      </c>
      <c r="G48" s="42"/>
      <c r="H48" s="93" t="s">
        <v>22</v>
      </c>
      <c r="I48" s="93">
        <v>12</v>
      </c>
      <c r="J48" s="93">
        <v>40</v>
      </c>
      <c r="K48" s="44">
        <f t="shared" si="0"/>
        <v>480</v>
      </c>
      <c r="L48" s="41">
        <v>45141</v>
      </c>
      <c r="N48" s="43"/>
      <c r="O48" s="46"/>
      <c r="P48" s="47">
        <f t="shared" si="1"/>
        <v>40</v>
      </c>
      <c r="Q48" s="48">
        <f t="shared" si="2"/>
        <v>480</v>
      </c>
      <c r="R48" s="49"/>
      <c r="S48" s="50"/>
      <c r="T48" s="51"/>
      <c r="U48" s="47">
        <f t="shared" si="3"/>
        <v>40</v>
      </c>
      <c r="V48" s="47">
        <f t="shared" si="4"/>
        <v>12</v>
      </c>
      <c r="W48" s="52">
        <f t="shared" si="5"/>
        <v>480</v>
      </c>
      <c r="X48" s="124" t="s">
        <v>81</v>
      </c>
      <c r="Y48" s="45" t="s">
        <v>213</v>
      </c>
    </row>
    <row r="49" spans="1:25" s="45" customFormat="1" ht="11.1" customHeight="1" x14ac:dyDescent="0.2">
      <c r="A49" s="38">
        <f t="shared" si="6"/>
        <v>47</v>
      </c>
      <c r="B49" s="90" t="s">
        <v>188</v>
      </c>
      <c r="C49" s="40" t="str">
        <f>IF($B49&lt;&gt;"",_xlfn.IFNA(VLOOKUP($B49,'Node Details'!$B:$U,C$1,0),"Check"),"")</f>
        <v>00001GF20-1GF200104</v>
      </c>
      <c r="D49" s="40" t="str">
        <f>IF($B49&lt;&gt;"",_xlfn.IFNA(VLOOKUP($B49,'Node Details'!$B:$U,D$1,0),"Check"),"")</f>
        <v>1GF</v>
      </c>
      <c r="E49" s="40" t="str">
        <f>IF($B49&lt;&gt;"",_xlfn.IFNA(VLOOKUP($B49,'Node Details'!$B:$U,E$1,0),"Check"),"")</f>
        <v>Airtel</v>
      </c>
      <c r="F49" s="101">
        <v>45141</v>
      </c>
      <c r="G49" s="42"/>
      <c r="H49" s="93" t="s">
        <v>22</v>
      </c>
      <c r="I49" s="93">
        <v>10</v>
      </c>
      <c r="J49" s="93">
        <v>40</v>
      </c>
      <c r="K49" s="44">
        <f t="shared" si="0"/>
        <v>400</v>
      </c>
      <c r="L49" s="41">
        <v>45141</v>
      </c>
      <c r="N49" s="43"/>
      <c r="O49" s="46"/>
      <c r="P49" s="47">
        <f t="shared" si="1"/>
        <v>40</v>
      </c>
      <c r="Q49" s="48">
        <f t="shared" si="2"/>
        <v>400</v>
      </c>
      <c r="R49" s="49"/>
      <c r="S49" s="50"/>
      <c r="T49" s="51"/>
      <c r="U49" s="47">
        <f t="shared" si="3"/>
        <v>40</v>
      </c>
      <c r="V49" s="47">
        <f t="shared" si="4"/>
        <v>10</v>
      </c>
      <c r="W49" s="52">
        <f t="shared" si="5"/>
        <v>400</v>
      </c>
      <c r="X49" s="124" t="s">
        <v>81</v>
      </c>
      <c r="Y49" s="45" t="s">
        <v>213</v>
      </c>
    </row>
    <row r="50" spans="1:25" s="45" customFormat="1" ht="11.1" customHeight="1" x14ac:dyDescent="0.2">
      <c r="A50" s="38">
        <f t="shared" si="6"/>
        <v>48</v>
      </c>
      <c r="B50" s="90" t="s">
        <v>189</v>
      </c>
      <c r="C50" s="40" t="str">
        <f>IF($B50&lt;&gt;"",_xlfn.IFNA(VLOOKUP($B50,'Node Details'!$B:$U,C$1,0),"Check"),"")</f>
        <v>00001GF20-1GF200104</v>
      </c>
      <c r="D50" s="40" t="str">
        <f>IF($B50&lt;&gt;"",_xlfn.IFNA(VLOOKUP($B50,'Node Details'!$B:$U,D$1,0),"Check"),"")</f>
        <v>1GF</v>
      </c>
      <c r="E50" s="40" t="str">
        <f>IF($B50&lt;&gt;"",_xlfn.IFNA(VLOOKUP($B50,'Node Details'!$B:$U,E$1,0),"Check"),"")</f>
        <v>Airtel</v>
      </c>
      <c r="F50" s="101">
        <v>45141</v>
      </c>
      <c r="G50" s="42"/>
      <c r="H50" s="93" t="s">
        <v>22</v>
      </c>
      <c r="I50" s="93">
        <v>14</v>
      </c>
      <c r="J50" s="93">
        <v>40</v>
      </c>
      <c r="K50" s="44">
        <f t="shared" si="0"/>
        <v>560</v>
      </c>
      <c r="L50" s="41">
        <v>45141</v>
      </c>
      <c r="N50" s="43"/>
      <c r="O50" s="46"/>
      <c r="P50" s="47">
        <f t="shared" si="1"/>
        <v>40</v>
      </c>
      <c r="Q50" s="48">
        <f t="shared" si="2"/>
        <v>560</v>
      </c>
      <c r="R50" s="49"/>
      <c r="S50" s="50"/>
      <c r="T50" s="51"/>
      <c r="U50" s="47">
        <f t="shared" si="3"/>
        <v>40</v>
      </c>
      <c r="V50" s="47">
        <f t="shared" si="4"/>
        <v>14</v>
      </c>
      <c r="W50" s="52">
        <f t="shared" si="5"/>
        <v>560</v>
      </c>
      <c r="X50" s="124" t="s">
        <v>81</v>
      </c>
      <c r="Y50" s="45" t="s">
        <v>213</v>
      </c>
    </row>
    <row r="51" spans="1:25" s="45" customFormat="1" ht="11.1" customHeight="1" x14ac:dyDescent="0.2">
      <c r="A51" s="38">
        <f t="shared" si="6"/>
        <v>49</v>
      </c>
      <c r="B51" s="90" t="s">
        <v>129</v>
      </c>
      <c r="C51" s="40" t="str">
        <f>IF($B51&lt;&gt;"",_xlfn.IFNA(VLOOKUP($B51,'Node Details'!$B:$U,C$1,0),"Check"),"")</f>
        <v>00001GF20-1GF200104</v>
      </c>
      <c r="D51" s="40" t="str">
        <f>IF($B51&lt;&gt;"",_xlfn.IFNA(VLOOKUP($B51,'Node Details'!$B:$U,D$1,0),"Check"),"")</f>
        <v>1GF</v>
      </c>
      <c r="E51" s="40" t="str">
        <f>IF($B51&lt;&gt;"",_xlfn.IFNA(VLOOKUP($B51,'Node Details'!$B:$U,E$1,0),"Check"),"")</f>
        <v>Airtel</v>
      </c>
      <c r="F51" s="101">
        <v>45141</v>
      </c>
      <c r="G51" s="42"/>
      <c r="H51" s="93" t="s">
        <v>22</v>
      </c>
      <c r="I51" s="93">
        <v>10</v>
      </c>
      <c r="J51" s="93">
        <v>40</v>
      </c>
      <c r="K51" s="44">
        <f t="shared" si="0"/>
        <v>400</v>
      </c>
      <c r="L51" s="41">
        <v>45141</v>
      </c>
      <c r="N51" s="43"/>
      <c r="O51" s="46"/>
      <c r="P51" s="47">
        <f t="shared" si="1"/>
        <v>40</v>
      </c>
      <c r="Q51" s="48">
        <f t="shared" si="2"/>
        <v>400</v>
      </c>
      <c r="R51" s="49"/>
      <c r="S51" s="50"/>
      <c r="T51" s="51"/>
      <c r="U51" s="47">
        <f t="shared" si="3"/>
        <v>40</v>
      </c>
      <c r="V51" s="47">
        <f t="shared" si="4"/>
        <v>10</v>
      </c>
      <c r="W51" s="52">
        <f t="shared" si="5"/>
        <v>400</v>
      </c>
      <c r="X51" s="124" t="s">
        <v>81</v>
      </c>
      <c r="Y51" s="45" t="s">
        <v>213</v>
      </c>
    </row>
    <row r="52" spans="1:25" s="45" customFormat="1" ht="11.1" customHeight="1" x14ac:dyDescent="0.2">
      <c r="A52" s="38">
        <f t="shared" si="6"/>
        <v>50</v>
      </c>
      <c r="B52" s="90" t="s">
        <v>190</v>
      </c>
      <c r="C52" s="40" t="str">
        <f>IF($B52&lt;&gt;"",_xlfn.IFNA(VLOOKUP($B52,'Node Details'!$B:$U,C$1,0),"Check"),"")</f>
        <v>00001GF21-1GF210104</v>
      </c>
      <c r="D52" s="40" t="str">
        <f>IF($B52&lt;&gt;"",_xlfn.IFNA(VLOOKUP($B52,'Node Details'!$B:$U,D$1,0),"Check"),"")</f>
        <v>1GF</v>
      </c>
      <c r="E52" s="40" t="str">
        <f>IF($B52&lt;&gt;"",_xlfn.IFNA(VLOOKUP($B52,'Node Details'!$B:$U,E$1,0),"Check"),"")</f>
        <v>Airtel</v>
      </c>
      <c r="F52" s="101">
        <v>45141</v>
      </c>
      <c r="G52" s="42"/>
      <c r="H52" s="93" t="s">
        <v>22</v>
      </c>
      <c r="I52" s="93">
        <v>12</v>
      </c>
      <c r="J52" s="93">
        <v>40</v>
      </c>
      <c r="K52" s="44">
        <f t="shared" si="0"/>
        <v>480</v>
      </c>
      <c r="L52" s="41">
        <v>45141</v>
      </c>
      <c r="N52" s="43"/>
      <c r="O52" s="46"/>
      <c r="P52" s="47">
        <f t="shared" si="1"/>
        <v>40</v>
      </c>
      <c r="Q52" s="48">
        <f t="shared" si="2"/>
        <v>480</v>
      </c>
      <c r="R52" s="49"/>
      <c r="S52" s="50"/>
      <c r="T52" s="51"/>
      <c r="U52" s="47">
        <f t="shared" si="3"/>
        <v>40</v>
      </c>
      <c r="V52" s="47">
        <f t="shared" si="4"/>
        <v>12</v>
      </c>
      <c r="W52" s="52">
        <f t="shared" si="5"/>
        <v>480</v>
      </c>
      <c r="X52" s="124" t="s">
        <v>81</v>
      </c>
      <c r="Y52" s="45" t="s">
        <v>213</v>
      </c>
    </row>
    <row r="53" spans="1:25" s="45" customFormat="1" ht="11.1" customHeight="1" x14ac:dyDescent="0.2">
      <c r="A53" s="38">
        <f t="shared" si="6"/>
        <v>51</v>
      </c>
      <c r="B53" s="90" t="s">
        <v>136</v>
      </c>
      <c r="C53" s="40" t="str">
        <f>IF($B53&lt;&gt;"",_xlfn.IFNA(VLOOKUP($B53,'Node Details'!$B:$U,C$1,0),"Check"),"")</f>
        <v>00001GF21-1GF210104</v>
      </c>
      <c r="D53" s="40" t="str">
        <f>IF($B53&lt;&gt;"",_xlfn.IFNA(VLOOKUP($B53,'Node Details'!$B:$U,D$1,0),"Check"),"")</f>
        <v>1GF</v>
      </c>
      <c r="E53" s="40" t="str">
        <f>IF($B53&lt;&gt;"",_xlfn.IFNA(VLOOKUP($B53,'Node Details'!$B:$U,E$1,0),"Check"),"")</f>
        <v>Airtel</v>
      </c>
      <c r="F53" s="101">
        <v>45141</v>
      </c>
      <c r="G53" s="42"/>
      <c r="H53" s="93" t="s">
        <v>22</v>
      </c>
      <c r="I53" s="93">
        <v>10</v>
      </c>
      <c r="J53" s="93">
        <v>40</v>
      </c>
      <c r="K53" s="44">
        <f t="shared" si="0"/>
        <v>400</v>
      </c>
      <c r="L53" s="41">
        <v>45141</v>
      </c>
      <c r="N53" s="43"/>
      <c r="O53" s="46"/>
      <c r="P53" s="47">
        <f t="shared" si="1"/>
        <v>40</v>
      </c>
      <c r="Q53" s="48">
        <f t="shared" si="2"/>
        <v>400</v>
      </c>
      <c r="R53" s="49"/>
      <c r="S53" s="50"/>
      <c r="T53" s="51"/>
      <c r="U53" s="47">
        <f t="shared" si="3"/>
        <v>40</v>
      </c>
      <c r="V53" s="47">
        <f t="shared" si="4"/>
        <v>10</v>
      </c>
      <c r="W53" s="52">
        <f t="shared" si="5"/>
        <v>400</v>
      </c>
      <c r="X53" s="124" t="s">
        <v>81</v>
      </c>
      <c r="Y53" s="45" t="s">
        <v>213</v>
      </c>
    </row>
    <row r="54" spans="1:25" s="45" customFormat="1" ht="11.1" customHeight="1" x14ac:dyDescent="0.2">
      <c r="A54" s="38">
        <f t="shared" si="6"/>
        <v>52</v>
      </c>
      <c r="B54" s="90" t="s">
        <v>191</v>
      </c>
      <c r="C54" s="40" t="str">
        <f>IF($B54&lt;&gt;"",_xlfn.IFNA(VLOOKUP($B54,'Node Details'!$B:$U,C$1,0),"Check"),"")</f>
        <v>00001GF21-1GF210104</v>
      </c>
      <c r="D54" s="40" t="str">
        <f>IF($B54&lt;&gt;"",_xlfn.IFNA(VLOOKUP($B54,'Node Details'!$B:$U,D$1,0),"Check"),"")</f>
        <v>1GF</v>
      </c>
      <c r="E54" s="40" t="str">
        <f>IF($B54&lt;&gt;"",_xlfn.IFNA(VLOOKUP($B54,'Node Details'!$B:$U,E$1,0),"Check"),"")</f>
        <v>Airtel</v>
      </c>
      <c r="F54" s="101">
        <v>45141</v>
      </c>
      <c r="G54" s="42"/>
      <c r="H54" s="93" t="s">
        <v>22</v>
      </c>
      <c r="I54" s="93">
        <v>14</v>
      </c>
      <c r="J54" s="93">
        <v>40</v>
      </c>
      <c r="K54" s="44">
        <f t="shared" si="0"/>
        <v>560</v>
      </c>
      <c r="L54" s="41">
        <v>45141</v>
      </c>
      <c r="N54" s="43"/>
      <c r="O54" s="46"/>
      <c r="P54" s="47">
        <f t="shared" si="1"/>
        <v>40</v>
      </c>
      <c r="Q54" s="48">
        <f t="shared" si="2"/>
        <v>560</v>
      </c>
      <c r="R54" s="49"/>
      <c r="S54" s="50"/>
      <c r="T54" s="51"/>
      <c r="U54" s="47">
        <f t="shared" si="3"/>
        <v>40</v>
      </c>
      <c r="V54" s="47">
        <f t="shared" si="4"/>
        <v>14</v>
      </c>
      <c r="W54" s="52">
        <f t="shared" si="5"/>
        <v>560</v>
      </c>
      <c r="X54" s="124" t="s">
        <v>81</v>
      </c>
      <c r="Y54" s="45" t="s">
        <v>213</v>
      </c>
    </row>
    <row r="55" spans="1:25" s="45" customFormat="1" ht="11.1" customHeight="1" x14ac:dyDescent="0.2">
      <c r="A55" s="38">
        <f t="shared" si="6"/>
        <v>53</v>
      </c>
      <c r="B55" s="90" t="s">
        <v>133</v>
      </c>
      <c r="C55" s="40" t="str">
        <f>IF($B55&lt;&gt;"",_xlfn.IFNA(VLOOKUP($B55,'Node Details'!$B:$U,C$1,0),"Check"),"")</f>
        <v>00001GF21-1GF210104</v>
      </c>
      <c r="D55" s="40" t="str">
        <f>IF($B55&lt;&gt;"",_xlfn.IFNA(VLOOKUP($B55,'Node Details'!$B:$U,D$1,0),"Check"),"")</f>
        <v>1GF</v>
      </c>
      <c r="E55" s="40" t="str">
        <f>IF($B55&lt;&gt;"",_xlfn.IFNA(VLOOKUP($B55,'Node Details'!$B:$U,E$1,0),"Check"),"")</f>
        <v>Airtel</v>
      </c>
      <c r="F55" s="101">
        <v>45141</v>
      </c>
      <c r="G55" s="42"/>
      <c r="H55" s="93" t="s">
        <v>22</v>
      </c>
      <c r="I55" s="93">
        <v>10</v>
      </c>
      <c r="J55" s="93">
        <v>40</v>
      </c>
      <c r="K55" s="44">
        <f t="shared" si="0"/>
        <v>400</v>
      </c>
      <c r="L55" s="41">
        <v>45141</v>
      </c>
      <c r="N55" s="43"/>
      <c r="O55" s="46"/>
      <c r="P55" s="47">
        <f t="shared" si="1"/>
        <v>40</v>
      </c>
      <c r="Q55" s="48">
        <f t="shared" si="2"/>
        <v>400</v>
      </c>
      <c r="R55" s="49"/>
      <c r="S55" s="50"/>
      <c r="T55" s="51"/>
      <c r="U55" s="47">
        <f t="shared" si="3"/>
        <v>40</v>
      </c>
      <c r="V55" s="47">
        <f t="shared" si="4"/>
        <v>10</v>
      </c>
      <c r="W55" s="52">
        <f t="shared" si="5"/>
        <v>400</v>
      </c>
      <c r="X55" s="124" t="s">
        <v>81</v>
      </c>
      <c r="Y55" s="45" t="s">
        <v>213</v>
      </c>
    </row>
    <row r="56" spans="1:25" s="45" customFormat="1" ht="11.1" customHeight="1" x14ac:dyDescent="0.2">
      <c r="A56" s="38">
        <f t="shared" si="6"/>
        <v>54</v>
      </c>
      <c r="B56" s="90" t="s">
        <v>192</v>
      </c>
      <c r="C56" s="40" t="str">
        <f>IF($B56&lt;&gt;"",_xlfn.IFNA(VLOOKUP($B56,'Node Details'!$B:$U,C$1,0),"Check"),"")</f>
        <v>00001GF22-1GF210102</v>
      </c>
      <c r="D56" s="40" t="str">
        <f>IF($B56&lt;&gt;"",_xlfn.IFNA(VLOOKUP($B56,'Node Details'!$B:$U,D$1,0),"Check"),"")</f>
        <v>1GF</v>
      </c>
      <c r="E56" s="40" t="str">
        <f>IF($B56&lt;&gt;"",_xlfn.IFNA(VLOOKUP($B56,'Node Details'!$B:$U,E$1,0),"Check"),"")</f>
        <v>Airtel</v>
      </c>
      <c r="F56" s="101">
        <v>45141</v>
      </c>
      <c r="G56" s="42"/>
      <c r="H56" s="93" t="s">
        <v>22</v>
      </c>
      <c r="I56" s="93">
        <v>12</v>
      </c>
      <c r="J56" s="93">
        <v>40</v>
      </c>
      <c r="K56" s="44">
        <f t="shared" si="0"/>
        <v>480</v>
      </c>
      <c r="L56" s="41">
        <v>45141</v>
      </c>
      <c r="N56" s="43"/>
      <c r="O56" s="46"/>
      <c r="P56" s="47">
        <f t="shared" si="1"/>
        <v>40</v>
      </c>
      <c r="Q56" s="48">
        <f t="shared" si="2"/>
        <v>480</v>
      </c>
      <c r="R56" s="49"/>
      <c r="S56" s="50"/>
      <c r="T56" s="51"/>
      <c r="U56" s="47">
        <f t="shared" si="3"/>
        <v>40</v>
      </c>
      <c r="V56" s="47">
        <f t="shared" si="4"/>
        <v>12</v>
      </c>
      <c r="W56" s="52">
        <f t="shared" si="5"/>
        <v>480</v>
      </c>
      <c r="X56" s="124" t="s">
        <v>81</v>
      </c>
      <c r="Y56" s="45" t="s">
        <v>213</v>
      </c>
    </row>
    <row r="57" spans="1:25" s="45" customFormat="1" ht="11.1" customHeight="1" x14ac:dyDescent="0.2">
      <c r="A57" s="38">
        <f t="shared" si="6"/>
        <v>55</v>
      </c>
      <c r="B57" s="90" t="s">
        <v>194</v>
      </c>
      <c r="C57" s="40" t="str">
        <f>IF($B57&lt;&gt;"",_xlfn.IFNA(VLOOKUP($B57,'Node Details'!$B:$U,C$1,0),"Check"),"")</f>
        <v>00001GF22-1GF210102</v>
      </c>
      <c r="D57" s="40" t="str">
        <f>IF($B57&lt;&gt;"",_xlfn.IFNA(VLOOKUP($B57,'Node Details'!$B:$U,D$1,0),"Check"),"")</f>
        <v>1GF</v>
      </c>
      <c r="E57" s="40" t="str">
        <f>IF($B57&lt;&gt;"",_xlfn.IFNA(VLOOKUP($B57,'Node Details'!$B:$U,E$1,0),"Check"),"")</f>
        <v>Airtel</v>
      </c>
      <c r="F57" s="101">
        <v>45141</v>
      </c>
      <c r="G57" s="42"/>
      <c r="H57" s="93" t="s">
        <v>22</v>
      </c>
      <c r="I57" s="93">
        <v>14</v>
      </c>
      <c r="J57" s="93">
        <v>40</v>
      </c>
      <c r="K57" s="44">
        <f t="shared" si="0"/>
        <v>560</v>
      </c>
      <c r="L57" s="41">
        <v>45141</v>
      </c>
      <c r="N57" s="43"/>
      <c r="O57" s="46"/>
      <c r="P57" s="47">
        <f t="shared" si="1"/>
        <v>40</v>
      </c>
      <c r="Q57" s="48">
        <f t="shared" si="2"/>
        <v>560</v>
      </c>
      <c r="R57" s="49"/>
      <c r="S57" s="50"/>
      <c r="T57" s="51"/>
      <c r="U57" s="47">
        <f t="shared" si="3"/>
        <v>40</v>
      </c>
      <c r="V57" s="47">
        <f t="shared" si="4"/>
        <v>14</v>
      </c>
      <c r="W57" s="52">
        <f t="shared" si="5"/>
        <v>560</v>
      </c>
      <c r="X57" s="124" t="s">
        <v>81</v>
      </c>
      <c r="Y57" s="45" t="s">
        <v>213</v>
      </c>
    </row>
    <row r="58" spans="1:25" s="45" customFormat="1" ht="11.1" customHeight="1" x14ac:dyDescent="0.25">
      <c r="A58" s="38">
        <f t="shared" si="6"/>
        <v>56</v>
      </c>
      <c r="B58" s="91" t="s">
        <v>78</v>
      </c>
      <c r="C58" s="40" t="str">
        <f>IF($B58&lt;&gt;"",_xlfn.IFNA(VLOOKUP($B58,'Node Details'!$B:$U,C$1,0),"Check"),"")</f>
        <v>0000001GF-00001GF12</v>
      </c>
      <c r="D58" s="40" t="str">
        <f>IF($B58&lt;&gt;"",_xlfn.IFNA(VLOOKUP($B58,'Node Details'!$B:$U,D$1,0),"Check"),"")</f>
        <v>1GF</v>
      </c>
      <c r="E58" s="40" t="str">
        <f>IF($B58&lt;&gt;"",_xlfn.IFNA(VLOOKUP($B58,'Node Details'!$B:$U,E$1,0),"Check"),"")</f>
        <v>Airtel</v>
      </c>
      <c r="F58" s="101">
        <v>45141</v>
      </c>
      <c r="G58" s="42"/>
      <c r="H58" s="93" t="s">
        <v>214</v>
      </c>
      <c r="I58" s="93">
        <v>1</v>
      </c>
      <c r="J58" s="93">
        <v>1350</v>
      </c>
      <c r="K58" s="44">
        <f t="shared" si="0"/>
        <v>1350</v>
      </c>
      <c r="L58" s="41">
        <v>45141</v>
      </c>
      <c r="N58" s="100" t="s">
        <v>210</v>
      </c>
      <c r="O58" s="96">
        <v>45273</v>
      </c>
      <c r="P58" s="47">
        <f t="shared" si="1"/>
        <v>1350</v>
      </c>
      <c r="Q58" s="48">
        <f t="shared" si="2"/>
        <v>1350</v>
      </c>
      <c r="R58" s="49"/>
      <c r="S58" s="100" t="s">
        <v>211</v>
      </c>
      <c r="T58" s="96">
        <v>45273</v>
      </c>
      <c r="U58" s="47">
        <f t="shared" si="3"/>
        <v>1350</v>
      </c>
      <c r="V58" s="47">
        <f t="shared" si="4"/>
        <v>1</v>
      </c>
      <c r="W58" s="52">
        <f t="shared" si="5"/>
        <v>1350</v>
      </c>
      <c r="X58" s="124" t="s">
        <v>81</v>
      </c>
      <c r="Y58" s="45" t="s">
        <v>212</v>
      </c>
    </row>
    <row r="59" spans="1:25" s="45" customFormat="1" ht="11.1" customHeight="1" x14ac:dyDescent="0.25">
      <c r="A59" s="38">
        <f t="shared" si="6"/>
        <v>57</v>
      </c>
      <c r="B59" s="91" t="s">
        <v>99</v>
      </c>
      <c r="C59" s="40" t="str">
        <f>IF($B59&lt;&gt;"",_xlfn.IFNA(VLOOKUP($B59,'Node Details'!$B:$U,C$1,0),"Check"),"")</f>
        <v>00001GF12-00001GF22</v>
      </c>
      <c r="D59" s="40" t="str">
        <f>IF($B59&lt;&gt;"",_xlfn.IFNA(VLOOKUP($B59,'Node Details'!$B:$U,D$1,0),"Check"),"")</f>
        <v>1GF</v>
      </c>
      <c r="E59" s="40" t="str">
        <f>IF($B59&lt;&gt;"",_xlfn.IFNA(VLOOKUP($B59,'Node Details'!$B:$U,E$1,0),"Check"),"")</f>
        <v>Airtel</v>
      </c>
      <c r="F59" s="101">
        <v>45141</v>
      </c>
      <c r="G59" s="42"/>
      <c r="H59" s="93" t="s">
        <v>214</v>
      </c>
      <c r="I59" s="93">
        <v>1</v>
      </c>
      <c r="J59" s="93">
        <v>1350</v>
      </c>
      <c r="K59" s="44">
        <f t="shared" si="0"/>
        <v>1350</v>
      </c>
      <c r="L59" s="41">
        <v>45141</v>
      </c>
      <c r="N59" s="100" t="s">
        <v>210</v>
      </c>
      <c r="O59" s="96">
        <v>45273</v>
      </c>
      <c r="P59" s="47">
        <f t="shared" si="1"/>
        <v>1350</v>
      </c>
      <c r="Q59" s="48">
        <f t="shared" si="2"/>
        <v>1350</v>
      </c>
      <c r="R59" s="49"/>
      <c r="S59" s="100" t="s">
        <v>211</v>
      </c>
      <c r="T59" s="96">
        <v>45273</v>
      </c>
      <c r="U59" s="47">
        <f t="shared" si="3"/>
        <v>1350</v>
      </c>
      <c r="V59" s="47">
        <f t="shared" si="4"/>
        <v>1</v>
      </c>
      <c r="W59" s="52">
        <f t="shared" si="5"/>
        <v>1350</v>
      </c>
      <c r="X59" s="124" t="s">
        <v>81</v>
      </c>
      <c r="Y59" s="45" t="s">
        <v>212</v>
      </c>
    </row>
    <row r="60" spans="1:25" s="45" customFormat="1" ht="11.1" customHeight="1" x14ac:dyDescent="0.25">
      <c r="A60" s="38">
        <f t="shared" si="6"/>
        <v>58</v>
      </c>
      <c r="B60" s="91" t="s">
        <v>103</v>
      </c>
      <c r="C60" s="40" t="str">
        <f>IF($B60&lt;&gt;"",_xlfn.IFNA(VLOOKUP($B60,'Node Details'!$B:$U,C$1,0),"Check"),"")</f>
        <v>00001GF12-00001GF22</v>
      </c>
      <c r="D60" s="40" t="str">
        <f>IF($B60&lt;&gt;"",_xlfn.IFNA(VLOOKUP($B60,'Node Details'!$B:$U,D$1,0),"Check"),"")</f>
        <v>1GF</v>
      </c>
      <c r="E60" s="40" t="str">
        <f>IF($B60&lt;&gt;"",_xlfn.IFNA(VLOOKUP($B60,'Node Details'!$B:$U,E$1,0),"Check"),"")</f>
        <v>Airtel</v>
      </c>
      <c r="F60" s="101">
        <v>45141</v>
      </c>
      <c r="G60" s="42"/>
      <c r="H60" s="93" t="s">
        <v>214</v>
      </c>
      <c r="I60" s="93">
        <v>1</v>
      </c>
      <c r="J60" s="93">
        <v>1350</v>
      </c>
      <c r="K60" s="44">
        <f t="shared" si="0"/>
        <v>1350</v>
      </c>
      <c r="L60" s="41">
        <v>45141</v>
      </c>
      <c r="N60" s="100" t="s">
        <v>210</v>
      </c>
      <c r="O60" s="96">
        <v>45273</v>
      </c>
      <c r="P60" s="47">
        <f t="shared" si="1"/>
        <v>1350</v>
      </c>
      <c r="Q60" s="48">
        <f t="shared" si="2"/>
        <v>1350</v>
      </c>
      <c r="R60" s="49"/>
      <c r="S60" s="100" t="s">
        <v>211</v>
      </c>
      <c r="T60" s="96">
        <v>45273</v>
      </c>
      <c r="U60" s="47">
        <f t="shared" si="3"/>
        <v>1350</v>
      </c>
      <c r="V60" s="47">
        <f t="shared" si="4"/>
        <v>1</v>
      </c>
      <c r="W60" s="52">
        <f t="shared" si="5"/>
        <v>1350</v>
      </c>
      <c r="X60" s="124" t="s">
        <v>81</v>
      </c>
      <c r="Y60" s="45" t="s">
        <v>212</v>
      </c>
    </row>
    <row r="61" spans="1:25" s="45" customFormat="1" ht="11.1" customHeight="1" x14ac:dyDescent="0.25">
      <c r="A61" s="38">
        <f t="shared" si="6"/>
        <v>59</v>
      </c>
      <c r="B61" s="91" t="s">
        <v>107</v>
      </c>
      <c r="C61" s="40" t="str">
        <f>IF($B61&lt;&gt;"",_xlfn.IFNA(VLOOKUP($B61,'Node Details'!$B:$U,C$1,0),"Check"),"")</f>
        <v>00001GF12-00001GF22</v>
      </c>
      <c r="D61" s="40" t="str">
        <f>IF($B61&lt;&gt;"",_xlfn.IFNA(VLOOKUP($B61,'Node Details'!$B:$U,D$1,0),"Check"),"")</f>
        <v>1GF</v>
      </c>
      <c r="E61" s="40" t="str">
        <f>IF($B61&lt;&gt;"",_xlfn.IFNA(VLOOKUP($B61,'Node Details'!$B:$U,E$1,0),"Check"),"")</f>
        <v>Airtel</v>
      </c>
      <c r="F61" s="101">
        <v>45141</v>
      </c>
      <c r="G61" s="42"/>
      <c r="H61" s="93" t="s">
        <v>214</v>
      </c>
      <c r="I61" s="93">
        <v>1</v>
      </c>
      <c r="J61" s="93">
        <v>1350</v>
      </c>
      <c r="K61" s="44">
        <f t="shared" si="0"/>
        <v>1350</v>
      </c>
      <c r="L61" s="41">
        <v>45141</v>
      </c>
      <c r="N61" s="100" t="s">
        <v>210</v>
      </c>
      <c r="O61" s="96">
        <v>45273</v>
      </c>
      <c r="P61" s="47">
        <f t="shared" si="1"/>
        <v>1350</v>
      </c>
      <c r="Q61" s="48">
        <f t="shared" si="2"/>
        <v>1350</v>
      </c>
      <c r="R61" s="49"/>
      <c r="S61" s="100" t="s">
        <v>211</v>
      </c>
      <c r="T61" s="96">
        <v>45273</v>
      </c>
      <c r="U61" s="47">
        <f t="shared" si="3"/>
        <v>1350</v>
      </c>
      <c r="V61" s="47">
        <f t="shared" si="4"/>
        <v>1</v>
      </c>
      <c r="W61" s="52">
        <f t="shared" si="5"/>
        <v>1350</v>
      </c>
      <c r="X61" s="124" t="s">
        <v>81</v>
      </c>
      <c r="Y61" s="45" t="s">
        <v>212</v>
      </c>
    </row>
    <row r="62" spans="1:25" s="45" customFormat="1" ht="11.1" customHeight="1" x14ac:dyDescent="0.25">
      <c r="A62" s="38">
        <f t="shared" si="6"/>
        <v>60</v>
      </c>
      <c r="B62" s="91" t="s">
        <v>111</v>
      </c>
      <c r="C62" s="40" t="str">
        <f>IF($B62&lt;&gt;"",_xlfn.IFNA(VLOOKUP($B62,'Node Details'!$B:$U,C$1,0),"Check"),"")</f>
        <v>00001GF12-00001GF22</v>
      </c>
      <c r="D62" s="40" t="str">
        <f>IF($B62&lt;&gt;"",_xlfn.IFNA(VLOOKUP($B62,'Node Details'!$B:$U,D$1,0),"Check"),"")</f>
        <v>1GF</v>
      </c>
      <c r="E62" s="40" t="str">
        <f>IF($B62&lt;&gt;"",_xlfn.IFNA(VLOOKUP($B62,'Node Details'!$B:$U,E$1,0),"Check"),"")</f>
        <v>Airtel</v>
      </c>
      <c r="F62" s="101">
        <v>45141</v>
      </c>
      <c r="G62" s="42"/>
      <c r="H62" s="93" t="s">
        <v>214</v>
      </c>
      <c r="I62" s="93">
        <v>1</v>
      </c>
      <c r="J62" s="93">
        <v>1350</v>
      </c>
      <c r="K62" s="44">
        <f t="shared" si="0"/>
        <v>1350</v>
      </c>
      <c r="L62" s="41">
        <v>45141</v>
      </c>
      <c r="N62" s="100" t="s">
        <v>210</v>
      </c>
      <c r="O62" s="96">
        <v>45273</v>
      </c>
      <c r="P62" s="47">
        <f t="shared" si="1"/>
        <v>1350</v>
      </c>
      <c r="Q62" s="48">
        <f t="shared" si="2"/>
        <v>1350</v>
      </c>
      <c r="R62" s="49"/>
      <c r="S62" s="100" t="s">
        <v>211</v>
      </c>
      <c r="T62" s="96">
        <v>45273</v>
      </c>
      <c r="U62" s="47">
        <f t="shared" si="3"/>
        <v>1350</v>
      </c>
      <c r="V62" s="47">
        <f t="shared" si="4"/>
        <v>1</v>
      </c>
      <c r="W62" s="52">
        <f t="shared" si="5"/>
        <v>1350</v>
      </c>
      <c r="X62" s="124" t="s">
        <v>81</v>
      </c>
      <c r="Y62" s="45" t="s">
        <v>212</v>
      </c>
    </row>
    <row r="63" spans="1:25" s="45" customFormat="1" ht="11.1" customHeight="1" x14ac:dyDescent="0.25">
      <c r="A63" s="38">
        <f t="shared" si="6"/>
        <v>61</v>
      </c>
      <c r="B63" s="91" t="s">
        <v>115</v>
      </c>
      <c r="C63" s="40" t="str">
        <f>IF($B63&lt;&gt;"",_xlfn.IFNA(VLOOKUP($B63,'Node Details'!$B:$U,C$1,0),"Check"),"")</f>
        <v>00001GF12-00001GF22</v>
      </c>
      <c r="D63" s="40" t="str">
        <f>IF($B63&lt;&gt;"",_xlfn.IFNA(VLOOKUP($B63,'Node Details'!$B:$U,D$1,0),"Check"),"")</f>
        <v>1GF</v>
      </c>
      <c r="E63" s="40" t="str">
        <f>IF($B63&lt;&gt;"",_xlfn.IFNA(VLOOKUP($B63,'Node Details'!$B:$U,E$1,0),"Check"),"")</f>
        <v>Airtel</v>
      </c>
      <c r="F63" s="101">
        <v>45141</v>
      </c>
      <c r="G63" s="42"/>
      <c r="H63" s="93" t="s">
        <v>215</v>
      </c>
      <c r="I63" s="93">
        <v>1</v>
      </c>
      <c r="J63" s="93">
        <v>1065</v>
      </c>
      <c r="K63" s="44">
        <f t="shared" si="0"/>
        <v>1065</v>
      </c>
      <c r="L63" s="41">
        <v>45141</v>
      </c>
      <c r="N63" s="43"/>
      <c r="O63" s="46"/>
      <c r="P63" s="47">
        <f t="shared" si="1"/>
        <v>1065</v>
      </c>
      <c r="Q63" s="48">
        <f t="shared" si="2"/>
        <v>1065</v>
      </c>
      <c r="R63" s="49"/>
      <c r="S63" s="50"/>
      <c r="T63" s="51"/>
      <c r="U63" s="47">
        <f t="shared" si="3"/>
        <v>1065</v>
      </c>
      <c r="V63" s="47">
        <f t="shared" si="4"/>
        <v>1</v>
      </c>
      <c r="W63" s="52">
        <f t="shared" si="5"/>
        <v>1065</v>
      </c>
      <c r="X63" s="124" t="s">
        <v>81</v>
      </c>
      <c r="Y63" s="45" t="s">
        <v>213</v>
      </c>
    </row>
    <row r="64" spans="1:25" s="45" customFormat="1" ht="11.1" customHeight="1" x14ac:dyDescent="0.25">
      <c r="A64" s="38">
        <f t="shared" si="6"/>
        <v>62</v>
      </c>
      <c r="B64" s="91" t="s">
        <v>119</v>
      </c>
      <c r="C64" s="40" t="str">
        <f>IF($B64&lt;&gt;"",_xlfn.IFNA(VLOOKUP($B64,'Node Details'!$B:$U,C$1,0),"Check"),"")</f>
        <v>00001GF12-00001GF22</v>
      </c>
      <c r="D64" s="40" t="str">
        <f>IF($B64&lt;&gt;"",_xlfn.IFNA(VLOOKUP($B64,'Node Details'!$B:$U,D$1,0),"Check"),"")</f>
        <v>1GF</v>
      </c>
      <c r="E64" s="40" t="str">
        <f>IF($B64&lt;&gt;"",_xlfn.IFNA(VLOOKUP($B64,'Node Details'!$B:$U,E$1,0),"Check"),"")</f>
        <v>Airtel</v>
      </c>
      <c r="F64" s="101">
        <v>45141</v>
      </c>
      <c r="G64" s="42"/>
      <c r="H64" s="93" t="s">
        <v>215</v>
      </c>
      <c r="I64" s="93">
        <v>1</v>
      </c>
      <c r="J64" s="93">
        <v>1065</v>
      </c>
      <c r="K64" s="44">
        <f t="shared" si="0"/>
        <v>1065</v>
      </c>
      <c r="L64" s="41">
        <v>45141</v>
      </c>
      <c r="N64" s="43"/>
      <c r="O64" s="46"/>
      <c r="P64" s="47">
        <f t="shared" si="1"/>
        <v>1065</v>
      </c>
      <c r="Q64" s="48">
        <f t="shared" si="2"/>
        <v>1065</v>
      </c>
      <c r="R64" s="49"/>
      <c r="S64" s="50"/>
      <c r="T64" s="51"/>
      <c r="U64" s="47">
        <f t="shared" si="3"/>
        <v>1065</v>
      </c>
      <c r="V64" s="47">
        <f t="shared" si="4"/>
        <v>1</v>
      </c>
      <c r="W64" s="52">
        <f t="shared" si="5"/>
        <v>1065</v>
      </c>
      <c r="X64" s="124" t="s">
        <v>81</v>
      </c>
      <c r="Y64" s="45" t="s">
        <v>213</v>
      </c>
    </row>
    <row r="65" spans="1:25" s="45" customFormat="1" ht="11.1" customHeight="1" x14ac:dyDescent="0.25">
      <c r="A65" s="38">
        <f t="shared" si="6"/>
        <v>63</v>
      </c>
      <c r="B65" s="91" t="s">
        <v>123</v>
      </c>
      <c r="C65" s="40" t="str">
        <f>IF($B65&lt;&gt;"",_xlfn.IFNA(VLOOKUP($B65,'Node Details'!$B:$U,C$1,0),"Check"),"")</f>
        <v>00001GF12-00001GF22</v>
      </c>
      <c r="D65" s="40" t="str">
        <f>IF($B65&lt;&gt;"",_xlfn.IFNA(VLOOKUP($B65,'Node Details'!$B:$U,D$1,0),"Check"),"")</f>
        <v>1GF</v>
      </c>
      <c r="E65" s="40" t="str">
        <f>IF($B65&lt;&gt;"",_xlfn.IFNA(VLOOKUP($B65,'Node Details'!$B:$U,E$1,0),"Check"),"")</f>
        <v>Airtel</v>
      </c>
      <c r="F65" s="101">
        <v>45141</v>
      </c>
      <c r="G65" s="42"/>
      <c r="H65" s="93" t="s">
        <v>215</v>
      </c>
      <c r="I65" s="93">
        <v>1</v>
      </c>
      <c r="J65" s="93">
        <v>1065</v>
      </c>
      <c r="K65" s="44">
        <f t="shared" si="0"/>
        <v>1065</v>
      </c>
      <c r="L65" s="41">
        <v>45141</v>
      </c>
      <c r="N65" s="43"/>
      <c r="O65" s="46"/>
      <c r="P65" s="47">
        <f t="shared" si="1"/>
        <v>1065</v>
      </c>
      <c r="Q65" s="48">
        <f t="shared" si="2"/>
        <v>1065</v>
      </c>
      <c r="R65" s="49"/>
      <c r="S65" s="50"/>
      <c r="T65" s="51"/>
      <c r="U65" s="47">
        <f t="shared" si="3"/>
        <v>1065</v>
      </c>
      <c r="V65" s="47">
        <f t="shared" si="4"/>
        <v>1</v>
      </c>
      <c r="W65" s="52">
        <f t="shared" si="5"/>
        <v>1065</v>
      </c>
      <c r="X65" s="124" t="s">
        <v>81</v>
      </c>
      <c r="Y65" s="45" t="s">
        <v>213</v>
      </c>
    </row>
    <row r="66" spans="1:25" s="45" customFormat="1" ht="11.1" customHeight="1" x14ac:dyDescent="0.25">
      <c r="A66" s="38">
        <f t="shared" si="6"/>
        <v>64</v>
      </c>
      <c r="B66" s="91" t="s">
        <v>127</v>
      </c>
      <c r="C66" s="40" t="str">
        <f>IF($B66&lt;&gt;"",_xlfn.IFNA(VLOOKUP($B66,'Node Details'!$B:$U,C$1,0),"Check"),"")</f>
        <v>00001GF12-00001GF22</v>
      </c>
      <c r="D66" s="40" t="str">
        <f>IF($B66&lt;&gt;"",_xlfn.IFNA(VLOOKUP($B66,'Node Details'!$B:$U,D$1,0),"Check"),"")</f>
        <v>1GF</v>
      </c>
      <c r="E66" s="40" t="str">
        <f>IF($B66&lt;&gt;"",_xlfn.IFNA(VLOOKUP($B66,'Node Details'!$B:$U,E$1,0),"Check"),"")</f>
        <v>Airtel</v>
      </c>
      <c r="F66" s="101">
        <v>45141</v>
      </c>
      <c r="G66" s="42"/>
      <c r="H66" s="93" t="s">
        <v>215</v>
      </c>
      <c r="I66" s="93">
        <v>1</v>
      </c>
      <c r="J66" s="93">
        <v>1065</v>
      </c>
      <c r="K66" s="44">
        <f t="shared" si="0"/>
        <v>1065</v>
      </c>
      <c r="L66" s="41">
        <v>45141</v>
      </c>
      <c r="N66" s="43"/>
      <c r="O66" s="46"/>
      <c r="P66" s="47">
        <f t="shared" si="1"/>
        <v>1065</v>
      </c>
      <c r="Q66" s="48">
        <f t="shared" si="2"/>
        <v>1065</v>
      </c>
      <c r="R66" s="49"/>
      <c r="S66" s="50"/>
      <c r="T66" s="51"/>
      <c r="U66" s="47">
        <f t="shared" si="3"/>
        <v>1065</v>
      </c>
      <c r="V66" s="47">
        <f t="shared" si="4"/>
        <v>1</v>
      </c>
      <c r="W66" s="52">
        <f t="shared" si="5"/>
        <v>1065</v>
      </c>
      <c r="X66" s="124" t="s">
        <v>81</v>
      </c>
      <c r="Y66" s="45" t="s">
        <v>213</v>
      </c>
    </row>
    <row r="67" spans="1:25" s="45" customFormat="1" ht="11.1" customHeight="1" x14ac:dyDescent="0.25">
      <c r="A67" s="38">
        <f t="shared" si="6"/>
        <v>65</v>
      </c>
      <c r="B67" s="91" t="s">
        <v>131</v>
      </c>
      <c r="C67" s="40" t="str">
        <f>IF($B67&lt;&gt;"",_xlfn.IFNA(VLOOKUP($B67,'Node Details'!$B:$U,C$1,0),"Check"),"")</f>
        <v>00001GF12-00001GF22</v>
      </c>
      <c r="D67" s="40" t="str">
        <f>IF($B67&lt;&gt;"",_xlfn.IFNA(VLOOKUP($B67,'Node Details'!$B:$U,D$1,0),"Check"),"")</f>
        <v>1GF</v>
      </c>
      <c r="E67" s="40" t="str">
        <f>IF($B67&lt;&gt;"",_xlfn.IFNA(VLOOKUP($B67,'Node Details'!$B:$U,E$1,0),"Check"),"")</f>
        <v>Airtel</v>
      </c>
      <c r="F67" s="101">
        <v>45141</v>
      </c>
      <c r="G67" s="42"/>
      <c r="H67" s="93" t="s">
        <v>216</v>
      </c>
      <c r="I67" s="93">
        <v>1</v>
      </c>
      <c r="J67" s="93">
        <v>1065</v>
      </c>
      <c r="K67" s="44">
        <f t="shared" ref="K67:K130" si="7">IF(I67&lt;&gt;"",J67*I67,0)</f>
        <v>1065</v>
      </c>
      <c r="L67" s="41">
        <v>45141</v>
      </c>
      <c r="N67" s="43"/>
      <c r="O67" s="46"/>
      <c r="P67" s="47">
        <f t="shared" ref="P67:P130" si="8">J67</f>
        <v>1065</v>
      </c>
      <c r="Q67" s="48">
        <f t="shared" ref="Q67:Q130" si="9">P67*I67</f>
        <v>1065</v>
      </c>
      <c r="R67" s="49"/>
      <c r="S67" s="50"/>
      <c r="T67" s="51"/>
      <c r="U67" s="47">
        <f t="shared" ref="U67:U130" si="10">J67</f>
        <v>1065</v>
      </c>
      <c r="V67" s="47">
        <f t="shared" ref="V67:V130" si="11">I67</f>
        <v>1</v>
      </c>
      <c r="W67" s="52">
        <f t="shared" ref="W67:W130" si="12">IF(V67&lt;&gt;"",V67*U67,0)</f>
        <v>1065</v>
      </c>
      <c r="X67" s="124" t="s">
        <v>81</v>
      </c>
      <c r="Y67" s="45" t="s">
        <v>213</v>
      </c>
    </row>
    <row r="68" spans="1:25" s="45" customFormat="1" ht="11.1" customHeight="1" x14ac:dyDescent="0.25">
      <c r="A68" s="38">
        <f t="shared" ref="A68:A131" si="13">A67+1</f>
        <v>66</v>
      </c>
      <c r="B68" s="91" t="s">
        <v>90</v>
      </c>
      <c r="C68" s="40" t="str">
        <f>IF($B68&lt;&gt;"",_xlfn.IFNA(VLOOKUP($B68,'Node Details'!$B:$U,C$1,0),"Check"),"")</f>
        <v>00001GF12-00001GF22</v>
      </c>
      <c r="D68" s="40" t="str">
        <f>IF($B68&lt;&gt;"",_xlfn.IFNA(VLOOKUP($B68,'Node Details'!$B:$U,D$1,0),"Check"),"")</f>
        <v>1GF</v>
      </c>
      <c r="E68" s="40" t="str">
        <f>IF($B68&lt;&gt;"",_xlfn.IFNA(VLOOKUP($B68,'Node Details'!$B:$U,E$1,0),"Check"),"")</f>
        <v>Airtel</v>
      </c>
      <c r="F68" s="101">
        <v>45141</v>
      </c>
      <c r="G68" s="42"/>
      <c r="H68" s="93" t="s">
        <v>216</v>
      </c>
      <c r="I68" s="93">
        <v>1</v>
      </c>
      <c r="J68" s="93">
        <v>1065</v>
      </c>
      <c r="K68" s="44">
        <f t="shared" si="7"/>
        <v>1065</v>
      </c>
      <c r="L68" s="41">
        <v>45141</v>
      </c>
      <c r="N68" s="43"/>
      <c r="O68" s="46"/>
      <c r="P68" s="47">
        <f t="shared" si="8"/>
        <v>1065</v>
      </c>
      <c r="Q68" s="48">
        <f t="shared" si="9"/>
        <v>1065</v>
      </c>
      <c r="R68" s="49"/>
      <c r="S68" s="50"/>
      <c r="T68" s="51"/>
      <c r="U68" s="47">
        <f t="shared" si="10"/>
        <v>1065</v>
      </c>
      <c r="V68" s="47">
        <f t="shared" si="11"/>
        <v>1</v>
      </c>
      <c r="W68" s="52">
        <f t="shared" si="12"/>
        <v>1065</v>
      </c>
      <c r="X68" s="124" t="s">
        <v>81</v>
      </c>
      <c r="Y68" s="45" t="s">
        <v>213</v>
      </c>
    </row>
    <row r="69" spans="1:25" s="45" customFormat="1" ht="11.1" customHeight="1" x14ac:dyDescent="0.2">
      <c r="A69" s="38">
        <f t="shared" si="13"/>
        <v>67</v>
      </c>
      <c r="B69" s="90" t="s">
        <v>150</v>
      </c>
      <c r="C69" s="40" t="str">
        <f>IF($B69&lt;&gt;"",_xlfn.IFNA(VLOOKUP($B69,'Node Details'!$B:$U,C$1,0),"Check"),"")</f>
        <v>00001GF12-1GF120106</v>
      </c>
      <c r="D69" s="40" t="str">
        <f>IF($B69&lt;&gt;"",_xlfn.IFNA(VLOOKUP($B69,'Node Details'!$B:$U,D$1,0),"Check"),"")</f>
        <v>1GF</v>
      </c>
      <c r="E69" s="40" t="str">
        <f>IF($B69&lt;&gt;"",_xlfn.IFNA(VLOOKUP($B69,'Node Details'!$B:$U,E$1,0),"Check"),"")</f>
        <v>Airtel</v>
      </c>
      <c r="F69" s="101">
        <v>45141</v>
      </c>
      <c r="G69" s="42"/>
      <c r="H69" s="93" t="s">
        <v>216</v>
      </c>
      <c r="I69" s="93">
        <v>2</v>
      </c>
      <c r="J69" s="93">
        <v>550</v>
      </c>
      <c r="K69" s="44">
        <f t="shared" si="7"/>
        <v>1100</v>
      </c>
      <c r="L69" s="41">
        <v>45141</v>
      </c>
      <c r="N69" s="100" t="s">
        <v>210</v>
      </c>
      <c r="O69" s="96">
        <v>45273</v>
      </c>
      <c r="P69" s="47">
        <f t="shared" si="8"/>
        <v>550</v>
      </c>
      <c r="Q69" s="48">
        <f t="shared" si="9"/>
        <v>1100</v>
      </c>
      <c r="R69" s="49"/>
      <c r="S69" s="100" t="s">
        <v>211</v>
      </c>
      <c r="T69" s="96">
        <v>45273</v>
      </c>
      <c r="U69" s="47">
        <f t="shared" si="10"/>
        <v>550</v>
      </c>
      <c r="V69" s="47">
        <f t="shared" si="11"/>
        <v>2</v>
      </c>
      <c r="W69" s="52">
        <f t="shared" si="12"/>
        <v>1100</v>
      </c>
      <c r="X69" s="124" t="s">
        <v>81</v>
      </c>
      <c r="Y69" s="45" t="s">
        <v>212</v>
      </c>
    </row>
    <row r="70" spans="1:25" s="45" customFormat="1" ht="11.1" customHeight="1" x14ac:dyDescent="0.2">
      <c r="A70" s="38">
        <f t="shared" si="13"/>
        <v>68</v>
      </c>
      <c r="B70" s="90" t="s">
        <v>151</v>
      </c>
      <c r="C70" s="40" t="str">
        <f>IF($B70&lt;&gt;"",_xlfn.IFNA(VLOOKUP($B70,'Node Details'!$B:$U,C$1,0),"Check"),"")</f>
        <v>00001GF12-1GF120106</v>
      </c>
      <c r="D70" s="40" t="str">
        <f>IF($B70&lt;&gt;"",_xlfn.IFNA(VLOOKUP($B70,'Node Details'!$B:$U,D$1,0),"Check"),"")</f>
        <v>1GF</v>
      </c>
      <c r="E70" s="40" t="str">
        <f>IF($B70&lt;&gt;"",_xlfn.IFNA(VLOOKUP($B70,'Node Details'!$B:$U,E$1,0),"Check"),"")</f>
        <v>Airtel</v>
      </c>
      <c r="F70" s="101">
        <v>45141</v>
      </c>
      <c r="G70" s="42"/>
      <c r="H70" s="93" t="s">
        <v>216</v>
      </c>
      <c r="I70" s="93">
        <v>2</v>
      </c>
      <c r="J70" s="93">
        <v>550</v>
      </c>
      <c r="K70" s="44">
        <f t="shared" si="7"/>
        <v>1100</v>
      </c>
      <c r="L70" s="41">
        <v>45141</v>
      </c>
      <c r="N70" s="100" t="s">
        <v>210</v>
      </c>
      <c r="O70" s="96">
        <v>45273</v>
      </c>
      <c r="P70" s="47">
        <f t="shared" si="8"/>
        <v>550</v>
      </c>
      <c r="Q70" s="48">
        <f t="shared" si="9"/>
        <v>1100</v>
      </c>
      <c r="R70" s="49"/>
      <c r="S70" s="100" t="s">
        <v>211</v>
      </c>
      <c r="T70" s="96">
        <v>45273</v>
      </c>
      <c r="U70" s="47">
        <f t="shared" si="10"/>
        <v>550</v>
      </c>
      <c r="V70" s="47">
        <f t="shared" si="11"/>
        <v>2</v>
      </c>
      <c r="W70" s="52">
        <f t="shared" si="12"/>
        <v>1100</v>
      </c>
      <c r="X70" s="124" t="s">
        <v>81</v>
      </c>
      <c r="Y70" s="45" t="s">
        <v>212</v>
      </c>
    </row>
    <row r="71" spans="1:25" s="45" customFormat="1" ht="11.1" customHeight="1" x14ac:dyDescent="0.2">
      <c r="A71" s="38">
        <f t="shared" si="13"/>
        <v>69</v>
      </c>
      <c r="B71" s="90" t="s">
        <v>152</v>
      </c>
      <c r="C71" s="40" t="str">
        <f>IF($B71&lt;&gt;"",_xlfn.IFNA(VLOOKUP($B71,'Node Details'!$B:$U,C$1,0),"Check"),"")</f>
        <v>00001GF12-1GF120106</v>
      </c>
      <c r="D71" s="40" t="str">
        <f>IF($B71&lt;&gt;"",_xlfn.IFNA(VLOOKUP($B71,'Node Details'!$B:$U,D$1,0),"Check"),"")</f>
        <v>1GF</v>
      </c>
      <c r="E71" s="40" t="str">
        <f>IF($B71&lt;&gt;"",_xlfn.IFNA(VLOOKUP($B71,'Node Details'!$B:$U,E$1,0),"Check"),"")</f>
        <v>Airtel</v>
      </c>
      <c r="F71" s="101">
        <v>45141</v>
      </c>
      <c r="G71" s="42"/>
      <c r="H71" s="93" t="s">
        <v>216</v>
      </c>
      <c r="I71" s="93">
        <v>2</v>
      </c>
      <c r="J71" s="93">
        <v>550</v>
      </c>
      <c r="K71" s="44">
        <f t="shared" si="7"/>
        <v>1100</v>
      </c>
      <c r="L71" s="41">
        <v>45141</v>
      </c>
      <c r="N71" s="100" t="s">
        <v>210</v>
      </c>
      <c r="O71" s="96">
        <v>45273</v>
      </c>
      <c r="P71" s="47">
        <f t="shared" si="8"/>
        <v>550</v>
      </c>
      <c r="Q71" s="48">
        <f t="shared" si="9"/>
        <v>1100</v>
      </c>
      <c r="R71" s="49"/>
      <c r="S71" s="100" t="s">
        <v>211</v>
      </c>
      <c r="T71" s="96">
        <v>45273</v>
      </c>
      <c r="U71" s="47">
        <f t="shared" si="10"/>
        <v>550</v>
      </c>
      <c r="V71" s="47">
        <f t="shared" si="11"/>
        <v>2</v>
      </c>
      <c r="W71" s="52">
        <f t="shared" si="12"/>
        <v>1100</v>
      </c>
      <c r="X71" s="124" t="s">
        <v>81</v>
      </c>
      <c r="Y71" s="45" t="s">
        <v>212</v>
      </c>
    </row>
    <row r="72" spans="1:25" s="45" customFormat="1" ht="11.1" customHeight="1" x14ac:dyDescent="0.2">
      <c r="A72" s="38">
        <f t="shared" si="13"/>
        <v>70</v>
      </c>
      <c r="B72" s="90" t="s">
        <v>153</v>
      </c>
      <c r="C72" s="40" t="str">
        <f>IF($B72&lt;&gt;"",_xlfn.IFNA(VLOOKUP($B72,'Node Details'!$B:$U,C$1,0),"Check"),"")</f>
        <v>00001GF12-1GF120106</v>
      </c>
      <c r="D72" s="40" t="str">
        <f>IF($B72&lt;&gt;"",_xlfn.IFNA(VLOOKUP($B72,'Node Details'!$B:$U,D$1,0),"Check"),"")</f>
        <v>1GF</v>
      </c>
      <c r="E72" s="40" t="str">
        <f>IF($B72&lt;&gt;"",_xlfn.IFNA(VLOOKUP($B72,'Node Details'!$B:$U,E$1,0),"Check"),"")</f>
        <v>Airtel</v>
      </c>
      <c r="F72" s="101">
        <v>45141</v>
      </c>
      <c r="G72" s="42"/>
      <c r="H72" s="93" t="s">
        <v>216</v>
      </c>
      <c r="I72" s="93">
        <v>2</v>
      </c>
      <c r="J72" s="93">
        <v>550</v>
      </c>
      <c r="K72" s="44">
        <f t="shared" si="7"/>
        <v>1100</v>
      </c>
      <c r="L72" s="41">
        <v>45141</v>
      </c>
      <c r="N72" s="100" t="s">
        <v>210</v>
      </c>
      <c r="O72" s="96">
        <v>45273</v>
      </c>
      <c r="P72" s="47">
        <f t="shared" si="8"/>
        <v>550</v>
      </c>
      <c r="Q72" s="48">
        <f t="shared" si="9"/>
        <v>1100</v>
      </c>
      <c r="R72" s="49"/>
      <c r="S72" s="100" t="s">
        <v>211</v>
      </c>
      <c r="T72" s="96">
        <v>45273</v>
      </c>
      <c r="U72" s="47">
        <f t="shared" si="10"/>
        <v>550</v>
      </c>
      <c r="V72" s="47">
        <f t="shared" si="11"/>
        <v>2</v>
      </c>
      <c r="W72" s="52">
        <f t="shared" si="12"/>
        <v>1100</v>
      </c>
      <c r="X72" s="124" t="s">
        <v>81</v>
      </c>
      <c r="Y72" s="45" t="s">
        <v>212</v>
      </c>
    </row>
    <row r="73" spans="1:25" s="45" customFormat="1" ht="11.1" customHeight="1" x14ac:dyDescent="0.2">
      <c r="A73" s="38">
        <f t="shared" si="13"/>
        <v>71</v>
      </c>
      <c r="B73" s="90" t="s">
        <v>154</v>
      </c>
      <c r="C73" s="40" t="str">
        <f>IF($B73&lt;&gt;"",_xlfn.IFNA(VLOOKUP($B73,'Node Details'!$B:$U,C$1,0),"Check"),"")</f>
        <v>00001GF12-1GF120106</v>
      </c>
      <c r="D73" s="40" t="str">
        <f>IF($B73&lt;&gt;"",_xlfn.IFNA(VLOOKUP($B73,'Node Details'!$B:$U,D$1,0),"Check"),"")</f>
        <v>1GF</v>
      </c>
      <c r="E73" s="40" t="str">
        <f>IF($B73&lt;&gt;"",_xlfn.IFNA(VLOOKUP($B73,'Node Details'!$B:$U,E$1,0),"Check"),"")</f>
        <v>Airtel</v>
      </c>
      <c r="F73" s="101">
        <v>45141</v>
      </c>
      <c r="G73" s="42"/>
      <c r="H73" s="93" t="s">
        <v>216</v>
      </c>
      <c r="I73" s="93">
        <v>3</v>
      </c>
      <c r="J73" s="93">
        <v>550</v>
      </c>
      <c r="K73" s="44">
        <f t="shared" si="7"/>
        <v>1650</v>
      </c>
      <c r="L73" s="41">
        <v>45141</v>
      </c>
      <c r="N73" s="100" t="s">
        <v>210</v>
      </c>
      <c r="O73" s="96">
        <v>45273</v>
      </c>
      <c r="P73" s="47">
        <f t="shared" si="8"/>
        <v>550</v>
      </c>
      <c r="Q73" s="48">
        <f t="shared" si="9"/>
        <v>1650</v>
      </c>
      <c r="R73" s="49"/>
      <c r="S73" s="100" t="s">
        <v>211</v>
      </c>
      <c r="T73" s="96">
        <v>45273</v>
      </c>
      <c r="U73" s="47">
        <f t="shared" si="10"/>
        <v>550</v>
      </c>
      <c r="V73" s="47">
        <f t="shared" si="11"/>
        <v>3</v>
      </c>
      <c r="W73" s="52">
        <f t="shared" si="12"/>
        <v>1650</v>
      </c>
      <c r="X73" s="124" t="s">
        <v>81</v>
      </c>
      <c r="Y73" s="45" t="s">
        <v>212</v>
      </c>
    </row>
    <row r="74" spans="1:25" s="45" customFormat="1" ht="11.1" customHeight="1" x14ac:dyDescent="0.2">
      <c r="A74" s="38">
        <f t="shared" si="13"/>
        <v>72</v>
      </c>
      <c r="B74" s="90" t="s">
        <v>97</v>
      </c>
      <c r="C74" s="40" t="str">
        <f>IF($B74&lt;&gt;"",_xlfn.IFNA(VLOOKUP($B74,'Node Details'!$B:$U,C$1,0),"Check"),"")</f>
        <v>00001GF12-1GF120106</v>
      </c>
      <c r="D74" s="40" t="str">
        <f>IF($B74&lt;&gt;"",_xlfn.IFNA(VLOOKUP($B74,'Node Details'!$B:$U,D$1,0),"Check"),"")</f>
        <v>1GF</v>
      </c>
      <c r="E74" s="40" t="str">
        <f>IF($B74&lt;&gt;"",_xlfn.IFNA(VLOOKUP($B74,'Node Details'!$B:$U,E$1,0),"Check"),"")</f>
        <v>Airtel</v>
      </c>
      <c r="F74" s="101">
        <v>45141</v>
      </c>
      <c r="G74" s="42"/>
      <c r="H74" s="93" t="s">
        <v>216</v>
      </c>
      <c r="I74" s="93">
        <v>2</v>
      </c>
      <c r="J74" s="93">
        <v>550</v>
      </c>
      <c r="K74" s="44">
        <f t="shared" si="7"/>
        <v>1100</v>
      </c>
      <c r="L74" s="41">
        <v>45141</v>
      </c>
      <c r="N74" s="100" t="s">
        <v>210</v>
      </c>
      <c r="O74" s="96">
        <v>45273</v>
      </c>
      <c r="P74" s="47">
        <f t="shared" si="8"/>
        <v>550</v>
      </c>
      <c r="Q74" s="48">
        <f t="shared" si="9"/>
        <v>1100</v>
      </c>
      <c r="R74" s="49"/>
      <c r="S74" s="100" t="s">
        <v>211</v>
      </c>
      <c r="T74" s="96">
        <v>45273</v>
      </c>
      <c r="U74" s="47">
        <f t="shared" si="10"/>
        <v>550</v>
      </c>
      <c r="V74" s="47">
        <f t="shared" si="11"/>
        <v>2</v>
      </c>
      <c r="W74" s="52">
        <f t="shared" si="12"/>
        <v>1100</v>
      </c>
      <c r="X74" s="124" t="s">
        <v>81</v>
      </c>
      <c r="Y74" s="45" t="s">
        <v>212</v>
      </c>
    </row>
    <row r="75" spans="1:25" s="45" customFormat="1" ht="11.1" customHeight="1" x14ac:dyDescent="0.2">
      <c r="A75" s="38">
        <f t="shared" si="13"/>
        <v>73</v>
      </c>
      <c r="B75" s="90" t="s">
        <v>155</v>
      </c>
      <c r="C75" s="40" t="str">
        <f>IF($B75&lt;&gt;"",_xlfn.IFNA(VLOOKUP($B75,'Node Details'!$B:$U,C$1,0),"Check"),"")</f>
        <v>00001GF13-1GF130106</v>
      </c>
      <c r="D75" s="40" t="str">
        <f>IF($B75&lt;&gt;"",_xlfn.IFNA(VLOOKUP($B75,'Node Details'!$B:$U,D$1,0),"Check"),"")</f>
        <v>1GF</v>
      </c>
      <c r="E75" s="40" t="str">
        <f>IF($B75&lt;&gt;"",_xlfn.IFNA(VLOOKUP($B75,'Node Details'!$B:$U,E$1,0),"Check"),"")</f>
        <v>Airtel</v>
      </c>
      <c r="F75" s="101">
        <v>45141</v>
      </c>
      <c r="G75" s="42"/>
      <c r="H75" s="93" t="s">
        <v>216</v>
      </c>
      <c r="I75" s="93">
        <v>2</v>
      </c>
      <c r="J75" s="93">
        <v>550</v>
      </c>
      <c r="K75" s="44">
        <f t="shared" si="7"/>
        <v>1100</v>
      </c>
      <c r="L75" s="41">
        <v>45141</v>
      </c>
      <c r="N75" s="100" t="s">
        <v>210</v>
      </c>
      <c r="O75" s="96">
        <v>45273</v>
      </c>
      <c r="P75" s="47">
        <f t="shared" si="8"/>
        <v>550</v>
      </c>
      <c r="Q75" s="48">
        <f t="shared" si="9"/>
        <v>1100</v>
      </c>
      <c r="R75" s="49"/>
      <c r="S75" s="100" t="s">
        <v>211</v>
      </c>
      <c r="T75" s="96">
        <v>45273</v>
      </c>
      <c r="U75" s="47">
        <f t="shared" si="10"/>
        <v>550</v>
      </c>
      <c r="V75" s="47">
        <f t="shared" si="11"/>
        <v>2</v>
      </c>
      <c r="W75" s="52">
        <f t="shared" si="12"/>
        <v>1100</v>
      </c>
      <c r="X75" s="124" t="s">
        <v>81</v>
      </c>
      <c r="Y75" s="45" t="s">
        <v>212</v>
      </c>
    </row>
    <row r="76" spans="1:25" s="45" customFormat="1" ht="11.1" customHeight="1" x14ac:dyDescent="0.2">
      <c r="A76" s="38">
        <f t="shared" si="13"/>
        <v>74</v>
      </c>
      <c r="B76" s="90" t="s">
        <v>156</v>
      </c>
      <c r="C76" s="40" t="str">
        <f>IF($B76&lt;&gt;"",_xlfn.IFNA(VLOOKUP($B76,'Node Details'!$B:$U,C$1,0),"Check"),"")</f>
        <v>00001GF13-1GF130106</v>
      </c>
      <c r="D76" s="40" t="str">
        <f>IF($B76&lt;&gt;"",_xlfn.IFNA(VLOOKUP($B76,'Node Details'!$B:$U,D$1,0),"Check"),"")</f>
        <v>1GF</v>
      </c>
      <c r="E76" s="40" t="str">
        <f>IF($B76&lt;&gt;"",_xlfn.IFNA(VLOOKUP($B76,'Node Details'!$B:$U,E$1,0),"Check"),"")</f>
        <v>Airtel</v>
      </c>
      <c r="F76" s="101">
        <v>45141</v>
      </c>
      <c r="G76" s="42"/>
      <c r="H76" s="93" t="s">
        <v>216</v>
      </c>
      <c r="I76" s="93">
        <v>3</v>
      </c>
      <c r="J76" s="93">
        <v>550</v>
      </c>
      <c r="K76" s="44">
        <f t="shared" si="7"/>
        <v>1650</v>
      </c>
      <c r="L76" s="41">
        <v>45141</v>
      </c>
      <c r="N76" s="100" t="s">
        <v>210</v>
      </c>
      <c r="O76" s="96">
        <v>45273</v>
      </c>
      <c r="P76" s="47">
        <f t="shared" si="8"/>
        <v>550</v>
      </c>
      <c r="Q76" s="48">
        <f t="shared" si="9"/>
        <v>1650</v>
      </c>
      <c r="R76" s="49"/>
      <c r="S76" s="100" t="s">
        <v>211</v>
      </c>
      <c r="T76" s="96">
        <v>45273</v>
      </c>
      <c r="U76" s="47">
        <f t="shared" si="10"/>
        <v>550</v>
      </c>
      <c r="V76" s="47">
        <f t="shared" si="11"/>
        <v>3</v>
      </c>
      <c r="W76" s="52">
        <f t="shared" si="12"/>
        <v>1650</v>
      </c>
      <c r="X76" s="124" t="s">
        <v>81</v>
      </c>
      <c r="Y76" s="45" t="s">
        <v>212</v>
      </c>
    </row>
    <row r="77" spans="1:25" s="45" customFormat="1" ht="11.1" customHeight="1" x14ac:dyDescent="0.2">
      <c r="A77" s="38">
        <f t="shared" si="13"/>
        <v>75</v>
      </c>
      <c r="B77" s="90" t="s">
        <v>157</v>
      </c>
      <c r="C77" s="40" t="str">
        <f>IF($B77&lt;&gt;"",_xlfn.IFNA(VLOOKUP($B77,'Node Details'!$B:$U,C$1,0),"Check"),"")</f>
        <v>00001GF13-1GF130106</v>
      </c>
      <c r="D77" s="40" t="str">
        <f>IF($B77&lt;&gt;"",_xlfn.IFNA(VLOOKUP($B77,'Node Details'!$B:$U,D$1,0),"Check"),"")</f>
        <v>1GF</v>
      </c>
      <c r="E77" s="40" t="str">
        <f>IF($B77&lt;&gt;"",_xlfn.IFNA(VLOOKUP($B77,'Node Details'!$B:$U,E$1,0),"Check"),"")</f>
        <v>Airtel</v>
      </c>
      <c r="F77" s="101">
        <v>45141</v>
      </c>
      <c r="G77" s="42"/>
      <c r="H77" s="93" t="s">
        <v>216</v>
      </c>
      <c r="I77" s="93">
        <v>2</v>
      </c>
      <c r="J77" s="93">
        <v>550</v>
      </c>
      <c r="K77" s="44">
        <f t="shared" si="7"/>
        <v>1100</v>
      </c>
      <c r="L77" s="41">
        <v>45141</v>
      </c>
      <c r="N77" s="100" t="s">
        <v>210</v>
      </c>
      <c r="O77" s="96">
        <v>45273</v>
      </c>
      <c r="P77" s="47">
        <f t="shared" si="8"/>
        <v>550</v>
      </c>
      <c r="Q77" s="48">
        <f t="shared" si="9"/>
        <v>1100</v>
      </c>
      <c r="R77" s="49"/>
      <c r="S77" s="100" t="s">
        <v>211</v>
      </c>
      <c r="T77" s="96">
        <v>45273</v>
      </c>
      <c r="U77" s="47">
        <f t="shared" si="10"/>
        <v>550</v>
      </c>
      <c r="V77" s="47">
        <f t="shared" si="11"/>
        <v>2</v>
      </c>
      <c r="W77" s="52">
        <f t="shared" si="12"/>
        <v>1100</v>
      </c>
      <c r="X77" s="124" t="s">
        <v>81</v>
      </c>
      <c r="Y77" s="45" t="s">
        <v>212</v>
      </c>
    </row>
    <row r="78" spans="1:25" s="45" customFormat="1" ht="11.1" customHeight="1" x14ac:dyDescent="0.2">
      <c r="A78" s="38">
        <f t="shared" si="13"/>
        <v>76</v>
      </c>
      <c r="B78" s="90" t="s">
        <v>158</v>
      </c>
      <c r="C78" s="40" t="str">
        <f>IF($B78&lt;&gt;"",_xlfn.IFNA(VLOOKUP($B78,'Node Details'!$B:$U,C$1,0),"Check"),"")</f>
        <v>00001GF13-1GF130106</v>
      </c>
      <c r="D78" s="40" t="str">
        <f>IF($B78&lt;&gt;"",_xlfn.IFNA(VLOOKUP($B78,'Node Details'!$B:$U,D$1,0),"Check"),"")</f>
        <v>1GF</v>
      </c>
      <c r="E78" s="40" t="str">
        <f>IF($B78&lt;&gt;"",_xlfn.IFNA(VLOOKUP($B78,'Node Details'!$B:$U,E$1,0),"Check"),"")</f>
        <v>Airtel</v>
      </c>
      <c r="F78" s="101">
        <v>45141</v>
      </c>
      <c r="G78" s="42"/>
      <c r="H78" s="93" t="s">
        <v>216</v>
      </c>
      <c r="I78" s="93">
        <v>2</v>
      </c>
      <c r="J78" s="93">
        <v>390</v>
      </c>
      <c r="K78" s="44">
        <f t="shared" si="7"/>
        <v>780</v>
      </c>
      <c r="L78" s="41">
        <v>45141</v>
      </c>
      <c r="N78" s="43"/>
      <c r="O78" s="46"/>
      <c r="P78" s="47">
        <f t="shared" si="8"/>
        <v>390</v>
      </c>
      <c r="Q78" s="48">
        <f t="shared" si="9"/>
        <v>780</v>
      </c>
      <c r="R78" s="49"/>
      <c r="S78" s="50"/>
      <c r="T78" s="51"/>
      <c r="U78" s="47">
        <f t="shared" si="10"/>
        <v>390</v>
      </c>
      <c r="V78" s="47">
        <f t="shared" si="11"/>
        <v>2</v>
      </c>
      <c r="W78" s="52">
        <f t="shared" si="12"/>
        <v>780</v>
      </c>
      <c r="X78" s="124" t="s">
        <v>81</v>
      </c>
      <c r="Y78" s="45" t="s">
        <v>213</v>
      </c>
    </row>
    <row r="79" spans="1:25" s="45" customFormat="1" ht="11.1" customHeight="1" x14ac:dyDescent="0.2">
      <c r="A79" s="38">
        <f t="shared" si="13"/>
        <v>77</v>
      </c>
      <c r="B79" s="90" t="s">
        <v>159</v>
      </c>
      <c r="C79" s="40" t="str">
        <f>IF($B79&lt;&gt;"",_xlfn.IFNA(VLOOKUP($B79,'Node Details'!$B:$U,C$1,0),"Check"),"")</f>
        <v>00001GF13-1GF130106</v>
      </c>
      <c r="D79" s="40" t="str">
        <f>IF($B79&lt;&gt;"",_xlfn.IFNA(VLOOKUP($B79,'Node Details'!$B:$U,D$1,0),"Check"),"")</f>
        <v>1GF</v>
      </c>
      <c r="E79" s="40" t="str">
        <f>IF($B79&lt;&gt;"",_xlfn.IFNA(VLOOKUP($B79,'Node Details'!$B:$U,E$1,0),"Check"),"")</f>
        <v>Airtel</v>
      </c>
      <c r="F79" s="101">
        <v>45141</v>
      </c>
      <c r="G79" s="42"/>
      <c r="H79" s="93" t="s">
        <v>216</v>
      </c>
      <c r="I79" s="93">
        <v>2</v>
      </c>
      <c r="J79" s="93">
        <v>390</v>
      </c>
      <c r="K79" s="44">
        <f t="shared" si="7"/>
        <v>780</v>
      </c>
      <c r="L79" s="41">
        <v>45141</v>
      </c>
      <c r="N79" s="43"/>
      <c r="O79" s="46"/>
      <c r="P79" s="47">
        <f t="shared" si="8"/>
        <v>390</v>
      </c>
      <c r="Q79" s="48">
        <f t="shared" si="9"/>
        <v>780</v>
      </c>
      <c r="R79" s="49"/>
      <c r="S79" s="50"/>
      <c r="T79" s="51"/>
      <c r="U79" s="47">
        <f t="shared" si="10"/>
        <v>390</v>
      </c>
      <c r="V79" s="47">
        <f t="shared" si="11"/>
        <v>2</v>
      </c>
      <c r="W79" s="52">
        <f t="shared" si="12"/>
        <v>780</v>
      </c>
      <c r="X79" s="124" t="s">
        <v>81</v>
      </c>
      <c r="Y79" s="45" t="s">
        <v>213</v>
      </c>
    </row>
    <row r="80" spans="1:25" s="45" customFormat="1" ht="11.1" customHeight="1" x14ac:dyDescent="0.2">
      <c r="A80" s="38">
        <f t="shared" si="13"/>
        <v>78</v>
      </c>
      <c r="B80" s="90" t="s">
        <v>101</v>
      </c>
      <c r="C80" s="40" t="str">
        <f>IF($B80&lt;&gt;"",_xlfn.IFNA(VLOOKUP($B80,'Node Details'!$B:$U,C$1,0),"Check"),"")</f>
        <v>00001GF13-1GF130106</v>
      </c>
      <c r="D80" s="40" t="str">
        <f>IF($B80&lt;&gt;"",_xlfn.IFNA(VLOOKUP($B80,'Node Details'!$B:$U,D$1,0),"Check"),"")</f>
        <v>1GF</v>
      </c>
      <c r="E80" s="40" t="str">
        <f>IF($B80&lt;&gt;"",_xlfn.IFNA(VLOOKUP($B80,'Node Details'!$B:$U,E$1,0),"Check"),"")</f>
        <v>Airtel</v>
      </c>
      <c r="F80" s="101">
        <v>45141</v>
      </c>
      <c r="G80" s="42"/>
      <c r="H80" s="93" t="s">
        <v>216</v>
      </c>
      <c r="I80" s="93">
        <v>2</v>
      </c>
      <c r="J80" s="93">
        <v>390</v>
      </c>
      <c r="K80" s="44">
        <f t="shared" si="7"/>
        <v>780</v>
      </c>
      <c r="L80" s="41">
        <v>45141</v>
      </c>
      <c r="N80" s="43"/>
      <c r="O80" s="46"/>
      <c r="P80" s="47">
        <f t="shared" si="8"/>
        <v>390</v>
      </c>
      <c r="Q80" s="48">
        <f t="shared" si="9"/>
        <v>780</v>
      </c>
      <c r="R80" s="49"/>
      <c r="S80" s="50"/>
      <c r="T80" s="51"/>
      <c r="U80" s="47">
        <f t="shared" si="10"/>
        <v>390</v>
      </c>
      <c r="V80" s="47">
        <f t="shared" si="11"/>
        <v>2</v>
      </c>
      <c r="W80" s="52">
        <f t="shared" si="12"/>
        <v>780</v>
      </c>
      <c r="X80" s="124" t="s">
        <v>81</v>
      </c>
      <c r="Y80" s="45" t="s">
        <v>213</v>
      </c>
    </row>
    <row r="81" spans="1:25" s="45" customFormat="1" ht="11.1" customHeight="1" x14ac:dyDescent="0.2">
      <c r="A81" s="38">
        <f t="shared" si="13"/>
        <v>79</v>
      </c>
      <c r="B81" s="90" t="s">
        <v>160</v>
      </c>
      <c r="C81" s="40" t="str">
        <f>IF($B81&lt;&gt;"",_xlfn.IFNA(VLOOKUP($B81,'Node Details'!$B:$U,C$1,0),"Check"),"")</f>
        <v>00001GF14-1GF140107</v>
      </c>
      <c r="D81" s="40" t="str">
        <f>IF($B81&lt;&gt;"",_xlfn.IFNA(VLOOKUP($B81,'Node Details'!$B:$U,D$1,0),"Check"),"")</f>
        <v>1GF</v>
      </c>
      <c r="E81" s="40" t="str">
        <f>IF($B81&lt;&gt;"",_xlfn.IFNA(VLOOKUP($B81,'Node Details'!$B:$U,E$1,0),"Check"),"")</f>
        <v>Airtel</v>
      </c>
      <c r="F81" s="101">
        <v>45141</v>
      </c>
      <c r="G81" s="42"/>
      <c r="H81" s="93" t="s">
        <v>216</v>
      </c>
      <c r="I81" s="93">
        <v>2</v>
      </c>
      <c r="J81" s="93">
        <v>390</v>
      </c>
      <c r="K81" s="44">
        <f t="shared" si="7"/>
        <v>780</v>
      </c>
      <c r="L81" s="41">
        <v>45141</v>
      </c>
      <c r="N81" s="43"/>
      <c r="O81" s="46"/>
      <c r="P81" s="47">
        <f t="shared" si="8"/>
        <v>390</v>
      </c>
      <c r="Q81" s="48">
        <f t="shared" si="9"/>
        <v>780</v>
      </c>
      <c r="R81" s="49"/>
      <c r="S81" s="50"/>
      <c r="T81" s="51"/>
      <c r="U81" s="47">
        <f t="shared" si="10"/>
        <v>390</v>
      </c>
      <c r="V81" s="47">
        <f t="shared" si="11"/>
        <v>2</v>
      </c>
      <c r="W81" s="52">
        <f t="shared" si="12"/>
        <v>780</v>
      </c>
      <c r="X81" s="124" t="s">
        <v>81</v>
      </c>
      <c r="Y81" s="45" t="s">
        <v>213</v>
      </c>
    </row>
    <row r="82" spans="1:25" s="45" customFormat="1" ht="11.1" customHeight="1" x14ac:dyDescent="0.2">
      <c r="A82" s="38">
        <f t="shared" si="13"/>
        <v>80</v>
      </c>
      <c r="B82" s="90" t="s">
        <v>161</v>
      </c>
      <c r="C82" s="40" t="str">
        <f>IF($B82&lt;&gt;"",_xlfn.IFNA(VLOOKUP($B82,'Node Details'!$B:$U,C$1,0),"Check"),"")</f>
        <v>00001GF14-1GF140107</v>
      </c>
      <c r="D82" s="40" t="str">
        <f>IF($B82&lt;&gt;"",_xlfn.IFNA(VLOOKUP($B82,'Node Details'!$B:$U,D$1,0),"Check"),"")</f>
        <v>1GF</v>
      </c>
      <c r="E82" s="40" t="str">
        <f>IF($B82&lt;&gt;"",_xlfn.IFNA(VLOOKUP($B82,'Node Details'!$B:$U,E$1,0),"Check"),"")</f>
        <v>Airtel</v>
      </c>
      <c r="F82" s="101">
        <v>45141</v>
      </c>
      <c r="G82" s="42"/>
      <c r="H82" s="93" t="s">
        <v>216</v>
      </c>
      <c r="I82" s="93">
        <v>3</v>
      </c>
      <c r="J82" s="93">
        <v>390</v>
      </c>
      <c r="K82" s="44">
        <f t="shared" si="7"/>
        <v>1170</v>
      </c>
      <c r="L82" s="41">
        <v>45141</v>
      </c>
      <c r="N82" s="43"/>
      <c r="O82" s="46"/>
      <c r="P82" s="47">
        <f t="shared" si="8"/>
        <v>390</v>
      </c>
      <c r="Q82" s="48">
        <f t="shared" si="9"/>
        <v>1170</v>
      </c>
      <c r="R82" s="49"/>
      <c r="S82" s="50"/>
      <c r="T82" s="51"/>
      <c r="U82" s="47">
        <f t="shared" si="10"/>
        <v>390</v>
      </c>
      <c r="V82" s="47">
        <f t="shared" si="11"/>
        <v>3</v>
      </c>
      <c r="W82" s="52">
        <f t="shared" si="12"/>
        <v>1170</v>
      </c>
      <c r="X82" s="124" t="s">
        <v>81</v>
      </c>
      <c r="Y82" s="45" t="s">
        <v>213</v>
      </c>
    </row>
    <row r="83" spans="1:25" s="45" customFormat="1" ht="11.1" customHeight="1" x14ac:dyDescent="0.2">
      <c r="A83" s="38">
        <f t="shared" si="13"/>
        <v>81</v>
      </c>
      <c r="B83" s="90" t="s">
        <v>162</v>
      </c>
      <c r="C83" s="40" t="str">
        <f>IF($B83&lt;&gt;"",_xlfn.IFNA(VLOOKUP($B83,'Node Details'!$B:$U,C$1,0),"Check"),"")</f>
        <v>00001GF14-1GF140107</v>
      </c>
      <c r="D83" s="40" t="str">
        <f>IF($B83&lt;&gt;"",_xlfn.IFNA(VLOOKUP($B83,'Node Details'!$B:$U,D$1,0),"Check"),"")</f>
        <v>1GF</v>
      </c>
      <c r="E83" s="40" t="str">
        <f>IF($B83&lt;&gt;"",_xlfn.IFNA(VLOOKUP($B83,'Node Details'!$B:$U,E$1,0),"Check"),"")</f>
        <v>Airtel</v>
      </c>
      <c r="F83" s="101">
        <v>45141</v>
      </c>
      <c r="G83" s="42"/>
      <c r="H83" s="93" t="s">
        <v>216</v>
      </c>
      <c r="I83" s="93">
        <v>3</v>
      </c>
      <c r="J83" s="93">
        <v>390</v>
      </c>
      <c r="K83" s="44">
        <f t="shared" si="7"/>
        <v>1170</v>
      </c>
      <c r="L83" s="41">
        <v>45141</v>
      </c>
      <c r="N83" s="43"/>
      <c r="O83" s="46"/>
      <c r="P83" s="47">
        <f t="shared" si="8"/>
        <v>390</v>
      </c>
      <c r="Q83" s="48">
        <f t="shared" si="9"/>
        <v>1170</v>
      </c>
      <c r="R83" s="49"/>
      <c r="S83" s="50"/>
      <c r="T83" s="51"/>
      <c r="U83" s="47">
        <f t="shared" si="10"/>
        <v>390</v>
      </c>
      <c r="V83" s="47">
        <f t="shared" si="11"/>
        <v>3</v>
      </c>
      <c r="W83" s="52">
        <f t="shared" si="12"/>
        <v>1170</v>
      </c>
      <c r="X83" s="124" t="s">
        <v>81</v>
      </c>
      <c r="Y83" s="45" t="s">
        <v>213</v>
      </c>
    </row>
    <row r="84" spans="1:25" s="45" customFormat="1" ht="11.1" customHeight="1" x14ac:dyDescent="0.2">
      <c r="A84" s="38">
        <f t="shared" si="13"/>
        <v>82</v>
      </c>
      <c r="B84" s="90" t="s">
        <v>163</v>
      </c>
      <c r="C84" s="40" t="str">
        <f>IF($B84&lt;&gt;"",_xlfn.IFNA(VLOOKUP($B84,'Node Details'!$B:$U,C$1,0),"Check"),"")</f>
        <v>00001GF14-1GF140107</v>
      </c>
      <c r="D84" s="40" t="str">
        <f>IF($B84&lt;&gt;"",_xlfn.IFNA(VLOOKUP($B84,'Node Details'!$B:$U,D$1,0),"Check"),"")</f>
        <v>1GF</v>
      </c>
      <c r="E84" s="40" t="str">
        <f>IF($B84&lt;&gt;"",_xlfn.IFNA(VLOOKUP($B84,'Node Details'!$B:$U,E$1,0),"Check"),"")</f>
        <v>Airtel</v>
      </c>
      <c r="F84" s="101">
        <v>45141</v>
      </c>
      <c r="G84" s="42"/>
      <c r="H84" s="93" t="s">
        <v>216</v>
      </c>
      <c r="I84" s="93">
        <v>3</v>
      </c>
      <c r="J84" s="93">
        <v>390</v>
      </c>
      <c r="K84" s="44">
        <f t="shared" si="7"/>
        <v>1170</v>
      </c>
      <c r="L84" s="41">
        <v>45141</v>
      </c>
      <c r="N84" s="43"/>
      <c r="O84" s="46"/>
      <c r="P84" s="47">
        <f t="shared" si="8"/>
        <v>390</v>
      </c>
      <c r="Q84" s="48">
        <f t="shared" si="9"/>
        <v>1170</v>
      </c>
      <c r="R84" s="49"/>
      <c r="S84" s="50"/>
      <c r="T84" s="51"/>
      <c r="U84" s="47">
        <f t="shared" si="10"/>
        <v>390</v>
      </c>
      <c r="V84" s="47">
        <f t="shared" si="11"/>
        <v>3</v>
      </c>
      <c r="W84" s="52">
        <f t="shared" si="12"/>
        <v>1170</v>
      </c>
      <c r="X84" s="124" t="s">
        <v>81</v>
      </c>
      <c r="Y84" s="45" t="s">
        <v>213</v>
      </c>
    </row>
    <row r="85" spans="1:25" s="45" customFormat="1" ht="11.1" customHeight="1" x14ac:dyDescent="0.2">
      <c r="A85" s="38">
        <f t="shared" si="13"/>
        <v>83</v>
      </c>
      <c r="B85" s="90" t="s">
        <v>164</v>
      </c>
      <c r="C85" s="40" t="str">
        <f>IF($B85&lt;&gt;"",_xlfn.IFNA(VLOOKUP($B85,'Node Details'!$B:$U,C$1,0),"Check"),"")</f>
        <v>00001GF14-1GF140107</v>
      </c>
      <c r="D85" s="40" t="str">
        <f>IF($B85&lt;&gt;"",_xlfn.IFNA(VLOOKUP($B85,'Node Details'!$B:$U,D$1,0),"Check"),"")</f>
        <v>1GF</v>
      </c>
      <c r="E85" s="40" t="str">
        <f>IF($B85&lt;&gt;"",_xlfn.IFNA(VLOOKUP($B85,'Node Details'!$B:$U,E$1,0),"Check"),"")</f>
        <v>Airtel</v>
      </c>
      <c r="F85" s="101">
        <v>45141</v>
      </c>
      <c r="G85" s="42"/>
      <c r="H85" s="93" t="s">
        <v>216</v>
      </c>
      <c r="I85" s="93">
        <v>3</v>
      </c>
      <c r="J85" s="93">
        <v>390</v>
      </c>
      <c r="K85" s="44">
        <f t="shared" si="7"/>
        <v>1170</v>
      </c>
      <c r="L85" s="41">
        <v>45141</v>
      </c>
      <c r="N85" s="43"/>
      <c r="O85" s="46"/>
      <c r="P85" s="47">
        <f t="shared" si="8"/>
        <v>390</v>
      </c>
      <c r="Q85" s="48">
        <f t="shared" si="9"/>
        <v>1170</v>
      </c>
      <c r="R85" s="49"/>
      <c r="S85" s="50"/>
      <c r="T85" s="51"/>
      <c r="U85" s="47">
        <f t="shared" si="10"/>
        <v>390</v>
      </c>
      <c r="V85" s="47">
        <f t="shared" si="11"/>
        <v>3</v>
      </c>
      <c r="W85" s="52">
        <f t="shared" si="12"/>
        <v>1170</v>
      </c>
      <c r="X85" s="124" t="s">
        <v>81</v>
      </c>
      <c r="Y85" s="45" t="s">
        <v>213</v>
      </c>
    </row>
    <row r="86" spans="1:25" s="45" customFormat="1" ht="11.1" customHeight="1" x14ac:dyDescent="0.2">
      <c r="A86" s="38">
        <f t="shared" si="13"/>
        <v>84</v>
      </c>
      <c r="B86" s="90" t="s">
        <v>165</v>
      </c>
      <c r="C86" s="40" t="str">
        <f>IF($B86&lt;&gt;"",_xlfn.IFNA(VLOOKUP($B86,'Node Details'!$B:$U,C$1,0),"Check"),"")</f>
        <v>00001GF14-1GF140107</v>
      </c>
      <c r="D86" s="40" t="str">
        <f>IF($B86&lt;&gt;"",_xlfn.IFNA(VLOOKUP($B86,'Node Details'!$B:$U,D$1,0),"Check"),"")</f>
        <v>1GF</v>
      </c>
      <c r="E86" s="40" t="str">
        <f>IF($B86&lt;&gt;"",_xlfn.IFNA(VLOOKUP($B86,'Node Details'!$B:$U,E$1,0),"Check"),"")</f>
        <v>Airtel</v>
      </c>
      <c r="F86" s="101">
        <v>45141</v>
      </c>
      <c r="G86" s="42"/>
      <c r="H86" s="93" t="s">
        <v>216</v>
      </c>
      <c r="I86" s="93">
        <v>2</v>
      </c>
      <c r="J86" s="93">
        <v>390</v>
      </c>
      <c r="K86" s="44">
        <f t="shared" si="7"/>
        <v>780</v>
      </c>
      <c r="L86" s="41">
        <v>45141</v>
      </c>
      <c r="N86" s="43"/>
      <c r="O86" s="46"/>
      <c r="P86" s="47">
        <f t="shared" si="8"/>
        <v>390</v>
      </c>
      <c r="Q86" s="48">
        <f t="shared" si="9"/>
        <v>780</v>
      </c>
      <c r="R86" s="49"/>
      <c r="S86" s="50"/>
      <c r="T86" s="51"/>
      <c r="U86" s="47">
        <f t="shared" si="10"/>
        <v>390</v>
      </c>
      <c r="V86" s="47">
        <f t="shared" si="11"/>
        <v>2</v>
      </c>
      <c r="W86" s="52">
        <f t="shared" si="12"/>
        <v>780</v>
      </c>
      <c r="X86" s="124" t="s">
        <v>81</v>
      </c>
      <c r="Y86" s="45" t="s">
        <v>213</v>
      </c>
    </row>
    <row r="87" spans="1:25" s="45" customFormat="1" ht="11.1" customHeight="1" x14ac:dyDescent="0.2">
      <c r="A87" s="38">
        <f t="shared" si="13"/>
        <v>85</v>
      </c>
      <c r="B87" s="90" t="s">
        <v>105</v>
      </c>
      <c r="C87" s="40" t="str">
        <f>IF($B87&lt;&gt;"",_xlfn.IFNA(VLOOKUP($B87,'Node Details'!$B:$U,C$1,0),"Check"),"")</f>
        <v>00001GF14-1GF140107</v>
      </c>
      <c r="D87" s="40" t="str">
        <f>IF($B87&lt;&gt;"",_xlfn.IFNA(VLOOKUP($B87,'Node Details'!$B:$U,D$1,0),"Check"),"")</f>
        <v>1GF</v>
      </c>
      <c r="E87" s="40" t="str">
        <f>IF($B87&lt;&gt;"",_xlfn.IFNA(VLOOKUP($B87,'Node Details'!$B:$U,E$1,0),"Check"),"")</f>
        <v>Airtel</v>
      </c>
      <c r="F87" s="101">
        <v>45141</v>
      </c>
      <c r="G87" s="42"/>
      <c r="H87" s="93" t="s">
        <v>216</v>
      </c>
      <c r="I87" s="93">
        <v>2</v>
      </c>
      <c r="J87" s="93">
        <v>390</v>
      </c>
      <c r="K87" s="44">
        <f t="shared" si="7"/>
        <v>780</v>
      </c>
      <c r="L87" s="41">
        <v>45141</v>
      </c>
      <c r="N87" s="43"/>
      <c r="O87" s="46"/>
      <c r="P87" s="47">
        <f t="shared" si="8"/>
        <v>390</v>
      </c>
      <c r="Q87" s="48">
        <f t="shared" si="9"/>
        <v>780</v>
      </c>
      <c r="R87" s="49"/>
      <c r="S87" s="50"/>
      <c r="T87" s="51"/>
      <c r="U87" s="47">
        <f t="shared" si="10"/>
        <v>390</v>
      </c>
      <c r="V87" s="47">
        <f t="shared" si="11"/>
        <v>2</v>
      </c>
      <c r="W87" s="52">
        <f t="shared" si="12"/>
        <v>780</v>
      </c>
      <c r="X87" s="124" t="s">
        <v>81</v>
      </c>
      <c r="Y87" s="45" t="s">
        <v>213</v>
      </c>
    </row>
    <row r="88" spans="1:25" s="45" customFormat="1" ht="11.1" customHeight="1" x14ac:dyDescent="0.2">
      <c r="A88" s="38">
        <f t="shared" si="13"/>
        <v>86</v>
      </c>
      <c r="B88" s="90" t="s">
        <v>166</v>
      </c>
      <c r="C88" s="40" t="str">
        <f>IF($B88&lt;&gt;"",_xlfn.IFNA(VLOOKUP($B88,'Node Details'!$B:$U,C$1,0),"Check"),"")</f>
        <v>00001GF15-1GF150107</v>
      </c>
      <c r="D88" s="40" t="str">
        <f>IF($B88&lt;&gt;"",_xlfn.IFNA(VLOOKUP($B88,'Node Details'!$B:$U,D$1,0),"Check"),"")</f>
        <v>1GF</v>
      </c>
      <c r="E88" s="40" t="str">
        <f>IF($B88&lt;&gt;"",_xlfn.IFNA(VLOOKUP($B88,'Node Details'!$B:$U,E$1,0),"Check"),"")</f>
        <v>Airtel</v>
      </c>
      <c r="F88" s="101">
        <v>45141</v>
      </c>
      <c r="G88" s="42"/>
      <c r="H88" s="93" t="s">
        <v>216</v>
      </c>
      <c r="I88" s="93">
        <v>2</v>
      </c>
      <c r="J88" s="93">
        <v>390</v>
      </c>
      <c r="K88" s="44">
        <f t="shared" si="7"/>
        <v>780</v>
      </c>
      <c r="L88" s="41">
        <v>45141</v>
      </c>
      <c r="N88" s="43"/>
      <c r="O88" s="46"/>
      <c r="P88" s="47">
        <f t="shared" si="8"/>
        <v>390</v>
      </c>
      <c r="Q88" s="48">
        <f t="shared" si="9"/>
        <v>780</v>
      </c>
      <c r="R88" s="49"/>
      <c r="S88" s="50"/>
      <c r="T88" s="51"/>
      <c r="U88" s="47">
        <f t="shared" si="10"/>
        <v>390</v>
      </c>
      <c r="V88" s="47">
        <f t="shared" si="11"/>
        <v>2</v>
      </c>
      <c r="W88" s="52">
        <f t="shared" si="12"/>
        <v>780</v>
      </c>
      <c r="X88" s="124" t="s">
        <v>81</v>
      </c>
      <c r="Y88" s="45" t="s">
        <v>213</v>
      </c>
    </row>
    <row r="89" spans="1:25" s="45" customFormat="1" ht="11.1" customHeight="1" x14ac:dyDescent="0.2">
      <c r="A89" s="38">
        <f t="shared" si="13"/>
        <v>87</v>
      </c>
      <c r="B89" s="90" t="s">
        <v>167</v>
      </c>
      <c r="C89" s="40" t="str">
        <f>IF($B89&lt;&gt;"",_xlfn.IFNA(VLOOKUP($B89,'Node Details'!$B:$U,C$1,0),"Check"),"")</f>
        <v>00001GF15-1GF150107</v>
      </c>
      <c r="D89" s="40" t="str">
        <f>IF($B89&lt;&gt;"",_xlfn.IFNA(VLOOKUP($B89,'Node Details'!$B:$U,D$1,0),"Check"),"")</f>
        <v>1GF</v>
      </c>
      <c r="E89" s="40" t="str">
        <f>IF($B89&lt;&gt;"",_xlfn.IFNA(VLOOKUP($B89,'Node Details'!$B:$U,E$1,0),"Check"),"")</f>
        <v>Airtel</v>
      </c>
      <c r="F89" s="101">
        <v>45141</v>
      </c>
      <c r="G89" s="42"/>
      <c r="H89" s="93" t="s">
        <v>216</v>
      </c>
      <c r="I89" s="93">
        <v>3</v>
      </c>
      <c r="J89" s="93">
        <v>390</v>
      </c>
      <c r="K89" s="44">
        <f t="shared" si="7"/>
        <v>1170</v>
      </c>
      <c r="L89" s="41">
        <v>45141</v>
      </c>
      <c r="N89" s="43"/>
      <c r="O89" s="46"/>
      <c r="P89" s="47">
        <f t="shared" si="8"/>
        <v>390</v>
      </c>
      <c r="Q89" s="48">
        <f t="shared" si="9"/>
        <v>1170</v>
      </c>
      <c r="R89" s="49"/>
      <c r="S89" s="50"/>
      <c r="T89" s="51"/>
      <c r="U89" s="47">
        <f t="shared" si="10"/>
        <v>390</v>
      </c>
      <c r="V89" s="47">
        <f t="shared" si="11"/>
        <v>3</v>
      </c>
      <c r="W89" s="52">
        <f t="shared" si="12"/>
        <v>1170</v>
      </c>
      <c r="X89" s="124" t="s">
        <v>81</v>
      </c>
      <c r="Y89" s="45" t="s">
        <v>213</v>
      </c>
    </row>
    <row r="90" spans="1:25" s="45" customFormat="1" ht="11.1" customHeight="1" x14ac:dyDescent="0.2">
      <c r="A90" s="38">
        <f t="shared" si="13"/>
        <v>88</v>
      </c>
      <c r="B90" s="90" t="s">
        <v>168</v>
      </c>
      <c r="C90" s="40" t="str">
        <f>IF($B90&lt;&gt;"",_xlfn.IFNA(VLOOKUP($B90,'Node Details'!$B:$U,C$1,0),"Check"),"")</f>
        <v>00001GF15-1GF150107</v>
      </c>
      <c r="D90" s="40" t="str">
        <f>IF($B90&lt;&gt;"",_xlfn.IFNA(VLOOKUP($B90,'Node Details'!$B:$U,D$1,0),"Check"),"")</f>
        <v>1GF</v>
      </c>
      <c r="E90" s="40" t="str">
        <f>IF($B90&lt;&gt;"",_xlfn.IFNA(VLOOKUP($B90,'Node Details'!$B:$U,E$1,0),"Check"),"")</f>
        <v>Airtel</v>
      </c>
      <c r="F90" s="101">
        <v>45141</v>
      </c>
      <c r="G90" s="42"/>
      <c r="H90" s="93" t="s">
        <v>216</v>
      </c>
      <c r="I90" s="93">
        <v>2</v>
      </c>
      <c r="J90" s="93">
        <v>390</v>
      </c>
      <c r="K90" s="44">
        <f t="shared" si="7"/>
        <v>780</v>
      </c>
      <c r="L90" s="41">
        <v>45141</v>
      </c>
      <c r="N90" s="43"/>
      <c r="O90" s="46"/>
      <c r="P90" s="47">
        <f t="shared" si="8"/>
        <v>390</v>
      </c>
      <c r="Q90" s="48">
        <f t="shared" si="9"/>
        <v>780</v>
      </c>
      <c r="R90" s="49"/>
      <c r="S90" s="50"/>
      <c r="T90" s="51"/>
      <c r="U90" s="47">
        <f t="shared" si="10"/>
        <v>390</v>
      </c>
      <c r="V90" s="47">
        <f t="shared" si="11"/>
        <v>2</v>
      </c>
      <c r="W90" s="52">
        <f t="shared" si="12"/>
        <v>780</v>
      </c>
      <c r="X90" s="124" t="s">
        <v>81</v>
      </c>
      <c r="Y90" s="45" t="s">
        <v>213</v>
      </c>
    </row>
    <row r="91" spans="1:25" s="45" customFormat="1" ht="11.1" customHeight="1" x14ac:dyDescent="0.2">
      <c r="A91" s="38">
        <f t="shared" si="13"/>
        <v>89</v>
      </c>
      <c r="B91" s="90" t="s">
        <v>169</v>
      </c>
      <c r="C91" s="40" t="str">
        <f>IF($B91&lt;&gt;"",_xlfn.IFNA(VLOOKUP($B91,'Node Details'!$B:$U,C$1,0),"Check"),"")</f>
        <v>00001GF15-1GF150107</v>
      </c>
      <c r="D91" s="40" t="str">
        <f>IF($B91&lt;&gt;"",_xlfn.IFNA(VLOOKUP($B91,'Node Details'!$B:$U,D$1,0),"Check"),"")</f>
        <v>1GF</v>
      </c>
      <c r="E91" s="40" t="str">
        <f>IF($B91&lt;&gt;"",_xlfn.IFNA(VLOOKUP($B91,'Node Details'!$B:$U,E$1,0),"Check"),"")</f>
        <v>Airtel</v>
      </c>
      <c r="F91" s="101">
        <v>45141</v>
      </c>
      <c r="G91" s="42"/>
      <c r="H91" s="93" t="s">
        <v>216</v>
      </c>
      <c r="I91" s="93">
        <v>2</v>
      </c>
      <c r="J91" s="93">
        <v>390</v>
      </c>
      <c r="K91" s="44">
        <f t="shared" si="7"/>
        <v>780</v>
      </c>
      <c r="L91" s="41">
        <v>45141</v>
      </c>
      <c r="N91" s="43"/>
      <c r="O91" s="46"/>
      <c r="P91" s="47">
        <f t="shared" si="8"/>
        <v>390</v>
      </c>
      <c r="Q91" s="48">
        <f t="shared" si="9"/>
        <v>780</v>
      </c>
      <c r="R91" s="49"/>
      <c r="S91" s="50"/>
      <c r="T91" s="51"/>
      <c r="U91" s="47">
        <f t="shared" si="10"/>
        <v>390</v>
      </c>
      <c r="V91" s="47">
        <f t="shared" si="11"/>
        <v>2</v>
      </c>
      <c r="W91" s="52">
        <f t="shared" si="12"/>
        <v>780</v>
      </c>
      <c r="X91" s="124" t="s">
        <v>81</v>
      </c>
      <c r="Y91" s="45" t="s">
        <v>213</v>
      </c>
    </row>
    <row r="92" spans="1:25" s="45" customFormat="1" ht="11.1" customHeight="1" x14ac:dyDescent="0.2">
      <c r="A92" s="38">
        <f t="shared" si="13"/>
        <v>90</v>
      </c>
      <c r="B92" s="90" t="s">
        <v>170</v>
      </c>
      <c r="C92" s="40" t="str">
        <f>IF($B92&lt;&gt;"",_xlfn.IFNA(VLOOKUP($B92,'Node Details'!$B:$U,C$1,0),"Check"),"")</f>
        <v>00001GF15-1GF150107</v>
      </c>
      <c r="D92" s="40" t="str">
        <f>IF($B92&lt;&gt;"",_xlfn.IFNA(VLOOKUP($B92,'Node Details'!$B:$U,D$1,0),"Check"),"")</f>
        <v>1GF</v>
      </c>
      <c r="E92" s="40" t="str">
        <f>IF($B92&lt;&gt;"",_xlfn.IFNA(VLOOKUP($B92,'Node Details'!$B:$U,E$1,0),"Check"),"")</f>
        <v>Airtel</v>
      </c>
      <c r="F92" s="101">
        <v>45141</v>
      </c>
      <c r="G92" s="42"/>
      <c r="H92" s="93" t="s">
        <v>216</v>
      </c>
      <c r="I92" s="93">
        <v>2</v>
      </c>
      <c r="J92" s="93">
        <v>390</v>
      </c>
      <c r="K92" s="44">
        <f t="shared" si="7"/>
        <v>780</v>
      </c>
      <c r="L92" s="41">
        <v>45141</v>
      </c>
      <c r="N92" s="43"/>
      <c r="O92" s="46"/>
      <c r="P92" s="47">
        <f t="shared" si="8"/>
        <v>390</v>
      </c>
      <c r="Q92" s="48">
        <f t="shared" si="9"/>
        <v>780</v>
      </c>
      <c r="R92" s="49"/>
      <c r="S92" s="50"/>
      <c r="T92" s="51"/>
      <c r="U92" s="47">
        <f t="shared" si="10"/>
        <v>390</v>
      </c>
      <c r="V92" s="47">
        <f t="shared" si="11"/>
        <v>2</v>
      </c>
      <c r="W92" s="52">
        <f t="shared" si="12"/>
        <v>780</v>
      </c>
      <c r="X92" s="124" t="s">
        <v>81</v>
      </c>
      <c r="Y92" s="45" t="s">
        <v>213</v>
      </c>
    </row>
    <row r="93" spans="1:25" s="45" customFormat="1" ht="11.1" customHeight="1" x14ac:dyDescent="0.2">
      <c r="A93" s="38">
        <f t="shared" si="13"/>
        <v>91</v>
      </c>
      <c r="B93" s="90" t="s">
        <v>171</v>
      </c>
      <c r="C93" s="40" t="str">
        <f>IF($B93&lt;&gt;"",_xlfn.IFNA(VLOOKUP($B93,'Node Details'!$B:$U,C$1,0),"Check"),"")</f>
        <v>00001GF15-1GF150107</v>
      </c>
      <c r="D93" s="40" t="str">
        <f>IF($B93&lt;&gt;"",_xlfn.IFNA(VLOOKUP($B93,'Node Details'!$B:$U,D$1,0),"Check"),"")</f>
        <v>1GF</v>
      </c>
      <c r="E93" s="40" t="str">
        <f>IF($B93&lt;&gt;"",_xlfn.IFNA(VLOOKUP($B93,'Node Details'!$B:$U,E$1,0),"Check"),"")</f>
        <v>Airtel</v>
      </c>
      <c r="F93" s="101">
        <v>45141</v>
      </c>
      <c r="G93" s="42"/>
      <c r="H93" s="93" t="s">
        <v>216</v>
      </c>
      <c r="I93" s="93">
        <v>3</v>
      </c>
      <c r="J93" s="93">
        <v>390</v>
      </c>
      <c r="K93" s="44">
        <f t="shared" si="7"/>
        <v>1170</v>
      </c>
      <c r="L93" s="41">
        <v>45141</v>
      </c>
      <c r="N93" s="43"/>
      <c r="O93" s="46"/>
      <c r="P93" s="47">
        <f t="shared" si="8"/>
        <v>390</v>
      </c>
      <c r="Q93" s="48">
        <f t="shared" si="9"/>
        <v>1170</v>
      </c>
      <c r="R93" s="49"/>
      <c r="S93" s="50"/>
      <c r="T93" s="51"/>
      <c r="U93" s="47">
        <f t="shared" si="10"/>
        <v>390</v>
      </c>
      <c r="V93" s="47">
        <f t="shared" si="11"/>
        <v>3</v>
      </c>
      <c r="W93" s="52">
        <f t="shared" si="12"/>
        <v>1170</v>
      </c>
      <c r="X93" s="124" t="s">
        <v>81</v>
      </c>
      <c r="Y93" s="45" t="s">
        <v>213</v>
      </c>
    </row>
    <row r="94" spans="1:25" s="45" customFormat="1" ht="11.1" customHeight="1" x14ac:dyDescent="0.2">
      <c r="A94" s="38">
        <f t="shared" si="13"/>
        <v>92</v>
      </c>
      <c r="B94" s="90" t="s">
        <v>109</v>
      </c>
      <c r="C94" s="40" t="str">
        <f>IF($B94&lt;&gt;"",_xlfn.IFNA(VLOOKUP($B94,'Node Details'!$B:$U,C$1,0),"Check"),"")</f>
        <v>00001GF15-1GF150107</v>
      </c>
      <c r="D94" s="40" t="str">
        <f>IF($B94&lt;&gt;"",_xlfn.IFNA(VLOOKUP($B94,'Node Details'!$B:$U,D$1,0),"Check"),"")</f>
        <v>1GF</v>
      </c>
      <c r="E94" s="40" t="str">
        <f>IF($B94&lt;&gt;"",_xlfn.IFNA(VLOOKUP($B94,'Node Details'!$B:$U,E$1,0),"Check"),"")</f>
        <v>Airtel</v>
      </c>
      <c r="F94" s="101">
        <v>45141</v>
      </c>
      <c r="G94" s="42"/>
      <c r="H94" s="93" t="s">
        <v>216</v>
      </c>
      <c r="I94" s="93">
        <v>2</v>
      </c>
      <c r="J94" s="93">
        <v>390</v>
      </c>
      <c r="K94" s="44">
        <f t="shared" si="7"/>
        <v>780</v>
      </c>
      <c r="L94" s="41">
        <v>45141</v>
      </c>
      <c r="N94" s="43"/>
      <c r="O94" s="46"/>
      <c r="P94" s="47">
        <f t="shared" si="8"/>
        <v>390</v>
      </c>
      <c r="Q94" s="48">
        <f t="shared" si="9"/>
        <v>780</v>
      </c>
      <c r="R94" s="49"/>
      <c r="S94" s="50"/>
      <c r="T94" s="51"/>
      <c r="U94" s="47">
        <f t="shared" si="10"/>
        <v>390</v>
      </c>
      <c r="V94" s="47">
        <f t="shared" si="11"/>
        <v>2</v>
      </c>
      <c r="W94" s="52">
        <f t="shared" si="12"/>
        <v>780</v>
      </c>
      <c r="X94" s="124" t="s">
        <v>81</v>
      </c>
      <c r="Y94" s="45" t="s">
        <v>213</v>
      </c>
    </row>
    <row r="95" spans="1:25" s="45" customFormat="1" ht="11.1" customHeight="1" x14ac:dyDescent="0.2">
      <c r="A95" s="38">
        <f t="shared" si="13"/>
        <v>93</v>
      </c>
      <c r="B95" s="90" t="s">
        <v>172</v>
      </c>
      <c r="C95" s="40" t="str">
        <f>IF($B95&lt;&gt;"",_xlfn.IFNA(VLOOKUP($B95,'Node Details'!$B:$U,C$1,0),"Check"),"")</f>
        <v>00001GF16-1GF160107</v>
      </c>
      <c r="D95" s="40" t="str">
        <f>IF($B95&lt;&gt;"",_xlfn.IFNA(VLOOKUP($B95,'Node Details'!$B:$U,D$1,0),"Check"),"")</f>
        <v>1GF</v>
      </c>
      <c r="E95" s="40" t="str">
        <f>IF($B95&lt;&gt;"",_xlfn.IFNA(VLOOKUP($B95,'Node Details'!$B:$U,E$1,0),"Check"),"")</f>
        <v>Airtel</v>
      </c>
      <c r="F95" s="101">
        <v>45141</v>
      </c>
      <c r="G95" s="42"/>
      <c r="H95" s="93" t="s">
        <v>216</v>
      </c>
      <c r="I95" s="93">
        <v>2</v>
      </c>
      <c r="J95" s="93">
        <v>390</v>
      </c>
      <c r="K95" s="44">
        <f t="shared" si="7"/>
        <v>780</v>
      </c>
      <c r="L95" s="41">
        <v>45141</v>
      </c>
      <c r="N95" s="43"/>
      <c r="O95" s="46"/>
      <c r="P95" s="47">
        <f t="shared" si="8"/>
        <v>390</v>
      </c>
      <c r="Q95" s="48">
        <f t="shared" si="9"/>
        <v>780</v>
      </c>
      <c r="R95" s="49"/>
      <c r="S95" s="50"/>
      <c r="T95" s="51"/>
      <c r="U95" s="47">
        <f t="shared" si="10"/>
        <v>390</v>
      </c>
      <c r="V95" s="47">
        <f t="shared" si="11"/>
        <v>2</v>
      </c>
      <c r="W95" s="52">
        <f t="shared" si="12"/>
        <v>780</v>
      </c>
      <c r="X95" s="124" t="s">
        <v>81</v>
      </c>
      <c r="Y95" s="45" t="s">
        <v>213</v>
      </c>
    </row>
    <row r="96" spans="1:25" s="45" customFormat="1" ht="11.1" customHeight="1" x14ac:dyDescent="0.2">
      <c r="A96" s="38">
        <f t="shared" si="13"/>
        <v>94</v>
      </c>
      <c r="B96" s="90" t="s">
        <v>173</v>
      </c>
      <c r="C96" s="40" t="str">
        <f>IF($B96&lt;&gt;"",_xlfn.IFNA(VLOOKUP($B96,'Node Details'!$B:$U,C$1,0),"Check"),"")</f>
        <v>00001GF16-1GF160107</v>
      </c>
      <c r="D96" s="40" t="str">
        <f>IF($B96&lt;&gt;"",_xlfn.IFNA(VLOOKUP($B96,'Node Details'!$B:$U,D$1,0),"Check"),"")</f>
        <v>1GF</v>
      </c>
      <c r="E96" s="40" t="str">
        <f>IF($B96&lt;&gt;"",_xlfn.IFNA(VLOOKUP($B96,'Node Details'!$B:$U,E$1,0),"Check"),"")</f>
        <v>Airtel</v>
      </c>
      <c r="F96" s="101">
        <v>45141</v>
      </c>
      <c r="G96" s="42"/>
      <c r="H96" s="93" t="s">
        <v>216</v>
      </c>
      <c r="I96" s="93">
        <v>2</v>
      </c>
      <c r="J96" s="93">
        <v>390</v>
      </c>
      <c r="K96" s="44">
        <f t="shared" si="7"/>
        <v>780</v>
      </c>
      <c r="L96" s="41">
        <v>45141</v>
      </c>
      <c r="N96" s="43"/>
      <c r="O96" s="46"/>
      <c r="P96" s="47">
        <f t="shared" si="8"/>
        <v>390</v>
      </c>
      <c r="Q96" s="48">
        <f t="shared" si="9"/>
        <v>780</v>
      </c>
      <c r="R96" s="49"/>
      <c r="S96" s="50"/>
      <c r="T96" s="51"/>
      <c r="U96" s="47">
        <f t="shared" si="10"/>
        <v>390</v>
      </c>
      <c r="V96" s="47">
        <f t="shared" si="11"/>
        <v>2</v>
      </c>
      <c r="W96" s="52">
        <f t="shared" si="12"/>
        <v>780</v>
      </c>
      <c r="X96" s="124" t="s">
        <v>81</v>
      </c>
      <c r="Y96" s="45" t="s">
        <v>213</v>
      </c>
    </row>
    <row r="97" spans="1:25" s="45" customFormat="1" ht="11.1" customHeight="1" x14ac:dyDescent="0.2">
      <c r="A97" s="38">
        <f t="shared" si="13"/>
        <v>95</v>
      </c>
      <c r="B97" s="90" t="s">
        <v>174</v>
      </c>
      <c r="C97" s="40" t="str">
        <f>IF($B97&lt;&gt;"",_xlfn.IFNA(VLOOKUP($B97,'Node Details'!$B:$U,C$1,0),"Check"),"")</f>
        <v>00001GF16-1GF160107</v>
      </c>
      <c r="D97" s="40" t="str">
        <f>IF($B97&lt;&gt;"",_xlfn.IFNA(VLOOKUP($B97,'Node Details'!$B:$U,D$1,0),"Check"),"")</f>
        <v>1GF</v>
      </c>
      <c r="E97" s="40" t="str">
        <f>IF($B97&lt;&gt;"",_xlfn.IFNA(VLOOKUP($B97,'Node Details'!$B:$U,E$1,0),"Check"),"")</f>
        <v>Airtel</v>
      </c>
      <c r="F97" s="101">
        <v>45141</v>
      </c>
      <c r="G97" s="42"/>
      <c r="H97" s="93" t="s">
        <v>216</v>
      </c>
      <c r="I97" s="93">
        <v>3</v>
      </c>
      <c r="J97" s="93">
        <v>390</v>
      </c>
      <c r="K97" s="44">
        <f t="shared" si="7"/>
        <v>1170</v>
      </c>
      <c r="L97" s="41">
        <v>45141</v>
      </c>
      <c r="N97" s="43"/>
      <c r="O97" s="46"/>
      <c r="P97" s="47">
        <f t="shared" si="8"/>
        <v>390</v>
      </c>
      <c r="Q97" s="48">
        <f t="shared" si="9"/>
        <v>1170</v>
      </c>
      <c r="R97" s="49"/>
      <c r="S97" s="50"/>
      <c r="T97" s="51"/>
      <c r="U97" s="47">
        <f t="shared" si="10"/>
        <v>390</v>
      </c>
      <c r="V97" s="47">
        <f t="shared" si="11"/>
        <v>3</v>
      </c>
      <c r="W97" s="52">
        <f t="shared" si="12"/>
        <v>1170</v>
      </c>
      <c r="X97" s="124" t="s">
        <v>81</v>
      </c>
      <c r="Y97" s="45" t="s">
        <v>213</v>
      </c>
    </row>
    <row r="98" spans="1:25" s="45" customFormat="1" ht="11.1" customHeight="1" x14ac:dyDescent="0.2">
      <c r="A98" s="38">
        <f t="shared" si="13"/>
        <v>96</v>
      </c>
      <c r="B98" s="90" t="s">
        <v>175</v>
      </c>
      <c r="C98" s="40" t="str">
        <f>IF($B98&lt;&gt;"",_xlfn.IFNA(VLOOKUP($B98,'Node Details'!$B:$U,C$1,0),"Check"),"")</f>
        <v>00001GF16-1GF160107</v>
      </c>
      <c r="D98" s="40" t="str">
        <f>IF($B98&lt;&gt;"",_xlfn.IFNA(VLOOKUP($B98,'Node Details'!$B:$U,D$1,0),"Check"),"")</f>
        <v>1GF</v>
      </c>
      <c r="E98" s="40" t="str">
        <f>IF($B98&lt;&gt;"",_xlfn.IFNA(VLOOKUP($B98,'Node Details'!$B:$U,E$1,0),"Check"),"")</f>
        <v>Airtel</v>
      </c>
      <c r="F98" s="101">
        <v>45141</v>
      </c>
      <c r="G98" s="42"/>
      <c r="H98" s="93" t="s">
        <v>216</v>
      </c>
      <c r="I98" s="93">
        <v>2</v>
      </c>
      <c r="J98" s="93">
        <v>390</v>
      </c>
      <c r="K98" s="44">
        <f t="shared" si="7"/>
        <v>780</v>
      </c>
      <c r="L98" s="41">
        <v>45141</v>
      </c>
      <c r="N98" s="43"/>
      <c r="O98" s="46"/>
      <c r="P98" s="47">
        <f t="shared" si="8"/>
        <v>390</v>
      </c>
      <c r="Q98" s="48">
        <f t="shared" si="9"/>
        <v>780</v>
      </c>
      <c r="R98" s="49"/>
      <c r="S98" s="50"/>
      <c r="T98" s="51"/>
      <c r="U98" s="47">
        <f t="shared" si="10"/>
        <v>390</v>
      </c>
      <c r="V98" s="47">
        <f t="shared" si="11"/>
        <v>2</v>
      </c>
      <c r="W98" s="52">
        <f t="shared" si="12"/>
        <v>780</v>
      </c>
      <c r="X98" s="124" t="s">
        <v>81</v>
      </c>
      <c r="Y98" s="45" t="s">
        <v>213</v>
      </c>
    </row>
    <row r="99" spans="1:25" s="45" customFormat="1" ht="11.1" customHeight="1" x14ac:dyDescent="0.2">
      <c r="A99" s="38">
        <f t="shared" si="13"/>
        <v>97</v>
      </c>
      <c r="B99" s="90" t="s">
        <v>176</v>
      </c>
      <c r="C99" s="40" t="str">
        <f>IF($B99&lt;&gt;"",_xlfn.IFNA(VLOOKUP($B99,'Node Details'!$B:$U,C$1,0),"Check"),"")</f>
        <v>00001GF16-1GF160107</v>
      </c>
      <c r="D99" s="40" t="str">
        <f>IF($B99&lt;&gt;"",_xlfn.IFNA(VLOOKUP($B99,'Node Details'!$B:$U,D$1,0),"Check"),"")</f>
        <v>1GF</v>
      </c>
      <c r="E99" s="40" t="str">
        <f>IF($B99&lt;&gt;"",_xlfn.IFNA(VLOOKUP($B99,'Node Details'!$B:$U,E$1,0),"Check"),"")</f>
        <v>Airtel</v>
      </c>
      <c r="F99" s="101">
        <v>45141</v>
      </c>
      <c r="G99" s="42"/>
      <c r="H99" s="93" t="s">
        <v>216</v>
      </c>
      <c r="I99" s="93">
        <v>2</v>
      </c>
      <c r="J99" s="93">
        <v>390</v>
      </c>
      <c r="K99" s="44">
        <f t="shared" si="7"/>
        <v>780</v>
      </c>
      <c r="L99" s="41">
        <v>45141</v>
      </c>
      <c r="N99" s="43"/>
      <c r="O99" s="46"/>
      <c r="P99" s="47">
        <f t="shared" si="8"/>
        <v>390</v>
      </c>
      <c r="Q99" s="48">
        <f t="shared" si="9"/>
        <v>780</v>
      </c>
      <c r="R99" s="49"/>
      <c r="S99" s="50"/>
      <c r="T99" s="51"/>
      <c r="U99" s="47">
        <f t="shared" si="10"/>
        <v>390</v>
      </c>
      <c r="V99" s="47">
        <f t="shared" si="11"/>
        <v>2</v>
      </c>
      <c r="W99" s="52">
        <f t="shared" si="12"/>
        <v>780</v>
      </c>
      <c r="X99" s="124" t="s">
        <v>81</v>
      </c>
      <c r="Y99" s="45" t="s">
        <v>213</v>
      </c>
    </row>
    <row r="100" spans="1:25" s="45" customFormat="1" ht="11.1" customHeight="1" x14ac:dyDescent="0.2">
      <c r="A100" s="38">
        <f t="shared" si="13"/>
        <v>98</v>
      </c>
      <c r="B100" s="90" t="s">
        <v>177</v>
      </c>
      <c r="C100" s="40" t="str">
        <f>IF($B100&lt;&gt;"",_xlfn.IFNA(VLOOKUP($B100,'Node Details'!$B:$U,C$1,0),"Check"),"")</f>
        <v>00001GF16-1GF160107</v>
      </c>
      <c r="D100" s="40" t="str">
        <f>IF($B100&lt;&gt;"",_xlfn.IFNA(VLOOKUP($B100,'Node Details'!$B:$U,D$1,0),"Check"),"")</f>
        <v>1GF</v>
      </c>
      <c r="E100" s="40" t="str">
        <f>IF($B100&lt;&gt;"",_xlfn.IFNA(VLOOKUP($B100,'Node Details'!$B:$U,E$1,0),"Check"),"")</f>
        <v>Airtel</v>
      </c>
      <c r="F100" s="101">
        <v>45141</v>
      </c>
      <c r="G100" s="42"/>
      <c r="H100" s="93" t="s">
        <v>216</v>
      </c>
      <c r="I100" s="93">
        <v>3</v>
      </c>
      <c r="J100" s="93">
        <v>390</v>
      </c>
      <c r="K100" s="44">
        <f t="shared" si="7"/>
        <v>1170</v>
      </c>
      <c r="L100" s="41">
        <v>45141</v>
      </c>
      <c r="N100" s="43"/>
      <c r="O100" s="46"/>
      <c r="P100" s="47">
        <f t="shared" si="8"/>
        <v>390</v>
      </c>
      <c r="Q100" s="48">
        <f t="shared" si="9"/>
        <v>1170</v>
      </c>
      <c r="R100" s="49"/>
      <c r="S100" s="50"/>
      <c r="T100" s="51"/>
      <c r="U100" s="47">
        <f t="shared" si="10"/>
        <v>390</v>
      </c>
      <c r="V100" s="47">
        <f t="shared" si="11"/>
        <v>3</v>
      </c>
      <c r="W100" s="52">
        <f t="shared" si="12"/>
        <v>1170</v>
      </c>
      <c r="X100" s="124" t="s">
        <v>81</v>
      </c>
      <c r="Y100" s="45" t="s">
        <v>213</v>
      </c>
    </row>
    <row r="101" spans="1:25" s="45" customFormat="1" ht="11.1" customHeight="1" x14ac:dyDescent="0.2">
      <c r="A101" s="38">
        <f t="shared" si="13"/>
        <v>99</v>
      </c>
      <c r="B101" s="90" t="s">
        <v>113</v>
      </c>
      <c r="C101" s="40" t="str">
        <f>IF($B101&lt;&gt;"",_xlfn.IFNA(VLOOKUP($B101,'Node Details'!$B:$U,C$1,0),"Check"),"")</f>
        <v>00001GF16-1GF160107</v>
      </c>
      <c r="D101" s="40" t="str">
        <f>IF($B101&lt;&gt;"",_xlfn.IFNA(VLOOKUP($B101,'Node Details'!$B:$U,D$1,0),"Check"),"")</f>
        <v>1GF</v>
      </c>
      <c r="E101" s="40" t="str">
        <f>IF($B101&lt;&gt;"",_xlfn.IFNA(VLOOKUP($B101,'Node Details'!$B:$U,E$1,0),"Check"),"")</f>
        <v>Airtel</v>
      </c>
      <c r="F101" s="101">
        <v>45141</v>
      </c>
      <c r="G101" s="42"/>
      <c r="H101" s="93" t="s">
        <v>216</v>
      </c>
      <c r="I101" s="93">
        <v>2</v>
      </c>
      <c r="J101" s="93">
        <v>390</v>
      </c>
      <c r="K101" s="44">
        <f t="shared" si="7"/>
        <v>780</v>
      </c>
      <c r="L101" s="41">
        <v>45141</v>
      </c>
      <c r="N101" s="43"/>
      <c r="O101" s="46"/>
      <c r="P101" s="47">
        <f t="shared" si="8"/>
        <v>390</v>
      </c>
      <c r="Q101" s="48">
        <f t="shared" si="9"/>
        <v>780</v>
      </c>
      <c r="R101" s="49"/>
      <c r="S101" s="50"/>
      <c r="T101" s="51"/>
      <c r="U101" s="47">
        <f t="shared" si="10"/>
        <v>390</v>
      </c>
      <c r="V101" s="47">
        <f t="shared" si="11"/>
        <v>2</v>
      </c>
      <c r="W101" s="52">
        <f t="shared" si="12"/>
        <v>780</v>
      </c>
      <c r="X101" s="124" t="s">
        <v>81</v>
      </c>
      <c r="Y101" s="45" t="s">
        <v>213</v>
      </c>
    </row>
    <row r="102" spans="1:25" s="45" customFormat="1" ht="11.1" customHeight="1" x14ac:dyDescent="0.2">
      <c r="A102" s="38">
        <f t="shared" si="13"/>
        <v>100</v>
      </c>
      <c r="B102" s="90" t="s">
        <v>178</v>
      </c>
      <c r="C102" s="40" t="str">
        <f>IF($B102&lt;&gt;"",_xlfn.IFNA(VLOOKUP($B102,'Node Details'!$B:$U,C$1,0),"Check"),"")</f>
        <v>00001GF17-1GF170104</v>
      </c>
      <c r="D102" s="40" t="str">
        <f>IF($B102&lt;&gt;"",_xlfn.IFNA(VLOOKUP($B102,'Node Details'!$B:$U,D$1,0),"Check"),"")</f>
        <v>1GF</v>
      </c>
      <c r="E102" s="40" t="str">
        <f>IF($B102&lt;&gt;"",_xlfn.IFNA(VLOOKUP($B102,'Node Details'!$B:$U,E$1,0),"Check"),"")</f>
        <v>Airtel</v>
      </c>
      <c r="F102" s="101">
        <v>45141</v>
      </c>
      <c r="G102" s="42"/>
      <c r="H102" s="93" t="s">
        <v>216</v>
      </c>
      <c r="I102" s="93">
        <v>2</v>
      </c>
      <c r="J102" s="93">
        <v>390</v>
      </c>
      <c r="K102" s="44">
        <f t="shared" si="7"/>
        <v>780</v>
      </c>
      <c r="L102" s="41">
        <v>45141</v>
      </c>
      <c r="N102" s="43"/>
      <c r="O102" s="46"/>
      <c r="P102" s="47">
        <f t="shared" si="8"/>
        <v>390</v>
      </c>
      <c r="Q102" s="48">
        <f t="shared" si="9"/>
        <v>780</v>
      </c>
      <c r="R102" s="49"/>
      <c r="S102" s="50"/>
      <c r="T102" s="51"/>
      <c r="U102" s="47">
        <f t="shared" si="10"/>
        <v>390</v>
      </c>
      <c r="V102" s="47">
        <f t="shared" si="11"/>
        <v>2</v>
      </c>
      <c r="W102" s="52">
        <f t="shared" si="12"/>
        <v>780</v>
      </c>
      <c r="X102" s="124" t="s">
        <v>81</v>
      </c>
      <c r="Y102" s="45" t="s">
        <v>213</v>
      </c>
    </row>
    <row r="103" spans="1:25" s="45" customFormat="1" ht="11.1" customHeight="1" x14ac:dyDescent="0.2">
      <c r="A103" s="38">
        <f t="shared" si="13"/>
        <v>101</v>
      </c>
      <c r="B103" s="90" t="s">
        <v>179</v>
      </c>
      <c r="C103" s="40" t="str">
        <f>IF($B103&lt;&gt;"",_xlfn.IFNA(VLOOKUP($B103,'Node Details'!$B:$U,C$1,0),"Check"),"")</f>
        <v>00001GF17-1GF170104</v>
      </c>
      <c r="D103" s="40" t="str">
        <f>IF($B103&lt;&gt;"",_xlfn.IFNA(VLOOKUP($B103,'Node Details'!$B:$U,D$1,0),"Check"),"")</f>
        <v>1GF</v>
      </c>
      <c r="E103" s="40" t="str">
        <f>IF($B103&lt;&gt;"",_xlfn.IFNA(VLOOKUP($B103,'Node Details'!$B:$U,E$1,0),"Check"),"")</f>
        <v>Airtel</v>
      </c>
      <c r="F103" s="101">
        <v>45141</v>
      </c>
      <c r="G103" s="42"/>
      <c r="H103" s="93" t="s">
        <v>216</v>
      </c>
      <c r="I103" s="93">
        <v>2</v>
      </c>
      <c r="J103" s="93">
        <v>390</v>
      </c>
      <c r="K103" s="44">
        <f t="shared" si="7"/>
        <v>780</v>
      </c>
      <c r="L103" s="41">
        <v>45141</v>
      </c>
      <c r="N103" s="43"/>
      <c r="O103" s="46"/>
      <c r="P103" s="47">
        <f t="shared" si="8"/>
        <v>390</v>
      </c>
      <c r="Q103" s="48">
        <f t="shared" si="9"/>
        <v>780</v>
      </c>
      <c r="R103" s="49"/>
      <c r="S103" s="50"/>
      <c r="T103" s="51"/>
      <c r="U103" s="47">
        <f t="shared" si="10"/>
        <v>390</v>
      </c>
      <c r="V103" s="47">
        <f t="shared" si="11"/>
        <v>2</v>
      </c>
      <c r="W103" s="52">
        <f t="shared" si="12"/>
        <v>780</v>
      </c>
      <c r="X103" s="124" t="s">
        <v>81</v>
      </c>
      <c r="Y103" s="45" t="s">
        <v>213</v>
      </c>
    </row>
    <row r="104" spans="1:25" s="45" customFormat="1" ht="11.1" customHeight="1" x14ac:dyDescent="0.2">
      <c r="A104" s="38">
        <f t="shared" si="13"/>
        <v>102</v>
      </c>
      <c r="B104" s="90" t="s">
        <v>180</v>
      </c>
      <c r="C104" s="40" t="str">
        <f>IF($B104&lt;&gt;"",_xlfn.IFNA(VLOOKUP($B104,'Node Details'!$B:$U,C$1,0),"Check"),"")</f>
        <v>00001GF17-1GF170104</v>
      </c>
      <c r="D104" s="40" t="str">
        <f>IF($B104&lt;&gt;"",_xlfn.IFNA(VLOOKUP($B104,'Node Details'!$B:$U,D$1,0),"Check"),"")</f>
        <v>1GF</v>
      </c>
      <c r="E104" s="40" t="str">
        <f>IF($B104&lt;&gt;"",_xlfn.IFNA(VLOOKUP($B104,'Node Details'!$B:$U,E$1,0),"Check"),"")</f>
        <v>Airtel</v>
      </c>
      <c r="F104" s="101">
        <v>45141</v>
      </c>
      <c r="G104" s="42"/>
      <c r="H104" s="93" t="s">
        <v>216</v>
      </c>
      <c r="I104" s="93">
        <v>3</v>
      </c>
      <c r="J104" s="93">
        <v>390</v>
      </c>
      <c r="K104" s="44">
        <f t="shared" si="7"/>
        <v>1170</v>
      </c>
      <c r="L104" s="41">
        <v>45141</v>
      </c>
      <c r="N104" s="43"/>
      <c r="O104" s="46"/>
      <c r="P104" s="47">
        <f t="shared" si="8"/>
        <v>390</v>
      </c>
      <c r="Q104" s="48">
        <f t="shared" si="9"/>
        <v>1170</v>
      </c>
      <c r="R104" s="49"/>
      <c r="S104" s="50"/>
      <c r="T104" s="51"/>
      <c r="U104" s="47">
        <f t="shared" si="10"/>
        <v>390</v>
      </c>
      <c r="V104" s="47">
        <f t="shared" si="11"/>
        <v>3</v>
      </c>
      <c r="W104" s="52">
        <f t="shared" si="12"/>
        <v>1170</v>
      </c>
      <c r="X104" s="124" t="s">
        <v>81</v>
      </c>
      <c r="Y104" s="45" t="s">
        <v>213</v>
      </c>
    </row>
    <row r="105" spans="1:25" s="45" customFormat="1" ht="11.1" customHeight="1" x14ac:dyDescent="0.2">
      <c r="A105" s="38">
        <f t="shared" si="13"/>
        <v>103</v>
      </c>
      <c r="B105" s="90" t="s">
        <v>117</v>
      </c>
      <c r="C105" s="40" t="str">
        <f>IF($B105&lt;&gt;"",_xlfn.IFNA(VLOOKUP($B105,'Node Details'!$B:$U,C$1,0),"Check"),"")</f>
        <v>00001GF17-1GF170104</v>
      </c>
      <c r="D105" s="40" t="str">
        <f>IF($B105&lt;&gt;"",_xlfn.IFNA(VLOOKUP($B105,'Node Details'!$B:$U,D$1,0),"Check"),"")</f>
        <v>1GF</v>
      </c>
      <c r="E105" s="40" t="str">
        <f>IF($B105&lt;&gt;"",_xlfn.IFNA(VLOOKUP($B105,'Node Details'!$B:$U,E$1,0),"Check"),"")</f>
        <v>Airtel</v>
      </c>
      <c r="F105" s="101">
        <v>45141</v>
      </c>
      <c r="G105" s="42"/>
      <c r="H105" s="93" t="s">
        <v>216</v>
      </c>
      <c r="I105" s="93">
        <v>2</v>
      </c>
      <c r="J105" s="93">
        <v>390</v>
      </c>
      <c r="K105" s="44">
        <f t="shared" si="7"/>
        <v>780</v>
      </c>
      <c r="L105" s="41">
        <v>45141</v>
      </c>
      <c r="N105" s="43"/>
      <c r="O105" s="46"/>
      <c r="P105" s="47">
        <f t="shared" si="8"/>
        <v>390</v>
      </c>
      <c r="Q105" s="48">
        <f t="shared" si="9"/>
        <v>780</v>
      </c>
      <c r="R105" s="49"/>
      <c r="S105" s="50"/>
      <c r="T105" s="51"/>
      <c r="U105" s="47">
        <f t="shared" si="10"/>
        <v>390</v>
      </c>
      <c r="V105" s="47">
        <f t="shared" si="11"/>
        <v>2</v>
      </c>
      <c r="W105" s="52">
        <f t="shared" si="12"/>
        <v>780</v>
      </c>
      <c r="X105" s="124" t="s">
        <v>81</v>
      </c>
      <c r="Y105" s="45" t="s">
        <v>213</v>
      </c>
    </row>
    <row r="106" spans="1:25" s="45" customFormat="1" ht="11.1" customHeight="1" x14ac:dyDescent="0.2">
      <c r="A106" s="38">
        <f t="shared" si="13"/>
        <v>104</v>
      </c>
      <c r="B106" s="90" t="s">
        <v>181</v>
      </c>
      <c r="C106" s="40" t="str">
        <f>IF($B106&lt;&gt;"",_xlfn.IFNA(VLOOKUP($B106,'Node Details'!$B:$U,C$1,0),"Check"),"")</f>
        <v>00001GF18-1GF180104</v>
      </c>
      <c r="D106" s="40" t="str">
        <f>IF($B106&lt;&gt;"",_xlfn.IFNA(VLOOKUP($B106,'Node Details'!$B:$U,D$1,0),"Check"),"")</f>
        <v>1GF</v>
      </c>
      <c r="E106" s="40" t="str">
        <f>IF($B106&lt;&gt;"",_xlfn.IFNA(VLOOKUP($B106,'Node Details'!$B:$U,E$1,0),"Check"),"")</f>
        <v>Airtel</v>
      </c>
      <c r="F106" s="101">
        <v>45141</v>
      </c>
      <c r="G106" s="42"/>
      <c r="H106" s="93" t="s">
        <v>216</v>
      </c>
      <c r="I106" s="93">
        <v>2</v>
      </c>
      <c r="J106" s="93">
        <v>390</v>
      </c>
      <c r="K106" s="44">
        <f t="shared" si="7"/>
        <v>780</v>
      </c>
      <c r="L106" s="41">
        <v>45141</v>
      </c>
      <c r="N106" s="43"/>
      <c r="O106" s="46"/>
      <c r="P106" s="47">
        <f t="shared" si="8"/>
        <v>390</v>
      </c>
      <c r="Q106" s="48">
        <f t="shared" si="9"/>
        <v>780</v>
      </c>
      <c r="R106" s="49"/>
      <c r="S106" s="50"/>
      <c r="T106" s="51"/>
      <c r="U106" s="47">
        <f t="shared" si="10"/>
        <v>390</v>
      </c>
      <c r="V106" s="47">
        <f t="shared" si="11"/>
        <v>2</v>
      </c>
      <c r="W106" s="52">
        <f t="shared" si="12"/>
        <v>780</v>
      </c>
      <c r="X106" s="124" t="s">
        <v>81</v>
      </c>
      <c r="Y106" s="45" t="s">
        <v>213</v>
      </c>
    </row>
    <row r="107" spans="1:25" s="45" customFormat="1" ht="11.1" customHeight="1" x14ac:dyDescent="0.2">
      <c r="A107" s="38">
        <f t="shared" si="13"/>
        <v>105</v>
      </c>
      <c r="B107" s="90" t="s">
        <v>182</v>
      </c>
      <c r="C107" s="40" t="str">
        <f>IF($B107&lt;&gt;"",_xlfn.IFNA(VLOOKUP($B107,'Node Details'!$B:$U,C$1,0),"Check"),"")</f>
        <v>00001GF18-1GF180104</v>
      </c>
      <c r="D107" s="40" t="str">
        <f>IF($B107&lt;&gt;"",_xlfn.IFNA(VLOOKUP($B107,'Node Details'!$B:$U,D$1,0),"Check"),"")</f>
        <v>1GF</v>
      </c>
      <c r="E107" s="40" t="str">
        <f>IF($B107&lt;&gt;"",_xlfn.IFNA(VLOOKUP($B107,'Node Details'!$B:$U,E$1,0),"Check"),"")</f>
        <v>Airtel</v>
      </c>
      <c r="F107" s="101">
        <v>45141</v>
      </c>
      <c r="G107" s="42"/>
      <c r="H107" s="93" t="s">
        <v>216</v>
      </c>
      <c r="I107" s="93">
        <v>3</v>
      </c>
      <c r="J107" s="93">
        <v>390</v>
      </c>
      <c r="K107" s="44">
        <f t="shared" si="7"/>
        <v>1170</v>
      </c>
      <c r="L107" s="41">
        <v>45141</v>
      </c>
      <c r="N107" s="43"/>
      <c r="O107" s="46"/>
      <c r="P107" s="47">
        <f t="shared" si="8"/>
        <v>390</v>
      </c>
      <c r="Q107" s="48">
        <f t="shared" si="9"/>
        <v>1170</v>
      </c>
      <c r="R107" s="49"/>
      <c r="S107" s="50"/>
      <c r="T107" s="51"/>
      <c r="U107" s="47">
        <f t="shared" si="10"/>
        <v>390</v>
      </c>
      <c r="V107" s="47">
        <f t="shared" si="11"/>
        <v>3</v>
      </c>
      <c r="W107" s="52">
        <f t="shared" si="12"/>
        <v>1170</v>
      </c>
      <c r="X107" s="124" t="s">
        <v>81</v>
      </c>
      <c r="Y107" s="45" t="s">
        <v>213</v>
      </c>
    </row>
    <row r="108" spans="1:25" s="45" customFormat="1" ht="11.1" customHeight="1" x14ac:dyDescent="0.2">
      <c r="A108" s="38">
        <f t="shared" si="13"/>
        <v>106</v>
      </c>
      <c r="B108" s="90" t="s">
        <v>183</v>
      </c>
      <c r="C108" s="40" t="str">
        <f>IF($B108&lt;&gt;"",_xlfn.IFNA(VLOOKUP($B108,'Node Details'!$B:$U,C$1,0),"Check"),"")</f>
        <v>00001GF18-1GF180104</v>
      </c>
      <c r="D108" s="40" t="str">
        <f>IF($B108&lt;&gt;"",_xlfn.IFNA(VLOOKUP($B108,'Node Details'!$B:$U,D$1,0),"Check"),"")</f>
        <v>1GF</v>
      </c>
      <c r="E108" s="40" t="str">
        <f>IF($B108&lt;&gt;"",_xlfn.IFNA(VLOOKUP($B108,'Node Details'!$B:$U,E$1,0),"Check"),"")</f>
        <v>Airtel</v>
      </c>
      <c r="F108" s="101">
        <v>45141</v>
      </c>
      <c r="G108" s="42"/>
      <c r="H108" s="93" t="s">
        <v>216</v>
      </c>
      <c r="I108" s="93">
        <v>2</v>
      </c>
      <c r="J108" s="93">
        <v>390</v>
      </c>
      <c r="K108" s="44">
        <f t="shared" si="7"/>
        <v>780</v>
      </c>
      <c r="L108" s="41">
        <v>45141</v>
      </c>
      <c r="N108" s="43"/>
      <c r="O108" s="46"/>
      <c r="P108" s="47">
        <f t="shared" si="8"/>
        <v>390</v>
      </c>
      <c r="Q108" s="48">
        <f t="shared" si="9"/>
        <v>780</v>
      </c>
      <c r="R108" s="49"/>
      <c r="S108" s="50"/>
      <c r="T108" s="51"/>
      <c r="U108" s="47">
        <f t="shared" si="10"/>
        <v>390</v>
      </c>
      <c r="V108" s="47">
        <f t="shared" si="11"/>
        <v>2</v>
      </c>
      <c r="W108" s="52">
        <f t="shared" si="12"/>
        <v>780</v>
      </c>
      <c r="X108" s="124" t="s">
        <v>81</v>
      </c>
      <c r="Y108" s="45" t="s">
        <v>213</v>
      </c>
    </row>
    <row r="109" spans="1:25" s="45" customFormat="1" ht="11.1" customHeight="1" x14ac:dyDescent="0.2">
      <c r="A109" s="38">
        <f t="shared" si="13"/>
        <v>107</v>
      </c>
      <c r="B109" s="90" t="s">
        <v>121</v>
      </c>
      <c r="C109" s="40" t="str">
        <f>IF($B109&lt;&gt;"",_xlfn.IFNA(VLOOKUP($B109,'Node Details'!$B:$U,C$1,0),"Check"),"")</f>
        <v>00001GF18-1GF180104</v>
      </c>
      <c r="D109" s="40" t="str">
        <f>IF($B109&lt;&gt;"",_xlfn.IFNA(VLOOKUP($B109,'Node Details'!$B:$U,D$1,0),"Check"),"")</f>
        <v>1GF</v>
      </c>
      <c r="E109" s="40" t="str">
        <f>IF($B109&lt;&gt;"",_xlfn.IFNA(VLOOKUP($B109,'Node Details'!$B:$U,E$1,0),"Check"),"")</f>
        <v>Airtel</v>
      </c>
      <c r="F109" s="101">
        <v>45141</v>
      </c>
      <c r="G109" s="42"/>
      <c r="H109" s="93" t="s">
        <v>216</v>
      </c>
      <c r="I109" s="93">
        <v>2</v>
      </c>
      <c r="J109" s="93">
        <v>390</v>
      </c>
      <c r="K109" s="44">
        <f t="shared" si="7"/>
        <v>780</v>
      </c>
      <c r="L109" s="41">
        <v>45141</v>
      </c>
      <c r="N109" s="43"/>
      <c r="O109" s="46"/>
      <c r="P109" s="47">
        <f t="shared" si="8"/>
        <v>390</v>
      </c>
      <c r="Q109" s="48">
        <f t="shared" si="9"/>
        <v>780</v>
      </c>
      <c r="R109" s="49"/>
      <c r="S109" s="50"/>
      <c r="T109" s="51"/>
      <c r="U109" s="47">
        <f t="shared" si="10"/>
        <v>390</v>
      </c>
      <c r="V109" s="47">
        <f t="shared" si="11"/>
        <v>2</v>
      </c>
      <c r="W109" s="52">
        <f t="shared" si="12"/>
        <v>780</v>
      </c>
      <c r="X109" s="124" t="s">
        <v>81</v>
      </c>
      <c r="Y109" s="45" t="s">
        <v>213</v>
      </c>
    </row>
    <row r="110" spans="1:25" s="45" customFormat="1" ht="11.1" customHeight="1" x14ac:dyDescent="0.2">
      <c r="A110" s="38">
        <f t="shared" si="13"/>
        <v>108</v>
      </c>
      <c r="B110" s="90" t="s">
        <v>184</v>
      </c>
      <c r="C110" s="40" t="str">
        <f>IF($B110&lt;&gt;"",_xlfn.IFNA(VLOOKUP($B110,'Node Details'!$B:$U,C$1,0),"Check"),"")</f>
        <v>00001GF19-1GF190104</v>
      </c>
      <c r="D110" s="40" t="str">
        <f>IF($B110&lt;&gt;"",_xlfn.IFNA(VLOOKUP($B110,'Node Details'!$B:$U,D$1,0),"Check"),"")</f>
        <v>1GF</v>
      </c>
      <c r="E110" s="40" t="str">
        <f>IF($B110&lt;&gt;"",_xlfn.IFNA(VLOOKUP($B110,'Node Details'!$B:$U,E$1,0),"Check"),"")</f>
        <v>Airtel</v>
      </c>
      <c r="F110" s="101">
        <v>45141</v>
      </c>
      <c r="G110" s="42"/>
      <c r="H110" s="93" t="s">
        <v>216</v>
      </c>
      <c r="I110" s="93">
        <v>2</v>
      </c>
      <c r="J110" s="93">
        <v>390</v>
      </c>
      <c r="K110" s="44">
        <f t="shared" si="7"/>
        <v>780</v>
      </c>
      <c r="L110" s="41">
        <v>45141</v>
      </c>
      <c r="N110" s="43"/>
      <c r="O110" s="46"/>
      <c r="P110" s="47">
        <f t="shared" si="8"/>
        <v>390</v>
      </c>
      <c r="Q110" s="48">
        <f t="shared" si="9"/>
        <v>780</v>
      </c>
      <c r="R110" s="49"/>
      <c r="S110" s="50"/>
      <c r="T110" s="51"/>
      <c r="U110" s="47">
        <f t="shared" si="10"/>
        <v>390</v>
      </c>
      <c r="V110" s="47">
        <f t="shared" si="11"/>
        <v>2</v>
      </c>
      <c r="W110" s="52">
        <f t="shared" si="12"/>
        <v>780</v>
      </c>
      <c r="X110" s="124" t="s">
        <v>81</v>
      </c>
      <c r="Y110" s="45" t="s">
        <v>213</v>
      </c>
    </row>
    <row r="111" spans="1:25" s="45" customFormat="1" ht="11.1" customHeight="1" x14ac:dyDescent="0.2">
      <c r="A111" s="38">
        <f t="shared" si="13"/>
        <v>109</v>
      </c>
      <c r="B111" s="90" t="s">
        <v>185</v>
      </c>
      <c r="C111" s="40" t="str">
        <f>IF($B111&lt;&gt;"",_xlfn.IFNA(VLOOKUP($B111,'Node Details'!$B:$U,C$1,0),"Check"),"")</f>
        <v>00001GF19-1GF190104</v>
      </c>
      <c r="D111" s="40" t="str">
        <f>IF($B111&lt;&gt;"",_xlfn.IFNA(VLOOKUP($B111,'Node Details'!$B:$U,D$1,0),"Check"),"")</f>
        <v>1GF</v>
      </c>
      <c r="E111" s="40" t="str">
        <f>IF($B111&lt;&gt;"",_xlfn.IFNA(VLOOKUP($B111,'Node Details'!$B:$U,E$1,0),"Check"),"")</f>
        <v>Airtel</v>
      </c>
      <c r="F111" s="101">
        <v>45141</v>
      </c>
      <c r="G111" s="42"/>
      <c r="H111" s="93" t="s">
        <v>216</v>
      </c>
      <c r="I111" s="93">
        <v>2</v>
      </c>
      <c r="J111" s="93">
        <v>390</v>
      </c>
      <c r="K111" s="44">
        <f t="shared" si="7"/>
        <v>780</v>
      </c>
      <c r="L111" s="41">
        <v>45141</v>
      </c>
      <c r="N111" s="43"/>
      <c r="O111" s="46"/>
      <c r="P111" s="47">
        <f t="shared" si="8"/>
        <v>390</v>
      </c>
      <c r="Q111" s="48">
        <f t="shared" si="9"/>
        <v>780</v>
      </c>
      <c r="R111" s="49"/>
      <c r="S111" s="50"/>
      <c r="T111" s="51"/>
      <c r="U111" s="47">
        <f t="shared" si="10"/>
        <v>390</v>
      </c>
      <c r="V111" s="47">
        <f t="shared" si="11"/>
        <v>2</v>
      </c>
      <c r="W111" s="52">
        <f t="shared" si="12"/>
        <v>780</v>
      </c>
      <c r="X111" s="124" t="s">
        <v>81</v>
      </c>
      <c r="Y111" s="45" t="s">
        <v>213</v>
      </c>
    </row>
    <row r="112" spans="1:25" s="45" customFormat="1" ht="11.1" customHeight="1" x14ac:dyDescent="0.2">
      <c r="A112" s="38">
        <f t="shared" si="13"/>
        <v>110</v>
      </c>
      <c r="B112" s="90" t="s">
        <v>186</v>
      </c>
      <c r="C112" s="40" t="str">
        <f>IF($B112&lt;&gt;"",_xlfn.IFNA(VLOOKUP($B112,'Node Details'!$B:$U,C$1,0),"Check"),"")</f>
        <v>00001GF19-1GF190104</v>
      </c>
      <c r="D112" s="40" t="str">
        <f>IF($B112&lt;&gt;"",_xlfn.IFNA(VLOOKUP($B112,'Node Details'!$B:$U,D$1,0),"Check"),"")</f>
        <v>1GF</v>
      </c>
      <c r="E112" s="40" t="str">
        <f>IF($B112&lt;&gt;"",_xlfn.IFNA(VLOOKUP($B112,'Node Details'!$B:$U,E$1,0),"Check"),"")</f>
        <v>Airtel</v>
      </c>
      <c r="F112" s="101">
        <v>45141</v>
      </c>
      <c r="G112" s="42"/>
      <c r="H112" s="93" t="s">
        <v>216</v>
      </c>
      <c r="I112" s="93">
        <v>3</v>
      </c>
      <c r="J112" s="93">
        <v>390</v>
      </c>
      <c r="K112" s="44">
        <f t="shared" si="7"/>
        <v>1170</v>
      </c>
      <c r="L112" s="41">
        <v>45141</v>
      </c>
      <c r="N112" s="43"/>
      <c r="O112" s="46"/>
      <c r="P112" s="47">
        <f t="shared" si="8"/>
        <v>390</v>
      </c>
      <c r="Q112" s="48">
        <f t="shared" si="9"/>
        <v>1170</v>
      </c>
      <c r="R112" s="49"/>
      <c r="S112" s="50"/>
      <c r="T112" s="51"/>
      <c r="U112" s="47">
        <f t="shared" si="10"/>
        <v>390</v>
      </c>
      <c r="V112" s="47">
        <f t="shared" si="11"/>
        <v>3</v>
      </c>
      <c r="W112" s="52">
        <f t="shared" si="12"/>
        <v>1170</v>
      </c>
      <c r="X112" s="124" t="s">
        <v>81</v>
      </c>
      <c r="Y112" s="45" t="s">
        <v>213</v>
      </c>
    </row>
    <row r="113" spans="1:25" s="45" customFormat="1" ht="11.1" customHeight="1" x14ac:dyDescent="0.2">
      <c r="A113" s="38">
        <f t="shared" si="13"/>
        <v>111</v>
      </c>
      <c r="B113" s="90" t="s">
        <v>125</v>
      </c>
      <c r="C113" s="40" t="str">
        <f>IF($B113&lt;&gt;"",_xlfn.IFNA(VLOOKUP($B113,'Node Details'!$B:$U,C$1,0),"Check"),"")</f>
        <v>00001GF19-1GF190104</v>
      </c>
      <c r="D113" s="40" t="str">
        <f>IF($B113&lt;&gt;"",_xlfn.IFNA(VLOOKUP($B113,'Node Details'!$B:$U,D$1,0),"Check"),"")</f>
        <v>1GF</v>
      </c>
      <c r="E113" s="40" t="str">
        <f>IF($B113&lt;&gt;"",_xlfn.IFNA(VLOOKUP($B113,'Node Details'!$B:$U,E$1,0),"Check"),"")</f>
        <v>Airtel</v>
      </c>
      <c r="F113" s="101">
        <v>45141</v>
      </c>
      <c r="G113" s="42"/>
      <c r="H113" s="93" t="s">
        <v>216</v>
      </c>
      <c r="I113" s="93">
        <v>2</v>
      </c>
      <c r="J113" s="93">
        <v>390</v>
      </c>
      <c r="K113" s="44">
        <f t="shared" si="7"/>
        <v>780</v>
      </c>
      <c r="L113" s="41">
        <v>45141</v>
      </c>
      <c r="N113" s="43"/>
      <c r="O113" s="46"/>
      <c r="P113" s="47">
        <f t="shared" si="8"/>
        <v>390</v>
      </c>
      <c r="Q113" s="48">
        <f t="shared" si="9"/>
        <v>780</v>
      </c>
      <c r="R113" s="49"/>
      <c r="S113" s="50"/>
      <c r="T113" s="51"/>
      <c r="U113" s="47">
        <f t="shared" si="10"/>
        <v>390</v>
      </c>
      <c r="V113" s="47">
        <f t="shared" si="11"/>
        <v>2</v>
      </c>
      <c r="W113" s="52">
        <f t="shared" si="12"/>
        <v>780</v>
      </c>
      <c r="X113" s="124" t="s">
        <v>81</v>
      </c>
      <c r="Y113" s="45" t="s">
        <v>213</v>
      </c>
    </row>
    <row r="114" spans="1:25" s="45" customFormat="1" ht="11.1" customHeight="1" x14ac:dyDescent="0.2">
      <c r="A114" s="38">
        <f t="shared" si="13"/>
        <v>112</v>
      </c>
      <c r="B114" s="90" t="s">
        <v>187</v>
      </c>
      <c r="C114" s="40" t="str">
        <f>IF($B114&lt;&gt;"",_xlfn.IFNA(VLOOKUP($B114,'Node Details'!$B:$U,C$1,0),"Check"),"")</f>
        <v>00001GF20-1GF200104</v>
      </c>
      <c r="D114" s="40" t="str">
        <f>IF($B114&lt;&gt;"",_xlfn.IFNA(VLOOKUP($B114,'Node Details'!$B:$U,D$1,0),"Check"),"")</f>
        <v>1GF</v>
      </c>
      <c r="E114" s="40" t="str">
        <f>IF($B114&lt;&gt;"",_xlfn.IFNA(VLOOKUP($B114,'Node Details'!$B:$U,E$1,0),"Check"),"")</f>
        <v>Airtel</v>
      </c>
      <c r="F114" s="101">
        <v>45141</v>
      </c>
      <c r="G114" s="42"/>
      <c r="H114" s="93" t="s">
        <v>216</v>
      </c>
      <c r="I114" s="93">
        <v>2</v>
      </c>
      <c r="J114" s="93">
        <v>390</v>
      </c>
      <c r="K114" s="44">
        <f t="shared" si="7"/>
        <v>780</v>
      </c>
      <c r="L114" s="41">
        <v>45141</v>
      </c>
      <c r="N114" s="43"/>
      <c r="O114" s="46"/>
      <c r="P114" s="47">
        <f t="shared" si="8"/>
        <v>390</v>
      </c>
      <c r="Q114" s="48">
        <f t="shared" si="9"/>
        <v>780</v>
      </c>
      <c r="R114" s="49"/>
      <c r="S114" s="50"/>
      <c r="T114" s="51"/>
      <c r="U114" s="47">
        <f t="shared" si="10"/>
        <v>390</v>
      </c>
      <c r="V114" s="47">
        <f t="shared" si="11"/>
        <v>2</v>
      </c>
      <c r="W114" s="52">
        <f t="shared" si="12"/>
        <v>780</v>
      </c>
      <c r="X114" s="124" t="s">
        <v>81</v>
      </c>
      <c r="Y114" s="45" t="s">
        <v>213</v>
      </c>
    </row>
    <row r="115" spans="1:25" s="45" customFormat="1" ht="11.1" customHeight="1" x14ac:dyDescent="0.2">
      <c r="A115" s="38">
        <f t="shared" si="13"/>
        <v>113</v>
      </c>
      <c r="B115" s="90" t="s">
        <v>188</v>
      </c>
      <c r="C115" s="40" t="str">
        <f>IF($B115&lt;&gt;"",_xlfn.IFNA(VLOOKUP($B115,'Node Details'!$B:$U,C$1,0),"Check"),"")</f>
        <v>00001GF20-1GF200104</v>
      </c>
      <c r="D115" s="40" t="str">
        <f>IF($B115&lt;&gt;"",_xlfn.IFNA(VLOOKUP($B115,'Node Details'!$B:$U,D$1,0),"Check"),"")</f>
        <v>1GF</v>
      </c>
      <c r="E115" s="40" t="str">
        <f>IF($B115&lt;&gt;"",_xlfn.IFNA(VLOOKUP($B115,'Node Details'!$B:$U,E$1,0),"Check"),"")</f>
        <v>Airtel</v>
      </c>
      <c r="F115" s="101">
        <v>45141</v>
      </c>
      <c r="G115" s="42"/>
      <c r="H115" s="93" t="s">
        <v>216</v>
      </c>
      <c r="I115" s="93">
        <v>2</v>
      </c>
      <c r="J115" s="93">
        <v>390</v>
      </c>
      <c r="K115" s="44">
        <f t="shared" si="7"/>
        <v>780</v>
      </c>
      <c r="L115" s="41">
        <v>45141</v>
      </c>
      <c r="N115" s="43"/>
      <c r="O115" s="46"/>
      <c r="P115" s="47">
        <f t="shared" si="8"/>
        <v>390</v>
      </c>
      <c r="Q115" s="48">
        <f t="shared" si="9"/>
        <v>780</v>
      </c>
      <c r="R115" s="49"/>
      <c r="S115" s="50"/>
      <c r="T115" s="51"/>
      <c r="U115" s="47">
        <f t="shared" si="10"/>
        <v>390</v>
      </c>
      <c r="V115" s="47">
        <f t="shared" si="11"/>
        <v>2</v>
      </c>
      <c r="W115" s="52">
        <f t="shared" si="12"/>
        <v>780</v>
      </c>
      <c r="X115" s="124" t="s">
        <v>81</v>
      </c>
      <c r="Y115" s="45" t="s">
        <v>213</v>
      </c>
    </row>
    <row r="116" spans="1:25" s="45" customFormat="1" ht="11.1" customHeight="1" x14ac:dyDescent="0.2">
      <c r="A116" s="38">
        <f t="shared" si="13"/>
        <v>114</v>
      </c>
      <c r="B116" s="90" t="s">
        <v>189</v>
      </c>
      <c r="C116" s="40" t="str">
        <f>IF($B116&lt;&gt;"",_xlfn.IFNA(VLOOKUP($B116,'Node Details'!$B:$U,C$1,0),"Check"),"")</f>
        <v>00001GF20-1GF200104</v>
      </c>
      <c r="D116" s="40" t="str">
        <f>IF($B116&lt;&gt;"",_xlfn.IFNA(VLOOKUP($B116,'Node Details'!$B:$U,D$1,0),"Check"),"")</f>
        <v>1GF</v>
      </c>
      <c r="E116" s="40" t="str">
        <f>IF($B116&lt;&gt;"",_xlfn.IFNA(VLOOKUP($B116,'Node Details'!$B:$U,E$1,0),"Check"),"")</f>
        <v>Airtel</v>
      </c>
      <c r="F116" s="101">
        <v>45141</v>
      </c>
      <c r="G116" s="42"/>
      <c r="H116" s="93" t="s">
        <v>216</v>
      </c>
      <c r="I116" s="93">
        <v>2</v>
      </c>
      <c r="J116" s="93">
        <v>390</v>
      </c>
      <c r="K116" s="44">
        <f t="shared" si="7"/>
        <v>780</v>
      </c>
      <c r="L116" s="41">
        <v>45141</v>
      </c>
      <c r="N116" s="43"/>
      <c r="O116" s="46"/>
      <c r="P116" s="47">
        <f t="shared" si="8"/>
        <v>390</v>
      </c>
      <c r="Q116" s="48">
        <f t="shared" si="9"/>
        <v>780</v>
      </c>
      <c r="R116" s="49"/>
      <c r="S116" s="50"/>
      <c r="T116" s="51"/>
      <c r="U116" s="47">
        <f t="shared" si="10"/>
        <v>390</v>
      </c>
      <c r="V116" s="47">
        <f t="shared" si="11"/>
        <v>2</v>
      </c>
      <c r="W116" s="52">
        <f t="shared" si="12"/>
        <v>780</v>
      </c>
      <c r="X116" s="124" t="s">
        <v>81</v>
      </c>
      <c r="Y116" s="45" t="s">
        <v>213</v>
      </c>
    </row>
    <row r="117" spans="1:25" s="45" customFormat="1" ht="11.1" customHeight="1" x14ac:dyDescent="0.2">
      <c r="A117" s="38">
        <f t="shared" si="13"/>
        <v>115</v>
      </c>
      <c r="B117" s="90" t="s">
        <v>129</v>
      </c>
      <c r="C117" s="40" t="str">
        <f>IF($B117&lt;&gt;"",_xlfn.IFNA(VLOOKUP($B117,'Node Details'!$B:$U,C$1,0),"Check"),"")</f>
        <v>00001GF20-1GF200104</v>
      </c>
      <c r="D117" s="40" t="str">
        <f>IF($B117&lt;&gt;"",_xlfn.IFNA(VLOOKUP($B117,'Node Details'!$B:$U,D$1,0),"Check"),"")</f>
        <v>1GF</v>
      </c>
      <c r="E117" s="40" t="str">
        <f>IF($B117&lt;&gt;"",_xlfn.IFNA(VLOOKUP($B117,'Node Details'!$B:$U,E$1,0),"Check"),"")</f>
        <v>Airtel</v>
      </c>
      <c r="F117" s="101">
        <v>45141</v>
      </c>
      <c r="G117" s="42"/>
      <c r="H117" s="93" t="s">
        <v>216</v>
      </c>
      <c r="I117" s="93">
        <v>2</v>
      </c>
      <c r="J117" s="93">
        <v>390</v>
      </c>
      <c r="K117" s="44">
        <f t="shared" si="7"/>
        <v>780</v>
      </c>
      <c r="L117" s="41">
        <v>45141</v>
      </c>
      <c r="N117" s="43"/>
      <c r="O117" s="46"/>
      <c r="P117" s="47">
        <f t="shared" si="8"/>
        <v>390</v>
      </c>
      <c r="Q117" s="48">
        <f t="shared" si="9"/>
        <v>780</v>
      </c>
      <c r="R117" s="49"/>
      <c r="S117" s="50"/>
      <c r="T117" s="51"/>
      <c r="U117" s="47">
        <f t="shared" si="10"/>
        <v>390</v>
      </c>
      <c r="V117" s="47">
        <f t="shared" si="11"/>
        <v>2</v>
      </c>
      <c r="W117" s="52">
        <f t="shared" si="12"/>
        <v>780</v>
      </c>
      <c r="X117" s="124" t="s">
        <v>81</v>
      </c>
      <c r="Y117" s="45" t="s">
        <v>213</v>
      </c>
    </row>
    <row r="118" spans="1:25" s="45" customFormat="1" ht="11.1" customHeight="1" x14ac:dyDescent="0.2">
      <c r="A118" s="38">
        <f t="shared" si="13"/>
        <v>116</v>
      </c>
      <c r="B118" s="90" t="s">
        <v>190</v>
      </c>
      <c r="C118" s="40" t="str">
        <f>IF($B118&lt;&gt;"",_xlfn.IFNA(VLOOKUP($B118,'Node Details'!$B:$U,C$1,0),"Check"),"")</f>
        <v>00001GF21-1GF210104</v>
      </c>
      <c r="D118" s="40" t="str">
        <f>IF($B118&lt;&gt;"",_xlfn.IFNA(VLOOKUP($B118,'Node Details'!$B:$U,D$1,0),"Check"),"")</f>
        <v>1GF</v>
      </c>
      <c r="E118" s="40" t="str">
        <f>IF($B118&lt;&gt;"",_xlfn.IFNA(VLOOKUP($B118,'Node Details'!$B:$U,E$1,0),"Check"),"")</f>
        <v>Airtel</v>
      </c>
      <c r="F118" s="101">
        <v>45141</v>
      </c>
      <c r="G118" s="42"/>
      <c r="H118" s="93" t="s">
        <v>216</v>
      </c>
      <c r="I118" s="93">
        <v>3</v>
      </c>
      <c r="J118" s="93">
        <v>390</v>
      </c>
      <c r="K118" s="44">
        <f t="shared" si="7"/>
        <v>1170</v>
      </c>
      <c r="L118" s="41">
        <v>45141</v>
      </c>
      <c r="N118" s="43"/>
      <c r="O118" s="46"/>
      <c r="P118" s="47">
        <f t="shared" si="8"/>
        <v>390</v>
      </c>
      <c r="Q118" s="48">
        <f t="shared" si="9"/>
        <v>1170</v>
      </c>
      <c r="R118" s="49"/>
      <c r="S118" s="50"/>
      <c r="T118" s="51"/>
      <c r="U118" s="47">
        <f t="shared" si="10"/>
        <v>390</v>
      </c>
      <c r="V118" s="47">
        <f t="shared" si="11"/>
        <v>3</v>
      </c>
      <c r="W118" s="52">
        <f t="shared" si="12"/>
        <v>1170</v>
      </c>
      <c r="X118" s="124" t="s">
        <v>81</v>
      </c>
      <c r="Y118" s="45" t="s">
        <v>213</v>
      </c>
    </row>
    <row r="119" spans="1:25" s="45" customFormat="1" ht="11.1" customHeight="1" x14ac:dyDescent="0.2">
      <c r="A119" s="38">
        <f t="shared" si="13"/>
        <v>117</v>
      </c>
      <c r="B119" s="90" t="s">
        <v>136</v>
      </c>
      <c r="C119" s="40" t="str">
        <f>IF($B119&lt;&gt;"",_xlfn.IFNA(VLOOKUP($B119,'Node Details'!$B:$U,C$1,0),"Check"),"")</f>
        <v>00001GF21-1GF210104</v>
      </c>
      <c r="D119" s="40" t="str">
        <f>IF($B119&lt;&gt;"",_xlfn.IFNA(VLOOKUP($B119,'Node Details'!$B:$U,D$1,0),"Check"),"")</f>
        <v>1GF</v>
      </c>
      <c r="E119" s="40" t="str">
        <f>IF($B119&lt;&gt;"",_xlfn.IFNA(VLOOKUP($B119,'Node Details'!$B:$U,E$1,0),"Check"),"")</f>
        <v>Airtel</v>
      </c>
      <c r="F119" s="101">
        <v>45141</v>
      </c>
      <c r="G119" s="42"/>
      <c r="H119" s="93" t="s">
        <v>216</v>
      </c>
      <c r="I119" s="93">
        <v>2</v>
      </c>
      <c r="J119" s="93">
        <v>390</v>
      </c>
      <c r="K119" s="44">
        <f t="shared" si="7"/>
        <v>780</v>
      </c>
      <c r="L119" s="41">
        <v>45141</v>
      </c>
      <c r="N119" s="43"/>
      <c r="O119" s="46"/>
      <c r="P119" s="47">
        <f t="shared" si="8"/>
        <v>390</v>
      </c>
      <c r="Q119" s="48">
        <f t="shared" si="9"/>
        <v>780</v>
      </c>
      <c r="R119" s="49"/>
      <c r="S119" s="50"/>
      <c r="T119" s="51"/>
      <c r="U119" s="47">
        <f t="shared" si="10"/>
        <v>390</v>
      </c>
      <c r="V119" s="47">
        <f t="shared" si="11"/>
        <v>2</v>
      </c>
      <c r="W119" s="52">
        <f t="shared" si="12"/>
        <v>780</v>
      </c>
      <c r="X119" s="124" t="s">
        <v>81</v>
      </c>
      <c r="Y119" s="45" t="s">
        <v>213</v>
      </c>
    </row>
    <row r="120" spans="1:25" s="45" customFormat="1" ht="11.1" customHeight="1" x14ac:dyDescent="0.2">
      <c r="A120" s="38">
        <f t="shared" si="13"/>
        <v>118</v>
      </c>
      <c r="B120" s="90" t="s">
        <v>191</v>
      </c>
      <c r="C120" s="40" t="str">
        <f>IF($B120&lt;&gt;"",_xlfn.IFNA(VLOOKUP($B120,'Node Details'!$B:$U,C$1,0),"Check"),"")</f>
        <v>00001GF21-1GF210104</v>
      </c>
      <c r="D120" s="40" t="str">
        <f>IF($B120&lt;&gt;"",_xlfn.IFNA(VLOOKUP($B120,'Node Details'!$B:$U,D$1,0),"Check"),"")</f>
        <v>1GF</v>
      </c>
      <c r="E120" s="40" t="str">
        <f>IF($B120&lt;&gt;"",_xlfn.IFNA(VLOOKUP($B120,'Node Details'!$B:$U,E$1,0),"Check"),"")</f>
        <v>Airtel</v>
      </c>
      <c r="F120" s="101">
        <v>45141</v>
      </c>
      <c r="G120" s="42"/>
      <c r="H120" s="93" t="s">
        <v>216</v>
      </c>
      <c r="I120" s="93">
        <v>2</v>
      </c>
      <c r="J120" s="93">
        <v>390</v>
      </c>
      <c r="K120" s="44">
        <f t="shared" si="7"/>
        <v>780</v>
      </c>
      <c r="L120" s="41">
        <v>45141</v>
      </c>
      <c r="N120" s="43"/>
      <c r="O120" s="46"/>
      <c r="P120" s="47">
        <f t="shared" si="8"/>
        <v>390</v>
      </c>
      <c r="Q120" s="48">
        <f t="shared" si="9"/>
        <v>780</v>
      </c>
      <c r="R120" s="49"/>
      <c r="S120" s="50"/>
      <c r="T120" s="51"/>
      <c r="U120" s="47">
        <f t="shared" si="10"/>
        <v>390</v>
      </c>
      <c r="V120" s="47">
        <f t="shared" si="11"/>
        <v>2</v>
      </c>
      <c r="W120" s="52">
        <f t="shared" si="12"/>
        <v>780</v>
      </c>
      <c r="X120" s="124" t="s">
        <v>81</v>
      </c>
      <c r="Y120" s="45" t="s">
        <v>213</v>
      </c>
    </row>
    <row r="121" spans="1:25" s="45" customFormat="1" ht="11.1" customHeight="1" x14ac:dyDescent="0.2">
      <c r="A121" s="38">
        <f t="shared" si="13"/>
        <v>119</v>
      </c>
      <c r="B121" s="90" t="s">
        <v>133</v>
      </c>
      <c r="C121" s="40" t="str">
        <f>IF($B121&lt;&gt;"",_xlfn.IFNA(VLOOKUP($B121,'Node Details'!$B:$U,C$1,0),"Check"),"")</f>
        <v>00001GF21-1GF210104</v>
      </c>
      <c r="D121" s="40" t="str">
        <f>IF($B121&lt;&gt;"",_xlfn.IFNA(VLOOKUP($B121,'Node Details'!$B:$U,D$1,0),"Check"),"")</f>
        <v>1GF</v>
      </c>
      <c r="E121" s="40" t="str">
        <f>IF($B121&lt;&gt;"",_xlfn.IFNA(VLOOKUP($B121,'Node Details'!$B:$U,E$1,0),"Check"),"")</f>
        <v>Airtel</v>
      </c>
      <c r="F121" s="101">
        <v>45141</v>
      </c>
      <c r="G121" s="42"/>
      <c r="H121" s="93" t="s">
        <v>216</v>
      </c>
      <c r="I121" s="93">
        <v>2</v>
      </c>
      <c r="J121" s="93">
        <v>390</v>
      </c>
      <c r="K121" s="44">
        <f t="shared" si="7"/>
        <v>780</v>
      </c>
      <c r="L121" s="41">
        <v>45141</v>
      </c>
      <c r="N121" s="43"/>
      <c r="O121" s="46"/>
      <c r="P121" s="47">
        <f t="shared" si="8"/>
        <v>390</v>
      </c>
      <c r="Q121" s="48">
        <f t="shared" si="9"/>
        <v>780</v>
      </c>
      <c r="R121" s="49"/>
      <c r="S121" s="50"/>
      <c r="T121" s="51"/>
      <c r="U121" s="47">
        <f t="shared" si="10"/>
        <v>390</v>
      </c>
      <c r="V121" s="47">
        <f t="shared" si="11"/>
        <v>2</v>
      </c>
      <c r="W121" s="52">
        <f t="shared" si="12"/>
        <v>780</v>
      </c>
      <c r="X121" s="124" t="s">
        <v>81</v>
      </c>
      <c r="Y121" s="45" t="s">
        <v>213</v>
      </c>
    </row>
    <row r="122" spans="1:25" s="45" customFormat="1" ht="11.1" customHeight="1" x14ac:dyDescent="0.2">
      <c r="A122" s="38">
        <f t="shared" si="13"/>
        <v>120</v>
      </c>
      <c r="B122" s="90" t="s">
        <v>192</v>
      </c>
      <c r="C122" s="40" t="str">
        <f>IF($B122&lt;&gt;"",_xlfn.IFNA(VLOOKUP($B122,'Node Details'!$B:$U,C$1,0),"Check"),"")</f>
        <v>00001GF22-1GF210102</v>
      </c>
      <c r="D122" s="40" t="str">
        <f>IF($B122&lt;&gt;"",_xlfn.IFNA(VLOOKUP($B122,'Node Details'!$B:$U,D$1,0),"Check"),"")</f>
        <v>1GF</v>
      </c>
      <c r="E122" s="40" t="str">
        <f>IF($B122&lt;&gt;"",_xlfn.IFNA(VLOOKUP($B122,'Node Details'!$B:$U,E$1,0),"Check"),"")</f>
        <v>Airtel</v>
      </c>
      <c r="F122" s="101">
        <v>45141</v>
      </c>
      <c r="G122" s="42"/>
      <c r="H122" s="93" t="s">
        <v>216</v>
      </c>
      <c r="I122" s="93">
        <v>2</v>
      </c>
      <c r="J122" s="93">
        <v>390</v>
      </c>
      <c r="K122" s="44">
        <f t="shared" si="7"/>
        <v>780</v>
      </c>
      <c r="L122" s="41">
        <v>45141</v>
      </c>
      <c r="N122" s="43"/>
      <c r="O122" s="46"/>
      <c r="P122" s="47">
        <f t="shared" si="8"/>
        <v>390</v>
      </c>
      <c r="Q122" s="48">
        <f t="shared" si="9"/>
        <v>780</v>
      </c>
      <c r="R122" s="49"/>
      <c r="S122" s="50"/>
      <c r="T122" s="51"/>
      <c r="U122" s="47">
        <f t="shared" si="10"/>
        <v>390</v>
      </c>
      <c r="V122" s="47">
        <f t="shared" si="11"/>
        <v>2</v>
      </c>
      <c r="W122" s="52">
        <f t="shared" si="12"/>
        <v>780</v>
      </c>
      <c r="X122" s="124" t="s">
        <v>81</v>
      </c>
      <c r="Y122" s="45" t="s">
        <v>213</v>
      </c>
    </row>
    <row r="123" spans="1:25" s="45" customFormat="1" ht="11.1" customHeight="1" x14ac:dyDescent="0.2">
      <c r="A123" s="38">
        <f t="shared" si="13"/>
        <v>121</v>
      </c>
      <c r="B123" s="90" t="s">
        <v>194</v>
      </c>
      <c r="C123" s="40" t="str">
        <f>IF($B123&lt;&gt;"",_xlfn.IFNA(VLOOKUP($B123,'Node Details'!$B:$U,C$1,0),"Check"),"")</f>
        <v>00001GF22-1GF210102</v>
      </c>
      <c r="D123" s="40" t="str">
        <f>IF($B123&lt;&gt;"",_xlfn.IFNA(VLOOKUP($B123,'Node Details'!$B:$U,D$1,0),"Check"),"")</f>
        <v>1GF</v>
      </c>
      <c r="E123" s="40" t="str">
        <f>IF($B123&lt;&gt;"",_xlfn.IFNA(VLOOKUP($B123,'Node Details'!$B:$U,E$1,0),"Check"),"")</f>
        <v>Airtel</v>
      </c>
      <c r="F123" s="101">
        <v>45141</v>
      </c>
      <c r="G123" s="42"/>
      <c r="H123" s="93" t="s">
        <v>216</v>
      </c>
      <c r="I123" s="93">
        <v>2</v>
      </c>
      <c r="J123" s="93">
        <v>390</v>
      </c>
      <c r="K123" s="44">
        <f t="shared" si="7"/>
        <v>780</v>
      </c>
      <c r="L123" s="41">
        <v>45141</v>
      </c>
      <c r="N123" s="43"/>
      <c r="O123" s="46"/>
      <c r="P123" s="47">
        <f t="shared" si="8"/>
        <v>390</v>
      </c>
      <c r="Q123" s="48">
        <f t="shared" si="9"/>
        <v>780</v>
      </c>
      <c r="R123" s="49"/>
      <c r="S123" s="50"/>
      <c r="T123" s="51"/>
      <c r="U123" s="47">
        <f t="shared" si="10"/>
        <v>390</v>
      </c>
      <c r="V123" s="47">
        <f t="shared" si="11"/>
        <v>2</v>
      </c>
      <c r="W123" s="52">
        <f t="shared" si="12"/>
        <v>780</v>
      </c>
      <c r="X123" s="124" t="s">
        <v>81</v>
      </c>
      <c r="Y123" s="45" t="s">
        <v>213</v>
      </c>
    </row>
    <row r="124" spans="1:25" s="45" customFormat="1" ht="11.1" customHeight="1" x14ac:dyDescent="0.2">
      <c r="A124" s="38">
        <f t="shared" si="13"/>
        <v>122</v>
      </c>
      <c r="B124" s="90" t="s">
        <v>195</v>
      </c>
      <c r="C124" s="40" t="str">
        <f>IF($B124&lt;&gt;"",_xlfn.IFNA(VLOOKUP($B124,'Node Details'!$B:$U,C$1,0),"Check"),"")</f>
        <v>00001GF22-1GF210102</v>
      </c>
      <c r="D124" s="40" t="str">
        <f>IF($B124&lt;&gt;"",_xlfn.IFNA(VLOOKUP($B124,'Node Details'!$B:$U,D$1,0),"Check"),"")</f>
        <v>1GF</v>
      </c>
      <c r="E124" s="40" t="str">
        <f>IF($B124&lt;&gt;"",_xlfn.IFNA(VLOOKUP($B124,'Node Details'!$B:$U,E$1,0),"Check"),"")</f>
        <v>Airtel</v>
      </c>
      <c r="F124" s="101">
        <v>45141</v>
      </c>
      <c r="G124" s="42"/>
      <c r="H124" s="93" t="s">
        <v>216</v>
      </c>
      <c r="I124" s="93">
        <v>2</v>
      </c>
      <c r="J124" s="93">
        <v>390</v>
      </c>
      <c r="K124" s="44">
        <f t="shared" si="7"/>
        <v>780</v>
      </c>
      <c r="L124" s="41">
        <v>45141</v>
      </c>
      <c r="N124" s="43"/>
      <c r="O124" s="46"/>
      <c r="P124" s="47">
        <f t="shared" si="8"/>
        <v>390</v>
      </c>
      <c r="Q124" s="48">
        <f t="shared" si="9"/>
        <v>780</v>
      </c>
      <c r="R124" s="49"/>
      <c r="S124" s="50"/>
      <c r="T124" s="51"/>
      <c r="U124" s="47">
        <f t="shared" si="10"/>
        <v>390</v>
      </c>
      <c r="V124" s="47">
        <f t="shared" si="11"/>
        <v>2</v>
      </c>
      <c r="W124" s="52">
        <f t="shared" si="12"/>
        <v>780</v>
      </c>
      <c r="X124" s="124" t="s">
        <v>81</v>
      </c>
      <c r="Y124" s="45" t="s">
        <v>213</v>
      </c>
    </row>
    <row r="125" spans="1:25" s="45" customFormat="1" ht="11.1" customHeight="1" x14ac:dyDescent="0.2">
      <c r="A125" s="38">
        <f t="shared" si="13"/>
        <v>123</v>
      </c>
      <c r="B125" s="90" t="s">
        <v>196</v>
      </c>
      <c r="C125" s="40" t="str">
        <f>IF($B125&lt;&gt;"",_xlfn.IFNA(VLOOKUP($B125,'Node Details'!$B:$U,C$1,0),"Check"),"")</f>
        <v>00001GF22-1GF210102</v>
      </c>
      <c r="D125" s="40" t="str">
        <f>IF($B125&lt;&gt;"",_xlfn.IFNA(VLOOKUP($B125,'Node Details'!$B:$U,D$1,0),"Check"),"")</f>
        <v>1GF</v>
      </c>
      <c r="E125" s="40" t="str">
        <f>IF($B125&lt;&gt;"",_xlfn.IFNA(VLOOKUP($B125,'Node Details'!$B:$U,E$1,0),"Check"),"")</f>
        <v>Airtel</v>
      </c>
      <c r="F125" s="101">
        <v>45141</v>
      </c>
      <c r="G125" s="42"/>
      <c r="H125" s="93" t="s">
        <v>216</v>
      </c>
      <c r="I125" s="93">
        <v>3</v>
      </c>
      <c r="J125" s="93">
        <v>390</v>
      </c>
      <c r="K125" s="44">
        <f t="shared" si="7"/>
        <v>1170</v>
      </c>
      <c r="L125" s="41">
        <v>45141</v>
      </c>
      <c r="N125" s="43"/>
      <c r="O125" s="46"/>
      <c r="P125" s="47">
        <f t="shared" si="8"/>
        <v>390</v>
      </c>
      <c r="Q125" s="48">
        <f t="shared" si="9"/>
        <v>1170</v>
      </c>
      <c r="R125" s="49"/>
      <c r="S125" s="50"/>
      <c r="T125" s="51"/>
      <c r="U125" s="47">
        <f t="shared" si="10"/>
        <v>390</v>
      </c>
      <c r="V125" s="47">
        <f t="shared" si="11"/>
        <v>3</v>
      </c>
      <c r="W125" s="52">
        <f t="shared" si="12"/>
        <v>1170</v>
      </c>
      <c r="X125" s="124" t="s">
        <v>81</v>
      </c>
      <c r="Y125" s="45" t="s">
        <v>213</v>
      </c>
    </row>
    <row r="126" spans="1:25" s="45" customFormat="1" ht="11.1" customHeight="1" x14ac:dyDescent="0.2">
      <c r="A126" s="38">
        <f t="shared" si="13"/>
        <v>124</v>
      </c>
      <c r="B126" s="90" t="s">
        <v>197</v>
      </c>
      <c r="C126" s="40" t="str">
        <f>IF($B126&lt;&gt;"",_xlfn.IFNA(VLOOKUP($B126,'Node Details'!$B:$U,C$1,0),"Check"),"")</f>
        <v>00001GF22-1GF210102</v>
      </c>
      <c r="D126" s="40" t="str">
        <f>IF($B126&lt;&gt;"",_xlfn.IFNA(VLOOKUP($B126,'Node Details'!$B:$U,D$1,0),"Check"),"")</f>
        <v>1GF</v>
      </c>
      <c r="E126" s="40" t="str">
        <f>IF($B126&lt;&gt;"",_xlfn.IFNA(VLOOKUP($B126,'Node Details'!$B:$U,E$1,0),"Check"),"")</f>
        <v>Airtel</v>
      </c>
      <c r="F126" s="101">
        <v>45141</v>
      </c>
      <c r="G126" s="42"/>
      <c r="H126" s="93" t="s">
        <v>216</v>
      </c>
      <c r="I126" s="93">
        <v>2</v>
      </c>
      <c r="J126" s="93">
        <v>390</v>
      </c>
      <c r="K126" s="44">
        <f t="shared" si="7"/>
        <v>780</v>
      </c>
      <c r="L126" s="41">
        <v>45141</v>
      </c>
      <c r="N126" s="43"/>
      <c r="O126" s="46"/>
      <c r="P126" s="47">
        <f t="shared" si="8"/>
        <v>390</v>
      </c>
      <c r="Q126" s="48">
        <f t="shared" si="9"/>
        <v>780</v>
      </c>
      <c r="R126" s="49"/>
      <c r="S126" s="50"/>
      <c r="T126" s="51"/>
      <c r="U126" s="47">
        <f t="shared" si="10"/>
        <v>390</v>
      </c>
      <c r="V126" s="47">
        <f t="shared" si="11"/>
        <v>2</v>
      </c>
      <c r="W126" s="52">
        <f t="shared" si="12"/>
        <v>780</v>
      </c>
      <c r="X126" s="124" t="s">
        <v>81</v>
      </c>
      <c r="Y126" s="45" t="s">
        <v>213</v>
      </c>
    </row>
    <row r="127" spans="1:25" s="45" customFormat="1" ht="11.1" customHeight="1" x14ac:dyDescent="0.2">
      <c r="A127" s="38">
        <f t="shared" si="13"/>
        <v>125</v>
      </c>
      <c r="B127" s="90" t="s">
        <v>198</v>
      </c>
      <c r="C127" s="40" t="str">
        <f>IF($B127&lt;&gt;"",_xlfn.IFNA(VLOOKUP($B127,'Node Details'!$B:$U,C$1,0),"Check"),"")</f>
        <v>00001GF22-1GF210102</v>
      </c>
      <c r="D127" s="40" t="str">
        <f>IF($B127&lt;&gt;"",_xlfn.IFNA(VLOOKUP($B127,'Node Details'!$B:$U,D$1,0),"Check"),"")</f>
        <v>1GF</v>
      </c>
      <c r="E127" s="40" t="str">
        <f>IF($B127&lt;&gt;"",_xlfn.IFNA(VLOOKUP($B127,'Node Details'!$B:$U,E$1,0),"Check"),"")</f>
        <v>Airtel</v>
      </c>
      <c r="F127" s="101">
        <v>45141</v>
      </c>
      <c r="G127" s="42"/>
      <c r="H127" s="93" t="s">
        <v>216</v>
      </c>
      <c r="I127" s="93">
        <v>3</v>
      </c>
      <c r="J127" s="93">
        <v>390</v>
      </c>
      <c r="K127" s="44">
        <f t="shared" si="7"/>
        <v>1170</v>
      </c>
      <c r="L127" s="41">
        <v>45141</v>
      </c>
      <c r="N127" s="43"/>
      <c r="O127" s="46"/>
      <c r="P127" s="47">
        <f t="shared" si="8"/>
        <v>390</v>
      </c>
      <c r="Q127" s="48">
        <f t="shared" si="9"/>
        <v>1170</v>
      </c>
      <c r="R127" s="49"/>
      <c r="S127" s="50"/>
      <c r="T127" s="51"/>
      <c r="U127" s="47">
        <f t="shared" si="10"/>
        <v>390</v>
      </c>
      <c r="V127" s="47">
        <f t="shared" si="11"/>
        <v>3</v>
      </c>
      <c r="W127" s="52">
        <f t="shared" si="12"/>
        <v>1170</v>
      </c>
      <c r="X127" s="124" t="s">
        <v>81</v>
      </c>
      <c r="Y127" s="45" t="s">
        <v>213</v>
      </c>
    </row>
    <row r="128" spans="1:25" s="45" customFormat="1" ht="11.1" customHeight="1" x14ac:dyDescent="0.2">
      <c r="A128" s="38">
        <f t="shared" si="13"/>
        <v>126</v>
      </c>
      <c r="B128" s="90" t="s">
        <v>78</v>
      </c>
      <c r="C128" s="40" t="str">
        <f>IF($B128&lt;&gt;"",_xlfn.IFNA(VLOOKUP($B128,'Node Details'!$B:$U,C$1,0),"Check"),"")</f>
        <v>0000001GF-00001GF12</v>
      </c>
      <c r="D128" s="40" t="str">
        <f>IF($B128&lt;&gt;"",_xlfn.IFNA(VLOOKUP($B128,'Node Details'!$B:$U,D$1,0),"Check"),"")</f>
        <v>1GF</v>
      </c>
      <c r="E128" s="40" t="str">
        <f>IF($B128&lt;&gt;"",_xlfn.IFNA(VLOOKUP($B128,'Node Details'!$B:$U,E$1,0),"Check"),"")</f>
        <v>Airtel</v>
      </c>
      <c r="F128" s="97">
        <v>45379</v>
      </c>
      <c r="G128" s="42"/>
      <c r="H128" s="93" t="s">
        <v>217</v>
      </c>
      <c r="I128" s="93">
        <v>1</v>
      </c>
      <c r="J128" s="93">
        <v>1500</v>
      </c>
      <c r="K128" s="44">
        <f t="shared" si="7"/>
        <v>1500</v>
      </c>
      <c r="L128" s="41">
        <v>45141</v>
      </c>
      <c r="N128" s="100" t="s">
        <v>210</v>
      </c>
      <c r="O128" s="96">
        <v>45273</v>
      </c>
      <c r="P128" s="47">
        <f t="shared" si="8"/>
        <v>1500</v>
      </c>
      <c r="Q128" s="48">
        <f t="shared" si="9"/>
        <v>1500</v>
      </c>
      <c r="R128" s="49"/>
      <c r="S128" s="100" t="s">
        <v>211</v>
      </c>
      <c r="T128" s="96">
        <v>45273</v>
      </c>
      <c r="U128" s="47">
        <f t="shared" si="10"/>
        <v>1500</v>
      </c>
      <c r="V128" s="47">
        <f t="shared" si="11"/>
        <v>1</v>
      </c>
      <c r="W128" s="52">
        <f t="shared" si="12"/>
        <v>1500</v>
      </c>
      <c r="X128" s="124" t="s">
        <v>81</v>
      </c>
      <c r="Y128" s="45" t="s">
        <v>212</v>
      </c>
    </row>
    <row r="129" spans="1:25" s="45" customFormat="1" ht="11.1" customHeight="1" x14ac:dyDescent="0.2">
      <c r="A129" s="38">
        <f t="shared" si="13"/>
        <v>127</v>
      </c>
      <c r="B129" s="90" t="s">
        <v>150</v>
      </c>
      <c r="C129" s="40" t="str">
        <f>IF($B129&lt;&gt;"",_xlfn.IFNA(VLOOKUP($B129,'Node Details'!$B:$U,C$1,0),"Check"),"")</f>
        <v>00001GF12-1GF120106</v>
      </c>
      <c r="D129" s="40" t="str">
        <f>IF($B129&lt;&gt;"",_xlfn.IFNA(VLOOKUP($B129,'Node Details'!$B:$U,D$1,0),"Check"),"")</f>
        <v>1GF</v>
      </c>
      <c r="E129" s="40" t="str">
        <f>IF($B129&lt;&gt;"",_xlfn.IFNA(VLOOKUP($B129,'Node Details'!$B:$U,E$1,0),"Check"),"")</f>
        <v>Airtel</v>
      </c>
      <c r="F129" s="97">
        <v>45379</v>
      </c>
      <c r="G129" s="42"/>
      <c r="H129" s="93" t="s">
        <v>217</v>
      </c>
      <c r="I129" s="93">
        <v>1</v>
      </c>
      <c r="J129" s="93">
        <v>710</v>
      </c>
      <c r="K129" s="44">
        <f t="shared" si="7"/>
        <v>710</v>
      </c>
      <c r="L129" s="41">
        <v>45141</v>
      </c>
      <c r="N129" s="43"/>
      <c r="O129" s="46"/>
      <c r="P129" s="47">
        <f t="shared" si="8"/>
        <v>710</v>
      </c>
      <c r="Q129" s="48">
        <f t="shared" si="9"/>
        <v>710</v>
      </c>
      <c r="R129" s="49"/>
      <c r="S129" s="50"/>
      <c r="T129" s="51"/>
      <c r="U129" s="47">
        <f t="shared" si="10"/>
        <v>710</v>
      </c>
      <c r="V129" s="47">
        <f t="shared" si="11"/>
        <v>1</v>
      </c>
      <c r="W129" s="52">
        <f t="shared" si="12"/>
        <v>710</v>
      </c>
      <c r="X129" s="124" t="s">
        <v>81</v>
      </c>
      <c r="Y129" s="45" t="s">
        <v>213</v>
      </c>
    </row>
    <row r="130" spans="1:25" s="45" customFormat="1" ht="11.1" customHeight="1" x14ac:dyDescent="0.2">
      <c r="A130" s="38">
        <f t="shared" si="13"/>
        <v>128</v>
      </c>
      <c r="B130" s="90" t="s">
        <v>151</v>
      </c>
      <c r="C130" s="40" t="str">
        <f>IF($B130&lt;&gt;"",_xlfn.IFNA(VLOOKUP($B130,'Node Details'!$B:$U,C$1,0),"Check"),"")</f>
        <v>00001GF12-1GF120106</v>
      </c>
      <c r="D130" s="40" t="str">
        <f>IF($B130&lt;&gt;"",_xlfn.IFNA(VLOOKUP($B130,'Node Details'!$B:$U,D$1,0),"Check"),"")</f>
        <v>1GF</v>
      </c>
      <c r="E130" s="40" t="str">
        <f>IF($B130&lt;&gt;"",_xlfn.IFNA(VLOOKUP($B130,'Node Details'!$B:$U,E$1,0),"Check"),"")</f>
        <v>Airtel</v>
      </c>
      <c r="F130" s="97">
        <v>45379</v>
      </c>
      <c r="G130" s="42"/>
      <c r="H130" s="93" t="s">
        <v>217</v>
      </c>
      <c r="I130" s="93">
        <v>1</v>
      </c>
      <c r="J130" s="93">
        <v>710</v>
      </c>
      <c r="K130" s="44">
        <f t="shared" si="7"/>
        <v>710</v>
      </c>
      <c r="L130" s="41">
        <v>45141</v>
      </c>
      <c r="N130" s="43"/>
      <c r="O130" s="46"/>
      <c r="P130" s="47">
        <f t="shared" si="8"/>
        <v>710</v>
      </c>
      <c r="Q130" s="48">
        <f t="shared" si="9"/>
        <v>710</v>
      </c>
      <c r="R130" s="49"/>
      <c r="S130" s="50"/>
      <c r="T130" s="51"/>
      <c r="U130" s="47">
        <f t="shared" si="10"/>
        <v>710</v>
      </c>
      <c r="V130" s="47">
        <f t="shared" si="11"/>
        <v>1</v>
      </c>
      <c r="W130" s="52">
        <f t="shared" si="12"/>
        <v>710</v>
      </c>
      <c r="X130" s="124" t="s">
        <v>81</v>
      </c>
      <c r="Y130" s="45" t="s">
        <v>213</v>
      </c>
    </row>
    <row r="131" spans="1:25" s="45" customFormat="1" ht="11.1" customHeight="1" x14ac:dyDescent="0.2">
      <c r="A131" s="38">
        <f t="shared" si="13"/>
        <v>129</v>
      </c>
      <c r="B131" s="90" t="s">
        <v>152</v>
      </c>
      <c r="C131" s="40" t="str">
        <f>IF($B131&lt;&gt;"",_xlfn.IFNA(VLOOKUP($B131,'Node Details'!$B:$U,C$1,0),"Check"),"")</f>
        <v>00001GF12-1GF120106</v>
      </c>
      <c r="D131" s="40" t="str">
        <f>IF($B131&lt;&gt;"",_xlfn.IFNA(VLOOKUP($B131,'Node Details'!$B:$U,D$1,0),"Check"),"")</f>
        <v>1GF</v>
      </c>
      <c r="E131" s="40" t="str">
        <f>IF($B131&lt;&gt;"",_xlfn.IFNA(VLOOKUP($B131,'Node Details'!$B:$U,E$1,0),"Check"),"")</f>
        <v>Airtel</v>
      </c>
      <c r="F131" s="97">
        <v>45379</v>
      </c>
      <c r="G131" s="42"/>
      <c r="H131" s="93" t="s">
        <v>217</v>
      </c>
      <c r="I131" s="93">
        <v>1</v>
      </c>
      <c r="J131" s="93">
        <v>710</v>
      </c>
      <c r="K131" s="44">
        <f t="shared" ref="K131:K194" si="14">IF(I131&lt;&gt;"",J131*I131,0)</f>
        <v>710</v>
      </c>
      <c r="L131" s="41">
        <v>45141</v>
      </c>
      <c r="N131" s="43"/>
      <c r="O131" s="46"/>
      <c r="P131" s="47">
        <f t="shared" ref="P131:P194" si="15">J131</f>
        <v>710</v>
      </c>
      <c r="Q131" s="48">
        <f t="shared" ref="Q131:Q194" si="16">P131*I131</f>
        <v>710</v>
      </c>
      <c r="R131" s="49"/>
      <c r="S131" s="50"/>
      <c r="T131" s="51"/>
      <c r="U131" s="47">
        <f t="shared" ref="U131:U194" si="17">J131</f>
        <v>710</v>
      </c>
      <c r="V131" s="47">
        <f t="shared" ref="V131:V194" si="18">I131</f>
        <v>1</v>
      </c>
      <c r="W131" s="52">
        <f t="shared" ref="W131:W194" si="19">IF(V131&lt;&gt;"",V131*U131,0)</f>
        <v>710</v>
      </c>
      <c r="X131" s="124" t="s">
        <v>81</v>
      </c>
      <c r="Y131" s="45" t="s">
        <v>213</v>
      </c>
    </row>
    <row r="132" spans="1:25" s="45" customFormat="1" ht="11.1" customHeight="1" x14ac:dyDescent="0.2">
      <c r="A132" s="38">
        <f t="shared" ref="A132:A195" si="20">A131+1</f>
        <v>130</v>
      </c>
      <c r="B132" s="90" t="s">
        <v>153</v>
      </c>
      <c r="C132" s="40" t="str">
        <f>IF($B132&lt;&gt;"",_xlfn.IFNA(VLOOKUP($B132,'Node Details'!$B:$U,C$1,0),"Check"),"")</f>
        <v>00001GF12-1GF120106</v>
      </c>
      <c r="D132" s="40" t="str">
        <f>IF($B132&lt;&gt;"",_xlfn.IFNA(VLOOKUP($B132,'Node Details'!$B:$U,D$1,0),"Check"),"")</f>
        <v>1GF</v>
      </c>
      <c r="E132" s="40" t="str">
        <f>IF($B132&lt;&gt;"",_xlfn.IFNA(VLOOKUP($B132,'Node Details'!$B:$U,E$1,0),"Check"),"")</f>
        <v>Airtel</v>
      </c>
      <c r="F132" s="97">
        <v>45379</v>
      </c>
      <c r="G132" s="42"/>
      <c r="H132" s="93" t="s">
        <v>217</v>
      </c>
      <c r="I132" s="93">
        <v>1</v>
      </c>
      <c r="J132" s="93">
        <v>710</v>
      </c>
      <c r="K132" s="44">
        <f t="shared" si="14"/>
        <v>710</v>
      </c>
      <c r="L132" s="41">
        <v>45141</v>
      </c>
      <c r="N132" s="43"/>
      <c r="O132" s="46"/>
      <c r="P132" s="47">
        <f t="shared" si="15"/>
        <v>710</v>
      </c>
      <c r="Q132" s="48">
        <f t="shared" si="16"/>
        <v>710</v>
      </c>
      <c r="R132" s="49"/>
      <c r="S132" s="50"/>
      <c r="T132" s="51"/>
      <c r="U132" s="47">
        <f t="shared" si="17"/>
        <v>710</v>
      </c>
      <c r="V132" s="47">
        <f t="shared" si="18"/>
        <v>1</v>
      </c>
      <c r="W132" s="52">
        <f t="shared" si="19"/>
        <v>710</v>
      </c>
      <c r="X132" s="124" t="s">
        <v>81</v>
      </c>
      <c r="Y132" s="45" t="s">
        <v>213</v>
      </c>
    </row>
    <row r="133" spans="1:25" s="45" customFormat="1" ht="11.1" customHeight="1" x14ac:dyDescent="0.2">
      <c r="A133" s="38">
        <f t="shared" si="20"/>
        <v>131</v>
      </c>
      <c r="B133" s="90" t="s">
        <v>154</v>
      </c>
      <c r="C133" s="40" t="str">
        <f>IF($B133&lt;&gt;"",_xlfn.IFNA(VLOOKUP($B133,'Node Details'!$B:$U,C$1,0),"Check"),"")</f>
        <v>00001GF12-1GF120106</v>
      </c>
      <c r="D133" s="40" t="str">
        <f>IF($B133&lt;&gt;"",_xlfn.IFNA(VLOOKUP($B133,'Node Details'!$B:$U,D$1,0),"Check"),"")</f>
        <v>1GF</v>
      </c>
      <c r="E133" s="40" t="str">
        <f>IF($B133&lt;&gt;"",_xlfn.IFNA(VLOOKUP($B133,'Node Details'!$B:$U,E$1,0),"Check"),"")</f>
        <v>Airtel</v>
      </c>
      <c r="F133" s="97">
        <v>45379</v>
      </c>
      <c r="G133" s="42"/>
      <c r="H133" s="93" t="s">
        <v>217</v>
      </c>
      <c r="I133" s="93">
        <v>1</v>
      </c>
      <c r="J133" s="93">
        <v>710</v>
      </c>
      <c r="K133" s="44">
        <f t="shared" si="14"/>
        <v>710</v>
      </c>
      <c r="L133" s="41">
        <v>45141</v>
      </c>
      <c r="N133" s="43"/>
      <c r="O133" s="46"/>
      <c r="P133" s="47">
        <f t="shared" si="15"/>
        <v>710</v>
      </c>
      <c r="Q133" s="48">
        <f t="shared" si="16"/>
        <v>710</v>
      </c>
      <c r="R133" s="49"/>
      <c r="S133" s="50"/>
      <c r="T133" s="51"/>
      <c r="U133" s="47">
        <f t="shared" si="17"/>
        <v>710</v>
      </c>
      <c r="V133" s="47">
        <f t="shared" si="18"/>
        <v>1</v>
      </c>
      <c r="W133" s="52">
        <f t="shared" si="19"/>
        <v>710</v>
      </c>
      <c r="X133" s="124" t="s">
        <v>81</v>
      </c>
      <c r="Y133" s="45" t="s">
        <v>213</v>
      </c>
    </row>
    <row r="134" spans="1:25" s="45" customFormat="1" ht="11.1" customHeight="1" x14ac:dyDescent="0.2">
      <c r="A134" s="38">
        <f t="shared" si="20"/>
        <v>132</v>
      </c>
      <c r="B134" s="90" t="s">
        <v>97</v>
      </c>
      <c r="C134" s="40" t="str">
        <f>IF($B134&lt;&gt;"",_xlfn.IFNA(VLOOKUP($B134,'Node Details'!$B:$U,C$1,0),"Check"),"")</f>
        <v>00001GF12-1GF120106</v>
      </c>
      <c r="D134" s="40" t="str">
        <f>IF($B134&lt;&gt;"",_xlfn.IFNA(VLOOKUP($B134,'Node Details'!$B:$U,D$1,0),"Check"),"")</f>
        <v>1GF</v>
      </c>
      <c r="E134" s="40" t="str">
        <f>IF($B134&lt;&gt;"",_xlfn.IFNA(VLOOKUP($B134,'Node Details'!$B:$U,E$1,0),"Check"),"")</f>
        <v>Airtel</v>
      </c>
      <c r="F134" s="97">
        <v>45379</v>
      </c>
      <c r="G134" s="42"/>
      <c r="H134" s="93" t="s">
        <v>217</v>
      </c>
      <c r="I134" s="93">
        <v>1</v>
      </c>
      <c r="J134" s="93">
        <v>710</v>
      </c>
      <c r="K134" s="44">
        <f t="shared" si="14"/>
        <v>710</v>
      </c>
      <c r="L134" s="41">
        <v>45141</v>
      </c>
      <c r="N134" s="43"/>
      <c r="O134" s="46"/>
      <c r="P134" s="47">
        <f t="shared" si="15"/>
        <v>710</v>
      </c>
      <c r="Q134" s="48">
        <f t="shared" si="16"/>
        <v>710</v>
      </c>
      <c r="R134" s="49"/>
      <c r="S134" s="50"/>
      <c r="T134" s="51"/>
      <c r="U134" s="47">
        <f t="shared" si="17"/>
        <v>710</v>
      </c>
      <c r="V134" s="47">
        <f t="shared" si="18"/>
        <v>1</v>
      </c>
      <c r="W134" s="52">
        <f t="shared" si="19"/>
        <v>710</v>
      </c>
      <c r="X134" s="124" t="s">
        <v>81</v>
      </c>
      <c r="Y134" s="45" t="s">
        <v>213</v>
      </c>
    </row>
    <row r="135" spans="1:25" s="45" customFormat="1" ht="11.1" customHeight="1" x14ac:dyDescent="0.2">
      <c r="A135" s="38">
        <f t="shared" si="20"/>
        <v>133</v>
      </c>
      <c r="B135" s="90" t="s">
        <v>99</v>
      </c>
      <c r="C135" s="40" t="str">
        <f>IF($B135&lt;&gt;"",_xlfn.IFNA(VLOOKUP($B135,'Node Details'!$B:$U,C$1,0),"Check"),"")</f>
        <v>00001GF12-00001GF22</v>
      </c>
      <c r="D135" s="40" t="str">
        <f>IF($B135&lt;&gt;"",_xlfn.IFNA(VLOOKUP($B135,'Node Details'!$B:$U,D$1,0),"Check"),"")</f>
        <v>1GF</v>
      </c>
      <c r="E135" s="40" t="str">
        <f>IF($B135&lt;&gt;"",_xlfn.IFNA(VLOOKUP($B135,'Node Details'!$B:$U,E$1,0),"Check"),"")</f>
        <v>Airtel</v>
      </c>
      <c r="F135" s="97">
        <v>45379</v>
      </c>
      <c r="G135" s="42"/>
      <c r="H135" s="93" t="s">
        <v>217</v>
      </c>
      <c r="I135" s="93">
        <v>1</v>
      </c>
      <c r="J135" s="93">
        <v>1500</v>
      </c>
      <c r="K135" s="44">
        <f t="shared" si="14"/>
        <v>1500</v>
      </c>
      <c r="L135" s="41">
        <v>45141</v>
      </c>
      <c r="N135" s="100" t="s">
        <v>210</v>
      </c>
      <c r="O135" s="96">
        <v>45273</v>
      </c>
      <c r="P135" s="47">
        <f t="shared" si="15"/>
        <v>1500</v>
      </c>
      <c r="Q135" s="48">
        <f t="shared" si="16"/>
        <v>1500</v>
      </c>
      <c r="R135" s="49"/>
      <c r="S135" s="100" t="s">
        <v>211</v>
      </c>
      <c r="T135" s="96">
        <v>45273</v>
      </c>
      <c r="U135" s="47">
        <f t="shared" si="17"/>
        <v>1500</v>
      </c>
      <c r="V135" s="47">
        <f t="shared" si="18"/>
        <v>1</v>
      </c>
      <c r="W135" s="52">
        <f t="shared" si="19"/>
        <v>1500</v>
      </c>
      <c r="X135" s="124" t="s">
        <v>81</v>
      </c>
      <c r="Y135" s="45" t="s">
        <v>212</v>
      </c>
    </row>
    <row r="136" spans="1:25" s="45" customFormat="1" ht="11.1" customHeight="1" x14ac:dyDescent="0.2">
      <c r="A136" s="38">
        <f t="shared" si="20"/>
        <v>134</v>
      </c>
      <c r="B136" s="90" t="s">
        <v>155</v>
      </c>
      <c r="C136" s="40" t="str">
        <f>IF($B136&lt;&gt;"",_xlfn.IFNA(VLOOKUP($B136,'Node Details'!$B:$U,C$1,0),"Check"),"")</f>
        <v>00001GF13-1GF130106</v>
      </c>
      <c r="D136" s="40" t="str">
        <f>IF($B136&lt;&gt;"",_xlfn.IFNA(VLOOKUP($B136,'Node Details'!$B:$U,D$1,0),"Check"),"")</f>
        <v>1GF</v>
      </c>
      <c r="E136" s="40" t="str">
        <f>IF($B136&lt;&gt;"",_xlfn.IFNA(VLOOKUP($B136,'Node Details'!$B:$U,E$1,0),"Check"),"")</f>
        <v>Airtel</v>
      </c>
      <c r="F136" s="97">
        <v>45379</v>
      </c>
      <c r="G136" s="42"/>
      <c r="H136" s="93" t="s">
        <v>217</v>
      </c>
      <c r="I136" s="93">
        <v>1</v>
      </c>
      <c r="J136" s="93">
        <v>710</v>
      </c>
      <c r="K136" s="44">
        <f t="shared" si="14"/>
        <v>710</v>
      </c>
      <c r="L136" s="41">
        <v>45141</v>
      </c>
      <c r="N136" s="43"/>
      <c r="O136" s="46"/>
      <c r="P136" s="47">
        <f t="shared" si="15"/>
        <v>710</v>
      </c>
      <c r="Q136" s="48">
        <f t="shared" si="16"/>
        <v>710</v>
      </c>
      <c r="R136" s="49"/>
      <c r="S136" s="50"/>
      <c r="T136" s="51"/>
      <c r="U136" s="47">
        <f t="shared" si="17"/>
        <v>710</v>
      </c>
      <c r="V136" s="47">
        <f t="shared" si="18"/>
        <v>1</v>
      </c>
      <c r="W136" s="52">
        <f t="shared" si="19"/>
        <v>710</v>
      </c>
      <c r="X136" s="124" t="s">
        <v>81</v>
      </c>
      <c r="Y136" s="45" t="s">
        <v>213</v>
      </c>
    </row>
    <row r="137" spans="1:25" s="45" customFormat="1" ht="11.1" customHeight="1" x14ac:dyDescent="0.2">
      <c r="A137" s="38">
        <f t="shared" si="20"/>
        <v>135</v>
      </c>
      <c r="B137" s="90" t="s">
        <v>156</v>
      </c>
      <c r="C137" s="40" t="str">
        <f>IF($B137&lt;&gt;"",_xlfn.IFNA(VLOOKUP($B137,'Node Details'!$B:$U,C$1,0),"Check"),"")</f>
        <v>00001GF13-1GF130106</v>
      </c>
      <c r="D137" s="40" t="str">
        <f>IF($B137&lt;&gt;"",_xlfn.IFNA(VLOOKUP($B137,'Node Details'!$B:$U,D$1,0),"Check"),"")</f>
        <v>1GF</v>
      </c>
      <c r="E137" s="40" t="str">
        <f>IF($B137&lt;&gt;"",_xlfn.IFNA(VLOOKUP($B137,'Node Details'!$B:$U,E$1,0),"Check"),"")</f>
        <v>Airtel</v>
      </c>
      <c r="F137" s="97">
        <v>45379</v>
      </c>
      <c r="G137" s="42"/>
      <c r="H137" s="93" t="s">
        <v>217</v>
      </c>
      <c r="I137" s="93">
        <v>1</v>
      </c>
      <c r="J137" s="93">
        <v>710</v>
      </c>
      <c r="K137" s="44">
        <f t="shared" si="14"/>
        <v>710</v>
      </c>
      <c r="L137" s="41">
        <v>45141</v>
      </c>
      <c r="N137" s="43"/>
      <c r="O137" s="46"/>
      <c r="P137" s="47">
        <f t="shared" si="15"/>
        <v>710</v>
      </c>
      <c r="Q137" s="48">
        <f t="shared" si="16"/>
        <v>710</v>
      </c>
      <c r="R137" s="49"/>
      <c r="S137" s="50"/>
      <c r="T137" s="51"/>
      <c r="U137" s="47">
        <f t="shared" si="17"/>
        <v>710</v>
      </c>
      <c r="V137" s="47">
        <f t="shared" si="18"/>
        <v>1</v>
      </c>
      <c r="W137" s="52">
        <f t="shared" si="19"/>
        <v>710</v>
      </c>
      <c r="X137" s="124" t="s">
        <v>81</v>
      </c>
      <c r="Y137" s="45" t="s">
        <v>213</v>
      </c>
    </row>
    <row r="138" spans="1:25" s="45" customFormat="1" ht="11.1" customHeight="1" x14ac:dyDescent="0.2">
      <c r="A138" s="38">
        <f t="shared" si="20"/>
        <v>136</v>
      </c>
      <c r="B138" s="90" t="s">
        <v>157</v>
      </c>
      <c r="C138" s="40" t="str">
        <f>IF($B138&lt;&gt;"",_xlfn.IFNA(VLOOKUP($B138,'Node Details'!$B:$U,C$1,0),"Check"),"")</f>
        <v>00001GF13-1GF130106</v>
      </c>
      <c r="D138" s="40" t="str">
        <f>IF($B138&lt;&gt;"",_xlfn.IFNA(VLOOKUP($B138,'Node Details'!$B:$U,D$1,0),"Check"),"")</f>
        <v>1GF</v>
      </c>
      <c r="E138" s="40" t="str">
        <f>IF($B138&lt;&gt;"",_xlfn.IFNA(VLOOKUP($B138,'Node Details'!$B:$U,E$1,0),"Check"),"")</f>
        <v>Airtel</v>
      </c>
      <c r="F138" s="97">
        <v>45379</v>
      </c>
      <c r="G138" s="42"/>
      <c r="H138" s="93" t="s">
        <v>217</v>
      </c>
      <c r="I138" s="93">
        <v>1</v>
      </c>
      <c r="J138" s="93">
        <v>710</v>
      </c>
      <c r="K138" s="44">
        <f t="shared" si="14"/>
        <v>710</v>
      </c>
      <c r="L138" s="41">
        <v>45141</v>
      </c>
      <c r="N138" s="43"/>
      <c r="O138" s="46"/>
      <c r="P138" s="47">
        <f t="shared" si="15"/>
        <v>710</v>
      </c>
      <c r="Q138" s="48">
        <f t="shared" si="16"/>
        <v>710</v>
      </c>
      <c r="R138" s="49"/>
      <c r="S138" s="50"/>
      <c r="T138" s="51"/>
      <c r="U138" s="47">
        <f t="shared" si="17"/>
        <v>710</v>
      </c>
      <c r="V138" s="47">
        <f t="shared" si="18"/>
        <v>1</v>
      </c>
      <c r="W138" s="52">
        <f t="shared" si="19"/>
        <v>710</v>
      </c>
      <c r="X138" s="124" t="s">
        <v>81</v>
      </c>
      <c r="Y138" s="45" t="s">
        <v>213</v>
      </c>
    </row>
    <row r="139" spans="1:25" s="45" customFormat="1" ht="11.1" customHeight="1" x14ac:dyDescent="0.2">
      <c r="A139" s="38">
        <f t="shared" si="20"/>
        <v>137</v>
      </c>
      <c r="B139" s="90" t="s">
        <v>158</v>
      </c>
      <c r="C139" s="40" t="str">
        <f>IF($B139&lt;&gt;"",_xlfn.IFNA(VLOOKUP($B139,'Node Details'!$B:$U,C$1,0),"Check"),"")</f>
        <v>00001GF13-1GF130106</v>
      </c>
      <c r="D139" s="40" t="str">
        <f>IF($B139&lt;&gt;"",_xlfn.IFNA(VLOOKUP($B139,'Node Details'!$B:$U,D$1,0),"Check"),"")</f>
        <v>1GF</v>
      </c>
      <c r="E139" s="40" t="str">
        <f>IF($B139&lt;&gt;"",_xlfn.IFNA(VLOOKUP($B139,'Node Details'!$B:$U,E$1,0),"Check"),"")</f>
        <v>Airtel</v>
      </c>
      <c r="F139" s="97">
        <v>45379</v>
      </c>
      <c r="G139" s="42"/>
      <c r="H139" s="93" t="s">
        <v>217</v>
      </c>
      <c r="I139" s="93">
        <v>1</v>
      </c>
      <c r="J139" s="93">
        <v>710</v>
      </c>
      <c r="K139" s="44">
        <f t="shared" si="14"/>
        <v>710</v>
      </c>
      <c r="L139" s="41">
        <v>45141</v>
      </c>
      <c r="N139" s="43"/>
      <c r="O139" s="46"/>
      <c r="P139" s="47">
        <f t="shared" si="15"/>
        <v>710</v>
      </c>
      <c r="Q139" s="48">
        <f t="shared" si="16"/>
        <v>710</v>
      </c>
      <c r="R139" s="49"/>
      <c r="S139" s="50"/>
      <c r="T139" s="51"/>
      <c r="U139" s="47">
        <f t="shared" si="17"/>
        <v>710</v>
      </c>
      <c r="V139" s="47">
        <f t="shared" si="18"/>
        <v>1</v>
      </c>
      <c r="W139" s="52">
        <f t="shared" si="19"/>
        <v>710</v>
      </c>
      <c r="X139" s="124" t="s">
        <v>81</v>
      </c>
      <c r="Y139" s="45" t="s">
        <v>213</v>
      </c>
    </row>
    <row r="140" spans="1:25" s="45" customFormat="1" ht="11.1" customHeight="1" x14ac:dyDescent="0.2">
      <c r="A140" s="38">
        <f t="shared" si="20"/>
        <v>138</v>
      </c>
      <c r="B140" s="90" t="s">
        <v>159</v>
      </c>
      <c r="C140" s="40" t="str">
        <f>IF($B140&lt;&gt;"",_xlfn.IFNA(VLOOKUP($B140,'Node Details'!$B:$U,C$1,0),"Check"),"")</f>
        <v>00001GF13-1GF130106</v>
      </c>
      <c r="D140" s="40" t="str">
        <f>IF($B140&lt;&gt;"",_xlfn.IFNA(VLOOKUP($B140,'Node Details'!$B:$U,D$1,0),"Check"),"")</f>
        <v>1GF</v>
      </c>
      <c r="E140" s="40" t="str">
        <f>IF($B140&lt;&gt;"",_xlfn.IFNA(VLOOKUP($B140,'Node Details'!$B:$U,E$1,0),"Check"),"")</f>
        <v>Airtel</v>
      </c>
      <c r="F140" s="97">
        <v>45379</v>
      </c>
      <c r="G140" s="42"/>
      <c r="H140" s="93" t="s">
        <v>217</v>
      </c>
      <c r="I140" s="93">
        <v>1</v>
      </c>
      <c r="J140" s="93">
        <v>710</v>
      </c>
      <c r="K140" s="44">
        <f t="shared" si="14"/>
        <v>710</v>
      </c>
      <c r="L140" s="41">
        <v>45141</v>
      </c>
      <c r="N140" s="43"/>
      <c r="O140" s="46"/>
      <c r="P140" s="47">
        <f t="shared" si="15"/>
        <v>710</v>
      </c>
      <c r="Q140" s="48">
        <f t="shared" si="16"/>
        <v>710</v>
      </c>
      <c r="R140" s="49"/>
      <c r="S140" s="50"/>
      <c r="T140" s="51"/>
      <c r="U140" s="47">
        <f t="shared" si="17"/>
        <v>710</v>
      </c>
      <c r="V140" s="47">
        <f t="shared" si="18"/>
        <v>1</v>
      </c>
      <c r="W140" s="52">
        <f t="shared" si="19"/>
        <v>710</v>
      </c>
      <c r="X140" s="124" t="s">
        <v>81</v>
      </c>
      <c r="Y140" s="45" t="s">
        <v>213</v>
      </c>
    </row>
    <row r="141" spans="1:25" s="45" customFormat="1" ht="11.1" customHeight="1" x14ac:dyDescent="0.2">
      <c r="A141" s="38">
        <f t="shared" si="20"/>
        <v>139</v>
      </c>
      <c r="B141" s="90" t="s">
        <v>101</v>
      </c>
      <c r="C141" s="40" t="str">
        <f>IF($B141&lt;&gt;"",_xlfn.IFNA(VLOOKUP($B141,'Node Details'!$B:$U,C$1,0),"Check"),"")</f>
        <v>00001GF13-1GF130106</v>
      </c>
      <c r="D141" s="40" t="str">
        <f>IF($B141&lt;&gt;"",_xlfn.IFNA(VLOOKUP($B141,'Node Details'!$B:$U,D$1,0),"Check"),"")</f>
        <v>1GF</v>
      </c>
      <c r="E141" s="40" t="str">
        <f>IF($B141&lt;&gt;"",_xlfn.IFNA(VLOOKUP($B141,'Node Details'!$B:$U,E$1,0),"Check"),"")</f>
        <v>Airtel</v>
      </c>
      <c r="F141" s="97">
        <v>45379</v>
      </c>
      <c r="G141" s="42"/>
      <c r="H141" s="93" t="s">
        <v>217</v>
      </c>
      <c r="I141" s="93">
        <v>1</v>
      </c>
      <c r="J141" s="93">
        <v>710</v>
      </c>
      <c r="K141" s="44">
        <f t="shared" si="14"/>
        <v>710</v>
      </c>
      <c r="L141" s="41">
        <v>45141</v>
      </c>
      <c r="N141" s="43"/>
      <c r="O141" s="46"/>
      <c r="P141" s="47">
        <f t="shared" si="15"/>
        <v>710</v>
      </c>
      <c r="Q141" s="48">
        <f t="shared" si="16"/>
        <v>710</v>
      </c>
      <c r="R141" s="49"/>
      <c r="S141" s="50"/>
      <c r="T141" s="51"/>
      <c r="U141" s="47">
        <f t="shared" si="17"/>
        <v>710</v>
      </c>
      <c r="V141" s="47">
        <f t="shared" si="18"/>
        <v>1</v>
      </c>
      <c r="W141" s="52">
        <f t="shared" si="19"/>
        <v>710</v>
      </c>
      <c r="X141" s="124" t="s">
        <v>81</v>
      </c>
      <c r="Y141" s="45" t="s">
        <v>213</v>
      </c>
    </row>
    <row r="142" spans="1:25" s="45" customFormat="1" ht="11.1" customHeight="1" x14ac:dyDescent="0.2">
      <c r="A142" s="38">
        <f t="shared" si="20"/>
        <v>140</v>
      </c>
      <c r="B142" s="90" t="s">
        <v>103</v>
      </c>
      <c r="C142" s="40" t="str">
        <f>IF($B142&lt;&gt;"",_xlfn.IFNA(VLOOKUP($B142,'Node Details'!$B:$U,C$1,0),"Check"),"")</f>
        <v>00001GF12-00001GF22</v>
      </c>
      <c r="D142" s="40" t="str">
        <f>IF($B142&lt;&gt;"",_xlfn.IFNA(VLOOKUP($B142,'Node Details'!$B:$U,D$1,0),"Check"),"")</f>
        <v>1GF</v>
      </c>
      <c r="E142" s="40" t="str">
        <f>IF($B142&lt;&gt;"",_xlfn.IFNA(VLOOKUP($B142,'Node Details'!$B:$U,E$1,0),"Check"),"")</f>
        <v>Airtel</v>
      </c>
      <c r="F142" s="97">
        <v>45379</v>
      </c>
      <c r="G142" s="42"/>
      <c r="H142" s="93" t="s">
        <v>217</v>
      </c>
      <c r="I142" s="93">
        <v>1</v>
      </c>
      <c r="J142" s="93">
        <v>1500</v>
      </c>
      <c r="K142" s="44">
        <f t="shared" si="14"/>
        <v>1500</v>
      </c>
      <c r="L142" s="41">
        <v>45141</v>
      </c>
      <c r="N142" s="100" t="s">
        <v>210</v>
      </c>
      <c r="O142" s="96">
        <v>45273</v>
      </c>
      <c r="P142" s="47">
        <f t="shared" si="15"/>
        <v>1500</v>
      </c>
      <c r="Q142" s="48">
        <f t="shared" si="16"/>
        <v>1500</v>
      </c>
      <c r="R142" s="49"/>
      <c r="S142" s="100" t="s">
        <v>211</v>
      </c>
      <c r="T142" s="96">
        <v>45273</v>
      </c>
      <c r="U142" s="47">
        <f t="shared" si="17"/>
        <v>1500</v>
      </c>
      <c r="V142" s="47">
        <f t="shared" si="18"/>
        <v>1</v>
      </c>
      <c r="W142" s="52">
        <f t="shared" si="19"/>
        <v>1500</v>
      </c>
      <c r="X142" s="124" t="s">
        <v>81</v>
      </c>
      <c r="Y142" s="45" t="s">
        <v>212</v>
      </c>
    </row>
    <row r="143" spans="1:25" s="45" customFormat="1" ht="11.1" customHeight="1" x14ac:dyDescent="0.2">
      <c r="A143" s="38">
        <f t="shared" si="20"/>
        <v>141</v>
      </c>
      <c r="B143" s="90" t="s">
        <v>160</v>
      </c>
      <c r="C143" s="40" t="str">
        <f>IF($B143&lt;&gt;"",_xlfn.IFNA(VLOOKUP($B143,'Node Details'!$B:$U,C$1,0),"Check"),"")</f>
        <v>00001GF14-1GF140107</v>
      </c>
      <c r="D143" s="40" t="str">
        <f>IF($B143&lt;&gt;"",_xlfn.IFNA(VLOOKUP($B143,'Node Details'!$B:$U,D$1,0),"Check"),"")</f>
        <v>1GF</v>
      </c>
      <c r="E143" s="40" t="str">
        <f>IF($B143&lt;&gt;"",_xlfn.IFNA(VLOOKUP($B143,'Node Details'!$B:$U,E$1,0),"Check"),"")</f>
        <v>Airtel</v>
      </c>
      <c r="F143" s="97">
        <v>45379</v>
      </c>
      <c r="G143" s="42"/>
      <c r="H143" s="93" t="s">
        <v>217</v>
      </c>
      <c r="I143" s="93">
        <v>1</v>
      </c>
      <c r="J143" s="93">
        <v>1500</v>
      </c>
      <c r="K143" s="44">
        <f t="shared" si="14"/>
        <v>1500</v>
      </c>
      <c r="L143" s="41">
        <v>45141</v>
      </c>
      <c r="N143" s="43"/>
      <c r="O143" s="46"/>
      <c r="P143" s="47">
        <f t="shared" si="15"/>
        <v>1500</v>
      </c>
      <c r="Q143" s="48">
        <f t="shared" si="16"/>
        <v>1500</v>
      </c>
      <c r="R143" s="49"/>
      <c r="S143" s="50"/>
      <c r="T143" s="51"/>
      <c r="U143" s="47">
        <f t="shared" si="17"/>
        <v>1500</v>
      </c>
      <c r="V143" s="47">
        <f t="shared" si="18"/>
        <v>1</v>
      </c>
      <c r="W143" s="52">
        <f t="shared" si="19"/>
        <v>1500</v>
      </c>
      <c r="X143" s="124" t="s">
        <v>81</v>
      </c>
      <c r="Y143" s="45" t="s">
        <v>213</v>
      </c>
    </row>
    <row r="144" spans="1:25" s="45" customFormat="1" ht="11.1" customHeight="1" x14ac:dyDescent="0.2">
      <c r="A144" s="38">
        <f t="shared" si="20"/>
        <v>142</v>
      </c>
      <c r="B144" s="90" t="s">
        <v>161</v>
      </c>
      <c r="C144" s="40" t="str">
        <f>IF($B144&lt;&gt;"",_xlfn.IFNA(VLOOKUP($B144,'Node Details'!$B:$U,C$1,0),"Check"),"")</f>
        <v>00001GF14-1GF140107</v>
      </c>
      <c r="D144" s="40" t="str">
        <f>IF($B144&lt;&gt;"",_xlfn.IFNA(VLOOKUP($B144,'Node Details'!$B:$U,D$1,0),"Check"),"")</f>
        <v>1GF</v>
      </c>
      <c r="E144" s="40" t="str">
        <f>IF($B144&lt;&gt;"",_xlfn.IFNA(VLOOKUP($B144,'Node Details'!$B:$U,E$1,0),"Check"),"")</f>
        <v>Airtel</v>
      </c>
      <c r="F144" s="97">
        <v>45379</v>
      </c>
      <c r="G144" s="42"/>
      <c r="H144" s="93" t="s">
        <v>217</v>
      </c>
      <c r="I144" s="93">
        <v>1</v>
      </c>
      <c r="J144" s="93">
        <v>710</v>
      </c>
      <c r="K144" s="44">
        <f t="shared" si="14"/>
        <v>710</v>
      </c>
      <c r="L144" s="41">
        <v>45141</v>
      </c>
      <c r="N144" s="43"/>
      <c r="O144" s="46"/>
      <c r="P144" s="47">
        <f t="shared" si="15"/>
        <v>710</v>
      </c>
      <c r="Q144" s="48">
        <f t="shared" si="16"/>
        <v>710</v>
      </c>
      <c r="R144" s="49"/>
      <c r="S144" s="50"/>
      <c r="T144" s="51"/>
      <c r="U144" s="47">
        <f t="shared" si="17"/>
        <v>710</v>
      </c>
      <c r="V144" s="47">
        <f t="shared" si="18"/>
        <v>1</v>
      </c>
      <c r="W144" s="52">
        <f t="shared" si="19"/>
        <v>710</v>
      </c>
      <c r="X144" s="124" t="s">
        <v>81</v>
      </c>
      <c r="Y144" s="45" t="s">
        <v>213</v>
      </c>
    </row>
    <row r="145" spans="1:25" s="45" customFormat="1" ht="11.1" customHeight="1" x14ac:dyDescent="0.2">
      <c r="A145" s="38">
        <f t="shared" si="20"/>
        <v>143</v>
      </c>
      <c r="B145" s="90" t="s">
        <v>162</v>
      </c>
      <c r="C145" s="40" t="str">
        <f>IF($B145&lt;&gt;"",_xlfn.IFNA(VLOOKUP($B145,'Node Details'!$B:$U,C$1,0),"Check"),"")</f>
        <v>00001GF14-1GF140107</v>
      </c>
      <c r="D145" s="40" t="str">
        <f>IF($B145&lt;&gt;"",_xlfn.IFNA(VLOOKUP($B145,'Node Details'!$B:$U,D$1,0),"Check"),"")</f>
        <v>1GF</v>
      </c>
      <c r="E145" s="40" t="str">
        <f>IF($B145&lt;&gt;"",_xlfn.IFNA(VLOOKUP($B145,'Node Details'!$B:$U,E$1,0),"Check"),"")</f>
        <v>Airtel</v>
      </c>
      <c r="F145" s="97">
        <v>45379</v>
      </c>
      <c r="G145" s="42"/>
      <c r="H145" s="93" t="s">
        <v>217</v>
      </c>
      <c r="I145" s="93">
        <v>1</v>
      </c>
      <c r="J145" s="93">
        <v>710</v>
      </c>
      <c r="K145" s="44">
        <f t="shared" si="14"/>
        <v>710</v>
      </c>
      <c r="L145" s="41">
        <v>45141</v>
      </c>
      <c r="N145" s="43"/>
      <c r="O145" s="46"/>
      <c r="P145" s="47">
        <f t="shared" si="15"/>
        <v>710</v>
      </c>
      <c r="Q145" s="48">
        <f t="shared" si="16"/>
        <v>710</v>
      </c>
      <c r="R145" s="49"/>
      <c r="S145" s="50"/>
      <c r="T145" s="51"/>
      <c r="U145" s="47">
        <f t="shared" si="17"/>
        <v>710</v>
      </c>
      <c r="V145" s="47">
        <f t="shared" si="18"/>
        <v>1</v>
      </c>
      <c r="W145" s="52">
        <f t="shared" si="19"/>
        <v>710</v>
      </c>
      <c r="X145" s="124" t="s">
        <v>81</v>
      </c>
      <c r="Y145" s="45" t="s">
        <v>213</v>
      </c>
    </row>
    <row r="146" spans="1:25" s="45" customFormat="1" ht="11.1" customHeight="1" x14ac:dyDescent="0.2">
      <c r="A146" s="38">
        <f t="shared" si="20"/>
        <v>144</v>
      </c>
      <c r="B146" s="90" t="s">
        <v>163</v>
      </c>
      <c r="C146" s="40" t="str">
        <f>IF($B146&lt;&gt;"",_xlfn.IFNA(VLOOKUP($B146,'Node Details'!$B:$U,C$1,0),"Check"),"")</f>
        <v>00001GF14-1GF140107</v>
      </c>
      <c r="D146" s="40" t="str">
        <f>IF($B146&lt;&gt;"",_xlfn.IFNA(VLOOKUP($B146,'Node Details'!$B:$U,D$1,0),"Check"),"")</f>
        <v>1GF</v>
      </c>
      <c r="E146" s="40" t="str">
        <f>IF($B146&lt;&gt;"",_xlfn.IFNA(VLOOKUP($B146,'Node Details'!$B:$U,E$1,0),"Check"),"")</f>
        <v>Airtel</v>
      </c>
      <c r="F146" s="97">
        <v>45379</v>
      </c>
      <c r="G146" s="42"/>
      <c r="H146" s="93" t="s">
        <v>217</v>
      </c>
      <c r="I146" s="93">
        <v>1</v>
      </c>
      <c r="J146" s="93">
        <v>710</v>
      </c>
      <c r="K146" s="44">
        <f t="shared" si="14"/>
        <v>710</v>
      </c>
      <c r="L146" s="41">
        <v>45141</v>
      </c>
      <c r="N146" s="43"/>
      <c r="O146" s="46"/>
      <c r="P146" s="47">
        <f t="shared" si="15"/>
        <v>710</v>
      </c>
      <c r="Q146" s="48">
        <f t="shared" si="16"/>
        <v>710</v>
      </c>
      <c r="R146" s="49"/>
      <c r="S146" s="50"/>
      <c r="T146" s="51"/>
      <c r="U146" s="47">
        <f t="shared" si="17"/>
        <v>710</v>
      </c>
      <c r="V146" s="47">
        <f t="shared" si="18"/>
        <v>1</v>
      </c>
      <c r="W146" s="52">
        <f t="shared" si="19"/>
        <v>710</v>
      </c>
      <c r="X146" s="124" t="s">
        <v>81</v>
      </c>
      <c r="Y146" s="45" t="s">
        <v>213</v>
      </c>
    </row>
    <row r="147" spans="1:25" s="45" customFormat="1" ht="11.1" customHeight="1" x14ac:dyDescent="0.2">
      <c r="A147" s="38">
        <f t="shared" si="20"/>
        <v>145</v>
      </c>
      <c r="B147" s="90" t="s">
        <v>164</v>
      </c>
      <c r="C147" s="40" t="str">
        <f>IF($B147&lt;&gt;"",_xlfn.IFNA(VLOOKUP($B147,'Node Details'!$B:$U,C$1,0),"Check"),"")</f>
        <v>00001GF14-1GF140107</v>
      </c>
      <c r="D147" s="40" t="str">
        <f>IF($B147&lt;&gt;"",_xlfn.IFNA(VLOOKUP($B147,'Node Details'!$B:$U,D$1,0),"Check"),"")</f>
        <v>1GF</v>
      </c>
      <c r="E147" s="40" t="str">
        <f>IF($B147&lt;&gt;"",_xlfn.IFNA(VLOOKUP($B147,'Node Details'!$B:$U,E$1,0),"Check"),"")</f>
        <v>Airtel</v>
      </c>
      <c r="F147" s="97">
        <v>45379</v>
      </c>
      <c r="G147" s="42"/>
      <c r="H147" s="93" t="s">
        <v>217</v>
      </c>
      <c r="I147" s="93">
        <v>1</v>
      </c>
      <c r="J147" s="93">
        <v>710</v>
      </c>
      <c r="K147" s="44">
        <f t="shared" si="14"/>
        <v>710</v>
      </c>
      <c r="L147" s="41">
        <v>45141</v>
      </c>
      <c r="N147" s="43"/>
      <c r="O147" s="46"/>
      <c r="P147" s="47">
        <f t="shared" si="15"/>
        <v>710</v>
      </c>
      <c r="Q147" s="48">
        <f t="shared" si="16"/>
        <v>710</v>
      </c>
      <c r="R147" s="49"/>
      <c r="S147" s="50"/>
      <c r="T147" s="51"/>
      <c r="U147" s="47">
        <f t="shared" si="17"/>
        <v>710</v>
      </c>
      <c r="V147" s="47">
        <f t="shared" si="18"/>
        <v>1</v>
      </c>
      <c r="W147" s="52">
        <f t="shared" si="19"/>
        <v>710</v>
      </c>
      <c r="X147" s="124" t="s">
        <v>81</v>
      </c>
      <c r="Y147" s="45" t="s">
        <v>213</v>
      </c>
    </row>
    <row r="148" spans="1:25" s="45" customFormat="1" ht="11.1" customHeight="1" x14ac:dyDescent="0.2">
      <c r="A148" s="38">
        <f t="shared" si="20"/>
        <v>146</v>
      </c>
      <c r="B148" s="90" t="s">
        <v>165</v>
      </c>
      <c r="C148" s="40" t="str">
        <f>IF($B148&lt;&gt;"",_xlfn.IFNA(VLOOKUP($B148,'Node Details'!$B:$U,C$1,0),"Check"),"")</f>
        <v>00001GF14-1GF140107</v>
      </c>
      <c r="D148" s="40" t="str">
        <f>IF($B148&lt;&gt;"",_xlfn.IFNA(VLOOKUP($B148,'Node Details'!$B:$U,D$1,0),"Check"),"")</f>
        <v>1GF</v>
      </c>
      <c r="E148" s="40" t="str">
        <f>IF($B148&lt;&gt;"",_xlfn.IFNA(VLOOKUP($B148,'Node Details'!$B:$U,E$1,0),"Check"),"")</f>
        <v>Airtel</v>
      </c>
      <c r="F148" s="97">
        <v>45379</v>
      </c>
      <c r="G148" s="42"/>
      <c r="H148" s="93" t="s">
        <v>217</v>
      </c>
      <c r="I148" s="93">
        <v>1</v>
      </c>
      <c r="J148" s="93">
        <v>710</v>
      </c>
      <c r="K148" s="44">
        <f t="shared" si="14"/>
        <v>710</v>
      </c>
      <c r="L148" s="41">
        <v>45141</v>
      </c>
      <c r="N148" s="43"/>
      <c r="O148" s="46"/>
      <c r="P148" s="47">
        <f t="shared" si="15"/>
        <v>710</v>
      </c>
      <c r="Q148" s="48">
        <f t="shared" si="16"/>
        <v>710</v>
      </c>
      <c r="R148" s="49"/>
      <c r="S148" s="50"/>
      <c r="T148" s="51"/>
      <c r="U148" s="47">
        <f t="shared" si="17"/>
        <v>710</v>
      </c>
      <c r="V148" s="47">
        <f t="shared" si="18"/>
        <v>1</v>
      </c>
      <c r="W148" s="52">
        <f t="shared" si="19"/>
        <v>710</v>
      </c>
      <c r="X148" s="124" t="s">
        <v>81</v>
      </c>
      <c r="Y148" s="45" t="s">
        <v>213</v>
      </c>
    </row>
    <row r="149" spans="1:25" s="45" customFormat="1" ht="11.1" customHeight="1" x14ac:dyDescent="0.2">
      <c r="A149" s="38">
        <f t="shared" si="20"/>
        <v>147</v>
      </c>
      <c r="B149" s="90" t="s">
        <v>105</v>
      </c>
      <c r="C149" s="40" t="str">
        <f>IF($B149&lt;&gt;"",_xlfn.IFNA(VLOOKUP($B149,'Node Details'!$B:$U,C$1,0),"Check"),"")</f>
        <v>00001GF14-1GF140107</v>
      </c>
      <c r="D149" s="40" t="str">
        <f>IF($B149&lt;&gt;"",_xlfn.IFNA(VLOOKUP($B149,'Node Details'!$B:$U,D$1,0),"Check"),"")</f>
        <v>1GF</v>
      </c>
      <c r="E149" s="40" t="str">
        <f>IF($B149&lt;&gt;"",_xlfn.IFNA(VLOOKUP($B149,'Node Details'!$B:$U,E$1,0),"Check"),"")</f>
        <v>Airtel</v>
      </c>
      <c r="F149" s="97">
        <v>45379</v>
      </c>
      <c r="G149" s="42"/>
      <c r="H149" s="93" t="s">
        <v>217</v>
      </c>
      <c r="I149" s="93">
        <v>1</v>
      </c>
      <c r="J149" s="93">
        <v>710</v>
      </c>
      <c r="K149" s="44">
        <f t="shared" si="14"/>
        <v>710</v>
      </c>
      <c r="L149" s="41">
        <v>45141</v>
      </c>
      <c r="N149" s="43"/>
      <c r="O149" s="46"/>
      <c r="P149" s="47">
        <f t="shared" si="15"/>
        <v>710</v>
      </c>
      <c r="Q149" s="48">
        <f t="shared" si="16"/>
        <v>710</v>
      </c>
      <c r="R149" s="49"/>
      <c r="S149" s="50"/>
      <c r="T149" s="51"/>
      <c r="U149" s="47">
        <f t="shared" si="17"/>
        <v>710</v>
      </c>
      <c r="V149" s="47">
        <f t="shared" si="18"/>
        <v>1</v>
      </c>
      <c r="W149" s="52">
        <f t="shared" si="19"/>
        <v>710</v>
      </c>
      <c r="X149" s="124" t="s">
        <v>81</v>
      </c>
      <c r="Y149" s="45" t="s">
        <v>213</v>
      </c>
    </row>
    <row r="150" spans="1:25" s="45" customFormat="1" ht="11.1" customHeight="1" x14ac:dyDescent="0.2">
      <c r="A150" s="38">
        <f t="shared" si="20"/>
        <v>148</v>
      </c>
      <c r="B150" s="90" t="s">
        <v>107</v>
      </c>
      <c r="C150" s="40" t="str">
        <f>IF($B150&lt;&gt;"",_xlfn.IFNA(VLOOKUP($B150,'Node Details'!$B:$U,C$1,0),"Check"),"")</f>
        <v>00001GF12-00001GF22</v>
      </c>
      <c r="D150" s="40" t="str">
        <f>IF($B150&lt;&gt;"",_xlfn.IFNA(VLOOKUP($B150,'Node Details'!$B:$U,D$1,0),"Check"),"")</f>
        <v>1GF</v>
      </c>
      <c r="E150" s="40" t="str">
        <f>IF($B150&lt;&gt;"",_xlfn.IFNA(VLOOKUP($B150,'Node Details'!$B:$U,E$1,0),"Check"),"")</f>
        <v>Airtel</v>
      </c>
      <c r="F150" s="97">
        <v>45379</v>
      </c>
      <c r="G150" s="42"/>
      <c r="H150" s="93" t="s">
        <v>217</v>
      </c>
      <c r="I150" s="93">
        <v>1</v>
      </c>
      <c r="J150" s="93">
        <v>1500</v>
      </c>
      <c r="K150" s="44">
        <f t="shared" si="14"/>
        <v>1500</v>
      </c>
      <c r="L150" s="41">
        <v>45141</v>
      </c>
      <c r="N150" s="100" t="s">
        <v>210</v>
      </c>
      <c r="O150" s="96">
        <v>45273</v>
      </c>
      <c r="P150" s="47">
        <f t="shared" si="15"/>
        <v>1500</v>
      </c>
      <c r="Q150" s="48">
        <f t="shared" si="16"/>
        <v>1500</v>
      </c>
      <c r="R150" s="49"/>
      <c r="S150" s="100" t="s">
        <v>211</v>
      </c>
      <c r="T150" s="96">
        <v>45273</v>
      </c>
      <c r="U150" s="47">
        <f t="shared" si="17"/>
        <v>1500</v>
      </c>
      <c r="V150" s="47">
        <f t="shared" si="18"/>
        <v>1</v>
      </c>
      <c r="W150" s="52">
        <f t="shared" si="19"/>
        <v>1500</v>
      </c>
      <c r="X150" s="124" t="s">
        <v>81</v>
      </c>
      <c r="Y150" s="45" t="s">
        <v>212</v>
      </c>
    </row>
    <row r="151" spans="1:25" s="45" customFormat="1" ht="11.1" customHeight="1" x14ac:dyDescent="0.2">
      <c r="A151" s="38">
        <f t="shared" si="20"/>
        <v>149</v>
      </c>
      <c r="B151" s="90" t="s">
        <v>166</v>
      </c>
      <c r="C151" s="40" t="str">
        <f>IF($B151&lt;&gt;"",_xlfn.IFNA(VLOOKUP($B151,'Node Details'!$B:$U,C$1,0),"Check"),"")</f>
        <v>00001GF15-1GF150107</v>
      </c>
      <c r="D151" s="40" t="str">
        <f>IF($B151&lt;&gt;"",_xlfn.IFNA(VLOOKUP($B151,'Node Details'!$B:$U,D$1,0),"Check"),"")</f>
        <v>1GF</v>
      </c>
      <c r="E151" s="40" t="str">
        <f>IF($B151&lt;&gt;"",_xlfn.IFNA(VLOOKUP($B151,'Node Details'!$B:$U,E$1,0),"Check"),"")</f>
        <v>Airtel</v>
      </c>
      <c r="F151" s="97">
        <v>45379</v>
      </c>
      <c r="G151" s="42"/>
      <c r="H151" s="93" t="s">
        <v>217</v>
      </c>
      <c r="I151" s="93">
        <v>1</v>
      </c>
      <c r="J151" s="93">
        <v>1500</v>
      </c>
      <c r="K151" s="44">
        <f t="shared" si="14"/>
        <v>1500</v>
      </c>
      <c r="L151" s="41">
        <v>45141</v>
      </c>
      <c r="N151" s="43"/>
      <c r="O151" s="46"/>
      <c r="P151" s="47">
        <f t="shared" si="15"/>
        <v>1500</v>
      </c>
      <c r="Q151" s="48">
        <f t="shared" si="16"/>
        <v>1500</v>
      </c>
      <c r="R151" s="49"/>
      <c r="S151" s="50"/>
      <c r="T151" s="51"/>
      <c r="U151" s="47">
        <f t="shared" si="17"/>
        <v>1500</v>
      </c>
      <c r="V151" s="47">
        <f t="shared" si="18"/>
        <v>1</v>
      </c>
      <c r="W151" s="52">
        <f t="shared" si="19"/>
        <v>1500</v>
      </c>
      <c r="X151" s="124" t="s">
        <v>81</v>
      </c>
      <c r="Y151" s="45" t="s">
        <v>213</v>
      </c>
    </row>
    <row r="152" spans="1:25" s="45" customFormat="1" ht="11.1" customHeight="1" x14ac:dyDescent="0.2">
      <c r="A152" s="38">
        <f t="shared" si="20"/>
        <v>150</v>
      </c>
      <c r="B152" s="90" t="s">
        <v>167</v>
      </c>
      <c r="C152" s="40" t="str">
        <f>IF($B152&lt;&gt;"",_xlfn.IFNA(VLOOKUP($B152,'Node Details'!$B:$U,C$1,0),"Check"),"")</f>
        <v>00001GF15-1GF150107</v>
      </c>
      <c r="D152" s="40" t="str">
        <f>IF($B152&lt;&gt;"",_xlfn.IFNA(VLOOKUP($B152,'Node Details'!$B:$U,D$1,0),"Check"),"")</f>
        <v>1GF</v>
      </c>
      <c r="E152" s="40" t="str">
        <f>IF($B152&lt;&gt;"",_xlfn.IFNA(VLOOKUP($B152,'Node Details'!$B:$U,E$1,0),"Check"),"")</f>
        <v>Airtel</v>
      </c>
      <c r="F152" s="97">
        <v>45379</v>
      </c>
      <c r="G152" s="42"/>
      <c r="H152" s="93" t="s">
        <v>217</v>
      </c>
      <c r="I152" s="93">
        <v>1</v>
      </c>
      <c r="J152" s="93">
        <v>710</v>
      </c>
      <c r="K152" s="44">
        <f t="shared" si="14"/>
        <v>710</v>
      </c>
      <c r="L152" s="41">
        <v>45141</v>
      </c>
      <c r="N152" s="43"/>
      <c r="O152" s="46"/>
      <c r="P152" s="47">
        <f t="shared" si="15"/>
        <v>710</v>
      </c>
      <c r="Q152" s="48">
        <f t="shared" si="16"/>
        <v>710</v>
      </c>
      <c r="R152" s="49"/>
      <c r="S152" s="50"/>
      <c r="T152" s="51"/>
      <c r="U152" s="47">
        <f t="shared" si="17"/>
        <v>710</v>
      </c>
      <c r="V152" s="47">
        <f t="shared" si="18"/>
        <v>1</v>
      </c>
      <c r="W152" s="52">
        <f t="shared" si="19"/>
        <v>710</v>
      </c>
      <c r="X152" s="124" t="s">
        <v>81</v>
      </c>
      <c r="Y152" s="45" t="s">
        <v>213</v>
      </c>
    </row>
    <row r="153" spans="1:25" s="45" customFormat="1" ht="11.1" customHeight="1" x14ac:dyDescent="0.2">
      <c r="A153" s="38">
        <f t="shared" si="20"/>
        <v>151</v>
      </c>
      <c r="B153" s="90" t="s">
        <v>168</v>
      </c>
      <c r="C153" s="40" t="str">
        <f>IF($B153&lt;&gt;"",_xlfn.IFNA(VLOOKUP($B153,'Node Details'!$B:$U,C$1,0),"Check"),"")</f>
        <v>00001GF15-1GF150107</v>
      </c>
      <c r="D153" s="40" t="str">
        <f>IF($B153&lt;&gt;"",_xlfn.IFNA(VLOOKUP($B153,'Node Details'!$B:$U,D$1,0),"Check"),"")</f>
        <v>1GF</v>
      </c>
      <c r="E153" s="40" t="str">
        <f>IF($B153&lt;&gt;"",_xlfn.IFNA(VLOOKUP($B153,'Node Details'!$B:$U,E$1,0),"Check"),"")</f>
        <v>Airtel</v>
      </c>
      <c r="F153" s="97">
        <v>45379</v>
      </c>
      <c r="G153" s="42"/>
      <c r="H153" s="93" t="s">
        <v>217</v>
      </c>
      <c r="I153" s="93">
        <v>1</v>
      </c>
      <c r="J153" s="93">
        <v>710</v>
      </c>
      <c r="K153" s="44">
        <f t="shared" si="14"/>
        <v>710</v>
      </c>
      <c r="L153" s="41">
        <v>45141</v>
      </c>
      <c r="N153" s="43"/>
      <c r="O153" s="46"/>
      <c r="P153" s="47">
        <f t="shared" si="15"/>
        <v>710</v>
      </c>
      <c r="Q153" s="48">
        <f t="shared" si="16"/>
        <v>710</v>
      </c>
      <c r="R153" s="49"/>
      <c r="S153" s="50"/>
      <c r="T153" s="51"/>
      <c r="U153" s="47">
        <f t="shared" si="17"/>
        <v>710</v>
      </c>
      <c r="V153" s="47">
        <f t="shared" si="18"/>
        <v>1</v>
      </c>
      <c r="W153" s="52">
        <f t="shared" si="19"/>
        <v>710</v>
      </c>
      <c r="X153" s="124" t="s">
        <v>81</v>
      </c>
      <c r="Y153" s="45" t="s">
        <v>213</v>
      </c>
    </row>
    <row r="154" spans="1:25" s="45" customFormat="1" ht="11.1" customHeight="1" x14ac:dyDescent="0.2">
      <c r="A154" s="38">
        <f t="shared" si="20"/>
        <v>152</v>
      </c>
      <c r="B154" s="90" t="s">
        <v>169</v>
      </c>
      <c r="C154" s="40" t="str">
        <f>IF($B154&lt;&gt;"",_xlfn.IFNA(VLOOKUP($B154,'Node Details'!$B:$U,C$1,0),"Check"),"")</f>
        <v>00001GF15-1GF150107</v>
      </c>
      <c r="D154" s="40" t="str">
        <f>IF($B154&lt;&gt;"",_xlfn.IFNA(VLOOKUP($B154,'Node Details'!$B:$U,D$1,0),"Check"),"")</f>
        <v>1GF</v>
      </c>
      <c r="E154" s="40" t="str">
        <f>IF($B154&lt;&gt;"",_xlfn.IFNA(VLOOKUP($B154,'Node Details'!$B:$U,E$1,0),"Check"),"")</f>
        <v>Airtel</v>
      </c>
      <c r="F154" s="97">
        <v>45379</v>
      </c>
      <c r="G154" s="42"/>
      <c r="H154" s="93" t="s">
        <v>217</v>
      </c>
      <c r="I154" s="93">
        <v>1</v>
      </c>
      <c r="J154" s="93">
        <v>710</v>
      </c>
      <c r="K154" s="44">
        <f t="shared" si="14"/>
        <v>710</v>
      </c>
      <c r="L154" s="41">
        <v>45141</v>
      </c>
      <c r="N154" s="43"/>
      <c r="O154" s="46"/>
      <c r="P154" s="47">
        <f t="shared" si="15"/>
        <v>710</v>
      </c>
      <c r="Q154" s="48">
        <f t="shared" si="16"/>
        <v>710</v>
      </c>
      <c r="R154" s="49"/>
      <c r="S154" s="50"/>
      <c r="T154" s="51"/>
      <c r="U154" s="47">
        <f t="shared" si="17"/>
        <v>710</v>
      </c>
      <c r="V154" s="47">
        <f t="shared" si="18"/>
        <v>1</v>
      </c>
      <c r="W154" s="52">
        <f t="shared" si="19"/>
        <v>710</v>
      </c>
      <c r="X154" s="124" t="s">
        <v>81</v>
      </c>
      <c r="Y154" s="45" t="s">
        <v>213</v>
      </c>
    </row>
    <row r="155" spans="1:25" s="45" customFormat="1" ht="11.1" customHeight="1" x14ac:dyDescent="0.2">
      <c r="A155" s="38">
        <f t="shared" si="20"/>
        <v>153</v>
      </c>
      <c r="B155" s="90" t="s">
        <v>170</v>
      </c>
      <c r="C155" s="40" t="str">
        <f>IF($B155&lt;&gt;"",_xlfn.IFNA(VLOOKUP($B155,'Node Details'!$B:$U,C$1,0),"Check"),"")</f>
        <v>00001GF15-1GF150107</v>
      </c>
      <c r="D155" s="40" t="str">
        <f>IF($B155&lt;&gt;"",_xlfn.IFNA(VLOOKUP($B155,'Node Details'!$B:$U,D$1,0),"Check"),"")</f>
        <v>1GF</v>
      </c>
      <c r="E155" s="40" t="str">
        <f>IF($B155&lt;&gt;"",_xlfn.IFNA(VLOOKUP($B155,'Node Details'!$B:$U,E$1,0),"Check"),"")</f>
        <v>Airtel</v>
      </c>
      <c r="F155" s="97">
        <v>45379</v>
      </c>
      <c r="G155" s="42"/>
      <c r="H155" s="93" t="s">
        <v>217</v>
      </c>
      <c r="I155" s="93">
        <v>1</v>
      </c>
      <c r="J155" s="93">
        <v>710</v>
      </c>
      <c r="K155" s="44">
        <f t="shared" si="14"/>
        <v>710</v>
      </c>
      <c r="L155" s="41">
        <v>45141</v>
      </c>
      <c r="N155" s="43"/>
      <c r="O155" s="46"/>
      <c r="P155" s="47">
        <f t="shared" si="15"/>
        <v>710</v>
      </c>
      <c r="Q155" s="48">
        <f t="shared" si="16"/>
        <v>710</v>
      </c>
      <c r="R155" s="49"/>
      <c r="S155" s="50"/>
      <c r="T155" s="51"/>
      <c r="U155" s="47">
        <f t="shared" si="17"/>
        <v>710</v>
      </c>
      <c r="V155" s="47">
        <f t="shared" si="18"/>
        <v>1</v>
      </c>
      <c r="W155" s="52">
        <f t="shared" si="19"/>
        <v>710</v>
      </c>
      <c r="X155" s="124" t="s">
        <v>81</v>
      </c>
      <c r="Y155" s="45" t="s">
        <v>213</v>
      </c>
    </row>
    <row r="156" spans="1:25" s="45" customFormat="1" ht="11.1" customHeight="1" x14ac:dyDescent="0.2">
      <c r="A156" s="38">
        <f t="shared" si="20"/>
        <v>154</v>
      </c>
      <c r="B156" s="90" t="s">
        <v>171</v>
      </c>
      <c r="C156" s="40" t="str">
        <f>IF($B156&lt;&gt;"",_xlfn.IFNA(VLOOKUP($B156,'Node Details'!$B:$U,C$1,0),"Check"),"")</f>
        <v>00001GF15-1GF150107</v>
      </c>
      <c r="D156" s="40" t="str">
        <f>IF($B156&lt;&gt;"",_xlfn.IFNA(VLOOKUP($B156,'Node Details'!$B:$U,D$1,0),"Check"),"")</f>
        <v>1GF</v>
      </c>
      <c r="E156" s="40" t="str">
        <f>IF($B156&lt;&gt;"",_xlfn.IFNA(VLOOKUP($B156,'Node Details'!$B:$U,E$1,0),"Check"),"")</f>
        <v>Airtel</v>
      </c>
      <c r="F156" s="97">
        <v>45379</v>
      </c>
      <c r="G156" s="42"/>
      <c r="H156" s="93" t="s">
        <v>217</v>
      </c>
      <c r="I156" s="93">
        <v>1</v>
      </c>
      <c r="J156" s="93">
        <v>710</v>
      </c>
      <c r="K156" s="44">
        <f t="shared" si="14"/>
        <v>710</v>
      </c>
      <c r="L156" s="41">
        <v>45141</v>
      </c>
      <c r="N156" s="43"/>
      <c r="O156" s="46"/>
      <c r="P156" s="47">
        <f t="shared" si="15"/>
        <v>710</v>
      </c>
      <c r="Q156" s="48">
        <f t="shared" si="16"/>
        <v>710</v>
      </c>
      <c r="R156" s="49"/>
      <c r="S156" s="50"/>
      <c r="T156" s="51"/>
      <c r="U156" s="47">
        <f t="shared" si="17"/>
        <v>710</v>
      </c>
      <c r="V156" s="47">
        <f t="shared" si="18"/>
        <v>1</v>
      </c>
      <c r="W156" s="52">
        <f t="shared" si="19"/>
        <v>710</v>
      </c>
      <c r="X156" s="124" t="s">
        <v>81</v>
      </c>
      <c r="Y156" s="45" t="s">
        <v>213</v>
      </c>
    </row>
    <row r="157" spans="1:25" s="45" customFormat="1" ht="11.1" customHeight="1" x14ac:dyDescent="0.2">
      <c r="A157" s="38">
        <f t="shared" si="20"/>
        <v>155</v>
      </c>
      <c r="B157" s="90" t="s">
        <v>109</v>
      </c>
      <c r="C157" s="40" t="str">
        <f>IF($B157&lt;&gt;"",_xlfn.IFNA(VLOOKUP($B157,'Node Details'!$B:$U,C$1,0),"Check"),"")</f>
        <v>00001GF15-1GF150107</v>
      </c>
      <c r="D157" s="40" t="str">
        <f>IF($B157&lt;&gt;"",_xlfn.IFNA(VLOOKUP($B157,'Node Details'!$B:$U,D$1,0),"Check"),"")</f>
        <v>1GF</v>
      </c>
      <c r="E157" s="40" t="str">
        <f>IF($B157&lt;&gt;"",_xlfn.IFNA(VLOOKUP($B157,'Node Details'!$B:$U,E$1,0),"Check"),"")</f>
        <v>Airtel</v>
      </c>
      <c r="F157" s="97">
        <v>45379</v>
      </c>
      <c r="G157" s="42"/>
      <c r="H157" s="93" t="s">
        <v>217</v>
      </c>
      <c r="I157" s="93">
        <v>1</v>
      </c>
      <c r="J157" s="93">
        <v>710</v>
      </c>
      <c r="K157" s="44">
        <f t="shared" si="14"/>
        <v>710</v>
      </c>
      <c r="L157" s="41">
        <v>45141</v>
      </c>
      <c r="N157" s="43"/>
      <c r="O157" s="46"/>
      <c r="P157" s="47">
        <f t="shared" si="15"/>
        <v>710</v>
      </c>
      <c r="Q157" s="48">
        <f t="shared" si="16"/>
        <v>710</v>
      </c>
      <c r="R157" s="49"/>
      <c r="S157" s="50"/>
      <c r="T157" s="51"/>
      <c r="U157" s="47">
        <f t="shared" si="17"/>
        <v>710</v>
      </c>
      <c r="V157" s="47">
        <f t="shared" si="18"/>
        <v>1</v>
      </c>
      <c r="W157" s="52">
        <f t="shared" si="19"/>
        <v>710</v>
      </c>
      <c r="X157" s="124" t="s">
        <v>81</v>
      </c>
      <c r="Y157" s="45" t="s">
        <v>213</v>
      </c>
    </row>
    <row r="158" spans="1:25" s="45" customFormat="1" ht="11.1" customHeight="1" x14ac:dyDescent="0.2">
      <c r="A158" s="38">
        <f t="shared" si="20"/>
        <v>156</v>
      </c>
      <c r="B158" s="90" t="s">
        <v>111</v>
      </c>
      <c r="C158" s="40" t="str">
        <f>IF($B158&lt;&gt;"",_xlfn.IFNA(VLOOKUP($B158,'Node Details'!$B:$U,C$1,0),"Check"),"")</f>
        <v>00001GF12-00001GF22</v>
      </c>
      <c r="D158" s="40" t="str">
        <f>IF($B158&lt;&gt;"",_xlfn.IFNA(VLOOKUP($B158,'Node Details'!$B:$U,D$1,0),"Check"),"")</f>
        <v>1GF</v>
      </c>
      <c r="E158" s="40" t="str">
        <f>IF($B158&lt;&gt;"",_xlfn.IFNA(VLOOKUP($B158,'Node Details'!$B:$U,E$1,0),"Check"),"")</f>
        <v>Airtel</v>
      </c>
      <c r="F158" s="97">
        <v>45379</v>
      </c>
      <c r="G158" s="42"/>
      <c r="H158" s="93" t="s">
        <v>217</v>
      </c>
      <c r="I158" s="93">
        <v>1</v>
      </c>
      <c r="J158" s="93">
        <v>1500</v>
      </c>
      <c r="K158" s="44">
        <f t="shared" si="14"/>
        <v>1500</v>
      </c>
      <c r="L158" s="41">
        <v>45141</v>
      </c>
      <c r="N158" s="100" t="s">
        <v>210</v>
      </c>
      <c r="O158" s="96">
        <v>45273</v>
      </c>
      <c r="P158" s="47">
        <f t="shared" si="15"/>
        <v>1500</v>
      </c>
      <c r="Q158" s="48">
        <f t="shared" si="16"/>
        <v>1500</v>
      </c>
      <c r="R158" s="49"/>
      <c r="S158" s="100" t="s">
        <v>211</v>
      </c>
      <c r="T158" s="96">
        <v>45273</v>
      </c>
      <c r="U158" s="47">
        <f t="shared" si="17"/>
        <v>1500</v>
      </c>
      <c r="V158" s="47">
        <f t="shared" si="18"/>
        <v>1</v>
      </c>
      <c r="W158" s="52">
        <f t="shared" si="19"/>
        <v>1500</v>
      </c>
      <c r="X158" s="124" t="s">
        <v>81</v>
      </c>
      <c r="Y158" s="45" t="s">
        <v>212</v>
      </c>
    </row>
    <row r="159" spans="1:25" s="45" customFormat="1" ht="11.1" customHeight="1" x14ac:dyDescent="0.2">
      <c r="A159" s="38">
        <f t="shared" si="20"/>
        <v>157</v>
      </c>
      <c r="B159" s="90" t="s">
        <v>172</v>
      </c>
      <c r="C159" s="40" t="str">
        <f>IF($B159&lt;&gt;"",_xlfn.IFNA(VLOOKUP($B159,'Node Details'!$B:$U,C$1,0),"Check"),"")</f>
        <v>00001GF16-1GF160107</v>
      </c>
      <c r="D159" s="40" t="str">
        <f>IF($B159&lt;&gt;"",_xlfn.IFNA(VLOOKUP($B159,'Node Details'!$B:$U,D$1,0),"Check"),"")</f>
        <v>1GF</v>
      </c>
      <c r="E159" s="40" t="str">
        <f>IF($B159&lt;&gt;"",_xlfn.IFNA(VLOOKUP($B159,'Node Details'!$B:$U,E$1,0),"Check"),"")</f>
        <v>Airtel</v>
      </c>
      <c r="F159" s="97">
        <v>45379</v>
      </c>
      <c r="G159" s="42"/>
      <c r="H159" s="93" t="s">
        <v>217</v>
      </c>
      <c r="I159" s="93">
        <v>1</v>
      </c>
      <c r="J159" s="93">
        <v>1500</v>
      </c>
      <c r="K159" s="44">
        <f t="shared" si="14"/>
        <v>1500</v>
      </c>
      <c r="L159" s="41">
        <v>45141</v>
      </c>
      <c r="N159" s="43"/>
      <c r="O159" s="46"/>
      <c r="P159" s="47">
        <f t="shared" si="15"/>
        <v>1500</v>
      </c>
      <c r="Q159" s="48">
        <f t="shared" si="16"/>
        <v>1500</v>
      </c>
      <c r="R159" s="49"/>
      <c r="S159" s="50"/>
      <c r="T159" s="51"/>
      <c r="U159" s="47">
        <f t="shared" si="17"/>
        <v>1500</v>
      </c>
      <c r="V159" s="47">
        <f t="shared" si="18"/>
        <v>1</v>
      </c>
      <c r="W159" s="52">
        <f t="shared" si="19"/>
        <v>1500</v>
      </c>
      <c r="X159" s="124" t="s">
        <v>81</v>
      </c>
      <c r="Y159" s="45" t="s">
        <v>213</v>
      </c>
    </row>
    <row r="160" spans="1:25" s="45" customFormat="1" ht="11.1" customHeight="1" x14ac:dyDescent="0.2">
      <c r="A160" s="38">
        <f t="shared" si="20"/>
        <v>158</v>
      </c>
      <c r="B160" s="90" t="s">
        <v>173</v>
      </c>
      <c r="C160" s="40" t="str">
        <f>IF($B160&lt;&gt;"",_xlfn.IFNA(VLOOKUP($B160,'Node Details'!$B:$U,C$1,0),"Check"),"")</f>
        <v>00001GF16-1GF160107</v>
      </c>
      <c r="D160" s="40" t="str">
        <f>IF($B160&lt;&gt;"",_xlfn.IFNA(VLOOKUP($B160,'Node Details'!$B:$U,D$1,0),"Check"),"")</f>
        <v>1GF</v>
      </c>
      <c r="E160" s="40" t="str">
        <f>IF($B160&lt;&gt;"",_xlfn.IFNA(VLOOKUP($B160,'Node Details'!$B:$U,E$1,0),"Check"),"")</f>
        <v>Airtel</v>
      </c>
      <c r="F160" s="97">
        <v>45379</v>
      </c>
      <c r="G160" s="42"/>
      <c r="H160" s="93" t="s">
        <v>217</v>
      </c>
      <c r="I160" s="93">
        <v>1</v>
      </c>
      <c r="J160" s="93">
        <v>710</v>
      </c>
      <c r="K160" s="44">
        <f t="shared" si="14"/>
        <v>710</v>
      </c>
      <c r="L160" s="41">
        <v>45141</v>
      </c>
      <c r="N160" s="43"/>
      <c r="O160" s="46"/>
      <c r="P160" s="47">
        <f t="shared" si="15"/>
        <v>710</v>
      </c>
      <c r="Q160" s="48">
        <f t="shared" si="16"/>
        <v>710</v>
      </c>
      <c r="R160" s="49"/>
      <c r="S160" s="50"/>
      <c r="T160" s="51"/>
      <c r="U160" s="47">
        <f t="shared" si="17"/>
        <v>710</v>
      </c>
      <c r="V160" s="47">
        <f t="shared" si="18"/>
        <v>1</v>
      </c>
      <c r="W160" s="52">
        <f t="shared" si="19"/>
        <v>710</v>
      </c>
      <c r="X160" s="124" t="s">
        <v>81</v>
      </c>
      <c r="Y160" s="45" t="s">
        <v>213</v>
      </c>
    </row>
    <row r="161" spans="1:25" s="45" customFormat="1" ht="11.1" customHeight="1" x14ac:dyDescent="0.2">
      <c r="A161" s="38">
        <f t="shared" si="20"/>
        <v>159</v>
      </c>
      <c r="B161" s="90" t="s">
        <v>174</v>
      </c>
      <c r="C161" s="40" t="str">
        <f>IF($B161&lt;&gt;"",_xlfn.IFNA(VLOOKUP($B161,'Node Details'!$B:$U,C$1,0),"Check"),"")</f>
        <v>00001GF16-1GF160107</v>
      </c>
      <c r="D161" s="40" t="str">
        <f>IF($B161&lt;&gt;"",_xlfn.IFNA(VLOOKUP($B161,'Node Details'!$B:$U,D$1,0),"Check"),"")</f>
        <v>1GF</v>
      </c>
      <c r="E161" s="40" t="str">
        <f>IF($B161&lt;&gt;"",_xlfn.IFNA(VLOOKUP($B161,'Node Details'!$B:$U,E$1,0),"Check"),"")</f>
        <v>Airtel</v>
      </c>
      <c r="F161" s="97">
        <v>45379</v>
      </c>
      <c r="G161" s="42"/>
      <c r="H161" s="93" t="s">
        <v>217</v>
      </c>
      <c r="I161" s="93">
        <v>1</v>
      </c>
      <c r="J161" s="93">
        <v>710</v>
      </c>
      <c r="K161" s="44">
        <f t="shared" si="14"/>
        <v>710</v>
      </c>
      <c r="L161" s="41">
        <v>45141</v>
      </c>
      <c r="N161" s="43"/>
      <c r="O161" s="46"/>
      <c r="P161" s="47">
        <f t="shared" si="15"/>
        <v>710</v>
      </c>
      <c r="Q161" s="48">
        <f t="shared" si="16"/>
        <v>710</v>
      </c>
      <c r="R161" s="49"/>
      <c r="S161" s="50"/>
      <c r="T161" s="51"/>
      <c r="U161" s="47">
        <f t="shared" si="17"/>
        <v>710</v>
      </c>
      <c r="V161" s="47">
        <f t="shared" si="18"/>
        <v>1</v>
      </c>
      <c r="W161" s="52">
        <f t="shared" si="19"/>
        <v>710</v>
      </c>
      <c r="X161" s="124" t="s">
        <v>81</v>
      </c>
      <c r="Y161" s="45" t="s">
        <v>213</v>
      </c>
    </row>
    <row r="162" spans="1:25" s="45" customFormat="1" ht="11.1" customHeight="1" x14ac:dyDescent="0.2">
      <c r="A162" s="38">
        <f t="shared" si="20"/>
        <v>160</v>
      </c>
      <c r="B162" s="90" t="s">
        <v>175</v>
      </c>
      <c r="C162" s="40" t="str">
        <f>IF($B162&lt;&gt;"",_xlfn.IFNA(VLOOKUP($B162,'Node Details'!$B:$U,C$1,0),"Check"),"")</f>
        <v>00001GF16-1GF160107</v>
      </c>
      <c r="D162" s="40" t="str">
        <f>IF($B162&lt;&gt;"",_xlfn.IFNA(VLOOKUP($B162,'Node Details'!$B:$U,D$1,0),"Check"),"")</f>
        <v>1GF</v>
      </c>
      <c r="E162" s="40" t="str">
        <f>IF($B162&lt;&gt;"",_xlfn.IFNA(VLOOKUP($B162,'Node Details'!$B:$U,E$1,0),"Check"),"")</f>
        <v>Airtel</v>
      </c>
      <c r="F162" s="97">
        <v>45379</v>
      </c>
      <c r="G162" s="42"/>
      <c r="H162" s="93" t="s">
        <v>217</v>
      </c>
      <c r="I162" s="93">
        <v>1</v>
      </c>
      <c r="J162" s="93">
        <v>710</v>
      </c>
      <c r="K162" s="44">
        <f t="shared" si="14"/>
        <v>710</v>
      </c>
      <c r="L162" s="41">
        <v>45141</v>
      </c>
      <c r="N162" s="43"/>
      <c r="O162" s="46"/>
      <c r="P162" s="47">
        <f t="shared" si="15"/>
        <v>710</v>
      </c>
      <c r="Q162" s="48">
        <f t="shared" si="16"/>
        <v>710</v>
      </c>
      <c r="R162" s="49"/>
      <c r="S162" s="50"/>
      <c r="T162" s="51"/>
      <c r="U162" s="47">
        <f t="shared" si="17"/>
        <v>710</v>
      </c>
      <c r="V162" s="47">
        <f t="shared" si="18"/>
        <v>1</v>
      </c>
      <c r="W162" s="52">
        <f t="shared" si="19"/>
        <v>710</v>
      </c>
      <c r="X162" s="124" t="s">
        <v>81</v>
      </c>
      <c r="Y162" s="45" t="s">
        <v>213</v>
      </c>
    </row>
    <row r="163" spans="1:25" s="45" customFormat="1" ht="11.1" customHeight="1" x14ac:dyDescent="0.2">
      <c r="A163" s="38">
        <f t="shared" si="20"/>
        <v>161</v>
      </c>
      <c r="B163" s="90" t="s">
        <v>176</v>
      </c>
      <c r="C163" s="40" t="str">
        <f>IF($B163&lt;&gt;"",_xlfn.IFNA(VLOOKUP($B163,'Node Details'!$B:$U,C$1,0),"Check"),"")</f>
        <v>00001GF16-1GF160107</v>
      </c>
      <c r="D163" s="40" t="str">
        <f>IF($B163&lt;&gt;"",_xlfn.IFNA(VLOOKUP($B163,'Node Details'!$B:$U,D$1,0),"Check"),"")</f>
        <v>1GF</v>
      </c>
      <c r="E163" s="40" t="str">
        <f>IF($B163&lt;&gt;"",_xlfn.IFNA(VLOOKUP($B163,'Node Details'!$B:$U,E$1,0),"Check"),"")</f>
        <v>Airtel</v>
      </c>
      <c r="F163" s="97">
        <v>45379</v>
      </c>
      <c r="G163" s="42"/>
      <c r="H163" s="93" t="s">
        <v>217</v>
      </c>
      <c r="I163" s="93">
        <v>1</v>
      </c>
      <c r="J163" s="93">
        <v>710</v>
      </c>
      <c r="K163" s="44">
        <f t="shared" si="14"/>
        <v>710</v>
      </c>
      <c r="L163" s="41">
        <v>45141</v>
      </c>
      <c r="N163" s="43"/>
      <c r="O163" s="46"/>
      <c r="P163" s="47">
        <f t="shared" si="15"/>
        <v>710</v>
      </c>
      <c r="Q163" s="48">
        <f t="shared" si="16"/>
        <v>710</v>
      </c>
      <c r="R163" s="49"/>
      <c r="S163" s="50"/>
      <c r="T163" s="51"/>
      <c r="U163" s="47">
        <f t="shared" si="17"/>
        <v>710</v>
      </c>
      <c r="V163" s="47">
        <f t="shared" si="18"/>
        <v>1</v>
      </c>
      <c r="W163" s="52">
        <f t="shared" si="19"/>
        <v>710</v>
      </c>
      <c r="X163" s="124" t="s">
        <v>81</v>
      </c>
      <c r="Y163" s="45" t="s">
        <v>213</v>
      </c>
    </row>
    <row r="164" spans="1:25" s="45" customFormat="1" ht="11.1" customHeight="1" x14ac:dyDescent="0.2">
      <c r="A164" s="38">
        <f t="shared" si="20"/>
        <v>162</v>
      </c>
      <c r="B164" s="90" t="s">
        <v>177</v>
      </c>
      <c r="C164" s="40" t="str">
        <f>IF($B164&lt;&gt;"",_xlfn.IFNA(VLOOKUP($B164,'Node Details'!$B:$U,C$1,0),"Check"),"")</f>
        <v>00001GF16-1GF160107</v>
      </c>
      <c r="D164" s="40" t="str">
        <f>IF($B164&lt;&gt;"",_xlfn.IFNA(VLOOKUP($B164,'Node Details'!$B:$U,D$1,0),"Check"),"")</f>
        <v>1GF</v>
      </c>
      <c r="E164" s="40" t="str">
        <f>IF($B164&lt;&gt;"",_xlfn.IFNA(VLOOKUP($B164,'Node Details'!$B:$U,E$1,0),"Check"),"")</f>
        <v>Airtel</v>
      </c>
      <c r="F164" s="97">
        <v>45379</v>
      </c>
      <c r="G164" s="42"/>
      <c r="H164" s="93" t="s">
        <v>217</v>
      </c>
      <c r="I164" s="93">
        <v>1</v>
      </c>
      <c r="J164" s="93">
        <v>710</v>
      </c>
      <c r="K164" s="44">
        <f t="shared" si="14"/>
        <v>710</v>
      </c>
      <c r="L164" s="41">
        <v>45141</v>
      </c>
      <c r="N164" s="43"/>
      <c r="O164" s="46"/>
      <c r="P164" s="47">
        <f t="shared" si="15"/>
        <v>710</v>
      </c>
      <c r="Q164" s="48">
        <f t="shared" si="16"/>
        <v>710</v>
      </c>
      <c r="R164" s="49"/>
      <c r="S164" s="50"/>
      <c r="T164" s="51"/>
      <c r="U164" s="47">
        <f t="shared" si="17"/>
        <v>710</v>
      </c>
      <c r="V164" s="47">
        <f t="shared" si="18"/>
        <v>1</v>
      </c>
      <c r="W164" s="52">
        <f t="shared" si="19"/>
        <v>710</v>
      </c>
      <c r="X164" s="124" t="s">
        <v>81</v>
      </c>
      <c r="Y164" s="45" t="s">
        <v>213</v>
      </c>
    </row>
    <row r="165" spans="1:25" s="45" customFormat="1" ht="11.1" customHeight="1" x14ac:dyDescent="0.2">
      <c r="A165" s="38">
        <f t="shared" si="20"/>
        <v>163</v>
      </c>
      <c r="B165" s="90" t="s">
        <v>113</v>
      </c>
      <c r="C165" s="40" t="str">
        <f>IF($B165&lt;&gt;"",_xlfn.IFNA(VLOOKUP($B165,'Node Details'!$B:$U,C$1,0),"Check"),"")</f>
        <v>00001GF16-1GF160107</v>
      </c>
      <c r="D165" s="40" t="str">
        <f>IF($B165&lt;&gt;"",_xlfn.IFNA(VLOOKUP($B165,'Node Details'!$B:$U,D$1,0),"Check"),"")</f>
        <v>1GF</v>
      </c>
      <c r="E165" s="40" t="str">
        <f>IF($B165&lt;&gt;"",_xlfn.IFNA(VLOOKUP($B165,'Node Details'!$B:$U,E$1,0),"Check"),"")</f>
        <v>Airtel</v>
      </c>
      <c r="F165" s="97">
        <v>45379</v>
      </c>
      <c r="G165" s="42"/>
      <c r="H165" s="93" t="s">
        <v>217</v>
      </c>
      <c r="I165" s="93">
        <v>1</v>
      </c>
      <c r="J165" s="93">
        <v>710</v>
      </c>
      <c r="K165" s="44">
        <f t="shared" si="14"/>
        <v>710</v>
      </c>
      <c r="L165" s="41">
        <v>45141</v>
      </c>
      <c r="N165" s="43"/>
      <c r="O165" s="46"/>
      <c r="P165" s="47">
        <f t="shared" si="15"/>
        <v>710</v>
      </c>
      <c r="Q165" s="48">
        <f t="shared" si="16"/>
        <v>710</v>
      </c>
      <c r="R165" s="49"/>
      <c r="S165" s="50"/>
      <c r="T165" s="51"/>
      <c r="U165" s="47">
        <f t="shared" si="17"/>
        <v>710</v>
      </c>
      <c r="V165" s="47">
        <f t="shared" si="18"/>
        <v>1</v>
      </c>
      <c r="W165" s="52">
        <f t="shared" si="19"/>
        <v>710</v>
      </c>
      <c r="X165" s="124" t="s">
        <v>81</v>
      </c>
      <c r="Y165" s="45" t="s">
        <v>213</v>
      </c>
    </row>
    <row r="166" spans="1:25" s="45" customFormat="1" ht="11.1" customHeight="1" x14ac:dyDescent="0.2">
      <c r="A166" s="38">
        <f t="shared" si="20"/>
        <v>164</v>
      </c>
      <c r="B166" s="90" t="s">
        <v>115</v>
      </c>
      <c r="C166" s="40" t="str">
        <f>IF($B166&lt;&gt;"",_xlfn.IFNA(VLOOKUP($B166,'Node Details'!$B:$U,C$1,0),"Check"),"")</f>
        <v>00001GF12-00001GF22</v>
      </c>
      <c r="D166" s="40" t="str">
        <f>IF($B166&lt;&gt;"",_xlfn.IFNA(VLOOKUP($B166,'Node Details'!$B:$U,D$1,0),"Check"),"")</f>
        <v>1GF</v>
      </c>
      <c r="E166" s="40" t="str">
        <f>IF($B166&lt;&gt;"",_xlfn.IFNA(VLOOKUP($B166,'Node Details'!$B:$U,E$1,0),"Check"),"")</f>
        <v>Airtel</v>
      </c>
      <c r="F166" s="97">
        <v>45379</v>
      </c>
      <c r="G166" s="42"/>
      <c r="H166" s="93" t="s">
        <v>217</v>
      </c>
      <c r="I166" s="93">
        <v>1</v>
      </c>
      <c r="J166" s="93">
        <v>1500</v>
      </c>
      <c r="K166" s="44">
        <f t="shared" si="14"/>
        <v>1500</v>
      </c>
      <c r="L166" s="41">
        <v>45141</v>
      </c>
      <c r="N166" s="100" t="s">
        <v>210</v>
      </c>
      <c r="O166" s="96">
        <v>45273</v>
      </c>
      <c r="P166" s="47">
        <f t="shared" si="15"/>
        <v>1500</v>
      </c>
      <c r="Q166" s="48">
        <f t="shared" si="16"/>
        <v>1500</v>
      </c>
      <c r="R166" s="49"/>
      <c r="S166" s="100" t="s">
        <v>211</v>
      </c>
      <c r="T166" s="96">
        <v>45273</v>
      </c>
      <c r="U166" s="47">
        <f t="shared" si="17"/>
        <v>1500</v>
      </c>
      <c r="V166" s="47">
        <f t="shared" si="18"/>
        <v>1</v>
      </c>
      <c r="W166" s="52">
        <f t="shared" si="19"/>
        <v>1500</v>
      </c>
      <c r="X166" s="124" t="s">
        <v>81</v>
      </c>
      <c r="Y166" s="45" t="s">
        <v>212</v>
      </c>
    </row>
    <row r="167" spans="1:25" s="45" customFormat="1" ht="11.1" customHeight="1" x14ac:dyDescent="0.2">
      <c r="A167" s="38">
        <f t="shared" si="20"/>
        <v>165</v>
      </c>
      <c r="B167" s="90" t="s">
        <v>178</v>
      </c>
      <c r="C167" s="40" t="str">
        <f>IF($B167&lt;&gt;"",_xlfn.IFNA(VLOOKUP($B167,'Node Details'!$B:$U,C$1,0),"Check"),"")</f>
        <v>00001GF17-1GF170104</v>
      </c>
      <c r="D167" s="40" t="str">
        <f>IF($B167&lt;&gt;"",_xlfn.IFNA(VLOOKUP($B167,'Node Details'!$B:$U,D$1,0),"Check"),"")</f>
        <v>1GF</v>
      </c>
      <c r="E167" s="40" t="str">
        <f>IF($B167&lt;&gt;"",_xlfn.IFNA(VLOOKUP($B167,'Node Details'!$B:$U,E$1,0),"Check"),"")</f>
        <v>Airtel</v>
      </c>
      <c r="F167" s="97">
        <v>45379</v>
      </c>
      <c r="G167" s="42"/>
      <c r="H167" s="93" t="s">
        <v>217</v>
      </c>
      <c r="I167" s="93">
        <v>1</v>
      </c>
      <c r="J167" s="93">
        <v>1500</v>
      </c>
      <c r="K167" s="44">
        <f t="shared" si="14"/>
        <v>1500</v>
      </c>
      <c r="L167" s="41">
        <v>45141</v>
      </c>
      <c r="N167" s="43"/>
      <c r="O167" s="46"/>
      <c r="P167" s="47">
        <f t="shared" si="15"/>
        <v>1500</v>
      </c>
      <c r="Q167" s="48">
        <f t="shared" si="16"/>
        <v>1500</v>
      </c>
      <c r="R167" s="49"/>
      <c r="S167" s="50"/>
      <c r="T167" s="51"/>
      <c r="U167" s="47">
        <f t="shared" si="17"/>
        <v>1500</v>
      </c>
      <c r="V167" s="47">
        <f t="shared" si="18"/>
        <v>1</v>
      </c>
      <c r="W167" s="52">
        <f t="shared" si="19"/>
        <v>1500</v>
      </c>
      <c r="X167" s="124" t="s">
        <v>81</v>
      </c>
      <c r="Y167" s="45" t="s">
        <v>213</v>
      </c>
    </row>
    <row r="168" spans="1:25" s="45" customFormat="1" ht="11.1" customHeight="1" x14ac:dyDescent="0.2">
      <c r="A168" s="38">
        <f t="shared" si="20"/>
        <v>166</v>
      </c>
      <c r="B168" s="90" t="s">
        <v>179</v>
      </c>
      <c r="C168" s="40" t="str">
        <f>IF($B168&lt;&gt;"",_xlfn.IFNA(VLOOKUP($B168,'Node Details'!$B:$U,C$1,0),"Check"),"")</f>
        <v>00001GF17-1GF170104</v>
      </c>
      <c r="D168" s="40" t="str">
        <f>IF($B168&lt;&gt;"",_xlfn.IFNA(VLOOKUP($B168,'Node Details'!$B:$U,D$1,0),"Check"),"")</f>
        <v>1GF</v>
      </c>
      <c r="E168" s="40" t="str">
        <f>IF($B168&lt;&gt;"",_xlfn.IFNA(VLOOKUP($B168,'Node Details'!$B:$U,E$1,0),"Check"),"")</f>
        <v>Airtel</v>
      </c>
      <c r="F168" s="97">
        <v>45379</v>
      </c>
      <c r="G168" s="42"/>
      <c r="H168" s="93" t="s">
        <v>217</v>
      </c>
      <c r="I168" s="93">
        <v>1</v>
      </c>
      <c r="J168" s="93">
        <v>1500</v>
      </c>
      <c r="K168" s="44">
        <f t="shared" si="14"/>
        <v>1500</v>
      </c>
      <c r="L168" s="41">
        <v>45141</v>
      </c>
      <c r="N168" s="43"/>
      <c r="O168" s="46"/>
      <c r="P168" s="47">
        <f t="shared" si="15"/>
        <v>1500</v>
      </c>
      <c r="Q168" s="48">
        <f t="shared" si="16"/>
        <v>1500</v>
      </c>
      <c r="R168" s="49"/>
      <c r="S168" s="50"/>
      <c r="T168" s="51"/>
      <c r="U168" s="47">
        <f t="shared" si="17"/>
        <v>1500</v>
      </c>
      <c r="V168" s="47">
        <f t="shared" si="18"/>
        <v>1</v>
      </c>
      <c r="W168" s="52">
        <f t="shared" si="19"/>
        <v>1500</v>
      </c>
      <c r="X168" s="124" t="s">
        <v>81</v>
      </c>
      <c r="Y168" s="45" t="s">
        <v>213</v>
      </c>
    </row>
    <row r="169" spans="1:25" s="45" customFormat="1" ht="11.1" customHeight="1" x14ac:dyDescent="0.2">
      <c r="A169" s="38">
        <f t="shared" si="20"/>
        <v>167</v>
      </c>
      <c r="B169" s="90" t="s">
        <v>180</v>
      </c>
      <c r="C169" s="40" t="str">
        <f>IF($B169&lt;&gt;"",_xlfn.IFNA(VLOOKUP($B169,'Node Details'!$B:$U,C$1,0),"Check"),"")</f>
        <v>00001GF17-1GF170104</v>
      </c>
      <c r="D169" s="40" t="str">
        <f>IF($B169&lt;&gt;"",_xlfn.IFNA(VLOOKUP($B169,'Node Details'!$B:$U,D$1,0),"Check"),"")</f>
        <v>1GF</v>
      </c>
      <c r="E169" s="40" t="str">
        <f>IF($B169&lt;&gt;"",_xlfn.IFNA(VLOOKUP($B169,'Node Details'!$B:$U,E$1,0),"Check"),"")</f>
        <v>Airtel</v>
      </c>
      <c r="F169" s="97">
        <v>45379</v>
      </c>
      <c r="G169" s="42"/>
      <c r="H169" s="93" t="s">
        <v>217</v>
      </c>
      <c r="I169" s="93">
        <v>1</v>
      </c>
      <c r="J169" s="93">
        <v>710</v>
      </c>
      <c r="K169" s="44">
        <f t="shared" si="14"/>
        <v>710</v>
      </c>
      <c r="L169" s="41">
        <v>45141</v>
      </c>
      <c r="N169" s="43"/>
      <c r="O169" s="46"/>
      <c r="P169" s="47">
        <f t="shared" si="15"/>
        <v>710</v>
      </c>
      <c r="Q169" s="48">
        <f t="shared" si="16"/>
        <v>710</v>
      </c>
      <c r="R169" s="49"/>
      <c r="S169" s="50"/>
      <c r="T169" s="51"/>
      <c r="U169" s="47">
        <f t="shared" si="17"/>
        <v>710</v>
      </c>
      <c r="V169" s="47">
        <f t="shared" si="18"/>
        <v>1</v>
      </c>
      <c r="W169" s="52">
        <f t="shared" si="19"/>
        <v>710</v>
      </c>
      <c r="X169" s="124" t="s">
        <v>81</v>
      </c>
      <c r="Y169" s="45" t="s">
        <v>213</v>
      </c>
    </row>
    <row r="170" spans="1:25" s="45" customFormat="1" ht="11.1" customHeight="1" x14ac:dyDescent="0.2">
      <c r="A170" s="38">
        <f t="shared" si="20"/>
        <v>168</v>
      </c>
      <c r="B170" s="90" t="s">
        <v>117</v>
      </c>
      <c r="C170" s="40" t="str">
        <f>IF($B170&lt;&gt;"",_xlfn.IFNA(VLOOKUP($B170,'Node Details'!$B:$U,C$1,0),"Check"),"")</f>
        <v>00001GF17-1GF170104</v>
      </c>
      <c r="D170" s="40" t="str">
        <f>IF($B170&lt;&gt;"",_xlfn.IFNA(VLOOKUP($B170,'Node Details'!$B:$U,D$1,0),"Check"),"")</f>
        <v>1GF</v>
      </c>
      <c r="E170" s="40" t="str">
        <f>IF($B170&lt;&gt;"",_xlfn.IFNA(VLOOKUP($B170,'Node Details'!$B:$U,E$1,0),"Check"),"")</f>
        <v>Airtel</v>
      </c>
      <c r="F170" s="97">
        <v>45379</v>
      </c>
      <c r="G170" s="42"/>
      <c r="H170" s="93" t="s">
        <v>217</v>
      </c>
      <c r="I170" s="93">
        <v>1</v>
      </c>
      <c r="J170" s="93">
        <v>710</v>
      </c>
      <c r="K170" s="44">
        <f t="shared" si="14"/>
        <v>710</v>
      </c>
      <c r="L170" s="41">
        <v>45141</v>
      </c>
      <c r="N170" s="43"/>
      <c r="O170" s="46"/>
      <c r="P170" s="47">
        <f t="shared" si="15"/>
        <v>710</v>
      </c>
      <c r="Q170" s="48">
        <f t="shared" si="16"/>
        <v>710</v>
      </c>
      <c r="R170" s="49"/>
      <c r="S170" s="50"/>
      <c r="T170" s="51"/>
      <c r="U170" s="47">
        <f t="shared" si="17"/>
        <v>710</v>
      </c>
      <c r="V170" s="47">
        <f t="shared" si="18"/>
        <v>1</v>
      </c>
      <c r="W170" s="52">
        <f t="shared" si="19"/>
        <v>710</v>
      </c>
      <c r="X170" s="124" t="s">
        <v>81</v>
      </c>
      <c r="Y170" s="45" t="s">
        <v>213</v>
      </c>
    </row>
    <row r="171" spans="1:25" s="45" customFormat="1" ht="11.1" customHeight="1" x14ac:dyDescent="0.2">
      <c r="A171" s="38">
        <f t="shared" si="20"/>
        <v>169</v>
      </c>
      <c r="B171" s="90" t="s">
        <v>119</v>
      </c>
      <c r="C171" s="40" t="str">
        <f>IF($B171&lt;&gt;"",_xlfn.IFNA(VLOOKUP($B171,'Node Details'!$B:$U,C$1,0),"Check"),"")</f>
        <v>00001GF12-00001GF22</v>
      </c>
      <c r="D171" s="40" t="str">
        <f>IF($B171&lt;&gt;"",_xlfn.IFNA(VLOOKUP($B171,'Node Details'!$B:$U,D$1,0),"Check"),"")</f>
        <v>1GF</v>
      </c>
      <c r="E171" s="40" t="str">
        <f>IF($B171&lt;&gt;"",_xlfn.IFNA(VLOOKUP($B171,'Node Details'!$B:$U,E$1,0),"Check"),"")</f>
        <v>Airtel</v>
      </c>
      <c r="F171" s="97">
        <v>45379</v>
      </c>
      <c r="G171" s="42"/>
      <c r="H171" s="93" t="s">
        <v>217</v>
      </c>
      <c r="I171" s="93">
        <v>1</v>
      </c>
      <c r="J171" s="93">
        <v>1500</v>
      </c>
      <c r="K171" s="44">
        <f t="shared" si="14"/>
        <v>1500</v>
      </c>
      <c r="L171" s="41">
        <v>45141</v>
      </c>
      <c r="N171" s="43"/>
      <c r="O171" s="46"/>
      <c r="P171" s="47">
        <f t="shared" si="15"/>
        <v>1500</v>
      </c>
      <c r="Q171" s="48">
        <f t="shared" si="16"/>
        <v>1500</v>
      </c>
      <c r="R171" s="49"/>
      <c r="S171" s="50"/>
      <c r="T171" s="51"/>
      <c r="U171" s="47">
        <f t="shared" si="17"/>
        <v>1500</v>
      </c>
      <c r="V171" s="47">
        <f t="shared" si="18"/>
        <v>1</v>
      </c>
      <c r="W171" s="52">
        <f t="shared" si="19"/>
        <v>1500</v>
      </c>
      <c r="X171" s="124" t="s">
        <v>81</v>
      </c>
      <c r="Y171" s="45" t="s">
        <v>213</v>
      </c>
    </row>
    <row r="172" spans="1:25" s="45" customFormat="1" ht="11.1" customHeight="1" x14ac:dyDescent="0.2">
      <c r="A172" s="38">
        <f t="shared" si="20"/>
        <v>170</v>
      </c>
      <c r="B172" s="90" t="s">
        <v>181</v>
      </c>
      <c r="C172" s="40" t="str">
        <f>IF($B172&lt;&gt;"",_xlfn.IFNA(VLOOKUP($B172,'Node Details'!$B:$U,C$1,0),"Check"),"")</f>
        <v>00001GF18-1GF180104</v>
      </c>
      <c r="D172" s="40" t="str">
        <f>IF($B172&lt;&gt;"",_xlfn.IFNA(VLOOKUP($B172,'Node Details'!$B:$U,D$1,0),"Check"),"")</f>
        <v>1GF</v>
      </c>
      <c r="E172" s="40" t="str">
        <f>IF($B172&lt;&gt;"",_xlfn.IFNA(VLOOKUP($B172,'Node Details'!$B:$U,E$1,0),"Check"),"")</f>
        <v>Airtel</v>
      </c>
      <c r="F172" s="97">
        <v>45379</v>
      </c>
      <c r="G172" s="42"/>
      <c r="H172" s="93" t="s">
        <v>217</v>
      </c>
      <c r="I172" s="93">
        <v>1</v>
      </c>
      <c r="J172" s="93">
        <v>1500</v>
      </c>
      <c r="K172" s="44">
        <f t="shared" si="14"/>
        <v>1500</v>
      </c>
      <c r="L172" s="41">
        <v>45141</v>
      </c>
      <c r="N172" s="43"/>
      <c r="O172" s="46"/>
      <c r="P172" s="47">
        <f t="shared" si="15"/>
        <v>1500</v>
      </c>
      <c r="Q172" s="48">
        <f t="shared" si="16"/>
        <v>1500</v>
      </c>
      <c r="R172" s="49"/>
      <c r="S172" s="50"/>
      <c r="T172" s="51"/>
      <c r="U172" s="47">
        <f t="shared" si="17"/>
        <v>1500</v>
      </c>
      <c r="V172" s="47">
        <f t="shared" si="18"/>
        <v>1</v>
      </c>
      <c r="W172" s="52">
        <f t="shared" si="19"/>
        <v>1500</v>
      </c>
      <c r="X172" s="124" t="s">
        <v>81</v>
      </c>
      <c r="Y172" s="45" t="s">
        <v>213</v>
      </c>
    </row>
    <row r="173" spans="1:25" s="45" customFormat="1" ht="11.1" customHeight="1" x14ac:dyDescent="0.2">
      <c r="A173" s="38">
        <f t="shared" si="20"/>
        <v>171</v>
      </c>
      <c r="B173" s="90" t="s">
        <v>182</v>
      </c>
      <c r="C173" s="40" t="str">
        <f>IF($B173&lt;&gt;"",_xlfn.IFNA(VLOOKUP($B173,'Node Details'!$B:$U,C$1,0),"Check"),"")</f>
        <v>00001GF18-1GF180104</v>
      </c>
      <c r="D173" s="40" t="str">
        <f>IF($B173&lt;&gt;"",_xlfn.IFNA(VLOOKUP($B173,'Node Details'!$B:$U,D$1,0),"Check"),"")</f>
        <v>1GF</v>
      </c>
      <c r="E173" s="40" t="str">
        <f>IF($B173&lt;&gt;"",_xlfn.IFNA(VLOOKUP($B173,'Node Details'!$B:$U,E$1,0),"Check"),"")</f>
        <v>Airtel</v>
      </c>
      <c r="F173" s="97">
        <v>45379</v>
      </c>
      <c r="G173" s="42"/>
      <c r="H173" s="93" t="s">
        <v>217</v>
      </c>
      <c r="I173" s="93">
        <v>1</v>
      </c>
      <c r="J173" s="93">
        <v>1500</v>
      </c>
      <c r="K173" s="44">
        <f t="shared" si="14"/>
        <v>1500</v>
      </c>
      <c r="L173" s="41">
        <v>45141</v>
      </c>
      <c r="N173" s="43"/>
      <c r="O173" s="46"/>
      <c r="P173" s="47">
        <f t="shared" si="15"/>
        <v>1500</v>
      </c>
      <c r="Q173" s="48">
        <f t="shared" si="16"/>
        <v>1500</v>
      </c>
      <c r="R173" s="49"/>
      <c r="S173" s="50"/>
      <c r="T173" s="51"/>
      <c r="U173" s="47">
        <f t="shared" si="17"/>
        <v>1500</v>
      </c>
      <c r="V173" s="47">
        <f t="shared" si="18"/>
        <v>1</v>
      </c>
      <c r="W173" s="52">
        <f t="shared" si="19"/>
        <v>1500</v>
      </c>
      <c r="X173" s="124" t="s">
        <v>81</v>
      </c>
      <c r="Y173" s="45" t="s">
        <v>213</v>
      </c>
    </row>
    <row r="174" spans="1:25" s="45" customFormat="1" ht="11.1" customHeight="1" x14ac:dyDescent="0.2">
      <c r="A174" s="38">
        <f t="shared" si="20"/>
        <v>172</v>
      </c>
      <c r="B174" s="90" t="s">
        <v>183</v>
      </c>
      <c r="C174" s="40" t="str">
        <f>IF($B174&lt;&gt;"",_xlfn.IFNA(VLOOKUP($B174,'Node Details'!$B:$U,C$1,0),"Check"),"")</f>
        <v>00001GF18-1GF180104</v>
      </c>
      <c r="D174" s="40" t="str">
        <f>IF($B174&lt;&gt;"",_xlfn.IFNA(VLOOKUP($B174,'Node Details'!$B:$U,D$1,0),"Check"),"")</f>
        <v>1GF</v>
      </c>
      <c r="E174" s="40" t="str">
        <f>IF($B174&lt;&gt;"",_xlfn.IFNA(VLOOKUP($B174,'Node Details'!$B:$U,E$1,0),"Check"),"")</f>
        <v>Airtel</v>
      </c>
      <c r="F174" s="97">
        <v>45379</v>
      </c>
      <c r="G174" s="42"/>
      <c r="H174" s="93" t="s">
        <v>217</v>
      </c>
      <c r="I174" s="93">
        <v>1</v>
      </c>
      <c r="J174" s="93">
        <v>1500</v>
      </c>
      <c r="K174" s="44">
        <f t="shared" si="14"/>
        <v>1500</v>
      </c>
      <c r="L174" s="41">
        <v>45141</v>
      </c>
      <c r="N174" s="43"/>
      <c r="O174" s="46"/>
      <c r="P174" s="47">
        <f t="shared" si="15"/>
        <v>1500</v>
      </c>
      <c r="Q174" s="48">
        <f t="shared" si="16"/>
        <v>1500</v>
      </c>
      <c r="R174" s="49"/>
      <c r="S174" s="50"/>
      <c r="T174" s="51"/>
      <c r="U174" s="47">
        <f t="shared" si="17"/>
        <v>1500</v>
      </c>
      <c r="V174" s="47">
        <f t="shared" si="18"/>
        <v>1</v>
      </c>
      <c r="W174" s="52">
        <f t="shared" si="19"/>
        <v>1500</v>
      </c>
      <c r="X174" s="124" t="s">
        <v>81</v>
      </c>
      <c r="Y174" s="45" t="s">
        <v>213</v>
      </c>
    </row>
    <row r="175" spans="1:25" s="45" customFormat="1" ht="11.1" customHeight="1" x14ac:dyDescent="0.2">
      <c r="A175" s="38">
        <f t="shared" si="20"/>
        <v>173</v>
      </c>
      <c r="B175" s="90" t="s">
        <v>121</v>
      </c>
      <c r="C175" s="40" t="str">
        <f>IF($B175&lt;&gt;"",_xlfn.IFNA(VLOOKUP($B175,'Node Details'!$B:$U,C$1,0),"Check"),"")</f>
        <v>00001GF18-1GF180104</v>
      </c>
      <c r="D175" s="40" t="str">
        <f>IF($B175&lt;&gt;"",_xlfn.IFNA(VLOOKUP($B175,'Node Details'!$B:$U,D$1,0),"Check"),"")</f>
        <v>1GF</v>
      </c>
      <c r="E175" s="40" t="str">
        <f>IF($B175&lt;&gt;"",_xlfn.IFNA(VLOOKUP($B175,'Node Details'!$B:$U,E$1,0),"Check"),"")</f>
        <v>Airtel</v>
      </c>
      <c r="F175" s="97">
        <v>45379</v>
      </c>
      <c r="G175" s="42"/>
      <c r="H175" s="93" t="s">
        <v>217</v>
      </c>
      <c r="I175" s="93">
        <v>1</v>
      </c>
      <c r="J175" s="93">
        <v>710</v>
      </c>
      <c r="K175" s="44">
        <f t="shared" si="14"/>
        <v>710</v>
      </c>
      <c r="L175" s="41">
        <v>45141</v>
      </c>
      <c r="N175" s="43"/>
      <c r="O175" s="46"/>
      <c r="P175" s="47">
        <f t="shared" si="15"/>
        <v>710</v>
      </c>
      <c r="Q175" s="48">
        <f t="shared" si="16"/>
        <v>710</v>
      </c>
      <c r="R175" s="49"/>
      <c r="S175" s="50"/>
      <c r="T175" s="51"/>
      <c r="U175" s="47">
        <f t="shared" si="17"/>
        <v>710</v>
      </c>
      <c r="V175" s="47">
        <f t="shared" si="18"/>
        <v>1</v>
      </c>
      <c r="W175" s="52">
        <f t="shared" si="19"/>
        <v>710</v>
      </c>
      <c r="X175" s="124" t="s">
        <v>81</v>
      </c>
      <c r="Y175" s="45" t="s">
        <v>213</v>
      </c>
    </row>
    <row r="176" spans="1:25" s="45" customFormat="1" ht="11.1" customHeight="1" x14ac:dyDescent="0.2">
      <c r="A176" s="38">
        <f t="shared" si="20"/>
        <v>174</v>
      </c>
      <c r="B176" s="90" t="s">
        <v>123</v>
      </c>
      <c r="C176" s="40" t="str">
        <f>IF($B176&lt;&gt;"",_xlfn.IFNA(VLOOKUP($B176,'Node Details'!$B:$U,C$1,0),"Check"),"")</f>
        <v>00001GF12-00001GF22</v>
      </c>
      <c r="D176" s="40" t="str">
        <f>IF($B176&lt;&gt;"",_xlfn.IFNA(VLOOKUP($B176,'Node Details'!$B:$U,D$1,0),"Check"),"")</f>
        <v>1GF</v>
      </c>
      <c r="E176" s="40" t="str">
        <f>IF($B176&lt;&gt;"",_xlfn.IFNA(VLOOKUP($B176,'Node Details'!$B:$U,E$1,0),"Check"),"")</f>
        <v>Airtel</v>
      </c>
      <c r="F176" s="97">
        <v>45379</v>
      </c>
      <c r="G176" s="42"/>
      <c r="H176" s="93" t="s">
        <v>217</v>
      </c>
      <c r="I176" s="93">
        <v>1</v>
      </c>
      <c r="J176" s="93">
        <v>1500</v>
      </c>
      <c r="K176" s="44">
        <f t="shared" si="14"/>
        <v>1500</v>
      </c>
      <c r="L176" s="41">
        <v>45141</v>
      </c>
      <c r="N176" s="43"/>
      <c r="O176" s="46"/>
      <c r="P176" s="47">
        <f t="shared" si="15"/>
        <v>1500</v>
      </c>
      <c r="Q176" s="48">
        <f t="shared" si="16"/>
        <v>1500</v>
      </c>
      <c r="R176" s="49"/>
      <c r="S176" s="50"/>
      <c r="T176" s="51"/>
      <c r="U176" s="47">
        <f t="shared" si="17"/>
        <v>1500</v>
      </c>
      <c r="V176" s="47">
        <f t="shared" si="18"/>
        <v>1</v>
      </c>
      <c r="W176" s="52">
        <f t="shared" si="19"/>
        <v>1500</v>
      </c>
      <c r="X176" s="124" t="s">
        <v>81</v>
      </c>
      <c r="Y176" s="45" t="s">
        <v>213</v>
      </c>
    </row>
    <row r="177" spans="1:25" s="45" customFormat="1" ht="11.1" customHeight="1" x14ac:dyDescent="0.2">
      <c r="A177" s="38">
        <f t="shared" si="20"/>
        <v>175</v>
      </c>
      <c r="B177" s="90" t="s">
        <v>184</v>
      </c>
      <c r="C177" s="40" t="str">
        <f>IF($B177&lt;&gt;"",_xlfn.IFNA(VLOOKUP($B177,'Node Details'!$B:$U,C$1,0),"Check"),"")</f>
        <v>00001GF19-1GF190104</v>
      </c>
      <c r="D177" s="40" t="str">
        <f>IF($B177&lt;&gt;"",_xlfn.IFNA(VLOOKUP($B177,'Node Details'!$B:$U,D$1,0),"Check"),"")</f>
        <v>1GF</v>
      </c>
      <c r="E177" s="40" t="str">
        <f>IF($B177&lt;&gt;"",_xlfn.IFNA(VLOOKUP($B177,'Node Details'!$B:$U,E$1,0),"Check"),"")</f>
        <v>Airtel</v>
      </c>
      <c r="F177" s="97">
        <v>45379</v>
      </c>
      <c r="G177" s="42"/>
      <c r="H177" s="93" t="s">
        <v>217</v>
      </c>
      <c r="I177" s="93">
        <v>1</v>
      </c>
      <c r="J177" s="93">
        <v>1500</v>
      </c>
      <c r="K177" s="44">
        <f t="shared" si="14"/>
        <v>1500</v>
      </c>
      <c r="L177" s="41">
        <v>45141</v>
      </c>
      <c r="N177" s="43"/>
      <c r="O177" s="46"/>
      <c r="P177" s="47">
        <f t="shared" si="15"/>
        <v>1500</v>
      </c>
      <c r="Q177" s="48">
        <f t="shared" si="16"/>
        <v>1500</v>
      </c>
      <c r="R177" s="49"/>
      <c r="S177" s="50"/>
      <c r="T177" s="51"/>
      <c r="U177" s="47">
        <f t="shared" si="17"/>
        <v>1500</v>
      </c>
      <c r="V177" s="47">
        <f t="shared" si="18"/>
        <v>1</v>
      </c>
      <c r="W177" s="52">
        <f t="shared" si="19"/>
        <v>1500</v>
      </c>
      <c r="X177" s="124" t="s">
        <v>81</v>
      </c>
      <c r="Y177" s="45" t="s">
        <v>213</v>
      </c>
    </row>
    <row r="178" spans="1:25" s="45" customFormat="1" ht="11.1" customHeight="1" x14ac:dyDescent="0.2">
      <c r="A178" s="38">
        <f t="shared" si="20"/>
        <v>176</v>
      </c>
      <c r="B178" s="90" t="s">
        <v>185</v>
      </c>
      <c r="C178" s="40" t="str">
        <f>IF($B178&lt;&gt;"",_xlfn.IFNA(VLOOKUP($B178,'Node Details'!$B:$U,C$1,0),"Check"),"")</f>
        <v>00001GF19-1GF190104</v>
      </c>
      <c r="D178" s="40" t="str">
        <f>IF($B178&lt;&gt;"",_xlfn.IFNA(VLOOKUP($B178,'Node Details'!$B:$U,D$1,0),"Check"),"")</f>
        <v>1GF</v>
      </c>
      <c r="E178" s="40" t="str">
        <f>IF($B178&lt;&gt;"",_xlfn.IFNA(VLOOKUP($B178,'Node Details'!$B:$U,E$1,0),"Check"),"")</f>
        <v>Airtel</v>
      </c>
      <c r="F178" s="97">
        <v>45379</v>
      </c>
      <c r="G178" s="42"/>
      <c r="H178" s="93" t="s">
        <v>217</v>
      </c>
      <c r="I178" s="93">
        <v>1</v>
      </c>
      <c r="J178" s="93">
        <v>710</v>
      </c>
      <c r="K178" s="44">
        <f t="shared" si="14"/>
        <v>710</v>
      </c>
      <c r="L178" s="41">
        <v>45141</v>
      </c>
      <c r="N178" s="43"/>
      <c r="O178" s="46"/>
      <c r="P178" s="47">
        <f t="shared" si="15"/>
        <v>710</v>
      </c>
      <c r="Q178" s="48">
        <f t="shared" si="16"/>
        <v>710</v>
      </c>
      <c r="R178" s="49"/>
      <c r="S178" s="50"/>
      <c r="T178" s="51"/>
      <c r="U178" s="47">
        <f t="shared" si="17"/>
        <v>710</v>
      </c>
      <c r="V178" s="47">
        <f t="shared" si="18"/>
        <v>1</v>
      </c>
      <c r="W178" s="52">
        <f t="shared" si="19"/>
        <v>710</v>
      </c>
      <c r="X178" s="124" t="s">
        <v>81</v>
      </c>
      <c r="Y178" s="45" t="s">
        <v>213</v>
      </c>
    </row>
    <row r="179" spans="1:25" s="45" customFormat="1" ht="11.1" customHeight="1" x14ac:dyDescent="0.2">
      <c r="A179" s="38">
        <f t="shared" si="20"/>
        <v>177</v>
      </c>
      <c r="B179" s="90" t="s">
        <v>186</v>
      </c>
      <c r="C179" s="40" t="str">
        <f>IF($B179&lt;&gt;"",_xlfn.IFNA(VLOOKUP($B179,'Node Details'!$B:$U,C$1,0),"Check"),"")</f>
        <v>00001GF19-1GF190104</v>
      </c>
      <c r="D179" s="40" t="str">
        <f>IF($B179&lt;&gt;"",_xlfn.IFNA(VLOOKUP($B179,'Node Details'!$B:$U,D$1,0),"Check"),"")</f>
        <v>1GF</v>
      </c>
      <c r="E179" s="40" t="str">
        <f>IF($B179&lt;&gt;"",_xlfn.IFNA(VLOOKUP($B179,'Node Details'!$B:$U,E$1,0),"Check"),"")</f>
        <v>Airtel</v>
      </c>
      <c r="F179" s="97">
        <v>45379</v>
      </c>
      <c r="G179" s="42"/>
      <c r="H179" s="93" t="s">
        <v>217</v>
      </c>
      <c r="I179" s="93">
        <v>1</v>
      </c>
      <c r="J179" s="93">
        <v>710</v>
      </c>
      <c r="K179" s="44">
        <f t="shared" si="14"/>
        <v>710</v>
      </c>
      <c r="L179" s="41">
        <v>45141</v>
      </c>
      <c r="N179" s="43"/>
      <c r="O179" s="46"/>
      <c r="P179" s="47">
        <f t="shared" si="15"/>
        <v>710</v>
      </c>
      <c r="Q179" s="48">
        <f t="shared" si="16"/>
        <v>710</v>
      </c>
      <c r="R179" s="49"/>
      <c r="S179" s="50"/>
      <c r="T179" s="51"/>
      <c r="U179" s="47">
        <f t="shared" si="17"/>
        <v>710</v>
      </c>
      <c r="V179" s="47">
        <f t="shared" si="18"/>
        <v>1</v>
      </c>
      <c r="W179" s="52">
        <f t="shared" si="19"/>
        <v>710</v>
      </c>
      <c r="X179" s="124" t="s">
        <v>81</v>
      </c>
      <c r="Y179" s="45" t="s">
        <v>213</v>
      </c>
    </row>
    <row r="180" spans="1:25" s="45" customFormat="1" ht="11.1" customHeight="1" x14ac:dyDescent="0.2">
      <c r="A180" s="38">
        <f t="shared" si="20"/>
        <v>178</v>
      </c>
      <c r="B180" s="90" t="s">
        <v>125</v>
      </c>
      <c r="C180" s="40" t="str">
        <f>IF($B180&lt;&gt;"",_xlfn.IFNA(VLOOKUP($B180,'Node Details'!$B:$U,C$1,0),"Check"),"")</f>
        <v>00001GF19-1GF190104</v>
      </c>
      <c r="D180" s="40" t="str">
        <f>IF($B180&lt;&gt;"",_xlfn.IFNA(VLOOKUP($B180,'Node Details'!$B:$U,D$1,0),"Check"),"")</f>
        <v>1GF</v>
      </c>
      <c r="E180" s="40" t="str">
        <f>IF($B180&lt;&gt;"",_xlfn.IFNA(VLOOKUP($B180,'Node Details'!$B:$U,E$1,0),"Check"),"")</f>
        <v>Airtel</v>
      </c>
      <c r="F180" s="97">
        <v>45379</v>
      </c>
      <c r="G180" s="42"/>
      <c r="H180" s="93" t="s">
        <v>217</v>
      </c>
      <c r="I180" s="93">
        <v>1</v>
      </c>
      <c r="J180" s="93">
        <v>710</v>
      </c>
      <c r="K180" s="44">
        <f t="shared" si="14"/>
        <v>710</v>
      </c>
      <c r="L180" s="41">
        <v>45141</v>
      </c>
      <c r="N180" s="43"/>
      <c r="O180" s="46"/>
      <c r="P180" s="47">
        <f t="shared" si="15"/>
        <v>710</v>
      </c>
      <c r="Q180" s="48">
        <f t="shared" si="16"/>
        <v>710</v>
      </c>
      <c r="R180" s="49"/>
      <c r="S180" s="50"/>
      <c r="T180" s="51"/>
      <c r="U180" s="47">
        <f t="shared" si="17"/>
        <v>710</v>
      </c>
      <c r="V180" s="47">
        <f t="shared" si="18"/>
        <v>1</v>
      </c>
      <c r="W180" s="52">
        <f t="shared" si="19"/>
        <v>710</v>
      </c>
      <c r="X180" s="124" t="s">
        <v>81</v>
      </c>
      <c r="Y180" s="45" t="s">
        <v>213</v>
      </c>
    </row>
    <row r="181" spans="1:25" s="45" customFormat="1" ht="11.1" customHeight="1" x14ac:dyDescent="0.2">
      <c r="A181" s="38">
        <f t="shared" si="20"/>
        <v>179</v>
      </c>
      <c r="B181" s="90" t="s">
        <v>127</v>
      </c>
      <c r="C181" s="40" t="str">
        <f>IF($B181&lt;&gt;"",_xlfn.IFNA(VLOOKUP($B181,'Node Details'!$B:$U,C$1,0),"Check"),"")</f>
        <v>00001GF12-00001GF22</v>
      </c>
      <c r="D181" s="40" t="str">
        <f>IF($B181&lt;&gt;"",_xlfn.IFNA(VLOOKUP($B181,'Node Details'!$B:$U,D$1,0),"Check"),"")</f>
        <v>1GF</v>
      </c>
      <c r="E181" s="40" t="str">
        <f>IF($B181&lt;&gt;"",_xlfn.IFNA(VLOOKUP($B181,'Node Details'!$B:$U,E$1,0),"Check"),"")</f>
        <v>Airtel</v>
      </c>
      <c r="F181" s="97">
        <v>45379</v>
      </c>
      <c r="G181" s="42"/>
      <c r="H181" s="93" t="s">
        <v>217</v>
      </c>
      <c r="I181" s="93">
        <v>1</v>
      </c>
      <c r="J181" s="93">
        <v>1500</v>
      </c>
      <c r="K181" s="44">
        <f t="shared" si="14"/>
        <v>1500</v>
      </c>
      <c r="L181" s="41">
        <v>45141</v>
      </c>
      <c r="N181" s="43"/>
      <c r="O181" s="46"/>
      <c r="P181" s="47">
        <f t="shared" si="15"/>
        <v>1500</v>
      </c>
      <c r="Q181" s="48">
        <f t="shared" si="16"/>
        <v>1500</v>
      </c>
      <c r="R181" s="49"/>
      <c r="S181" s="50"/>
      <c r="T181" s="51"/>
      <c r="U181" s="47">
        <f t="shared" si="17"/>
        <v>1500</v>
      </c>
      <c r="V181" s="47">
        <f t="shared" si="18"/>
        <v>1</v>
      </c>
      <c r="W181" s="52">
        <f t="shared" si="19"/>
        <v>1500</v>
      </c>
      <c r="X181" s="124" t="s">
        <v>81</v>
      </c>
      <c r="Y181" s="45" t="s">
        <v>213</v>
      </c>
    </row>
    <row r="182" spans="1:25" s="45" customFormat="1" ht="11.1" customHeight="1" x14ac:dyDescent="0.2">
      <c r="A182" s="38">
        <f t="shared" si="20"/>
        <v>180</v>
      </c>
      <c r="B182" s="90" t="s">
        <v>187</v>
      </c>
      <c r="C182" s="40" t="str">
        <f>IF($B182&lt;&gt;"",_xlfn.IFNA(VLOOKUP($B182,'Node Details'!$B:$U,C$1,0),"Check"),"")</f>
        <v>00001GF20-1GF200104</v>
      </c>
      <c r="D182" s="40" t="str">
        <f>IF($B182&lt;&gt;"",_xlfn.IFNA(VLOOKUP($B182,'Node Details'!$B:$U,D$1,0),"Check"),"")</f>
        <v>1GF</v>
      </c>
      <c r="E182" s="40" t="str">
        <f>IF($B182&lt;&gt;"",_xlfn.IFNA(VLOOKUP($B182,'Node Details'!$B:$U,E$1,0),"Check"),"")</f>
        <v>Airtel</v>
      </c>
      <c r="F182" s="97">
        <v>45379</v>
      </c>
      <c r="G182" s="42"/>
      <c r="H182" s="93" t="s">
        <v>217</v>
      </c>
      <c r="I182" s="93">
        <v>1</v>
      </c>
      <c r="J182" s="93">
        <v>1500</v>
      </c>
      <c r="K182" s="44">
        <f t="shared" si="14"/>
        <v>1500</v>
      </c>
      <c r="L182" s="41">
        <v>45141</v>
      </c>
      <c r="N182" s="43"/>
      <c r="O182" s="46"/>
      <c r="P182" s="47">
        <f t="shared" si="15"/>
        <v>1500</v>
      </c>
      <c r="Q182" s="48">
        <f t="shared" si="16"/>
        <v>1500</v>
      </c>
      <c r="R182" s="49"/>
      <c r="S182" s="50"/>
      <c r="T182" s="51"/>
      <c r="U182" s="47">
        <f t="shared" si="17"/>
        <v>1500</v>
      </c>
      <c r="V182" s="47">
        <f t="shared" si="18"/>
        <v>1</v>
      </c>
      <c r="W182" s="52">
        <f t="shared" si="19"/>
        <v>1500</v>
      </c>
      <c r="X182" s="124" t="s">
        <v>81</v>
      </c>
      <c r="Y182" s="45" t="s">
        <v>213</v>
      </c>
    </row>
    <row r="183" spans="1:25" s="45" customFormat="1" ht="11.1" customHeight="1" x14ac:dyDescent="0.2">
      <c r="A183" s="38">
        <f t="shared" si="20"/>
        <v>181</v>
      </c>
      <c r="B183" s="90" t="s">
        <v>188</v>
      </c>
      <c r="C183" s="40" t="str">
        <f>IF($B183&lt;&gt;"",_xlfn.IFNA(VLOOKUP($B183,'Node Details'!$B:$U,C$1,0),"Check"),"")</f>
        <v>00001GF20-1GF200104</v>
      </c>
      <c r="D183" s="40" t="str">
        <f>IF($B183&lt;&gt;"",_xlfn.IFNA(VLOOKUP($B183,'Node Details'!$B:$U,D$1,0),"Check"),"")</f>
        <v>1GF</v>
      </c>
      <c r="E183" s="40" t="str">
        <f>IF($B183&lt;&gt;"",_xlfn.IFNA(VLOOKUP($B183,'Node Details'!$B:$U,E$1,0),"Check"),"")</f>
        <v>Airtel</v>
      </c>
      <c r="F183" s="97">
        <v>45379</v>
      </c>
      <c r="G183" s="42"/>
      <c r="H183" s="93" t="s">
        <v>217</v>
      </c>
      <c r="I183" s="93">
        <v>1</v>
      </c>
      <c r="J183" s="93">
        <v>710</v>
      </c>
      <c r="K183" s="44">
        <f t="shared" si="14"/>
        <v>710</v>
      </c>
      <c r="L183" s="41">
        <v>45141</v>
      </c>
      <c r="N183" s="43"/>
      <c r="O183" s="46"/>
      <c r="P183" s="47">
        <f t="shared" si="15"/>
        <v>710</v>
      </c>
      <c r="Q183" s="48">
        <f t="shared" si="16"/>
        <v>710</v>
      </c>
      <c r="R183" s="49"/>
      <c r="S183" s="50"/>
      <c r="T183" s="51"/>
      <c r="U183" s="47">
        <f t="shared" si="17"/>
        <v>710</v>
      </c>
      <c r="V183" s="47">
        <f t="shared" si="18"/>
        <v>1</v>
      </c>
      <c r="W183" s="52">
        <f t="shared" si="19"/>
        <v>710</v>
      </c>
      <c r="X183" s="124" t="s">
        <v>81</v>
      </c>
      <c r="Y183" s="45" t="s">
        <v>213</v>
      </c>
    </row>
    <row r="184" spans="1:25" s="45" customFormat="1" ht="11.1" customHeight="1" x14ac:dyDescent="0.2">
      <c r="A184" s="38">
        <f t="shared" si="20"/>
        <v>182</v>
      </c>
      <c r="B184" s="90" t="s">
        <v>189</v>
      </c>
      <c r="C184" s="40" t="str">
        <f>IF($B184&lt;&gt;"",_xlfn.IFNA(VLOOKUP($B184,'Node Details'!$B:$U,C$1,0),"Check"),"")</f>
        <v>00001GF20-1GF200104</v>
      </c>
      <c r="D184" s="40" t="str">
        <f>IF($B184&lt;&gt;"",_xlfn.IFNA(VLOOKUP($B184,'Node Details'!$B:$U,D$1,0),"Check"),"")</f>
        <v>1GF</v>
      </c>
      <c r="E184" s="40" t="str">
        <f>IF($B184&lt;&gt;"",_xlfn.IFNA(VLOOKUP($B184,'Node Details'!$B:$U,E$1,0),"Check"),"")</f>
        <v>Airtel</v>
      </c>
      <c r="F184" s="97">
        <v>45379</v>
      </c>
      <c r="G184" s="42"/>
      <c r="H184" s="93" t="s">
        <v>217</v>
      </c>
      <c r="I184" s="93">
        <v>1</v>
      </c>
      <c r="J184" s="93">
        <v>710</v>
      </c>
      <c r="K184" s="44">
        <f t="shared" si="14"/>
        <v>710</v>
      </c>
      <c r="L184" s="41">
        <v>45141</v>
      </c>
      <c r="N184" s="43"/>
      <c r="O184" s="46"/>
      <c r="P184" s="47">
        <f t="shared" si="15"/>
        <v>710</v>
      </c>
      <c r="Q184" s="48">
        <f t="shared" si="16"/>
        <v>710</v>
      </c>
      <c r="R184" s="49"/>
      <c r="S184" s="50"/>
      <c r="T184" s="51"/>
      <c r="U184" s="47">
        <f t="shared" si="17"/>
        <v>710</v>
      </c>
      <c r="V184" s="47">
        <f t="shared" si="18"/>
        <v>1</v>
      </c>
      <c r="W184" s="52">
        <f t="shared" si="19"/>
        <v>710</v>
      </c>
      <c r="X184" s="124" t="s">
        <v>81</v>
      </c>
      <c r="Y184" s="45" t="s">
        <v>213</v>
      </c>
    </row>
    <row r="185" spans="1:25" s="45" customFormat="1" ht="11.1" customHeight="1" x14ac:dyDescent="0.2">
      <c r="A185" s="38">
        <f t="shared" si="20"/>
        <v>183</v>
      </c>
      <c r="B185" s="90" t="s">
        <v>129</v>
      </c>
      <c r="C185" s="40" t="str">
        <f>IF($B185&lt;&gt;"",_xlfn.IFNA(VLOOKUP($B185,'Node Details'!$B:$U,C$1,0),"Check"),"")</f>
        <v>00001GF20-1GF200104</v>
      </c>
      <c r="D185" s="40" t="str">
        <f>IF($B185&lt;&gt;"",_xlfn.IFNA(VLOOKUP($B185,'Node Details'!$B:$U,D$1,0),"Check"),"")</f>
        <v>1GF</v>
      </c>
      <c r="E185" s="40" t="str">
        <f>IF($B185&lt;&gt;"",_xlfn.IFNA(VLOOKUP($B185,'Node Details'!$B:$U,E$1,0),"Check"),"")</f>
        <v>Airtel</v>
      </c>
      <c r="F185" s="97">
        <v>45379</v>
      </c>
      <c r="G185" s="42"/>
      <c r="H185" s="93" t="s">
        <v>217</v>
      </c>
      <c r="I185" s="93">
        <v>1</v>
      </c>
      <c r="J185" s="93">
        <v>710</v>
      </c>
      <c r="K185" s="44">
        <f t="shared" si="14"/>
        <v>710</v>
      </c>
      <c r="L185" s="41">
        <v>45141</v>
      </c>
      <c r="N185" s="43"/>
      <c r="O185" s="46"/>
      <c r="P185" s="47">
        <f t="shared" si="15"/>
        <v>710</v>
      </c>
      <c r="Q185" s="48">
        <f t="shared" si="16"/>
        <v>710</v>
      </c>
      <c r="R185" s="49"/>
      <c r="S185" s="50"/>
      <c r="T185" s="51"/>
      <c r="U185" s="47">
        <f t="shared" si="17"/>
        <v>710</v>
      </c>
      <c r="V185" s="47">
        <f t="shared" si="18"/>
        <v>1</v>
      </c>
      <c r="W185" s="52">
        <f t="shared" si="19"/>
        <v>710</v>
      </c>
      <c r="X185" s="124" t="s">
        <v>81</v>
      </c>
      <c r="Y185" s="45" t="s">
        <v>213</v>
      </c>
    </row>
    <row r="186" spans="1:25" s="45" customFormat="1" ht="11.1" customHeight="1" x14ac:dyDescent="0.2">
      <c r="A186" s="38">
        <f t="shared" si="20"/>
        <v>184</v>
      </c>
      <c r="B186" s="90" t="s">
        <v>131</v>
      </c>
      <c r="C186" s="40" t="str">
        <f>IF($B186&lt;&gt;"",_xlfn.IFNA(VLOOKUP($B186,'Node Details'!$B:$U,C$1,0),"Check"),"")</f>
        <v>00001GF12-00001GF22</v>
      </c>
      <c r="D186" s="40" t="str">
        <f>IF($B186&lt;&gt;"",_xlfn.IFNA(VLOOKUP($B186,'Node Details'!$B:$U,D$1,0),"Check"),"")</f>
        <v>1GF</v>
      </c>
      <c r="E186" s="40" t="str">
        <f>IF($B186&lt;&gt;"",_xlfn.IFNA(VLOOKUP($B186,'Node Details'!$B:$U,E$1,0),"Check"),"")</f>
        <v>Airtel</v>
      </c>
      <c r="F186" s="97">
        <v>45379</v>
      </c>
      <c r="G186" s="42"/>
      <c r="H186" s="93" t="s">
        <v>217</v>
      </c>
      <c r="I186" s="93">
        <v>1</v>
      </c>
      <c r="J186" s="93">
        <v>1500</v>
      </c>
      <c r="K186" s="44">
        <f t="shared" si="14"/>
        <v>1500</v>
      </c>
      <c r="L186" s="41">
        <v>45141</v>
      </c>
      <c r="N186" s="43"/>
      <c r="O186" s="46"/>
      <c r="P186" s="47">
        <f t="shared" si="15"/>
        <v>1500</v>
      </c>
      <c r="Q186" s="48">
        <f t="shared" si="16"/>
        <v>1500</v>
      </c>
      <c r="R186" s="49"/>
      <c r="S186" s="50"/>
      <c r="T186" s="51"/>
      <c r="U186" s="47">
        <f t="shared" si="17"/>
        <v>1500</v>
      </c>
      <c r="V186" s="47">
        <f t="shared" si="18"/>
        <v>1</v>
      </c>
      <c r="W186" s="52">
        <f t="shared" si="19"/>
        <v>1500</v>
      </c>
      <c r="X186" s="124" t="s">
        <v>81</v>
      </c>
      <c r="Y186" s="45" t="s">
        <v>213</v>
      </c>
    </row>
    <row r="187" spans="1:25" s="45" customFormat="1" ht="11.1" customHeight="1" x14ac:dyDescent="0.2">
      <c r="A187" s="38">
        <f t="shared" si="20"/>
        <v>185</v>
      </c>
      <c r="B187" s="90" t="s">
        <v>190</v>
      </c>
      <c r="C187" s="40" t="str">
        <f>IF($B187&lt;&gt;"",_xlfn.IFNA(VLOOKUP($B187,'Node Details'!$B:$U,C$1,0),"Check"),"")</f>
        <v>00001GF21-1GF210104</v>
      </c>
      <c r="D187" s="40" t="str">
        <f>IF($B187&lt;&gt;"",_xlfn.IFNA(VLOOKUP($B187,'Node Details'!$B:$U,D$1,0),"Check"),"")</f>
        <v>1GF</v>
      </c>
      <c r="E187" s="40" t="str">
        <f>IF($B187&lt;&gt;"",_xlfn.IFNA(VLOOKUP($B187,'Node Details'!$B:$U,E$1,0),"Check"),"")</f>
        <v>Airtel</v>
      </c>
      <c r="F187" s="97">
        <v>45379</v>
      </c>
      <c r="G187" s="42"/>
      <c r="H187" s="93" t="s">
        <v>217</v>
      </c>
      <c r="I187" s="93">
        <v>1</v>
      </c>
      <c r="J187" s="93">
        <v>1500</v>
      </c>
      <c r="K187" s="44">
        <f t="shared" si="14"/>
        <v>1500</v>
      </c>
      <c r="L187" s="41">
        <v>45141</v>
      </c>
      <c r="N187" s="43"/>
      <c r="O187" s="46"/>
      <c r="P187" s="47">
        <f t="shared" si="15"/>
        <v>1500</v>
      </c>
      <c r="Q187" s="48">
        <f t="shared" si="16"/>
        <v>1500</v>
      </c>
      <c r="R187" s="49"/>
      <c r="S187" s="50"/>
      <c r="T187" s="51"/>
      <c r="U187" s="47">
        <f t="shared" si="17"/>
        <v>1500</v>
      </c>
      <c r="V187" s="47">
        <f t="shared" si="18"/>
        <v>1</v>
      </c>
      <c r="W187" s="52">
        <f t="shared" si="19"/>
        <v>1500</v>
      </c>
      <c r="X187" s="124" t="s">
        <v>81</v>
      </c>
      <c r="Y187" s="45" t="s">
        <v>213</v>
      </c>
    </row>
    <row r="188" spans="1:25" s="45" customFormat="1" ht="11.1" customHeight="1" x14ac:dyDescent="0.2">
      <c r="A188" s="38">
        <f t="shared" si="20"/>
        <v>186</v>
      </c>
      <c r="B188" s="90" t="s">
        <v>136</v>
      </c>
      <c r="C188" s="40" t="str">
        <f>IF($B188&lt;&gt;"",_xlfn.IFNA(VLOOKUP($B188,'Node Details'!$B:$U,C$1,0),"Check"),"")</f>
        <v>00001GF21-1GF210104</v>
      </c>
      <c r="D188" s="40" t="str">
        <f>IF($B188&lt;&gt;"",_xlfn.IFNA(VLOOKUP($B188,'Node Details'!$B:$U,D$1,0),"Check"),"")</f>
        <v>1GF</v>
      </c>
      <c r="E188" s="40" t="str">
        <f>IF($B188&lt;&gt;"",_xlfn.IFNA(VLOOKUP($B188,'Node Details'!$B:$U,E$1,0),"Check"),"")</f>
        <v>Airtel</v>
      </c>
      <c r="F188" s="97">
        <v>45379</v>
      </c>
      <c r="G188" s="42"/>
      <c r="H188" s="93" t="s">
        <v>217</v>
      </c>
      <c r="I188" s="93">
        <v>1</v>
      </c>
      <c r="J188" s="93">
        <v>710</v>
      </c>
      <c r="K188" s="44">
        <f t="shared" si="14"/>
        <v>710</v>
      </c>
      <c r="L188" s="41">
        <v>45141</v>
      </c>
      <c r="N188" s="43"/>
      <c r="O188" s="46"/>
      <c r="P188" s="47">
        <f t="shared" si="15"/>
        <v>710</v>
      </c>
      <c r="Q188" s="48">
        <f t="shared" si="16"/>
        <v>710</v>
      </c>
      <c r="R188" s="49"/>
      <c r="S188" s="50"/>
      <c r="T188" s="51"/>
      <c r="U188" s="47">
        <f t="shared" si="17"/>
        <v>710</v>
      </c>
      <c r="V188" s="47">
        <f t="shared" si="18"/>
        <v>1</v>
      </c>
      <c r="W188" s="52">
        <f t="shared" si="19"/>
        <v>710</v>
      </c>
      <c r="X188" s="124" t="s">
        <v>81</v>
      </c>
      <c r="Y188" s="45" t="s">
        <v>213</v>
      </c>
    </row>
    <row r="189" spans="1:25" s="45" customFormat="1" ht="11.1" customHeight="1" x14ac:dyDescent="0.2">
      <c r="A189" s="38">
        <f t="shared" si="20"/>
        <v>187</v>
      </c>
      <c r="B189" s="90" t="s">
        <v>191</v>
      </c>
      <c r="C189" s="40" t="str">
        <f>IF($B189&lt;&gt;"",_xlfn.IFNA(VLOOKUP($B189,'Node Details'!$B:$U,C$1,0),"Check"),"")</f>
        <v>00001GF21-1GF210104</v>
      </c>
      <c r="D189" s="40" t="str">
        <f>IF($B189&lt;&gt;"",_xlfn.IFNA(VLOOKUP($B189,'Node Details'!$B:$U,D$1,0),"Check"),"")</f>
        <v>1GF</v>
      </c>
      <c r="E189" s="40" t="str">
        <f>IF($B189&lt;&gt;"",_xlfn.IFNA(VLOOKUP($B189,'Node Details'!$B:$U,E$1,0),"Check"),"")</f>
        <v>Airtel</v>
      </c>
      <c r="F189" s="97">
        <v>45379</v>
      </c>
      <c r="G189" s="42"/>
      <c r="H189" s="93" t="s">
        <v>217</v>
      </c>
      <c r="I189" s="93">
        <v>1</v>
      </c>
      <c r="J189" s="93">
        <v>710</v>
      </c>
      <c r="K189" s="44">
        <f t="shared" si="14"/>
        <v>710</v>
      </c>
      <c r="L189" s="41">
        <v>45141</v>
      </c>
      <c r="N189" s="43"/>
      <c r="O189" s="46"/>
      <c r="P189" s="47">
        <f t="shared" si="15"/>
        <v>710</v>
      </c>
      <c r="Q189" s="48">
        <f t="shared" si="16"/>
        <v>710</v>
      </c>
      <c r="R189" s="49"/>
      <c r="S189" s="50"/>
      <c r="T189" s="51"/>
      <c r="U189" s="47">
        <f t="shared" si="17"/>
        <v>710</v>
      </c>
      <c r="V189" s="47">
        <f t="shared" si="18"/>
        <v>1</v>
      </c>
      <c r="W189" s="52">
        <f t="shared" si="19"/>
        <v>710</v>
      </c>
      <c r="X189" s="124" t="s">
        <v>81</v>
      </c>
      <c r="Y189" s="45" t="s">
        <v>213</v>
      </c>
    </row>
    <row r="190" spans="1:25" s="45" customFormat="1" ht="11.1" customHeight="1" x14ac:dyDescent="0.2">
      <c r="A190" s="38">
        <f t="shared" si="20"/>
        <v>188</v>
      </c>
      <c r="B190" s="90" t="s">
        <v>133</v>
      </c>
      <c r="C190" s="40" t="str">
        <f>IF($B190&lt;&gt;"",_xlfn.IFNA(VLOOKUP($B190,'Node Details'!$B:$U,C$1,0),"Check"),"")</f>
        <v>00001GF21-1GF210104</v>
      </c>
      <c r="D190" s="40" t="str">
        <f>IF($B190&lt;&gt;"",_xlfn.IFNA(VLOOKUP($B190,'Node Details'!$B:$U,D$1,0),"Check"),"")</f>
        <v>1GF</v>
      </c>
      <c r="E190" s="40" t="str">
        <f>IF($B190&lt;&gt;"",_xlfn.IFNA(VLOOKUP($B190,'Node Details'!$B:$U,E$1,0),"Check"),"")</f>
        <v>Airtel</v>
      </c>
      <c r="F190" s="97">
        <v>45379</v>
      </c>
      <c r="G190" s="42"/>
      <c r="H190" s="93" t="s">
        <v>217</v>
      </c>
      <c r="I190" s="93">
        <v>1</v>
      </c>
      <c r="J190" s="93">
        <v>710</v>
      </c>
      <c r="K190" s="44">
        <f t="shared" si="14"/>
        <v>710</v>
      </c>
      <c r="L190" s="41">
        <v>45141</v>
      </c>
      <c r="N190" s="43"/>
      <c r="O190" s="46"/>
      <c r="P190" s="47">
        <f t="shared" si="15"/>
        <v>710</v>
      </c>
      <c r="Q190" s="48">
        <f t="shared" si="16"/>
        <v>710</v>
      </c>
      <c r="R190" s="49"/>
      <c r="S190" s="50"/>
      <c r="T190" s="51"/>
      <c r="U190" s="47">
        <f t="shared" si="17"/>
        <v>710</v>
      </c>
      <c r="V190" s="47">
        <f t="shared" si="18"/>
        <v>1</v>
      </c>
      <c r="W190" s="52">
        <f t="shared" si="19"/>
        <v>710</v>
      </c>
      <c r="X190" s="124" t="s">
        <v>81</v>
      </c>
      <c r="Y190" s="45" t="s">
        <v>213</v>
      </c>
    </row>
    <row r="191" spans="1:25" s="45" customFormat="1" ht="11.1" customHeight="1" x14ac:dyDescent="0.2">
      <c r="A191" s="38">
        <f t="shared" si="20"/>
        <v>189</v>
      </c>
      <c r="B191" s="90" t="s">
        <v>90</v>
      </c>
      <c r="C191" s="40" t="str">
        <f>IF($B191&lt;&gt;"",_xlfn.IFNA(VLOOKUP($B191,'Node Details'!$B:$U,C$1,0),"Check"),"")</f>
        <v>00001GF12-00001GF22</v>
      </c>
      <c r="D191" s="40" t="str">
        <f>IF($B191&lt;&gt;"",_xlfn.IFNA(VLOOKUP($B191,'Node Details'!$B:$U,D$1,0),"Check"),"")</f>
        <v>1GF</v>
      </c>
      <c r="E191" s="40" t="str">
        <f>IF($B191&lt;&gt;"",_xlfn.IFNA(VLOOKUP($B191,'Node Details'!$B:$U,E$1,0),"Check"),"")</f>
        <v>Airtel</v>
      </c>
      <c r="F191" s="97">
        <v>45379</v>
      </c>
      <c r="G191" s="42"/>
      <c r="H191" s="93" t="s">
        <v>217</v>
      </c>
      <c r="I191" s="93">
        <v>1</v>
      </c>
      <c r="J191" s="93">
        <v>1500</v>
      </c>
      <c r="K191" s="44">
        <f t="shared" si="14"/>
        <v>1500</v>
      </c>
      <c r="L191" s="41">
        <v>45141</v>
      </c>
      <c r="N191" s="43"/>
      <c r="O191" s="46"/>
      <c r="P191" s="47">
        <f t="shared" si="15"/>
        <v>1500</v>
      </c>
      <c r="Q191" s="48">
        <f t="shared" si="16"/>
        <v>1500</v>
      </c>
      <c r="R191" s="49"/>
      <c r="S191" s="50"/>
      <c r="T191" s="51"/>
      <c r="U191" s="47">
        <f t="shared" si="17"/>
        <v>1500</v>
      </c>
      <c r="V191" s="47">
        <f t="shared" si="18"/>
        <v>1</v>
      </c>
      <c r="W191" s="52">
        <f t="shared" si="19"/>
        <v>1500</v>
      </c>
      <c r="X191" s="124" t="s">
        <v>81</v>
      </c>
      <c r="Y191" s="45" t="s">
        <v>213</v>
      </c>
    </row>
    <row r="192" spans="1:25" s="45" customFormat="1" ht="11.1" customHeight="1" x14ac:dyDescent="0.2">
      <c r="A192" s="38">
        <f t="shared" si="20"/>
        <v>190</v>
      </c>
      <c r="B192" s="90" t="s">
        <v>192</v>
      </c>
      <c r="C192" s="40" t="str">
        <f>IF($B192&lt;&gt;"",_xlfn.IFNA(VLOOKUP($B192,'Node Details'!$B:$U,C$1,0),"Check"),"")</f>
        <v>00001GF22-1GF210102</v>
      </c>
      <c r="D192" s="40" t="str">
        <f>IF($B192&lt;&gt;"",_xlfn.IFNA(VLOOKUP($B192,'Node Details'!$B:$U,D$1,0),"Check"),"")</f>
        <v>1GF</v>
      </c>
      <c r="E192" s="40" t="str">
        <f>IF($B192&lt;&gt;"",_xlfn.IFNA(VLOOKUP($B192,'Node Details'!$B:$U,E$1,0),"Check"),"")</f>
        <v>Airtel</v>
      </c>
      <c r="F192" s="97" t="s">
        <v>193</v>
      </c>
      <c r="G192" s="42"/>
      <c r="H192" s="93" t="s">
        <v>217</v>
      </c>
      <c r="I192" s="93">
        <v>1</v>
      </c>
      <c r="J192" s="93">
        <v>710</v>
      </c>
      <c r="K192" s="44">
        <f t="shared" si="14"/>
        <v>710</v>
      </c>
      <c r="L192" s="41">
        <v>45141</v>
      </c>
      <c r="N192" s="43"/>
      <c r="O192" s="46"/>
      <c r="P192" s="47">
        <f t="shared" si="15"/>
        <v>710</v>
      </c>
      <c r="Q192" s="48">
        <f t="shared" si="16"/>
        <v>710</v>
      </c>
      <c r="R192" s="49"/>
      <c r="S192" s="50"/>
      <c r="T192" s="51"/>
      <c r="U192" s="47">
        <f t="shared" si="17"/>
        <v>710</v>
      </c>
      <c r="V192" s="47">
        <f t="shared" si="18"/>
        <v>1</v>
      </c>
      <c r="W192" s="52">
        <f t="shared" si="19"/>
        <v>710</v>
      </c>
      <c r="X192" s="124" t="s">
        <v>81</v>
      </c>
      <c r="Y192" s="45" t="s">
        <v>213</v>
      </c>
    </row>
    <row r="193" spans="1:25" s="45" customFormat="1" ht="11.1" customHeight="1" x14ac:dyDescent="0.2">
      <c r="A193" s="38">
        <f t="shared" si="20"/>
        <v>191</v>
      </c>
      <c r="B193" s="90" t="s">
        <v>194</v>
      </c>
      <c r="C193" s="40" t="str">
        <f>IF($B193&lt;&gt;"",_xlfn.IFNA(VLOOKUP($B193,'Node Details'!$B:$U,C$1,0),"Check"),"")</f>
        <v>00001GF22-1GF210102</v>
      </c>
      <c r="D193" s="40" t="str">
        <f>IF($B193&lt;&gt;"",_xlfn.IFNA(VLOOKUP($B193,'Node Details'!$B:$U,D$1,0),"Check"),"")</f>
        <v>1GF</v>
      </c>
      <c r="E193" s="40" t="str">
        <f>IF($B193&lt;&gt;"",_xlfn.IFNA(VLOOKUP($B193,'Node Details'!$B:$U,E$1,0),"Check"),"")</f>
        <v>Airtel</v>
      </c>
      <c r="F193" s="97" t="s">
        <v>193</v>
      </c>
      <c r="G193" s="42"/>
      <c r="H193" s="93" t="s">
        <v>217</v>
      </c>
      <c r="I193" s="93">
        <v>1</v>
      </c>
      <c r="J193" s="93">
        <v>710</v>
      </c>
      <c r="K193" s="44">
        <f t="shared" si="14"/>
        <v>710</v>
      </c>
      <c r="L193" s="41">
        <v>45141</v>
      </c>
      <c r="N193" s="43"/>
      <c r="O193" s="46"/>
      <c r="P193" s="47">
        <f t="shared" si="15"/>
        <v>710</v>
      </c>
      <c r="Q193" s="48">
        <f t="shared" si="16"/>
        <v>710</v>
      </c>
      <c r="R193" s="49"/>
      <c r="S193" s="50"/>
      <c r="T193" s="51"/>
      <c r="U193" s="47">
        <f t="shared" si="17"/>
        <v>710</v>
      </c>
      <c r="V193" s="47">
        <f t="shared" si="18"/>
        <v>1</v>
      </c>
      <c r="W193" s="52">
        <f t="shared" si="19"/>
        <v>710</v>
      </c>
      <c r="X193" s="124" t="s">
        <v>81</v>
      </c>
      <c r="Y193" s="45" t="s">
        <v>213</v>
      </c>
    </row>
    <row r="194" spans="1:25" s="45" customFormat="1" ht="11.1" customHeight="1" x14ac:dyDescent="0.2">
      <c r="A194" s="38">
        <f t="shared" si="20"/>
        <v>192</v>
      </c>
      <c r="B194" s="90" t="s">
        <v>195</v>
      </c>
      <c r="C194" s="40" t="str">
        <f>IF($B194&lt;&gt;"",_xlfn.IFNA(VLOOKUP($B194,'Node Details'!$B:$U,C$1,0),"Check"),"")</f>
        <v>00001GF22-1GF210102</v>
      </c>
      <c r="D194" s="40" t="str">
        <f>IF($B194&lt;&gt;"",_xlfn.IFNA(VLOOKUP($B194,'Node Details'!$B:$U,D$1,0),"Check"),"")</f>
        <v>1GF</v>
      </c>
      <c r="E194" s="40" t="str">
        <f>IF($B194&lt;&gt;"",_xlfn.IFNA(VLOOKUP($B194,'Node Details'!$B:$U,E$1,0),"Check"),"")</f>
        <v>Airtel</v>
      </c>
      <c r="F194" s="97" t="s">
        <v>193</v>
      </c>
      <c r="G194" s="42"/>
      <c r="H194" s="93" t="s">
        <v>217</v>
      </c>
      <c r="I194" s="93">
        <v>2</v>
      </c>
      <c r="J194" s="93">
        <v>710</v>
      </c>
      <c r="K194" s="44">
        <f t="shared" si="14"/>
        <v>1420</v>
      </c>
      <c r="L194" s="41">
        <v>45141</v>
      </c>
      <c r="N194" s="43"/>
      <c r="O194" s="46"/>
      <c r="P194" s="47">
        <f t="shared" si="15"/>
        <v>710</v>
      </c>
      <c r="Q194" s="48">
        <f t="shared" si="16"/>
        <v>1420</v>
      </c>
      <c r="R194" s="49"/>
      <c r="S194" s="50"/>
      <c r="T194" s="51"/>
      <c r="U194" s="47">
        <f t="shared" si="17"/>
        <v>710</v>
      </c>
      <c r="V194" s="47">
        <f t="shared" si="18"/>
        <v>2</v>
      </c>
      <c r="W194" s="52">
        <f t="shared" si="19"/>
        <v>1420</v>
      </c>
      <c r="X194" s="124" t="s">
        <v>81</v>
      </c>
      <c r="Y194" s="45" t="s">
        <v>213</v>
      </c>
    </row>
    <row r="195" spans="1:25" s="45" customFormat="1" ht="11.1" customHeight="1" x14ac:dyDescent="0.2">
      <c r="A195" s="38">
        <f t="shared" si="20"/>
        <v>193</v>
      </c>
      <c r="B195" s="90" t="s">
        <v>196</v>
      </c>
      <c r="C195" s="40" t="str">
        <f>IF($B195&lt;&gt;"",_xlfn.IFNA(VLOOKUP($B195,'Node Details'!$B:$U,C$1,0),"Check"),"")</f>
        <v>00001GF22-1GF210102</v>
      </c>
      <c r="D195" s="40" t="str">
        <f>IF($B195&lt;&gt;"",_xlfn.IFNA(VLOOKUP($B195,'Node Details'!$B:$U,D$1,0),"Check"),"")</f>
        <v>1GF</v>
      </c>
      <c r="E195" s="40" t="str">
        <f>IF($B195&lt;&gt;"",_xlfn.IFNA(VLOOKUP($B195,'Node Details'!$B:$U,E$1,0),"Check"),"")</f>
        <v>Airtel</v>
      </c>
      <c r="F195" s="97" t="s">
        <v>193</v>
      </c>
      <c r="G195" s="42"/>
      <c r="H195" s="93" t="s">
        <v>217</v>
      </c>
      <c r="I195" s="93">
        <v>1</v>
      </c>
      <c r="J195" s="93">
        <v>710</v>
      </c>
      <c r="K195" s="44">
        <f t="shared" ref="K195:K215" si="21">IF(I195&lt;&gt;"",J195*I195,0)</f>
        <v>710</v>
      </c>
      <c r="L195" s="41">
        <v>45141</v>
      </c>
      <c r="N195" s="43"/>
      <c r="O195" s="46"/>
      <c r="P195" s="47">
        <f t="shared" ref="P195:P215" si="22">J195</f>
        <v>710</v>
      </c>
      <c r="Q195" s="48">
        <f t="shared" ref="Q195:Q215" si="23">P195*I195</f>
        <v>710</v>
      </c>
      <c r="R195" s="49"/>
      <c r="S195" s="50"/>
      <c r="T195" s="51"/>
      <c r="U195" s="47">
        <f t="shared" ref="U195:U215" si="24">J195</f>
        <v>710</v>
      </c>
      <c r="V195" s="47">
        <f t="shared" ref="V195:V215" si="25">I195</f>
        <v>1</v>
      </c>
      <c r="W195" s="52">
        <f t="shared" ref="W195:W215" si="26">IF(V195&lt;&gt;"",V195*U195,0)</f>
        <v>710</v>
      </c>
      <c r="X195" s="124" t="s">
        <v>81</v>
      </c>
      <c r="Y195" s="45" t="s">
        <v>213</v>
      </c>
    </row>
    <row r="196" spans="1:25" s="45" customFormat="1" ht="11.1" customHeight="1" x14ac:dyDescent="0.2">
      <c r="A196" s="38">
        <f t="shared" ref="A196:A215" si="27">A195+1</f>
        <v>194</v>
      </c>
      <c r="B196" s="90" t="s">
        <v>197</v>
      </c>
      <c r="C196" s="40" t="str">
        <f>IF($B196&lt;&gt;"",_xlfn.IFNA(VLOOKUP($B196,'Node Details'!$B:$U,C$1,0),"Check"),"")</f>
        <v>00001GF22-1GF210102</v>
      </c>
      <c r="D196" s="40" t="str">
        <f>IF($B196&lt;&gt;"",_xlfn.IFNA(VLOOKUP($B196,'Node Details'!$B:$U,D$1,0),"Check"),"")</f>
        <v>1GF</v>
      </c>
      <c r="E196" s="40" t="str">
        <f>IF($B196&lt;&gt;"",_xlfn.IFNA(VLOOKUP($B196,'Node Details'!$B:$U,E$1,0),"Check"),"")</f>
        <v>Airtel</v>
      </c>
      <c r="F196" s="97" t="s">
        <v>193</v>
      </c>
      <c r="G196" s="42"/>
      <c r="H196" s="93" t="s">
        <v>217</v>
      </c>
      <c r="I196" s="93">
        <v>2</v>
      </c>
      <c r="J196" s="93">
        <v>710</v>
      </c>
      <c r="K196" s="44">
        <f t="shared" si="21"/>
        <v>1420</v>
      </c>
      <c r="L196" s="41">
        <v>45141</v>
      </c>
      <c r="N196" s="43"/>
      <c r="O196" s="46"/>
      <c r="P196" s="47">
        <f t="shared" si="22"/>
        <v>710</v>
      </c>
      <c r="Q196" s="48">
        <f t="shared" si="23"/>
        <v>1420</v>
      </c>
      <c r="R196" s="49"/>
      <c r="S196" s="50"/>
      <c r="T196" s="51"/>
      <c r="U196" s="47">
        <f t="shared" si="24"/>
        <v>710</v>
      </c>
      <c r="V196" s="47">
        <f t="shared" si="25"/>
        <v>2</v>
      </c>
      <c r="W196" s="52">
        <f t="shared" si="26"/>
        <v>1420</v>
      </c>
      <c r="X196" s="124" t="s">
        <v>81</v>
      </c>
      <c r="Y196" s="45" t="s">
        <v>213</v>
      </c>
    </row>
    <row r="197" spans="1:25" s="45" customFormat="1" ht="11.1" customHeight="1" x14ac:dyDescent="0.2">
      <c r="A197" s="38">
        <f t="shared" si="27"/>
        <v>195</v>
      </c>
      <c r="B197" s="90" t="s">
        <v>198</v>
      </c>
      <c r="C197" s="40" t="str">
        <f>IF($B197&lt;&gt;"",_xlfn.IFNA(VLOOKUP($B197,'Node Details'!$B:$U,C$1,0),"Check"),"")</f>
        <v>00001GF22-1GF210102</v>
      </c>
      <c r="D197" s="40" t="str">
        <f>IF($B197&lt;&gt;"",_xlfn.IFNA(VLOOKUP($B197,'Node Details'!$B:$U,D$1,0),"Check"),"")</f>
        <v>1GF</v>
      </c>
      <c r="E197" s="40" t="str">
        <f>IF($B197&lt;&gt;"",_xlfn.IFNA(VLOOKUP($B197,'Node Details'!$B:$U,E$1,0),"Check"),"")</f>
        <v>Airtel</v>
      </c>
      <c r="F197" s="97" t="s">
        <v>193</v>
      </c>
      <c r="G197" s="42"/>
      <c r="H197" s="93" t="s">
        <v>217</v>
      </c>
      <c r="I197" s="93">
        <v>1</v>
      </c>
      <c r="J197" s="93">
        <v>710</v>
      </c>
      <c r="K197" s="44">
        <f t="shared" si="21"/>
        <v>710</v>
      </c>
      <c r="L197" s="41">
        <v>45141</v>
      </c>
      <c r="N197" s="43"/>
      <c r="O197" s="46"/>
      <c r="P197" s="47">
        <f t="shared" si="22"/>
        <v>710</v>
      </c>
      <c r="Q197" s="48">
        <f t="shared" si="23"/>
        <v>710</v>
      </c>
      <c r="R197" s="49"/>
      <c r="S197" s="50"/>
      <c r="T197" s="51"/>
      <c r="U197" s="47">
        <f t="shared" si="24"/>
        <v>710</v>
      </c>
      <c r="V197" s="47">
        <f t="shared" si="25"/>
        <v>1</v>
      </c>
      <c r="W197" s="52">
        <f t="shared" si="26"/>
        <v>710</v>
      </c>
      <c r="X197" s="124" t="s">
        <v>81</v>
      </c>
      <c r="Y197" s="45" t="s">
        <v>213</v>
      </c>
    </row>
    <row r="198" spans="1:25" s="45" customFormat="1" ht="11.1" customHeight="1" x14ac:dyDescent="0.2">
      <c r="A198" s="38">
        <f t="shared" si="27"/>
        <v>196</v>
      </c>
      <c r="B198" s="90" t="s">
        <v>199</v>
      </c>
      <c r="C198" s="40" t="str">
        <f>IF($B198&lt;&gt;"",_xlfn.IFNA(VLOOKUP($B198,'Node Details'!$B:$U,C$1,0),"Check"),"")</f>
        <v>00001GF12-1GF120106</v>
      </c>
      <c r="D198" s="40" t="str">
        <f>IF($B198&lt;&gt;"",_xlfn.IFNA(VLOOKUP($B198,'Node Details'!$B:$U,D$1,0),"Check"),"")</f>
        <v>1GF</v>
      </c>
      <c r="E198" s="40" t="str">
        <f>IF($B198&lt;&gt;"",_xlfn.IFNA(VLOOKUP($B198,'Node Details'!$B:$U,E$1,0),"Check"),"")</f>
        <v>Airtel</v>
      </c>
      <c r="F198" s="97" t="s">
        <v>193</v>
      </c>
      <c r="G198" s="42"/>
      <c r="H198" s="93" t="s">
        <v>217</v>
      </c>
      <c r="I198" s="93">
        <v>1</v>
      </c>
      <c r="J198" s="93">
        <v>710</v>
      </c>
      <c r="K198" s="44">
        <f t="shared" si="21"/>
        <v>710</v>
      </c>
      <c r="L198" s="101">
        <v>45092</v>
      </c>
      <c r="N198" s="43"/>
      <c r="O198" s="46"/>
      <c r="P198" s="47">
        <f t="shared" si="22"/>
        <v>710</v>
      </c>
      <c r="Q198" s="48">
        <f t="shared" si="23"/>
        <v>710</v>
      </c>
      <c r="R198" s="49"/>
      <c r="S198" s="50"/>
      <c r="T198" s="51"/>
      <c r="U198" s="47">
        <f t="shared" si="24"/>
        <v>710</v>
      </c>
      <c r="V198" s="47">
        <f t="shared" si="25"/>
        <v>1</v>
      </c>
      <c r="W198" s="52">
        <f t="shared" si="26"/>
        <v>710</v>
      </c>
      <c r="X198" s="124" t="s">
        <v>81</v>
      </c>
      <c r="Y198" s="45" t="s">
        <v>213</v>
      </c>
    </row>
    <row r="199" spans="1:25" s="45" customFormat="1" ht="11.1" customHeight="1" x14ac:dyDescent="0.2">
      <c r="A199" s="38">
        <f t="shared" si="27"/>
        <v>197</v>
      </c>
      <c r="B199" s="90" t="s">
        <v>200</v>
      </c>
      <c r="C199" s="40" t="str">
        <f>IF($B199&lt;&gt;"",_xlfn.IFNA(VLOOKUP($B199,'Node Details'!$B:$U,C$1,0),"Check"),"")</f>
        <v>00001GF12-1GF120106</v>
      </c>
      <c r="D199" s="40" t="str">
        <f>IF($B199&lt;&gt;"",_xlfn.IFNA(VLOOKUP($B199,'Node Details'!$B:$U,D$1,0),"Check"),"")</f>
        <v>1GF</v>
      </c>
      <c r="E199" s="40" t="str">
        <f>IF($B199&lt;&gt;"",_xlfn.IFNA(VLOOKUP($B199,'Node Details'!$B:$U,E$1,0),"Check"),"")</f>
        <v>Airtel</v>
      </c>
      <c r="F199" s="97" t="s">
        <v>193</v>
      </c>
      <c r="G199" s="42"/>
      <c r="H199" s="93" t="s">
        <v>217</v>
      </c>
      <c r="I199" s="93">
        <v>1</v>
      </c>
      <c r="J199" s="93">
        <v>710</v>
      </c>
      <c r="K199" s="44">
        <f t="shared" si="21"/>
        <v>710</v>
      </c>
      <c r="L199" s="101">
        <v>45092</v>
      </c>
      <c r="N199" s="43"/>
      <c r="O199" s="46"/>
      <c r="P199" s="47">
        <f t="shared" si="22"/>
        <v>710</v>
      </c>
      <c r="Q199" s="48">
        <f t="shared" si="23"/>
        <v>710</v>
      </c>
      <c r="R199" s="49"/>
      <c r="S199" s="50"/>
      <c r="T199" s="51"/>
      <c r="U199" s="47">
        <f t="shared" si="24"/>
        <v>710</v>
      </c>
      <c r="V199" s="47">
        <f t="shared" si="25"/>
        <v>1</v>
      </c>
      <c r="W199" s="52">
        <f t="shared" si="26"/>
        <v>710</v>
      </c>
      <c r="X199" s="124" t="s">
        <v>81</v>
      </c>
      <c r="Y199" s="45" t="s">
        <v>213</v>
      </c>
    </row>
    <row r="200" spans="1:25" s="45" customFormat="1" ht="11.1" customHeight="1" x14ac:dyDescent="0.2">
      <c r="A200" s="38">
        <f t="shared" si="27"/>
        <v>198</v>
      </c>
      <c r="B200" s="90" t="s">
        <v>199</v>
      </c>
      <c r="C200" s="40" t="str">
        <f>IF($B200&lt;&gt;"",_xlfn.IFNA(VLOOKUP($B200,'Node Details'!$B:$U,C$1,0),"Check"),"")</f>
        <v>00001GF12-1GF120106</v>
      </c>
      <c r="D200" s="40" t="str">
        <f>IF($B200&lt;&gt;"",_xlfn.IFNA(VLOOKUP($B200,'Node Details'!$B:$U,D$1,0),"Check"),"")</f>
        <v>1GF</v>
      </c>
      <c r="E200" s="40" t="str">
        <f>IF($B200&lt;&gt;"",_xlfn.IFNA(VLOOKUP($B200,'Node Details'!$B:$U,E$1,0),"Check"),"")</f>
        <v>Airtel</v>
      </c>
      <c r="F200" s="97" t="s">
        <v>193</v>
      </c>
      <c r="G200" s="42"/>
      <c r="H200" s="93" t="s">
        <v>22</v>
      </c>
      <c r="I200" s="93">
        <v>12</v>
      </c>
      <c r="J200" s="93">
        <v>40</v>
      </c>
      <c r="K200" s="44">
        <f t="shared" si="21"/>
        <v>480</v>
      </c>
      <c r="L200" s="101">
        <v>45092</v>
      </c>
      <c r="N200" s="43"/>
      <c r="O200" s="46"/>
      <c r="P200" s="47">
        <f t="shared" si="22"/>
        <v>40</v>
      </c>
      <c r="Q200" s="48">
        <f t="shared" si="23"/>
        <v>480</v>
      </c>
      <c r="R200" s="49"/>
      <c r="S200" s="50"/>
      <c r="T200" s="51"/>
      <c r="U200" s="47">
        <f t="shared" si="24"/>
        <v>40</v>
      </c>
      <c r="V200" s="47">
        <f t="shared" si="25"/>
        <v>12</v>
      </c>
      <c r="W200" s="52">
        <f t="shared" si="26"/>
        <v>480</v>
      </c>
      <c r="X200" s="124" t="s">
        <v>81</v>
      </c>
      <c r="Y200" s="45" t="s">
        <v>213</v>
      </c>
    </row>
    <row r="201" spans="1:25" s="45" customFormat="1" ht="11.1" customHeight="1" x14ac:dyDescent="0.2">
      <c r="A201" s="38">
        <f t="shared" si="27"/>
        <v>199</v>
      </c>
      <c r="B201" s="90" t="s">
        <v>200</v>
      </c>
      <c r="C201" s="40" t="str">
        <f>IF($B201&lt;&gt;"",_xlfn.IFNA(VLOOKUP($B201,'Node Details'!$B:$U,C$1,0),"Check"),"")</f>
        <v>00001GF12-1GF120106</v>
      </c>
      <c r="D201" s="40" t="str">
        <f>IF($B201&lt;&gt;"",_xlfn.IFNA(VLOOKUP($B201,'Node Details'!$B:$U,D$1,0),"Check"),"")</f>
        <v>1GF</v>
      </c>
      <c r="E201" s="40" t="str">
        <f>IF($B201&lt;&gt;"",_xlfn.IFNA(VLOOKUP($B201,'Node Details'!$B:$U,E$1,0),"Check"),"")</f>
        <v>Airtel</v>
      </c>
      <c r="F201" s="97" t="s">
        <v>193</v>
      </c>
      <c r="G201" s="42"/>
      <c r="H201" s="93" t="s">
        <v>22</v>
      </c>
      <c r="I201" s="93">
        <v>12</v>
      </c>
      <c r="J201" s="93">
        <v>40</v>
      </c>
      <c r="K201" s="44">
        <f t="shared" si="21"/>
        <v>480</v>
      </c>
      <c r="L201" s="101">
        <v>45092</v>
      </c>
      <c r="N201" s="43"/>
      <c r="O201" s="46"/>
      <c r="P201" s="47">
        <f t="shared" si="22"/>
        <v>40</v>
      </c>
      <c r="Q201" s="48">
        <f t="shared" si="23"/>
        <v>480</v>
      </c>
      <c r="R201" s="49"/>
      <c r="S201" s="50"/>
      <c r="T201" s="51"/>
      <c r="U201" s="47">
        <f t="shared" si="24"/>
        <v>40</v>
      </c>
      <c r="V201" s="47">
        <f t="shared" si="25"/>
        <v>12</v>
      </c>
      <c r="W201" s="52">
        <f t="shared" si="26"/>
        <v>480</v>
      </c>
      <c r="X201" s="124" t="s">
        <v>81</v>
      </c>
      <c r="Y201" s="45" t="s">
        <v>213</v>
      </c>
    </row>
    <row r="202" spans="1:25" s="45" customFormat="1" ht="11.1" customHeight="1" x14ac:dyDescent="0.2">
      <c r="A202" s="38">
        <f t="shared" si="27"/>
        <v>200</v>
      </c>
      <c r="B202" s="90" t="s">
        <v>138</v>
      </c>
      <c r="C202" s="40" t="str">
        <f>IF($B202&lt;&gt;"",_xlfn.IFNA(VLOOKUP($B202,'Node Details'!$B:$U,C$1,0),"Check"),"")</f>
        <v>00001GF12-1GF120106</v>
      </c>
      <c r="D202" s="40" t="str">
        <f>IF($B202&lt;&gt;"",_xlfn.IFNA(VLOOKUP($B202,'Node Details'!$B:$U,D$1,0),"Check"),"")</f>
        <v>1GF</v>
      </c>
      <c r="E202" s="40" t="str">
        <f>IF($B202&lt;&gt;"",_xlfn.IFNA(VLOOKUP($B202,'Node Details'!$B:$U,E$1,0),"Check"),"")</f>
        <v>Airtel</v>
      </c>
      <c r="F202" s="97" t="s">
        <v>193</v>
      </c>
      <c r="G202" s="42"/>
      <c r="H202" s="93" t="s">
        <v>217</v>
      </c>
      <c r="I202" s="93">
        <v>1</v>
      </c>
      <c r="J202" s="93">
        <v>1500</v>
      </c>
      <c r="K202" s="44">
        <f t="shared" si="21"/>
        <v>1500</v>
      </c>
      <c r="L202" s="101">
        <v>45092</v>
      </c>
      <c r="N202" s="43"/>
      <c r="O202" s="46"/>
      <c r="P202" s="47">
        <f t="shared" si="22"/>
        <v>1500</v>
      </c>
      <c r="Q202" s="48">
        <f t="shared" si="23"/>
        <v>1500</v>
      </c>
      <c r="R202" s="49"/>
      <c r="S202" s="50"/>
      <c r="T202" s="51"/>
      <c r="U202" s="47">
        <f t="shared" si="24"/>
        <v>1500</v>
      </c>
      <c r="V202" s="47">
        <f t="shared" si="25"/>
        <v>1</v>
      </c>
      <c r="W202" s="52">
        <f t="shared" si="26"/>
        <v>1500</v>
      </c>
      <c r="X202" s="124" t="s">
        <v>81</v>
      </c>
      <c r="Y202" s="45" t="s">
        <v>213</v>
      </c>
    </row>
    <row r="203" spans="1:25" s="45" customFormat="1" ht="11.1" customHeight="1" x14ac:dyDescent="0.2">
      <c r="A203" s="38">
        <f t="shared" si="27"/>
        <v>201</v>
      </c>
      <c r="B203" s="90" t="s">
        <v>201</v>
      </c>
      <c r="C203" s="40" t="str">
        <f>IF($B203&lt;&gt;"",_xlfn.IFNA(VLOOKUP($B203,'Node Details'!$B:$U,C$1,0),"Check"),"")</f>
        <v>00001GF12-1GF120106</v>
      </c>
      <c r="D203" s="40" t="str">
        <f>IF($B203&lt;&gt;"",_xlfn.IFNA(VLOOKUP($B203,'Node Details'!$B:$U,D$1,0),"Check"),"")</f>
        <v>1GF</v>
      </c>
      <c r="E203" s="40" t="str">
        <f>IF($B203&lt;&gt;"",_xlfn.IFNA(VLOOKUP($B203,'Node Details'!$B:$U,E$1,0),"Check"),"")</f>
        <v>Airtel</v>
      </c>
      <c r="F203" s="97" t="s">
        <v>193</v>
      </c>
      <c r="G203" s="42"/>
      <c r="H203" s="93" t="s">
        <v>217</v>
      </c>
      <c r="I203" s="93">
        <v>1</v>
      </c>
      <c r="J203" s="93">
        <v>710</v>
      </c>
      <c r="K203" s="44">
        <f t="shared" si="21"/>
        <v>710</v>
      </c>
      <c r="L203" s="101">
        <v>45092</v>
      </c>
      <c r="N203" s="43"/>
      <c r="O203" s="46"/>
      <c r="P203" s="47">
        <f t="shared" si="22"/>
        <v>710</v>
      </c>
      <c r="Q203" s="48">
        <f t="shared" si="23"/>
        <v>710</v>
      </c>
      <c r="R203" s="49"/>
      <c r="S203" s="50"/>
      <c r="T203" s="51"/>
      <c r="U203" s="47">
        <f t="shared" si="24"/>
        <v>710</v>
      </c>
      <c r="V203" s="47">
        <f t="shared" si="25"/>
        <v>1</v>
      </c>
      <c r="W203" s="52">
        <f t="shared" si="26"/>
        <v>710</v>
      </c>
      <c r="X203" s="124" t="s">
        <v>81</v>
      </c>
      <c r="Y203" s="45" t="s">
        <v>213</v>
      </c>
    </row>
    <row r="204" spans="1:25" s="45" customFormat="1" ht="11.1" customHeight="1" x14ac:dyDescent="0.2">
      <c r="A204" s="38">
        <f t="shared" si="27"/>
        <v>202</v>
      </c>
      <c r="B204" s="90" t="s">
        <v>140</v>
      </c>
      <c r="C204" s="40" t="str">
        <f>IF($B204&lt;&gt;"",_xlfn.IFNA(VLOOKUP($B204,'Node Details'!$B:$U,C$1,0),"Check"),"")</f>
        <v>00001GF12-1GF120106</v>
      </c>
      <c r="D204" s="40" t="str">
        <f>IF($B204&lt;&gt;"",_xlfn.IFNA(VLOOKUP($B204,'Node Details'!$B:$U,D$1,0),"Check"),"")</f>
        <v>1GF</v>
      </c>
      <c r="E204" s="40" t="str">
        <f>IF($B204&lt;&gt;"",_xlfn.IFNA(VLOOKUP($B204,'Node Details'!$B:$U,E$1,0),"Check"),"")</f>
        <v>Airtel</v>
      </c>
      <c r="F204" s="97" t="s">
        <v>193</v>
      </c>
      <c r="G204" s="42"/>
      <c r="H204" s="93" t="s">
        <v>217</v>
      </c>
      <c r="I204" s="93">
        <v>1</v>
      </c>
      <c r="J204" s="93">
        <v>710</v>
      </c>
      <c r="K204" s="44">
        <f t="shared" si="21"/>
        <v>710</v>
      </c>
      <c r="L204" s="101">
        <v>45092</v>
      </c>
      <c r="N204" s="43"/>
      <c r="O204" s="46"/>
      <c r="P204" s="47">
        <f t="shared" si="22"/>
        <v>710</v>
      </c>
      <c r="Q204" s="48">
        <f t="shared" si="23"/>
        <v>710</v>
      </c>
      <c r="R204" s="49"/>
      <c r="S204" s="50"/>
      <c r="T204" s="51"/>
      <c r="U204" s="47">
        <f t="shared" si="24"/>
        <v>710</v>
      </c>
      <c r="V204" s="47">
        <f t="shared" si="25"/>
        <v>1</v>
      </c>
      <c r="W204" s="52">
        <f t="shared" si="26"/>
        <v>710</v>
      </c>
      <c r="X204" s="124" t="s">
        <v>81</v>
      </c>
      <c r="Y204" s="45" t="s">
        <v>213</v>
      </c>
    </row>
    <row r="205" spans="1:25" s="45" customFormat="1" ht="11.1" customHeight="1" x14ac:dyDescent="0.2">
      <c r="A205" s="38">
        <f t="shared" si="27"/>
        <v>203</v>
      </c>
      <c r="B205" s="90" t="s">
        <v>144</v>
      </c>
      <c r="C205" s="40" t="str">
        <f>IF($B205&lt;&gt;"",_xlfn.IFNA(VLOOKUP($B205,'Node Details'!$B:$U,C$1,0),"Check"),"")</f>
        <v>00001GF12-1GF120106</v>
      </c>
      <c r="D205" s="40" t="str">
        <f>IF($B205&lt;&gt;"",_xlfn.IFNA(VLOOKUP($B205,'Node Details'!$B:$U,D$1,0),"Check"),"")</f>
        <v>1GF</v>
      </c>
      <c r="E205" s="40" t="str">
        <f>IF($B205&lt;&gt;"",_xlfn.IFNA(VLOOKUP($B205,'Node Details'!$B:$U,E$1,0),"Check"),"")</f>
        <v>Airtel</v>
      </c>
      <c r="F205" s="97" t="s">
        <v>193</v>
      </c>
      <c r="G205" s="42"/>
      <c r="H205" s="93" t="s">
        <v>217</v>
      </c>
      <c r="I205" s="93">
        <v>1</v>
      </c>
      <c r="J205" s="93">
        <v>1500</v>
      </c>
      <c r="K205" s="44">
        <f t="shared" si="21"/>
        <v>1500</v>
      </c>
      <c r="L205" s="101">
        <v>45092</v>
      </c>
      <c r="N205" s="43"/>
      <c r="O205" s="46"/>
      <c r="P205" s="47">
        <f t="shared" si="22"/>
        <v>1500</v>
      </c>
      <c r="Q205" s="48">
        <f t="shared" si="23"/>
        <v>1500</v>
      </c>
      <c r="R205" s="49"/>
      <c r="S205" s="50"/>
      <c r="T205" s="51"/>
      <c r="U205" s="47">
        <f t="shared" si="24"/>
        <v>1500</v>
      </c>
      <c r="V205" s="47">
        <f t="shared" si="25"/>
        <v>1</v>
      </c>
      <c r="W205" s="52">
        <f t="shared" si="26"/>
        <v>1500</v>
      </c>
      <c r="X205" s="124" t="s">
        <v>81</v>
      </c>
      <c r="Y205" s="45" t="s">
        <v>213</v>
      </c>
    </row>
    <row r="206" spans="1:25" s="45" customFormat="1" ht="11.1" customHeight="1" x14ac:dyDescent="0.2">
      <c r="A206" s="38">
        <f t="shared" si="27"/>
        <v>204</v>
      </c>
      <c r="B206" s="90" t="s">
        <v>202</v>
      </c>
      <c r="C206" s="40" t="str">
        <f>IF($B206&lt;&gt;"",_xlfn.IFNA(VLOOKUP($B206,'Node Details'!$B:$U,C$1,0),"Check"),"")</f>
        <v>00001GF12-1GF120106</v>
      </c>
      <c r="D206" s="40" t="str">
        <f>IF($B206&lt;&gt;"",_xlfn.IFNA(VLOOKUP($B206,'Node Details'!$B:$U,D$1,0),"Check"),"")</f>
        <v>1GF</v>
      </c>
      <c r="E206" s="40" t="str">
        <f>IF($B206&lt;&gt;"",_xlfn.IFNA(VLOOKUP($B206,'Node Details'!$B:$U,E$1,0),"Check"),"")</f>
        <v>Airtel</v>
      </c>
      <c r="F206" s="97" t="s">
        <v>193</v>
      </c>
      <c r="G206" s="42"/>
      <c r="H206" s="93" t="s">
        <v>217</v>
      </c>
      <c r="I206" s="93">
        <v>1</v>
      </c>
      <c r="J206" s="93">
        <v>710</v>
      </c>
      <c r="K206" s="44">
        <f t="shared" si="21"/>
        <v>710</v>
      </c>
      <c r="L206" s="101">
        <v>45092</v>
      </c>
      <c r="N206" s="43"/>
      <c r="O206" s="46"/>
      <c r="P206" s="47">
        <f t="shared" si="22"/>
        <v>710</v>
      </c>
      <c r="Q206" s="48">
        <f t="shared" si="23"/>
        <v>710</v>
      </c>
      <c r="R206" s="49"/>
      <c r="S206" s="50"/>
      <c r="T206" s="51"/>
      <c r="U206" s="47">
        <f t="shared" si="24"/>
        <v>710</v>
      </c>
      <c r="V206" s="47">
        <f t="shared" si="25"/>
        <v>1</v>
      </c>
      <c r="W206" s="52">
        <f t="shared" si="26"/>
        <v>710</v>
      </c>
      <c r="X206" s="124" t="s">
        <v>81</v>
      </c>
      <c r="Y206" s="45" t="s">
        <v>213</v>
      </c>
    </row>
    <row r="207" spans="1:25" s="45" customFormat="1" ht="11.1" customHeight="1" x14ac:dyDescent="0.2">
      <c r="A207" s="38">
        <f t="shared" si="27"/>
        <v>205</v>
      </c>
      <c r="B207" s="90" t="s">
        <v>203</v>
      </c>
      <c r="C207" s="40" t="str">
        <f>IF($B207&lt;&gt;"",_xlfn.IFNA(VLOOKUP($B207,'Node Details'!$B:$U,C$1,0),"Check"),"")</f>
        <v>00001GF12-1GF120106</v>
      </c>
      <c r="D207" s="40" t="str">
        <f>IF($B207&lt;&gt;"",_xlfn.IFNA(VLOOKUP($B207,'Node Details'!$B:$U,D$1,0),"Check"),"")</f>
        <v>1GF</v>
      </c>
      <c r="E207" s="40" t="str">
        <f>IF($B207&lt;&gt;"",_xlfn.IFNA(VLOOKUP($B207,'Node Details'!$B:$U,E$1,0),"Check"),"")</f>
        <v>Airtel</v>
      </c>
      <c r="F207" s="97" t="s">
        <v>193</v>
      </c>
      <c r="G207" s="42"/>
      <c r="H207" s="93" t="s">
        <v>217</v>
      </c>
      <c r="I207" s="93">
        <v>1</v>
      </c>
      <c r="J207" s="93">
        <v>710</v>
      </c>
      <c r="K207" s="44">
        <f t="shared" si="21"/>
        <v>710</v>
      </c>
      <c r="L207" s="101">
        <v>45092</v>
      </c>
      <c r="N207" s="43"/>
      <c r="O207" s="46"/>
      <c r="P207" s="47">
        <f t="shared" si="22"/>
        <v>710</v>
      </c>
      <c r="Q207" s="48">
        <f t="shared" si="23"/>
        <v>710</v>
      </c>
      <c r="R207" s="49"/>
      <c r="S207" s="50"/>
      <c r="T207" s="51"/>
      <c r="U207" s="47">
        <f t="shared" si="24"/>
        <v>710</v>
      </c>
      <c r="V207" s="47">
        <f t="shared" si="25"/>
        <v>1</v>
      </c>
      <c r="W207" s="52">
        <f t="shared" si="26"/>
        <v>710</v>
      </c>
      <c r="X207" s="124" t="s">
        <v>81</v>
      </c>
      <c r="Y207" s="45" t="s">
        <v>213</v>
      </c>
    </row>
    <row r="208" spans="1:25" s="45" customFormat="1" ht="11.1" customHeight="1" x14ac:dyDescent="0.2">
      <c r="A208" s="38">
        <f t="shared" si="27"/>
        <v>206</v>
      </c>
      <c r="B208" s="90" t="s">
        <v>199</v>
      </c>
      <c r="C208" s="40" t="str">
        <f>IF($B208&lt;&gt;"",_xlfn.IFNA(VLOOKUP($B208,'Node Details'!$B:$U,C$1,0),"Check"),"")</f>
        <v>00001GF12-1GF120106</v>
      </c>
      <c r="D208" s="40" t="str">
        <f>IF($B208&lt;&gt;"",_xlfn.IFNA(VLOOKUP($B208,'Node Details'!$B:$U,D$1,0),"Check"),"")</f>
        <v>1GF</v>
      </c>
      <c r="E208" s="40" t="str">
        <f>IF($B208&lt;&gt;"",_xlfn.IFNA(VLOOKUP($B208,'Node Details'!$B:$U,E$1,0),"Check"),"")</f>
        <v>Airtel</v>
      </c>
      <c r="F208" s="97" t="s">
        <v>193</v>
      </c>
      <c r="G208" s="42"/>
      <c r="H208" s="93" t="s">
        <v>216</v>
      </c>
      <c r="I208" s="93">
        <v>1</v>
      </c>
      <c r="J208" s="93">
        <v>1065</v>
      </c>
      <c r="K208" s="44">
        <f t="shared" si="21"/>
        <v>1065</v>
      </c>
      <c r="L208" s="101">
        <v>45092</v>
      </c>
      <c r="N208" s="43"/>
      <c r="O208" s="46"/>
      <c r="P208" s="47">
        <f t="shared" si="22"/>
        <v>1065</v>
      </c>
      <c r="Q208" s="48">
        <f t="shared" si="23"/>
        <v>1065</v>
      </c>
      <c r="R208" s="49"/>
      <c r="S208" s="50"/>
      <c r="T208" s="51"/>
      <c r="U208" s="47">
        <f t="shared" si="24"/>
        <v>1065</v>
      </c>
      <c r="V208" s="47">
        <f t="shared" si="25"/>
        <v>1</v>
      </c>
      <c r="W208" s="52">
        <f t="shared" si="26"/>
        <v>1065</v>
      </c>
      <c r="X208" s="124" t="s">
        <v>81</v>
      </c>
      <c r="Y208" s="45" t="s">
        <v>213</v>
      </c>
    </row>
    <row r="209" spans="1:25" s="45" customFormat="1" ht="11.1" customHeight="1" x14ac:dyDescent="0.2">
      <c r="A209" s="38">
        <f t="shared" si="27"/>
        <v>207</v>
      </c>
      <c r="B209" s="90" t="s">
        <v>200</v>
      </c>
      <c r="C209" s="40" t="str">
        <f>IF($B209&lt;&gt;"",_xlfn.IFNA(VLOOKUP($B209,'Node Details'!$B:$U,C$1,0),"Check"),"")</f>
        <v>00001GF12-1GF120106</v>
      </c>
      <c r="D209" s="40" t="str">
        <f>IF($B209&lt;&gt;"",_xlfn.IFNA(VLOOKUP($B209,'Node Details'!$B:$U,D$1,0),"Check"),"")</f>
        <v>1GF</v>
      </c>
      <c r="E209" s="40" t="str">
        <f>IF($B209&lt;&gt;"",_xlfn.IFNA(VLOOKUP($B209,'Node Details'!$B:$U,E$1,0),"Check"),"")</f>
        <v>Airtel</v>
      </c>
      <c r="F209" s="97" t="s">
        <v>193</v>
      </c>
      <c r="G209" s="42"/>
      <c r="H209" s="93" t="s">
        <v>216</v>
      </c>
      <c r="I209" s="93">
        <v>1</v>
      </c>
      <c r="J209" s="93">
        <v>1065</v>
      </c>
      <c r="K209" s="44">
        <f t="shared" si="21"/>
        <v>1065</v>
      </c>
      <c r="L209" s="101">
        <v>45092</v>
      </c>
      <c r="N209" s="43"/>
      <c r="O209" s="46"/>
      <c r="P209" s="47">
        <f t="shared" si="22"/>
        <v>1065</v>
      </c>
      <c r="Q209" s="48">
        <f t="shared" si="23"/>
        <v>1065</v>
      </c>
      <c r="R209" s="49"/>
      <c r="S209" s="50"/>
      <c r="T209" s="51"/>
      <c r="U209" s="47">
        <f t="shared" si="24"/>
        <v>1065</v>
      </c>
      <c r="V209" s="47">
        <f t="shared" si="25"/>
        <v>1</v>
      </c>
      <c r="W209" s="52">
        <f t="shared" si="26"/>
        <v>1065</v>
      </c>
      <c r="X209" s="124" t="s">
        <v>81</v>
      </c>
      <c r="Y209" s="45" t="s">
        <v>213</v>
      </c>
    </row>
    <row r="210" spans="1:25" s="45" customFormat="1" ht="11.1" customHeight="1" x14ac:dyDescent="0.2">
      <c r="A210" s="38">
        <f t="shared" si="27"/>
        <v>208</v>
      </c>
      <c r="B210" s="39" t="s">
        <v>138</v>
      </c>
      <c r="C210" s="40" t="str">
        <f>IF($B210&lt;&gt;"",_xlfn.IFNA(VLOOKUP($B210,'Node Details'!$B:$U,C$1,0),"Check"),"")</f>
        <v>00001GF12-1GF120106</v>
      </c>
      <c r="D210" s="40" t="str">
        <f>IF($B210&lt;&gt;"",_xlfn.IFNA(VLOOKUP($B210,'Node Details'!$B:$U,D$1,0),"Check"),"")</f>
        <v>1GF</v>
      </c>
      <c r="E210" s="40" t="str">
        <f>IF($B210&lt;&gt;"",_xlfn.IFNA(VLOOKUP($B210,'Node Details'!$B:$U,E$1,0),"Check"),"")</f>
        <v>Airtel</v>
      </c>
      <c r="F210" s="97" t="s">
        <v>193</v>
      </c>
      <c r="G210" s="42"/>
      <c r="H210" s="93" t="s">
        <v>22</v>
      </c>
      <c r="I210" s="93">
        <v>8</v>
      </c>
      <c r="J210" s="93">
        <v>40</v>
      </c>
      <c r="K210" s="44">
        <f t="shared" si="21"/>
        <v>320</v>
      </c>
      <c r="L210" s="101">
        <v>45092</v>
      </c>
      <c r="N210" s="43"/>
      <c r="O210" s="46"/>
      <c r="P210" s="47">
        <f t="shared" si="22"/>
        <v>40</v>
      </c>
      <c r="Q210" s="48">
        <f t="shared" si="23"/>
        <v>320</v>
      </c>
      <c r="R210" s="49"/>
      <c r="S210" s="50"/>
      <c r="T210" s="51"/>
      <c r="U210" s="47">
        <f t="shared" si="24"/>
        <v>40</v>
      </c>
      <c r="V210" s="47">
        <f t="shared" si="25"/>
        <v>8</v>
      </c>
      <c r="W210" s="52">
        <f t="shared" si="26"/>
        <v>320</v>
      </c>
      <c r="X210" s="124" t="s">
        <v>81</v>
      </c>
      <c r="Y210" s="45" t="s">
        <v>213</v>
      </c>
    </row>
    <row r="211" spans="1:25" s="45" customFormat="1" ht="11.1" customHeight="1" x14ac:dyDescent="0.2">
      <c r="A211" s="38">
        <f t="shared" si="27"/>
        <v>209</v>
      </c>
      <c r="B211" s="39" t="s">
        <v>201</v>
      </c>
      <c r="C211" s="40" t="str">
        <f>IF($B211&lt;&gt;"",_xlfn.IFNA(VLOOKUP($B211,'Node Details'!$B:$U,C$1,0),"Check"),"")</f>
        <v>00001GF12-1GF120106</v>
      </c>
      <c r="D211" s="40" t="str">
        <f>IF($B211&lt;&gt;"",_xlfn.IFNA(VLOOKUP($B211,'Node Details'!$B:$U,D$1,0),"Check"),"")</f>
        <v>1GF</v>
      </c>
      <c r="E211" s="40" t="str">
        <f>IF($B211&lt;&gt;"",_xlfn.IFNA(VLOOKUP($B211,'Node Details'!$B:$U,E$1,0),"Check"),"")</f>
        <v>Airtel</v>
      </c>
      <c r="F211" s="97" t="s">
        <v>193</v>
      </c>
      <c r="G211" s="42"/>
      <c r="H211" s="93" t="s">
        <v>22</v>
      </c>
      <c r="I211" s="93">
        <v>8</v>
      </c>
      <c r="J211" s="93">
        <v>40</v>
      </c>
      <c r="K211" s="44">
        <f t="shared" si="21"/>
        <v>320</v>
      </c>
      <c r="L211" s="101">
        <v>45092</v>
      </c>
      <c r="N211" s="43"/>
      <c r="O211" s="46"/>
      <c r="P211" s="47">
        <f t="shared" si="22"/>
        <v>40</v>
      </c>
      <c r="Q211" s="48">
        <f t="shared" si="23"/>
        <v>320</v>
      </c>
      <c r="R211" s="49"/>
      <c r="S211" s="50"/>
      <c r="T211" s="51"/>
      <c r="U211" s="47">
        <f t="shared" si="24"/>
        <v>40</v>
      </c>
      <c r="V211" s="47">
        <f t="shared" si="25"/>
        <v>8</v>
      </c>
      <c r="W211" s="52">
        <f t="shared" si="26"/>
        <v>320</v>
      </c>
      <c r="X211" s="124" t="s">
        <v>81</v>
      </c>
      <c r="Y211" s="45" t="s">
        <v>213</v>
      </c>
    </row>
    <row r="212" spans="1:25" s="45" customFormat="1" ht="11.1" customHeight="1" x14ac:dyDescent="0.2">
      <c r="A212" s="38">
        <f t="shared" si="27"/>
        <v>210</v>
      </c>
      <c r="B212" s="39" t="s">
        <v>140</v>
      </c>
      <c r="C212" s="40" t="str">
        <f>IF($B212&lt;&gt;"",_xlfn.IFNA(VLOOKUP($B212,'Node Details'!$B:$U,C$1,0),"Check"),"")</f>
        <v>00001GF12-1GF120106</v>
      </c>
      <c r="D212" s="40" t="str">
        <f>IF($B212&lt;&gt;"",_xlfn.IFNA(VLOOKUP($B212,'Node Details'!$B:$U,D$1,0),"Check"),"")</f>
        <v>1GF</v>
      </c>
      <c r="E212" s="40" t="str">
        <f>IF($B212&lt;&gt;"",_xlfn.IFNA(VLOOKUP($B212,'Node Details'!$B:$U,E$1,0),"Check"),"")</f>
        <v>Airtel</v>
      </c>
      <c r="F212" s="97" t="s">
        <v>193</v>
      </c>
      <c r="G212" s="42"/>
      <c r="H212" s="93" t="s">
        <v>22</v>
      </c>
      <c r="I212" s="93">
        <v>8</v>
      </c>
      <c r="J212" s="93">
        <v>40</v>
      </c>
      <c r="K212" s="44">
        <f t="shared" si="21"/>
        <v>320</v>
      </c>
      <c r="L212" s="101">
        <v>45092</v>
      </c>
      <c r="N212" s="43"/>
      <c r="O212" s="46"/>
      <c r="P212" s="47">
        <f t="shared" si="22"/>
        <v>40</v>
      </c>
      <c r="Q212" s="48">
        <f t="shared" si="23"/>
        <v>320</v>
      </c>
      <c r="R212" s="49"/>
      <c r="S212" s="50"/>
      <c r="T212" s="51"/>
      <c r="U212" s="47">
        <f t="shared" si="24"/>
        <v>40</v>
      </c>
      <c r="V212" s="47">
        <f t="shared" si="25"/>
        <v>8</v>
      </c>
      <c r="W212" s="52">
        <f t="shared" si="26"/>
        <v>320</v>
      </c>
      <c r="X212" s="124" t="s">
        <v>81</v>
      </c>
      <c r="Y212" s="45" t="s">
        <v>213</v>
      </c>
    </row>
    <row r="213" spans="1:25" s="45" customFormat="1" ht="11.1" customHeight="1" x14ac:dyDescent="0.2">
      <c r="A213" s="38">
        <f t="shared" si="27"/>
        <v>211</v>
      </c>
      <c r="B213" s="39" t="s">
        <v>144</v>
      </c>
      <c r="C213" s="40" t="str">
        <f>IF($B213&lt;&gt;"",_xlfn.IFNA(VLOOKUP($B213,'Node Details'!$B:$U,C$1,0),"Check"),"")</f>
        <v>00001GF12-1GF120106</v>
      </c>
      <c r="D213" s="40" t="str">
        <f>IF($B213&lt;&gt;"",_xlfn.IFNA(VLOOKUP($B213,'Node Details'!$B:$U,D$1,0),"Check"),"")</f>
        <v>1GF</v>
      </c>
      <c r="E213" s="40" t="str">
        <f>IF($B213&lt;&gt;"",_xlfn.IFNA(VLOOKUP($B213,'Node Details'!$B:$U,E$1,0),"Check"),"")</f>
        <v>Airtel</v>
      </c>
      <c r="F213" s="97" t="s">
        <v>193</v>
      </c>
      <c r="G213" s="42"/>
      <c r="H213" s="93" t="s">
        <v>22</v>
      </c>
      <c r="I213" s="93">
        <v>2</v>
      </c>
      <c r="J213" s="93">
        <v>40</v>
      </c>
      <c r="K213" s="44">
        <f t="shared" si="21"/>
        <v>80</v>
      </c>
      <c r="L213" s="101">
        <v>45092</v>
      </c>
      <c r="N213" s="43"/>
      <c r="O213" s="46"/>
      <c r="P213" s="47">
        <f t="shared" si="22"/>
        <v>40</v>
      </c>
      <c r="Q213" s="48">
        <f t="shared" si="23"/>
        <v>80</v>
      </c>
      <c r="R213" s="49"/>
      <c r="S213" s="50"/>
      <c r="T213" s="51"/>
      <c r="U213" s="47">
        <f t="shared" si="24"/>
        <v>40</v>
      </c>
      <c r="V213" s="47">
        <f t="shared" si="25"/>
        <v>2</v>
      </c>
      <c r="W213" s="52">
        <f t="shared" si="26"/>
        <v>80</v>
      </c>
      <c r="X213" s="124" t="s">
        <v>81</v>
      </c>
      <c r="Y213" s="45" t="s">
        <v>213</v>
      </c>
    </row>
    <row r="214" spans="1:25" s="45" customFormat="1" ht="11.1" customHeight="1" x14ac:dyDescent="0.2">
      <c r="A214" s="38">
        <f t="shared" si="27"/>
        <v>212</v>
      </c>
      <c r="B214" s="39" t="s">
        <v>202</v>
      </c>
      <c r="C214" s="40" t="str">
        <f>IF($B214&lt;&gt;"",_xlfn.IFNA(VLOOKUP($B214,'Node Details'!$B:$U,C$1,0),"Check"),"")</f>
        <v>00001GF12-1GF120106</v>
      </c>
      <c r="D214" s="40" t="str">
        <f>IF($B214&lt;&gt;"",_xlfn.IFNA(VLOOKUP($B214,'Node Details'!$B:$U,D$1,0),"Check"),"")</f>
        <v>1GF</v>
      </c>
      <c r="E214" s="40" t="str">
        <f>IF($B214&lt;&gt;"",_xlfn.IFNA(VLOOKUP($B214,'Node Details'!$B:$U,E$1,0),"Check"),"")</f>
        <v>Airtel</v>
      </c>
      <c r="F214" s="97" t="s">
        <v>193</v>
      </c>
      <c r="G214" s="42"/>
      <c r="H214" s="93" t="s">
        <v>22</v>
      </c>
      <c r="I214" s="93">
        <v>2</v>
      </c>
      <c r="J214" s="93">
        <v>40</v>
      </c>
      <c r="K214" s="44">
        <f t="shared" si="21"/>
        <v>80</v>
      </c>
      <c r="L214" s="101">
        <v>45092</v>
      </c>
      <c r="N214" s="43"/>
      <c r="O214" s="46"/>
      <c r="P214" s="47">
        <f t="shared" si="22"/>
        <v>40</v>
      </c>
      <c r="Q214" s="48">
        <f t="shared" si="23"/>
        <v>80</v>
      </c>
      <c r="R214" s="49"/>
      <c r="S214" s="50"/>
      <c r="T214" s="51"/>
      <c r="U214" s="47">
        <f t="shared" si="24"/>
        <v>40</v>
      </c>
      <c r="V214" s="47">
        <f t="shared" si="25"/>
        <v>2</v>
      </c>
      <c r="W214" s="52">
        <f t="shared" si="26"/>
        <v>80</v>
      </c>
      <c r="X214" s="124" t="s">
        <v>81</v>
      </c>
      <c r="Y214" s="45" t="s">
        <v>213</v>
      </c>
    </row>
    <row r="215" spans="1:25" s="45" customFormat="1" ht="11.1" customHeight="1" x14ac:dyDescent="0.2">
      <c r="A215" s="38">
        <f t="shared" si="27"/>
        <v>213</v>
      </c>
      <c r="B215" s="39" t="s">
        <v>203</v>
      </c>
      <c r="C215" s="40" t="str">
        <f>IF($B215&lt;&gt;"",_xlfn.IFNA(VLOOKUP($B215,'Node Details'!$B:$U,C$1,0),"Check"),"")</f>
        <v>00001GF12-1GF120106</v>
      </c>
      <c r="D215" s="40" t="str">
        <f>IF($B215&lt;&gt;"",_xlfn.IFNA(VLOOKUP($B215,'Node Details'!$B:$U,D$1,0),"Check"),"")</f>
        <v>1GF</v>
      </c>
      <c r="E215" s="40" t="str">
        <f>IF($B215&lt;&gt;"",_xlfn.IFNA(VLOOKUP($B215,'Node Details'!$B:$U,E$1,0),"Check"),"")</f>
        <v>Airtel</v>
      </c>
      <c r="F215" s="97" t="s">
        <v>193</v>
      </c>
      <c r="G215" s="42"/>
      <c r="H215" s="93" t="s">
        <v>22</v>
      </c>
      <c r="I215" s="93">
        <v>2</v>
      </c>
      <c r="J215" s="93">
        <v>40</v>
      </c>
      <c r="K215" s="44">
        <f t="shared" si="21"/>
        <v>80</v>
      </c>
      <c r="L215" s="101">
        <v>45092</v>
      </c>
      <c r="N215" s="43"/>
      <c r="O215" s="46"/>
      <c r="P215" s="47">
        <f t="shared" si="22"/>
        <v>40</v>
      </c>
      <c r="Q215" s="48">
        <f t="shared" si="23"/>
        <v>80</v>
      </c>
      <c r="R215" s="49"/>
      <c r="S215" s="50"/>
      <c r="T215" s="51"/>
      <c r="U215" s="47">
        <f t="shared" si="24"/>
        <v>40</v>
      </c>
      <c r="V215" s="47">
        <f t="shared" si="25"/>
        <v>2</v>
      </c>
      <c r="W215" s="52">
        <f t="shared" si="26"/>
        <v>80</v>
      </c>
      <c r="X215" s="124" t="s">
        <v>81</v>
      </c>
      <c r="Y215" s="45" t="s">
        <v>213</v>
      </c>
    </row>
  </sheetData>
  <conditionalFormatting sqref="B3:B57">
    <cfRule type="duplicateValues" dxfId="18" priority="11"/>
  </conditionalFormatting>
  <conditionalFormatting sqref="B69:B127">
    <cfRule type="duplicateValues" dxfId="17" priority="8"/>
  </conditionalFormatting>
  <conditionalFormatting sqref="B128:B193">
    <cfRule type="duplicateValues" dxfId="16" priority="9"/>
    <cfRule type="duplicateValues" dxfId="15" priority="10"/>
  </conditionalFormatting>
  <conditionalFormatting sqref="B194:B197">
    <cfRule type="duplicateValues" dxfId="14" priority="6"/>
    <cfRule type="duplicateValues" dxfId="13" priority="7"/>
  </conditionalFormatting>
  <conditionalFormatting sqref="B198:B199">
    <cfRule type="duplicateValues" dxfId="12" priority="5"/>
  </conditionalFormatting>
  <conditionalFormatting sqref="B200">
    <cfRule type="duplicateValues" dxfId="11" priority="4"/>
  </conditionalFormatting>
  <conditionalFormatting sqref="B201:B207">
    <cfRule type="duplicateValues" dxfId="10" priority="3"/>
  </conditionalFormatting>
  <conditionalFormatting sqref="B208">
    <cfRule type="duplicateValues" dxfId="9" priority="2"/>
  </conditionalFormatting>
  <conditionalFormatting sqref="B209">
    <cfRule type="duplicateValues" dxfId="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Y284"/>
  <sheetViews>
    <sheetView zoomScaleNormal="100" workbookViewId="0">
      <pane ySplit="2" topLeftCell="A3" activePane="bottomLeft" state="frozen"/>
      <selection pane="bottomLeft" activeCell="B3" sqref="B3"/>
    </sheetView>
  </sheetViews>
  <sheetFormatPr defaultRowHeight="15" customHeight="1" x14ac:dyDescent="0.25"/>
  <cols>
    <col min="1" max="1" width="11.42578125" style="9" bestFit="1" customWidth="1"/>
    <col min="2" max="2" width="20.85546875" style="9" bestFit="1" customWidth="1"/>
    <col min="3" max="3" width="23.28515625" bestFit="1" customWidth="1"/>
    <col min="4" max="4" width="14.85546875" style="9" bestFit="1" customWidth="1"/>
    <col min="5" max="5" width="15" bestFit="1" customWidth="1"/>
    <col min="6" max="6" width="15" customWidth="1"/>
    <col min="7" max="7" width="1.7109375" customWidth="1"/>
    <col min="8" max="8" width="25.85546875" bestFit="1" customWidth="1"/>
    <col min="9" max="9" width="14.28515625" style="9" bestFit="1" customWidth="1"/>
    <col min="10" max="10" width="13.85546875" style="9" bestFit="1" customWidth="1"/>
    <col min="11" max="11" width="15.140625" style="9" bestFit="1" customWidth="1"/>
    <col min="12" max="12" width="16.28515625" style="8" bestFit="1" customWidth="1"/>
    <col min="13" max="13" width="1.85546875" customWidth="1"/>
    <col min="14" max="14" width="25.85546875" style="10" bestFit="1" customWidth="1"/>
    <col min="15" max="15" width="17.7109375" style="11" bestFit="1" customWidth="1"/>
    <col min="16" max="16" width="17.5703125" style="10" bestFit="1" customWidth="1"/>
    <col min="17" max="17" width="17.42578125" style="9" bestFit="1" customWidth="1"/>
    <col min="18" max="18" width="1.7109375" style="10" customWidth="1"/>
    <col min="19" max="19" width="20" style="10" bestFit="1" customWidth="1"/>
    <col min="20" max="20" width="21.5703125" style="11" bestFit="1" customWidth="1"/>
    <col min="21" max="21" width="21.42578125" style="10" bestFit="1" customWidth="1"/>
    <col min="22" max="22" width="18.140625" style="9" bestFit="1" customWidth="1"/>
    <col min="23" max="23" width="12.85546875" bestFit="1" customWidth="1"/>
    <col min="24" max="24" width="17.5703125" style="13" bestFit="1" customWidth="1"/>
  </cols>
  <sheetData>
    <row r="1" spans="1:25" s="72" customFormat="1" ht="15" customHeight="1" thickBot="1" x14ac:dyDescent="0.3">
      <c r="A1" s="89"/>
      <c r="B1" s="89"/>
      <c r="C1" s="72">
        <f>MATCH(C2,'Node Details'!$B$2:$U$2,0)</f>
        <v>3</v>
      </c>
      <c r="D1" s="89">
        <f>MATCH(D2,'Node Details'!$B$2:$U$2,0)</f>
        <v>9</v>
      </c>
      <c r="E1" s="72">
        <f>MATCH(E2,'Node Details'!$B$2:$U$2,0)</f>
        <v>4</v>
      </c>
      <c r="I1" s="89">
        <f>SUBTOTAL(9,I3:I1048576)</f>
        <v>364</v>
      </c>
      <c r="J1" s="89"/>
      <c r="K1" s="89">
        <f>SUBTOTAL(9,K3:K1048576)</f>
        <v>60770</v>
      </c>
      <c r="N1" s="74"/>
      <c r="O1" s="74"/>
      <c r="P1" s="74"/>
      <c r="Q1" s="89">
        <f>SUBTOTAL(9,Q3:Q1048576)</f>
        <v>60770</v>
      </c>
      <c r="R1" s="74"/>
      <c r="S1" s="74"/>
      <c r="T1" s="74"/>
      <c r="U1" s="74"/>
      <c r="V1" s="89">
        <f>SUBTOTAL(9,V3:V1048576)</f>
        <v>364</v>
      </c>
      <c r="W1" s="72">
        <f>SUBTOTAL(9,W3:W1048576)</f>
        <v>60770</v>
      </c>
      <c r="X1" s="73"/>
    </row>
    <row r="2" spans="1:25" s="25" customFormat="1" ht="37.5" customHeight="1" x14ac:dyDescent="0.25">
      <c r="A2" s="125" t="s">
        <v>218</v>
      </c>
      <c r="B2" s="19" t="s">
        <v>204</v>
      </c>
      <c r="C2" s="20" t="s">
        <v>148</v>
      </c>
      <c r="D2" s="20" t="s">
        <v>38</v>
      </c>
      <c r="E2" s="20" t="s">
        <v>32</v>
      </c>
      <c r="F2" s="26" t="s">
        <v>41</v>
      </c>
      <c r="G2" s="32"/>
      <c r="H2" s="18" t="s">
        <v>219</v>
      </c>
      <c r="I2" s="19" t="s">
        <v>205</v>
      </c>
      <c r="J2" s="19" t="s">
        <v>206</v>
      </c>
      <c r="K2" s="20" t="s">
        <v>207</v>
      </c>
      <c r="L2" s="84" t="s">
        <v>208</v>
      </c>
      <c r="M2" s="32"/>
      <c r="N2" s="18" t="s">
        <v>66</v>
      </c>
      <c r="O2" s="28" t="s">
        <v>67</v>
      </c>
      <c r="P2" s="20" t="s">
        <v>68</v>
      </c>
      <c r="Q2" s="27" t="s">
        <v>69</v>
      </c>
      <c r="R2" s="32"/>
      <c r="S2" s="18" t="s">
        <v>70</v>
      </c>
      <c r="T2" s="28" t="s">
        <v>71</v>
      </c>
      <c r="U2" s="20" t="s">
        <v>72</v>
      </c>
      <c r="V2" s="20" t="s">
        <v>73</v>
      </c>
      <c r="W2" s="20" t="s">
        <v>74</v>
      </c>
      <c r="X2" s="23" t="s">
        <v>220</v>
      </c>
      <c r="Y2" s="25" t="s">
        <v>209</v>
      </c>
    </row>
    <row r="3" spans="1:25" s="78" customFormat="1" ht="11.1" customHeight="1" x14ac:dyDescent="0.2">
      <c r="A3" s="71">
        <v>1</v>
      </c>
      <c r="B3" s="90" t="s">
        <v>150</v>
      </c>
      <c r="C3" s="82" t="str">
        <f>IF($B3&lt;&gt;"",_xlfn.IFNA(VLOOKUP($B3,'Node Details'!$B:$U,C$1,0),"Check"),"")</f>
        <v>00001GF12-1GF120106</v>
      </c>
      <c r="D3" s="82" t="str">
        <f>IF($B3&lt;&gt;"",_xlfn.IFNA(VLOOKUP($B3,'Node Details'!$B:$U,D$1,0),"Check"),"")</f>
        <v>1GF</v>
      </c>
      <c r="E3" s="82" t="str">
        <f>IF($B3&lt;&gt;"",_xlfn.IFNA(VLOOKUP($B3,'Node Details'!$B:$U,E$1,0),"Check"),"")</f>
        <v>Airtel</v>
      </c>
      <c r="F3" s="97">
        <v>45379</v>
      </c>
      <c r="G3" s="75"/>
      <c r="H3" s="92" t="s">
        <v>221</v>
      </c>
      <c r="I3" s="93">
        <v>1</v>
      </c>
      <c r="J3" s="93">
        <v>500</v>
      </c>
      <c r="K3" s="82">
        <f t="shared" ref="K3:K66" si="0">IF(I3&lt;&gt;"",J3*I3,0)</f>
        <v>500</v>
      </c>
      <c r="L3" s="41">
        <v>45141</v>
      </c>
      <c r="M3" s="77"/>
      <c r="N3" s="98" t="s">
        <v>87</v>
      </c>
      <c r="O3" s="99">
        <v>45211</v>
      </c>
      <c r="P3" s="85">
        <f t="shared" ref="P3:P66" si="1">J3</f>
        <v>500</v>
      </c>
      <c r="Q3" s="86">
        <f t="shared" ref="Q3:Q66" si="2">P3*I3</f>
        <v>500</v>
      </c>
      <c r="R3" s="77"/>
      <c r="S3" s="98" t="s">
        <v>88</v>
      </c>
      <c r="T3" s="99">
        <v>45257</v>
      </c>
      <c r="U3" s="85">
        <f t="shared" ref="U3:U66" si="3">J3</f>
        <v>500</v>
      </c>
      <c r="V3" s="85">
        <f t="shared" ref="V3:V66" si="4">I3</f>
        <v>1</v>
      </c>
      <c r="W3" s="88">
        <f t="shared" ref="W3:W66" si="5">IF(V3&lt;&gt;"",V3*U3,0)</f>
        <v>500</v>
      </c>
      <c r="X3" s="98" t="s">
        <v>86</v>
      </c>
      <c r="Y3" s="78" t="s">
        <v>81</v>
      </c>
    </row>
    <row r="4" spans="1:25" s="78" customFormat="1" ht="11.1" customHeight="1" x14ac:dyDescent="0.2">
      <c r="A4" s="71">
        <f t="shared" ref="A4:A67" si="6">A3+1</f>
        <v>2</v>
      </c>
      <c r="B4" s="90" t="s">
        <v>151</v>
      </c>
      <c r="C4" s="82" t="str">
        <f>IF($B4&lt;&gt;"",_xlfn.IFNA(VLOOKUP($B4,'Node Details'!$B:$U,C$1,0),"Check"),"")</f>
        <v>00001GF12-1GF120106</v>
      </c>
      <c r="D4" s="82" t="str">
        <f>IF($B4&lt;&gt;"",_xlfn.IFNA(VLOOKUP($B4,'Node Details'!$B:$U,D$1,0),"Check"),"")</f>
        <v>1GF</v>
      </c>
      <c r="E4" s="82" t="str">
        <f>IF($B4&lt;&gt;"",_xlfn.IFNA(VLOOKUP($B4,'Node Details'!$B:$U,E$1,0),"Check"),"")</f>
        <v>Airtel</v>
      </c>
      <c r="F4" s="97">
        <v>45379</v>
      </c>
      <c r="G4" s="75"/>
      <c r="H4" s="92" t="s">
        <v>221</v>
      </c>
      <c r="I4" s="93">
        <v>1</v>
      </c>
      <c r="J4" s="93">
        <v>500</v>
      </c>
      <c r="K4" s="82">
        <f t="shared" si="0"/>
        <v>500</v>
      </c>
      <c r="L4" s="41">
        <v>45141</v>
      </c>
      <c r="M4" s="77"/>
      <c r="N4" s="98" t="s">
        <v>87</v>
      </c>
      <c r="O4" s="99">
        <v>45211</v>
      </c>
      <c r="P4" s="85">
        <f t="shared" si="1"/>
        <v>500</v>
      </c>
      <c r="Q4" s="86">
        <f t="shared" si="2"/>
        <v>500</v>
      </c>
      <c r="R4" s="77"/>
      <c r="S4" s="98" t="s">
        <v>88</v>
      </c>
      <c r="T4" s="99">
        <v>45257</v>
      </c>
      <c r="U4" s="85">
        <f t="shared" si="3"/>
        <v>500</v>
      </c>
      <c r="V4" s="85">
        <f t="shared" si="4"/>
        <v>1</v>
      </c>
      <c r="W4" s="88">
        <f t="shared" si="5"/>
        <v>500</v>
      </c>
      <c r="X4" s="98" t="s">
        <v>86</v>
      </c>
      <c r="Y4" s="78" t="s">
        <v>81</v>
      </c>
    </row>
    <row r="5" spans="1:25" s="78" customFormat="1" ht="11.1" customHeight="1" x14ac:dyDescent="0.2">
      <c r="A5" s="71">
        <f t="shared" si="6"/>
        <v>3</v>
      </c>
      <c r="B5" s="90" t="s">
        <v>152</v>
      </c>
      <c r="C5" s="82" t="str">
        <f>IF($B5&lt;&gt;"",_xlfn.IFNA(VLOOKUP($B5,'Node Details'!$B:$U,C$1,0),"Check"),"")</f>
        <v>00001GF12-1GF120106</v>
      </c>
      <c r="D5" s="82" t="str">
        <f>IF($B5&lt;&gt;"",_xlfn.IFNA(VLOOKUP($B5,'Node Details'!$B:$U,D$1,0),"Check"),"")</f>
        <v>1GF</v>
      </c>
      <c r="E5" s="82" t="str">
        <f>IF($B5&lt;&gt;"",_xlfn.IFNA(VLOOKUP($B5,'Node Details'!$B:$U,E$1,0),"Check"),"")</f>
        <v>Airtel</v>
      </c>
      <c r="F5" s="97">
        <v>45379</v>
      </c>
      <c r="G5" s="75"/>
      <c r="H5" s="92" t="s">
        <v>221</v>
      </c>
      <c r="I5" s="93">
        <v>1</v>
      </c>
      <c r="J5" s="93">
        <v>500</v>
      </c>
      <c r="K5" s="82">
        <f t="shared" si="0"/>
        <v>500</v>
      </c>
      <c r="L5" s="41">
        <v>45141</v>
      </c>
      <c r="M5" s="77"/>
      <c r="N5" s="98" t="s">
        <v>87</v>
      </c>
      <c r="O5" s="99">
        <v>45211</v>
      </c>
      <c r="P5" s="85">
        <f t="shared" si="1"/>
        <v>500</v>
      </c>
      <c r="Q5" s="86">
        <f t="shared" si="2"/>
        <v>500</v>
      </c>
      <c r="R5" s="77"/>
      <c r="S5" s="98" t="s">
        <v>88</v>
      </c>
      <c r="T5" s="99">
        <v>45257</v>
      </c>
      <c r="U5" s="85">
        <f t="shared" si="3"/>
        <v>500</v>
      </c>
      <c r="V5" s="85">
        <f t="shared" si="4"/>
        <v>1</v>
      </c>
      <c r="W5" s="88">
        <f t="shared" si="5"/>
        <v>500</v>
      </c>
      <c r="X5" s="98" t="s">
        <v>86</v>
      </c>
      <c r="Y5" s="78" t="s">
        <v>81</v>
      </c>
    </row>
    <row r="6" spans="1:25" s="78" customFormat="1" ht="11.1" customHeight="1" x14ac:dyDescent="0.2">
      <c r="A6" s="71">
        <f t="shared" si="6"/>
        <v>4</v>
      </c>
      <c r="B6" s="90" t="s">
        <v>153</v>
      </c>
      <c r="C6" s="82" t="str">
        <f>IF($B6&lt;&gt;"",_xlfn.IFNA(VLOOKUP($B6,'Node Details'!$B:$U,C$1,0),"Check"),"")</f>
        <v>00001GF12-1GF120106</v>
      </c>
      <c r="D6" s="82" t="str">
        <f>IF($B6&lt;&gt;"",_xlfn.IFNA(VLOOKUP($B6,'Node Details'!$B:$U,D$1,0),"Check"),"")</f>
        <v>1GF</v>
      </c>
      <c r="E6" s="82" t="str">
        <f>IF($B6&lt;&gt;"",_xlfn.IFNA(VLOOKUP($B6,'Node Details'!$B:$U,E$1,0),"Check"),"")</f>
        <v>Airtel</v>
      </c>
      <c r="F6" s="97">
        <v>45379</v>
      </c>
      <c r="G6" s="75"/>
      <c r="H6" s="92" t="s">
        <v>221</v>
      </c>
      <c r="I6" s="93">
        <v>2</v>
      </c>
      <c r="J6" s="93">
        <v>500</v>
      </c>
      <c r="K6" s="82">
        <f t="shared" si="0"/>
        <v>1000</v>
      </c>
      <c r="L6" s="41">
        <v>45141</v>
      </c>
      <c r="M6" s="77"/>
      <c r="N6" s="98" t="s">
        <v>87</v>
      </c>
      <c r="O6" s="99">
        <v>45211</v>
      </c>
      <c r="P6" s="85">
        <f t="shared" si="1"/>
        <v>500</v>
      </c>
      <c r="Q6" s="86">
        <f t="shared" si="2"/>
        <v>1000</v>
      </c>
      <c r="R6" s="77"/>
      <c r="S6" s="98" t="s">
        <v>88</v>
      </c>
      <c r="T6" s="99">
        <v>45257</v>
      </c>
      <c r="U6" s="85">
        <f t="shared" si="3"/>
        <v>500</v>
      </c>
      <c r="V6" s="85">
        <f t="shared" si="4"/>
        <v>2</v>
      </c>
      <c r="W6" s="88">
        <f t="shared" si="5"/>
        <v>1000</v>
      </c>
      <c r="X6" s="98" t="s">
        <v>86</v>
      </c>
      <c r="Y6" s="78" t="s">
        <v>81</v>
      </c>
    </row>
    <row r="7" spans="1:25" s="78" customFormat="1" ht="11.1" customHeight="1" x14ac:dyDescent="0.2">
      <c r="A7" s="71">
        <f t="shared" si="6"/>
        <v>5</v>
      </c>
      <c r="B7" s="90" t="s">
        <v>154</v>
      </c>
      <c r="C7" s="82" t="str">
        <f>IF($B7&lt;&gt;"",_xlfn.IFNA(VLOOKUP($B7,'Node Details'!$B:$U,C$1,0),"Check"),"")</f>
        <v>00001GF12-1GF120106</v>
      </c>
      <c r="D7" s="82" t="str">
        <f>IF($B7&lt;&gt;"",_xlfn.IFNA(VLOOKUP($B7,'Node Details'!$B:$U,D$1,0),"Check"),"")</f>
        <v>1GF</v>
      </c>
      <c r="E7" s="82" t="str">
        <f>IF($B7&lt;&gt;"",_xlfn.IFNA(VLOOKUP($B7,'Node Details'!$B:$U,E$1,0),"Check"),"")</f>
        <v>Airtel</v>
      </c>
      <c r="F7" s="97">
        <v>45379</v>
      </c>
      <c r="G7" s="75"/>
      <c r="H7" s="92" t="s">
        <v>221</v>
      </c>
      <c r="I7" s="93">
        <v>1</v>
      </c>
      <c r="J7" s="93">
        <v>500</v>
      </c>
      <c r="K7" s="82">
        <f t="shared" si="0"/>
        <v>500</v>
      </c>
      <c r="L7" s="41">
        <v>45141</v>
      </c>
      <c r="M7" s="77"/>
      <c r="N7" s="98" t="s">
        <v>87</v>
      </c>
      <c r="O7" s="99">
        <v>45211</v>
      </c>
      <c r="P7" s="85">
        <f t="shared" si="1"/>
        <v>500</v>
      </c>
      <c r="Q7" s="86">
        <f t="shared" si="2"/>
        <v>500</v>
      </c>
      <c r="R7" s="77"/>
      <c r="S7" s="98" t="s">
        <v>88</v>
      </c>
      <c r="T7" s="99">
        <v>45257</v>
      </c>
      <c r="U7" s="85">
        <f t="shared" si="3"/>
        <v>500</v>
      </c>
      <c r="V7" s="85">
        <f t="shared" si="4"/>
        <v>1</v>
      </c>
      <c r="W7" s="88">
        <f t="shared" si="5"/>
        <v>500</v>
      </c>
      <c r="X7" s="98" t="s">
        <v>86</v>
      </c>
      <c r="Y7" s="78" t="s">
        <v>81</v>
      </c>
    </row>
    <row r="8" spans="1:25" s="78" customFormat="1" ht="11.1" customHeight="1" x14ac:dyDescent="0.2">
      <c r="A8" s="71">
        <f t="shared" si="6"/>
        <v>6</v>
      </c>
      <c r="B8" s="90" t="s">
        <v>97</v>
      </c>
      <c r="C8" s="82" t="str">
        <f>IF($B8&lt;&gt;"",_xlfn.IFNA(VLOOKUP($B8,'Node Details'!$B:$U,C$1,0),"Check"),"")</f>
        <v>00001GF12-1GF120106</v>
      </c>
      <c r="D8" s="82" t="str">
        <f>IF($B8&lt;&gt;"",_xlfn.IFNA(VLOOKUP($B8,'Node Details'!$B:$U,D$1,0),"Check"),"")</f>
        <v>1GF</v>
      </c>
      <c r="E8" s="82" t="str">
        <f>IF($B8&lt;&gt;"",_xlfn.IFNA(VLOOKUP($B8,'Node Details'!$B:$U,E$1,0),"Check"),"")</f>
        <v>Airtel</v>
      </c>
      <c r="F8" s="97">
        <v>45379</v>
      </c>
      <c r="G8" s="75"/>
      <c r="H8" s="92" t="s">
        <v>221</v>
      </c>
      <c r="I8" s="93">
        <v>2</v>
      </c>
      <c r="J8" s="93">
        <v>500</v>
      </c>
      <c r="K8" s="82">
        <f t="shared" si="0"/>
        <v>1000</v>
      </c>
      <c r="L8" s="41">
        <v>45141</v>
      </c>
      <c r="M8" s="77"/>
      <c r="N8" s="98" t="s">
        <v>87</v>
      </c>
      <c r="O8" s="99">
        <v>45211</v>
      </c>
      <c r="P8" s="85">
        <f t="shared" si="1"/>
        <v>500</v>
      </c>
      <c r="Q8" s="86">
        <f t="shared" si="2"/>
        <v>1000</v>
      </c>
      <c r="R8" s="77"/>
      <c r="S8" s="98" t="s">
        <v>88</v>
      </c>
      <c r="T8" s="99">
        <v>45257</v>
      </c>
      <c r="U8" s="85">
        <f t="shared" si="3"/>
        <v>500</v>
      </c>
      <c r="V8" s="85">
        <f t="shared" si="4"/>
        <v>2</v>
      </c>
      <c r="W8" s="88">
        <f t="shared" si="5"/>
        <v>1000</v>
      </c>
      <c r="X8" s="98" t="s">
        <v>86</v>
      </c>
      <c r="Y8" s="78" t="s">
        <v>81</v>
      </c>
    </row>
    <row r="9" spans="1:25" s="78" customFormat="1" ht="11.1" customHeight="1" x14ac:dyDescent="0.2">
      <c r="A9" s="71">
        <f t="shared" si="6"/>
        <v>7</v>
      </c>
      <c r="B9" s="90" t="s">
        <v>155</v>
      </c>
      <c r="C9" s="82" t="str">
        <f>IF($B9&lt;&gt;"",_xlfn.IFNA(VLOOKUP($B9,'Node Details'!$B:$U,C$1,0),"Check"),"")</f>
        <v>00001GF13-1GF130106</v>
      </c>
      <c r="D9" s="82" t="str">
        <f>IF($B9&lt;&gt;"",_xlfn.IFNA(VLOOKUP($B9,'Node Details'!$B:$U,D$1,0),"Check"),"")</f>
        <v>1GF</v>
      </c>
      <c r="E9" s="82" t="str">
        <f>IF($B9&lt;&gt;"",_xlfn.IFNA(VLOOKUP($B9,'Node Details'!$B:$U,E$1,0),"Check"),"")</f>
        <v>Airtel</v>
      </c>
      <c r="F9" s="97">
        <v>45379</v>
      </c>
      <c r="G9" s="75"/>
      <c r="H9" s="92" t="s">
        <v>221</v>
      </c>
      <c r="I9" s="93">
        <v>1</v>
      </c>
      <c r="J9" s="93">
        <v>500</v>
      </c>
      <c r="K9" s="82">
        <f t="shared" si="0"/>
        <v>500</v>
      </c>
      <c r="L9" s="41">
        <v>45141</v>
      </c>
      <c r="M9" s="77"/>
      <c r="N9" s="98" t="s">
        <v>87</v>
      </c>
      <c r="O9" s="99">
        <v>45211</v>
      </c>
      <c r="P9" s="85">
        <f t="shared" si="1"/>
        <v>500</v>
      </c>
      <c r="Q9" s="86">
        <f t="shared" si="2"/>
        <v>500</v>
      </c>
      <c r="R9" s="77"/>
      <c r="S9" s="98" t="s">
        <v>88</v>
      </c>
      <c r="T9" s="99">
        <v>45257</v>
      </c>
      <c r="U9" s="85">
        <f t="shared" si="3"/>
        <v>500</v>
      </c>
      <c r="V9" s="85">
        <f t="shared" si="4"/>
        <v>1</v>
      </c>
      <c r="W9" s="88">
        <f t="shared" si="5"/>
        <v>500</v>
      </c>
      <c r="X9" s="98" t="s">
        <v>86</v>
      </c>
      <c r="Y9" s="78" t="s">
        <v>81</v>
      </c>
    </row>
    <row r="10" spans="1:25" s="78" customFormat="1" ht="11.1" customHeight="1" x14ac:dyDescent="0.2">
      <c r="A10" s="71">
        <f t="shared" si="6"/>
        <v>8</v>
      </c>
      <c r="B10" s="90" t="s">
        <v>156</v>
      </c>
      <c r="C10" s="82" t="str">
        <f>IF($B10&lt;&gt;"",_xlfn.IFNA(VLOOKUP($B10,'Node Details'!$B:$U,C$1,0),"Check"),"")</f>
        <v>00001GF13-1GF130106</v>
      </c>
      <c r="D10" s="82" t="str">
        <f>IF($B10&lt;&gt;"",_xlfn.IFNA(VLOOKUP($B10,'Node Details'!$B:$U,D$1,0),"Check"),"")</f>
        <v>1GF</v>
      </c>
      <c r="E10" s="82" t="str">
        <f>IF($B10&lt;&gt;"",_xlfn.IFNA(VLOOKUP($B10,'Node Details'!$B:$U,E$1,0),"Check"),"")</f>
        <v>Airtel</v>
      </c>
      <c r="F10" s="97">
        <v>45379</v>
      </c>
      <c r="G10" s="75"/>
      <c r="H10" s="92" t="s">
        <v>221</v>
      </c>
      <c r="I10" s="93">
        <v>1</v>
      </c>
      <c r="J10" s="93">
        <v>500</v>
      </c>
      <c r="K10" s="82">
        <f t="shared" si="0"/>
        <v>500</v>
      </c>
      <c r="L10" s="41">
        <v>45141</v>
      </c>
      <c r="M10" s="77"/>
      <c r="N10" s="98" t="s">
        <v>87</v>
      </c>
      <c r="O10" s="99">
        <v>45211</v>
      </c>
      <c r="P10" s="85">
        <f t="shared" si="1"/>
        <v>500</v>
      </c>
      <c r="Q10" s="86">
        <f t="shared" si="2"/>
        <v>500</v>
      </c>
      <c r="R10" s="77"/>
      <c r="S10" s="98" t="s">
        <v>88</v>
      </c>
      <c r="T10" s="99">
        <v>45257</v>
      </c>
      <c r="U10" s="85">
        <f t="shared" si="3"/>
        <v>500</v>
      </c>
      <c r="V10" s="85">
        <f t="shared" si="4"/>
        <v>1</v>
      </c>
      <c r="W10" s="88">
        <f t="shared" si="5"/>
        <v>500</v>
      </c>
      <c r="X10" s="98" t="s">
        <v>86</v>
      </c>
      <c r="Y10" s="78" t="s">
        <v>81</v>
      </c>
    </row>
    <row r="11" spans="1:25" s="78" customFormat="1" ht="11.1" customHeight="1" x14ac:dyDescent="0.2">
      <c r="A11" s="71">
        <f t="shared" si="6"/>
        <v>9</v>
      </c>
      <c r="B11" s="90" t="s">
        <v>157</v>
      </c>
      <c r="C11" s="82" t="str">
        <f>IF($B11&lt;&gt;"",_xlfn.IFNA(VLOOKUP($B11,'Node Details'!$B:$U,C$1,0),"Check"),"")</f>
        <v>00001GF13-1GF130106</v>
      </c>
      <c r="D11" s="82" t="str">
        <f>IF($B11&lt;&gt;"",_xlfn.IFNA(VLOOKUP($B11,'Node Details'!$B:$U,D$1,0),"Check"),"")</f>
        <v>1GF</v>
      </c>
      <c r="E11" s="82" t="str">
        <f>IF($B11&lt;&gt;"",_xlfn.IFNA(VLOOKUP($B11,'Node Details'!$B:$U,E$1,0),"Check"),"")</f>
        <v>Airtel</v>
      </c>
      <c r="F11" s="97">
        <v>45379</v>
      </c>
      <c r="G11" s="75"/>
      <c r="H11" s="92" t="s">
        <v>221</v>
      </c>
      <c r="I11" s="93">
        <v>1</v>
      </c>
      <c r="J11" s="93">
        <v>500</v>
      </c>
      <c r="K11" s="82">
        <f t="shared" si="0"/>
        <v>500</v>
      </c>
      <c r="L11" s="41">
        <v>45141</v>
      </c>
      <c r="M11" s="77"/>
      <c r="N11" s="98" t="s">
        <v>87</v>
      </c>
      <c r="O11" s="99">
        <v>45211</v>
      </c>
      <c r="P11" s="85">
        <f t="shared" si="1"/>
        <v>500</v>
      </c>
      <c r="Q11" s="86">
        <f t="shared" si="2"/>
        <v>500</v>
      </c>
      <c r="R11" s="77"/>
      <c r="S11" s="98" t="s">
        <v>88</v>
      </c>
      <c r="T11" s="99">
        <v>45257</v>
      </c>
      <c r="U11" s="85">
        <f t="shared" si="3"/>
        <v>500</v>
      </c>
      <c r="V11" s="85">
        <f t="shared" si="4"/>
        <v>1</v>
      </c>
      <c r="W11" s="88">
        <f t="shared" si="5"/>
        <v>500</v>
      </c>
      <c r="X11" s="98" t="s">
        <v>86</v>
      </c>
      <c r="Y11" s="78" t="s">
        <v>81</v>
      </c>
    </row>
    <row r="12" spans="1:25" s="78" customFormat="1" ht="11.1" customHeight="1" x14ac:dyDescent="0.2">
      <c r="A12" s="71">
        <f t="shared" si="6"/>
        <v>10</v>
      </c>
      <c r="B12" s="90" t="s">
        <v>158</v>
      </c>
      <c r="C12" s="82" t="str">
        <f>IF($B12&lt;&gt;"",_xlfn.IFNA(VLOOKUP($B12,'Node Details'!$B:$U,C$1,0),"Check"),"")</f>
        <v>00001GF13-1GF130106</v>
      </c>
      <c r="D12" s="82" t="str">
        <f>IF($B12&lt;&gt;"",_xlfn.IFNA(VLOOKUP($B12,'Node Details'!$B:$U,D$1,0),"Check"),"")</f>
        <v>1GF</v>
      </c>
      <c r="E12" s="82" t="str">
        <f>IF($B12&lt;&gt;"",_xlfn.IFNA(VLOOKUP($B12,'Node Details'!$B:$U,E$1,0),"Check"),"")</f>
        <v>Airtel</v>
      </c>
      <c r="F12" s="97">
        <v>45379</v>
      </c>
      <c r="G12" s="75"/>
      <c r="H12" s="92" t="s">
        <v>221</v>
      </c>
      <c r="I12" s="93">
        <v>1</v>
      </c>
      <c r="J12" s="93">
        <v>500</v>
      </c>
      <c r="K12" s="82">
        <f t="shared" si="0"/>
        <v>500</v>
      </c>
      <c r="L12" s="41">
        <v>45141</v>
      </c>
      <c r="M12" s="77"/>
      <c r="N12" s="98" t="s">
        <v>87</v>
      </c>
      <c r="O12" s="99">
        <v>45211</v>
      </c>
      <c r="P12" s="85">
        <f t="shared" si="1"/>
        <v>500</v>
      </c>
      <c r="Q12" s="86">
        <f t="shared" si="2"/>
        <v>500</v>
      </c>
      <c r="R12" s="77"/>
      <c r="S12" s="98" t="s">
        <v>88</v>
      </c>
      <c r="T12" s="99">
        <v>45257</v>
      </c>
      <c r="U12" s="85">
        <f t="shared" si="3"/>
        <v>500</v>
      </c>
      <c r="V12" s="85">
        <f t="shared" si="4"/>
        <v>1</v>
      </c>
      <c r="W12" s="88">
        <f t="shared" si="5"/>
        <v>500</v>
      </c>
      <c r="X12" s="98" t="s">
        <v>86</v>
      </c>
      <c r="Y12" s="78" t="s">
        <v>81</v>
      </c>
    </row>
    <row r="13" spans="1:25" s="78" customFormat="1" ht="11.1" customHeight="1" x14ac:dyDescent="0.2">
      <c r="A13" s="71">
        <f t="shared" si="6"/>
        <v>11</v>
      </c>
      <c r="B13" s="90" t="s">
        <v>159</v>
      </c>
      <c r="C13" s="82" t="str">
        <f>IF($B13&lt;&gt;"",_xlfn.IFNA(VLOOKUP($B13,'Node Details'!$B:$U,C$1,0),"Check"),"")</f>
        <v>00001GF13-1GF130106</v>
      </c>
      <c r="D13" s="82" t="str">
        <f>IF($B13&lt;&gt;"",_xlfn.IFNA(VLOOKUP($B13,'Node Details'!$B:$U,D$1,0),"Check"),"")</f>
        <v>1GF</v>
      </c>
      <c r="E13" s="82" t="str">
        <f>IF($B13&lt;&gt;"",_xlfn.IFNA(VLOOKUP($B13,'Node Details'!$B:$U,E$1,0),"Check"),"")</f>
        <v>Airtel</v>
      </c>
      <c r="F13" s="97">
        <v>45379</v>
      </c>
      <c r="G13" s="75"/>
      <c r="H13" s="92" t="s">
        <v>221</v>
      </c>
      <c r="I13" s="93">
        <v>1</v>
      </c>
      <c r="J13" s="93">
        <v>500</v>
      </c>
      <c r="K13" s="82">
        <f t="shared" si="0"/>
        <v>500</v>
      </c>
      <c r="L13" s="41">
        <v>45141</v>
      </c>
      <c r="M13" s="77"/>
      <c r="N13" s="98" t="s">
        <v>87</v>
      </c>
      <c r="O13" s="99">
        <v>45211</v>
      </c>
      <c r="P13" s="85">
        <f t="shared" si="1"/>
        <v>500</v>
      </c>
      <c r="Q13" s="86">
        <f t="shared" si="2"/>
        <v>500</v>
      </c>
      <c r="R13" s="77"/>
      <c r="S13" s="98" t="s">
        <v>88</v>
      </c>
      <c r="T13" s="99">
        <v>45257</v>
      </c>
      <c r="U13" s="85">
        <f t="shared" si="3"/>
        <v>500</v>
      </c>
      <c r="V13" s="85">
        <f t="shared" si="4"/>
        <v>1</v>
      </c>
      <c r="W13" s="88">
        <f t="shared" si="5"/>
        <v>500</v>
      </c>
      <c r="X13" s="98" t="s">
        <v>86</v>
      </c>
      <c r="Y13" s="78" t="s">
        <v>81</v>
      </c>
    </row>
    <row r="14" spans="1:25" s="78" customFormat="1" ht="11.1" customHeight="1" x14ac:dyDescent="0.2">
      <c r="A14" s="71">
        <f t="shared" si="6"/>
        <v>12</v>
      </c>
      <c r="B14" s="90" t="s">
        <v>101</v>
      </c>
      <c r="C14" s="82" t="str">
        <f>IF($B14&lt;&gt;"",_xlfn.IFNA(VLOOKUP($B14,'Node Details'!$B:$U,C$1,0),"Check"),"")</f>
        <v>00001GF13-1GF130106</v>
      </c>
      <c r="D14" s="82" t="str">
        <f>IF($B14&lt;&gt;"",_xlfn.IFNA(VLOOKUP($B14,'Node Details'!$B:$U,D$1,0),"Check"),"")</f>
        <v>1GF</v>
      </c>
      <c r="E14" s="82" t="str">
        <f>IF($B14&lt;&gt;"",_xlfn.IFNA(VLOOKUP($B14,'Node Details'!$B:$U,E$1,0),"Check"),"")</f>
        <v>Airtel</v>
      </c>
      <c r="F14" s="97">
        <v>45379</v>
      </c>
      <c r="G14" s="75"/>
      <c r="H14" s="92" t="s">
        <v>221</v>
      </c>
      <c r="I14" s="93">
        <v>1</v>
      </c>
      <c r="J14" s="93">
        <v>500</v>
      </c>
      <c r="K14" s="82">
        <f t="shared" si="0"/>
        <v>500</v>
      </c>
      <c r="L14" s="41">
        <v>45141</v>
      </c>
      <c r="M14" s="77"/>
      <c r="N14" s="98" t="s">
        <v>87</v>
      </c>
      <c r="O14" s="99">
        <v>45211</v>
      </c>
      <c r="P14" s="85">
        <f t="shared" si="1"/>
        <v>500</v>
      </c>
      <c r="Q14" s="86">
        <f t="shared" si="2"/>
        <v>500</v>
      </c>
      <c r="R14" s="77"/>
      <c r="S14" s="98" t="s">
        <v>88</v>
      </c>
      <c r="T14" s="99">
        <v>45257</v>
      </c>
      <c r="U14" s="85">
        <f t="shared" si="3"/>
        <v>500</v>
      </c>
      <c r="V14" s="85">
        <f t="shared" si="4"/>
        <v>1</v>
      </c>
      <c r="W14" s="88">
        <f t="shared" si="5"/>
        <v>500</v>
      </c>
      <c r="X14" s="98" t="s">
        <v>86</v>
      </c>
      <c r="Y14" s="78" t="s">
        <v>81</v>
      </c>
    </row>
    <row r="15" spans="1:25" s="78" customFormat="1" ht="11.1" customHeight="1" x14ac:dyDescent="0.2">
      <c r="A15" s="71">
        <f t="shared" si="6"/>
        <v>13</v>
      </c>
      <c r="B15" s="90" t="s">
        <v>160</v>
      </c>
      <c r="C15" s="82" t="str">
        <f>IF($B15&lt;&gt;"",_xlfn.IFNA(VLOOKUP($B15,'Node Details'!$B:$U,C$1,0),"Check"),"")</f>
        <v>00001GF14-1GF140107</v>
      </c>
      <c r="D15" s="82" t="str">
        <f>IF($B15&lt;&gt;"",_xlfn.IFNA(VLOOKUP($B15,'Node Details'!$B:$U,D$1,0),"Check"),"")</f>
        <v>1GF</v>
      </c>
      <c r="E15" s="82" t="str">
        <f>IF($B15&lt;&gt;"",_xlfn.IFNA(VLOOKUP($B15,'Node Details'!$B:$U,E$1,0),"Check"),"")</f>
        <v>Airtel</v>
      </c>
      <c r="F15" s="97">
        <v>45379</v>
      </c>
      <c r="G15" s="75"/>
      <c r="H15" s="92" t="s">
        <v>221</v>
      </c>
      <c r="I15" s="93">
        <v>1</v>
      </c>
      <c r="J15" s="93">
        <v>500</v>
      </c>
      <c r="K15" s="82">
        <f t="shared" si="0"/>
        <v>500</v>
      </c>
      <c r="L15" s="41">
        <v>45141</v>
      </c>
      <c r="M15" s="77"/>
      <c r="N15" s="98" t="s">
        <v>87</v>
      </c>
      <c r="O15" s="99">
        <v>45211</v>
      </c>
      <c r="P15" s="85">
        <f t="shared" si="1"/>
        <v>500</v>
      </c>
      <c r="Q15" s="86">
        <f t="shared" si="2"/>
        <v>500</v>
      </c>
      <c r="R15" s="77"/>
      <c r="S15" s="98" t="s">
        <v>88</v>
      </c>
      <c r="T15" s="99">
        <v>45257</v>
      </c>
      <c r="U15" s="85">
        <f t="shared" si="3"/>
        <v>500</v>
      </c>
      <c r="V15" s="85">
        <f t="shared" si="4"/>
        <v>1</v>
      </c>
      <c r="W15" s="88">
        <f t="shared" si="5"/>
        <v>500</v>
      </c>
      <c r="X15" s="98" t="s">
        <v>86</v>
      </c>
      <c r="Y15" s="78" t="s">
        <v>81</v>
      </c>
    </row>
    <row r="16" spans="1:25" s="78" customFormat="1" ht="11.1" customHeight="1" x14ac:dyDescent="0.2">
      <c r="A16" s="71">
        <f t="shared" si="6"/>
        <v>14</v>
      </c>
      <c r="B16" s="90" t="s">
        <v>161</v>
      </c>
      <c r="C16" s="82" t="str">
        <f>IF($B16&lt;&gt;"",_xlfn.IFNA(VLOOKUP($B16,'Node Details'!$B:$U,C$1,0),"Check"),"")</f>
        <v>00001GF14-1GF140107</v>
      </c>
      <c r="D16" s="82" t="str">
        <f>IF($B16&lt;&gt;"",_xlfn.IFNA(VLOOKUP($B16,'Node Details'!$B:$U,D$1,0),"Check"),"")</f>
        <v>1GF</v>
      </c>
      <c r="E16" s="82" t="str">
        <f>IF($B16&lt;&gt;"",_xlfn.IFNA(VLOOKUP($B16,'Node Details'!$B:$U,E$1,0),"Check"),"")</f>
        <v>Airtel</v>
      </c>
      <c r="F16" s="97">
        <v>45379</v>
      </c>
      <c r="G16" s="75"/>
      <c r="H16" s="92" t="s">
        <v>221</v>
      </c>
      <c r="I16" s="93">
        <v>1</v>
      </c>
      <c r="J16" s="93">
        <v>500</v>
      </c>
      <c r="K16" s="82">
        <f t="shared" si="0"/>
        <v>500</v>
      </c>
      <c r="L16" s="41">
        <v>45141</v>
      </c>
      <c r="M16" s="77"/>
      <c r="N16" s="98" t="s">
        <v>87</v>
      </c>
      <c r="O16" s="99">
        <v>45211</v>
      </c>
      <c r="P16" s="85">
        <f t="shared" si="1"/>
        <v>500</v>
      </c>
      <c r="Q16" s="86">
        <f t="shared" si="2"/>
        <v>500</v>
      </c>
      <c r="R16" s="77"/>
      <c r="S16" s="98" t="s">
        <v>88</v>
      </c>
      <c r="T16" s="99">
        <v>45257</v>
      </c>
      <c r="U16" s="85">
        <f t="shared" si="3"/>
        <v>500</v>
      </c>
      <c r="V16" s="85">
        <f t="shared" si="4"/>
        <v>1</v>
      </c>
      <c r="W16" s="88">
        <f t="shared" si="5"/>
        <v>500</v>
      </c>
      <c r="X16" s="98" t="s">
        <v>86</v>
      </c>
      <c r="Y16" s="78" t="s">
        <v>81</v>
      </c>
    </row>
    <row r="17" spans="1:25" s="78" customFormat="1" ht="11.1" customHeight="1" x14ac:dyDescent="0.2">
      <c r="A17" s="71">
        <f t="shared" si="6"/>
        <v>15</v>
      </c>
      <c r="B17" s="90" t="s">
        <v>162</v>
      </c>
      <c r="C17" s="82" t="str">
        <f>IF($B17&lt;&gt;"",_xlfn.IFNA(VLOOKUP($B17,'Node Details'!$B:$U,C$1,0),"Check"),"")</f>
        <v>00001GF14-1GF140107</v>
      </c>
      <c r="D17" s="82" t="str">
        <f>IF($B17&lt;&gt;"",_xlfn.IFNA(VLOOKUP($B17,'Node Details'!$B:$U,D$1,0),"Check"),"")</f>
        <v>1GF</v>
      </c>
      <c r="E17" s="82" t="str">
        <f>IF($B17&lt;&gt;"",_xlfn.IFNA(VLOOKUP($B17,'Node Details'!$B:$U,E$1,0),"Check"),"")</f>
        <v>Airtel</v>
      </c>
      <c r="F17" s="97">
        <v>45379</v>
      </c>
      <c r="G17" s="75"/>
      <c r="H17" s="92" t="s">
        <v>221</v>
      </c>
      <c r="I17" s="93">
        <v>1</v>
      </c>
      <c r="J17" s="93">
        <v>500</v>
      </c>
      <c r="K17" s="82">
        <f t="shared" si="0"/>
        <v>500</v>
      </c>
      <c r="L17" s="41">
        <v>45141</v>
      </c>
      <c r="M17" s="77"/>
      <c r="N17" s="98" t="s">
        <v>87</v>
      </c>
      <c r="O17" s="99">
        <v>45211</v>
      </c>
      <c r="P17" s="85">
        <f t="shared" si="1"/>
        <v>500</v>
      </c>
      <c r="Q17" s="86">
        <f t="shared" si="2"/>
        <v>500</v>
      </c>
      <c r="R17" s="77"/>
      <c r="S17" s="98" t="s">
        <v>88</v>
      </c>
      <c r="T17" s="99">
        <v>45257</v>
      </c>
      <c r="U17" s="85">
        <f t="shared" si="3"/>
        <v>500</v>
      </c>
      <c r="V17" s="85">
        <f t="shared" si="4"/>
        <v>1</v>
      </c>
      <c r="W17" s="88">
        <f t="shared" si="5"/>
        <v>500</v>
      </c>
      <c r="X17" s="98" t="s">
        <v>86</v>
      </c>
      <c r="Y17" s="78" t="s">
        <v>81</v>
      </c>
    </row>
    <row r="18" spans="1:25" s="78" customFormat="1" ht="11.1" customHeight="1" x14ac:dyDescent="0.2">
      <c r="A18" s="71">
        <f t="shared" si="6"/>
        <v>16</v>
      </c>
      <c r="B18" s="90" t="s">
        <v>163</v>
      </c>
      <c r="C18" s="82" t="str">
        <f>IF($B18&lt;&gt;"",_xlfn.IFNA(VLOOKUP($B18,'Node Details'!$B:$U,C$1,0),"Check"),"")</f>
        <v>00001GF14-1GF140107</v>
      </c>
      <c r="D18" s="82" t="str">
        <f>IF($B18&lt;&gt;"",_xlfn.IFNA(VLOOKUP($B18,'Node Details'!$B:$U,D$1,0),"Check"),"")</f>
        <v>1GF</v>
      </c>
      <c r="E18" s="82" t="str">
        <f>IF($B18&lt;&gt;"",_xlfn.IFNA(VLOOKUP($B18,'Node Details'!$B:$U,E$1,0),"Check"),"")</f>
        <v>Airtel</v>
      </c>
      <c r="F18" s="97">
        <v>45379</v>
      </c>
      <c r="G18" s="75"/>
      <c r="H18" s="92" t="s">
        <v>221</v>
      </c>
      <c r="I18" s="93">
        <v>1</v>
      </c>
      <c r="J18" s="93">
        <v>500</v>
      </c>
      <c r="K18" s="82">
        <f t="shared" si="0"/>
        <v>500</v>
      </c>
      <c r="L18" s="41">
        <v>45141</v>
      </c>
      <c r="M18" s="77"/>
      <c r="N18" s="98" t="s">
        <v>87</v>
      </c>
      <c r="O18" s="99">
        <v>45211</v>
      </c>
      <c r="P18" s="85">
        <f t="shared" si="1"/>
        <v>500</v>
      </c>
      <c r="Q18" s="86">
        <f t="shared" si="2"/>
        <v>500</v>
      </c>
      <c r="R18" s="77"/>
      <c r="S18" s="98" t="s">
        <v>88</v>
      </c>
      <c r="T18" s="99">
        <v>45257</v>
      </c>
      <c r="U18" s="85">
        <f t="shared" si="3"/>
        <v>500</v>
      </c>
      <c r="V18" s="85">
        <f t="shared" si="4"/>
        <v>1</v>
      </c>
      <c r="W18" s="88">
        <f t="shared" si="5"/>
        <v>500</v>
      </c>
      <c r="X18" s="98" t="s">
        <v>86</v>
      </c>
      <c r="Y18" s="78" t="s">
        <v>81</v>
      </c>
    </row>
    <row r="19" spans="1:25" s="78" customFormat="1" ht="11.1" customHeight="1" x14ac:dyDescent="0.2">
      <c r="A19" s="71">
        <f t="shared" si="6"/>
        <v>17</v>
      </c>
      <c r="B19" s="90" t="s">
        <v>164</v>
      </c>
      <c r="C19" s="82" t="str">
        <f>IF($B19&lt;&gt;"",_xlfn.IFNA(VLOOKUP($B19,'Node Details'!$B:$U,C$1,0),"Check"),"")</f>
        <v>00001GF14-1GF140107</v>
      </c>
      <c r="D19" s="82" t="str">
        <f>IF($B19&lt;&gt;"",_xlfn.IFNA(VLOOKUP($B19,'Node Details'!$B:$U,D$1,0),"Check"),"")</f>
        <v>1GF</v>
      </c>
      <c r="E19" s="82" t="str">
        <f>IF($B19&lt;&gt;"",_xlfn.IFNA(VLOOKUP($B19,'Node Details'!$B:$U,E$1,0),"Check"),"")</f>
        <v>Airtel</v>
      </c>
      <c r="F19" s="97">
        <v>45379</v>
      </c>
      <c r="G19" s="75"/>
      <c r="H19" s="92" t="s">
        <v>221</v>
      </c>
      <c r="I19" s="93">
        <v>1</v>
      </c>
      <c r="J19" s="93">
        <v>500</v>
      </c>
      <c r="K19" s="82">
        <f t="shared" si="0"/>
        <v>500</v>
      </c>
      <c r="L19" s="41">
        <v>45141</v>
      </c>
      <c r="M19" s="77"/>
      <c r="N19" s="98" t="s">
        <v>87</v>
      </c>
      <c r="O19" s="99">
        <v>45211</v>
      </c>
      <c r="P19" s="85">
        <f t="shared" si="1"/>
        <v>500</v>
      </c>
      <c r="Q19" s="86">
        <f t="shared" si="2"/>
        <v>500</v>
      </c>
      <c r="R19" s="77"/>
      <c r="S19" s="98" t="s">
        <v>88</v>
      </c>
      <c r="T19" s="99">
        <v>45257</v>
      </c>
      <c r="U19" s="85">
        <f t="shared" si="3"/>
        <v>500</v>
      </c>
      <c r="V19" s="85">
        <f t="shared" si="4"/>
        <v>1</v>
      </c>
      <c r="W19" s="88">
        <f t="shared" si="5"/>
        <v>500</v>
      </c>
      <c r="X19" s="98" t="s">
        <v>86</v>
      </c>
      <c r="Y19" s="78" t="s">
        <v>81</v>
      </c>
    </row>
    <row r="20" spans="1:25" s="78" customFormat="1" ht="11.1" customHeight="1" x14ac:dyDescent="0.2">
      <c r="A20" s="71">
        <f t="shared" si="6"/>
        <v>18</v>
      </c>
      <c r="B20" s="90" t="s">
        <v>165</v>
      </c>
      <c r="C20" s="82" t="str">
        <f>IF($B20&lt;&gt;"",_xlfn.IFNA(VLOOKUP($B20,'Node Details'!$B:$U,C$1,0),"Check"),"")</f>
        <v>00001GF14-1GF140107</v>
      </c>
      <c r="D20" s="82" t="str">
        <f>IF($B20&lt;&gt;"",_xlfn.IFNA(VLOOKUP($B20,'Node Details'!$B:$U,D$1,0),"Check"),"")</f>
        <v>1GF</v>
      </c>
      <c r="E20" s="82" t="str">
        <f>IF($B20&lt;&gt;"",_xlfn.IFNA(VLOOKUP($B20,'Node Details'!$B:$U,E$1,0),"Check"),"")</f>
        <v>Airtel</v>
      </c>
      <c r="F20" s="97">
        <v>45379</v>
      </c>
      <c r="G20" s="75"/>
      <c r="H20" s="92" t="s">
        <v>221</v>
      </c>
      <c r="I20" s="93">
        <v>1</v>
      </c>
      <c r="J20" s="93">
        <v>500</v>
      </c>
      <c r="K20" s="82">
        <f t="shared" si="0"/>
        <v>500</v>
      </c>
      <c r="L20" s="41">
        <v>45141</v>
      </c>
      <c r="M20" s="77"/>
      <c r="N20" s="98" t="s">
        <v>87</v>
      </c>
      <c r="O20" s="99">
        <v>45211</v>
      </c>
      <c r="P20" s="85">
        <f t="shared" si="1"/>
        <v>500</v>
      </c>
      <c r="Q20" s="86">
        <f t="shared" si="2"/>
        <v>500</v>
      </c>
      <c r="R20" s="77"/>
      <c r="S20" s="98" t="s">
        <v>88</v>
      </c>
      <c r="T20" s="99">
        <v>45257</v>
      </c>
      <c r="U20" s="85">
        <f t="shared" si="3"/>
        <v>500</v>
      </c>
      <c r="V20" s="85">
        <f t="shared" si="4"/>
        <v>1</v>
      </c>
      <c r="W20" s="88">
        <f t="shared" si="5"/>
        <v>500</v>
      </c>
      <c r="X20" s="98" t="s">
        <v>86</v>
      </c>
      <c r="Y20" s="78" t="s">
        <v>81</v>
      </c>
    </row>
    <row r="21" spans="1:25" s="78" customFormat="1" ht="11.1" customHeight="1" x14ac:dyDescent="0.2">
      <c r="A21" s="71">
        <f t="shared" si="6"/>
        <v>19</v>
      </c>
      <c r="B21" s="90" t="s">
        <v>105</v>
      </c>
      <c r="C21" s="82" t="str">
        <f>IF($B21&lt;&gt;"",_xlfn.IFNA(VLOOKUP($B21,'Node Details'!$B:$U,C$1,0),"Check"),"")</f>
        <v>00001GF14-1GF140107</v>
      </c>
      <c r="D21" s="82" t="str">
        <f>IF($B21&lt;&gt;"",_xlfn.IFNA(VLOOKUP($B21,'Node Details'!$B:$U,D$1,0),"Check"),"")</f>
        <v>1GF</v>
      </c>
      <c r="E21" s="82" t="str">
        <f>IF($B21&lt;&gt;"",_xlfn.IFNA(VLOOKUP($B21,'Node Details'!$B:$U,E$1,0),"Check"),"")</f>
        <v>Airtel</v>
      </c>
      <c r="F21" s="97">
        <v>45379</v>
      </c>
      <c r="G21" s="75"/>
      <c r="H21" s="92" t="s">
        <v>221</v>
      </c>
      <c r="I21" s="93">
        <v>1</v>
      </c>
      <c r="J21" s="93">
        <v>500</v>
      </c>
      <c r="K21" s="82">
        <f t="shared" si="0"/>
        <v>500</v>
      </c>
      <c r="L21" s="41">
        <v>45141</v>
      </c>
      <c r="M21" s="77"/>
      <c r="N21" s="98" t="s">
        <v>87</v>
      </c>
      <c r="O21" s="99">
        <v>45211</v>
      </c>
      <c r="P21" s="85">
        <f t="shared" si="1"/>
        <v>500</v>
      </c>
      <c r="Q21" s="86">
        <f t="shared" si="2"/>
        <v>500</v>
      </c>
      <c r="R21" s="77"/>
      <c r="S21" s="98" t="s">
        <v>88</v>
      </c>
      <c r="T21" s="99">
        <v>45257</v>
      </c>
      <c r="U21" s="85">
        <f t="shared" si="3"/>
        <v>500</v>
      </c>
      <c r="V21" s="85">
        <f t="shared" si="4"/>
        <v>1</v>
      </c>
      <c r="W21" s="88">
        <f t="shared" si="5"/>
        <v>500</v>
      </c>
      <c r="X21" s="98" t="s">
        <v>86</v>
      </c>
      <c r="Y21" s="78" t="s">
        <v>81</v>
      </c>
    </row>
    <row r="22" spans="1:25" s="78" customFormat="1" ht="11.1" customHeight="1" x14ac:dyDescent="0.2">
      <c r="A22" s="71">
        <f t="shared" si="6"/>
        <v>20</v>
      </c>
      <c r="B22" s="90" t="s">
        <v>166</v>
      </c>
      <c r="C22" s="82" t="str">
        <f>IF($B22&lt;&gt;"",_xlfn.IFNA(VLOOKUP($B22,'Node Details'!$B:$U,C$1,0),"Check"),"")</f>
        <v>00001GF15-1GF150107</v>
      </c>
      <c r="D22" s="82" t="str">
        <f>IF($B22&lt;&gt;"",_xlfn.IFNA(VLOOKUP($B22,'Node Details'!$B:$U,D$1,0),"Check"),"")</f>
        <v>1GF</v>
      </c>
      <c r="E22" s="82" t="str">
        <f>IF($B22&lt;&gt;"",_xlfn.IFNA(VLOOKUP($B22,'Node Details'!$B:$U,E$1,0),"Check"),"")</f>
        <v>Airtel</v>
      </c>
      <c r="F22" s="97">
        <v>45379</v>
      </c>
      <c r="G22" s="75"/>
      <c r="H22" s="92" t="s">
        <v>221</v>
      </c>
      <c r="I22" s="93">
        <v>1</v>
      </c>
      <c r="J22" s="93">
        <v>500</v>
      </c>
      <c r="K22" s="82">
        <f t="shared" si="0"/>
        <v>500</v>
      </c>
      <c r="L22" s="41">
        <v>45141</v>
      </c>
      <c r="M22" s="77"/>
      <c r="N22" s="98" t="s">
        <v>87</v>
      </c>
      <c r="O22" s="99">
        <v>45211</v>
      </c>
      <c r="P22" s="85">
        <f t="shared" si="1"/>
        <v>500</v>
      </c>
      <c r="Q22" s="86">
        <f t="shared" si="2"/>
        <v>500</v>
      </c>
      <c r="R22" s="77"/>
      <c r="S22" s="98" t="s">
        <v>88</v>
      </c>
      <c r="T22" s="99">
        <v>45257</v>
      </c>
      <c r="U22" s="85">
        <f t="shared" si="3"/>
        <v>500</v>
      </c>
      <c r="V22" s="85">
        <f t="shared" si="4"/>
        <v>1</v>
      </c>
      <c r="W22" s="88">
        <f t="shared" si="5"/>
        <v>500</v>
      </c>
      <c r="X22" s="98" t="s">
        <v>86</v>
      </c>
      <c r="Y22" s="78" t="s">
        <v>81</v>
      </c>
    </row>
    <row r="23" spans="1:25" s="78" customFormat="1" ht="11.1" customHeight="1" x14ac:dyDescent="0.2">
      <c r="A23" s="71">
        <f t="shared" si="6"/>
        <v>21</v>
      </c>
      <c r="B23" s="90" t="s">
        <v>167</v>
      </c>
      <c r="C23" s="82" t="str">
        <f>IF($B23&lt;&gt;"",_xlfn.IFNA(VLOOKUP($B23,'Node Details'!$B:$U,C$1,0),"Check"),"")</f>
        <v>00001GF15-1GF150107</v>
      </c>
      <c r="D23" s="82" t="str">
        <f>IF($B23&lt;&gt;"",_xlfn.IFNA(VLOOKUP($B23,'Node Details'!$B:$U,D$1,0),"Check"),"")</f>
        <v>1GF</v>
      </c>
      <c r="E23" s="82" t="str">
        <f>IF($B23&lt;&gt;"",_xlfn.IFNA(VLOOKUP($B23,'Node Details'!$B:$U,E$1,0),"Check"),"")</f>
        <v>Airtel</v>
      </c>
      <c r="F23" s="97">
        <v>45379</v>
      </c>
      <c r="G23" s="75"/>
      <c r="H23" s="92" t="s">
        <v>221</v>
      </c>
      <c r="I23" s="93">
        <v>1</v>
      </c>
      <c r="J23" s="93">
        <v>500</v>
      </c>
      <c r="K23" s="82">
        <f t="shared" si="0"/>
        <v>500</v>
      </c>
      <c r="L23" s="41">
        <v>45141</v>
      </c>
      <c r="M23" s="77"/>
      <c r="N23" s="98" t="s">
        <v>87</v>
      </c>
      <c r="O23" s="99">
        <v>45211</v>
      </c>
      <c r="P23" s="85">
        <f t="shared" si="1"/>
        <v>500</v>
      </c>
      <c r="Q23" s="86">
        <f t="shared" si="2"/>
        <v>500</v>
      </c>
      <c r="R23" s="77"/>
      <c r="S23" s="98" t="s">
        <v>88</v>
      </c>
      <c r="T23" s="99">
        <v>45257</v>
      </c>
      <c r="U23" s="85">
        <f t="shared" si="3"/>
        <v>500</v>
      </c>
      <c r="V23" s="85">
        <f t="shared" si="4"/>
        <v>1</v>
      </c>
      <c r="W23" s="88">
        <f t="shared" si="5"/>
        <v>500</v>
      </c>
      <c r="X23" s="98" t="s">
        <v>86</v>
      </c>
      <c r="Y23" s="78" t="s">
        <v>81</v>
      </c>
    </row>
    <row r="24" spans="1:25" s="78" customFormat="1" ht="11.1" customHeight="1" x14ac:dyDescent="0.2">
      <c r="A24" s="71">
        <f t="shared" si="6"/>
        <v>22</v>
      </c>
      <c r="B24" s="90" t="s">
        <v>168</v>
      </c>
      <c r="C24" s="82" t="str">
        <f>IF($B24&lt;&gt;"",_xlfn.IFNA(VLOOKUP($B24,'Node Details'!$B:$U,C$1,0),"Check"),"")</f>
        <v>00001GF15-1GF150107</v>
      </c>
      <c r="D24" s="82" t="str">
        <f>IF($B24&lt;&gt;"",_xlfn.IFNA(VLOOKUP($B24,'Node Details'!$B:$U,D$1,0),"Check"),"")</f>
        <v>1GF</v>
      </c>
      <c r="E24" s="82" t="str">
        <f>IF($B24&lt;&gt;"",_xlfn.IFNA(VLOOKUP($B24,'Node Details'!$B:$U,E$1,0),"Check"),"")</f>
        <v>Airtel</v>
      </c>
      <c r="F24" s="97">
        <v>45379</v>
      </c>
      <c r="G24" s="75"/>
      <c r="H24" s="92" t="s">
        <v>221</v>
      </c>
      <c r="I24" s="93">
        <v>1</v>
      </c>
      <c r="J24" s="93">
        <v>500</v>
      </c>
      <c r="K24" s="82">
        <f t="shared" si="0"/>
        <v>500</v>
      </c>
      <c r="L24" s="41">
        <v>45141</v>
      </c>
      <c r="M24" s="77"/>
      <c r="N24" s="98" t="s">
        <v>87</v>
      </c>
      <c r="O24" s="99">
        <v>45211</v>
      </c>
      <c r="P24" s="85">
        <f t="shared" si="1"/>
        <v>500</v>
      </c>
      <c r="Q24" s="86">
        <f t="shared" si="2"/>
        <v>500</v>
      </c>
      <c r="R24" s="77"/>
      <c r="S24" s="98" t="s">
        <v>88</v>
      </c>
      <c r="T24" s="99">
        <v>45257</v>
      </c>
      <c r="U24" s="85">
        <f t="shared" si="3"/>
        <v>500</v>
      </c>
      <c r="V24" s="85">
        <f t="shared" si="4"/>
        <v>1</v>
      </c>
      <c r="W24" s="88">
        <f t="shared" si="5"/>
        <v>500</v>
      </c>
      <c r="X24" s="98" t="s">
        <v>86</v>
      </c>
      <c r="Y24" s="78" t="s">
        <v>81</v>
      </c>
    </row>
    <row r="25" spans="1:25" s="78" customFormat="1" ht="11.1" customHeight="1" x14ac:dyDescent="0.2">
      <c r="A25" s="71">
        <f t="shared" si="6"/>
        <v>23</v>
      </c>
      <c r="B25" s="90" t="s">
        <v>169</v>
      </c>
      <c r="C25" s="82" t="str">
        <f>IF($B25&lt;&gt;"",_xlfn.IFNA(VLOOKUP($B25,'Node Details'!$B:$U,C$1,0),"Check"),"")</f>
        <v>00001GF15-1GF150107</v>
      </c>
      <c r="D25" s="82" t="str">
        <f>IF($B25&lt;&gt;"",_xlfn.IFNA(VLOOKUP($B25,'Node Details'!$B:$U,D$1,0),"Check"),"")</f>
        <v>1GF</v>
      </c>
      <c r="E25" s="82" t="str">
        <f>IF($B25&lt;&gt;"",_xlfn.IFNA(VLOOKUP($B25,'Node Details'!$B:$U,E$1,0),"Check"),"")</f>
        <v>Airtel</v>
      </c>
      <c r="F25" s="97">
        <v>45379</v>
      </c>
      <c r="G25" s="75"/>
      <c r="H25" s="92" t="s">
        <v>221</v>
      </c>
      <c r="I25" s="93">
        <v>1</v>
      </c>
      <c r="J25" s="93">
        <v>500</v>
      </c>
      <c r="K25" s="82">
        <f t="shared" si="0"/>
        <v>500</v>
      </c>
      <c r="L25" s="41">
        <v>45141</v>
      </c>
      <c r="M25" s="77"/>
      <c r="N25" s="98" t="s">
        <v>87</v>
      </c>
      <c r="O25" s="99">
        <v>45211</v>
      </c>
      <c r="P25" s="85">
        <f t="shared" si="1"/>
        <v>500</v>
      </c>
      <c r="Q25" s="86">
        <f t="shared" si="2"/>
        <v>500</v>
      </c>
      <c r="R25" s="77"/>
      <c r="S25" s="98" t="s">
        <v>88</v>
      </c>
      <c r="T25" s="99">
        <v>45257</v>
      </c>
      <c r="U25" s="85">
        <f t="shared" si="3"/>
        <v>500</v>
      </c>
      <c r="V25" s="85">
        <f t="shared" si="4"/>
        <v>1</v>
      </c>
      <c r="W25" s="88">
        <f t="shared" si="5"/>
        <v>500</v>
      </c>
      <c r="X25" s="98" t="s">
        <v>86</v>
      </c>
      <c r="Y25" s="78" t="s">
        <v>81</v>
      </c>
    </row>
    <row r="26" spans="1:25" s="78" customFormat="1" ht="11.1" customHeight="1" x14ac:dyDescent="0.2">
      <c r="A26" s="71">
        <f t="shared" si="6"/>
        <v>24</v>
      </c>
      <c r="B26" s="90" t="s">
        <v>170</v>
      </c>
      <c r="C26" s="82" t="str">
        <f>IF($B26&lt;&gt;"",_xlfn.IFNA(VLOOKUP($B26,'Node Details'!$B:$U,C$1,0),"Check"),"")</f>
        <v>00001GF15-1GF150107</v>
      </c>
      <c r="D26" s="82" t="str">
        <f>IF($B26&lt;&gt;"",_xlfn.IFNA(VLOOKUP($B26,'Node Details'!$B:$U,D$1,0),"Check"),"")</f>
        <v>1GF</v>
      </c>
      <c r="E26" s="82" t="str">
        <f>IF($B26&lt;&gt;"",_xlfn.IFNA(VLOOKUP($B26,'Node Details'!$B:$U,E$1,0),"Check"),"")</f>
        <v>Airtel</v>
      </c>
      <c r="F26" s="97">
        <v>45379</v>
      </c>
      <c r="G26" s="75"/>
      <c r="H26" s="92" t="s">
        <v>221</v>
      </c>
      <c r="I26" s="93">
        <v>1</v>
      </c>
      <c r="J26" s="93">
        <v>500</v>
      </c>
      <c r="K26" s="82">
        <f t="shared" si="0"/>
        <v>500</v>
      </c>
      <c r="L26" s="41">
        <v>45141</v>
      </c>
      <c r="M26" s="77"/>
      <c r="N26" s="98" t="s">
        <v>87</v>
      </c>
      <c r="O26" s="99">
        <v>45211</v>
      </c>
      <c r="P26" s="85">
        <f t="shared" si="1"/>
        <v>500</v>
      </c>
      <c r="Q26" s="86">
        <f t="shared" si="2"/>
        <v>500</v>
      </c>
      <c r="R26" s="77"/>
      <c r="S26" s="98" t="s">
        <v>88</v>
      </c>
      <c r="T26" s="99">
        <v>45257</v>
      </c>
      <c r="U26" s="85">
        <f t="shared" si="3"/>
        <v>500</v>
      </c>
      <c r="V26" s="85">
        <f t="shared" si="4"/>
        <v>1</v>
      </c>
      <c r="W26" s="88">
        <f t="shared" si="5"/>
        <v>500</v>
      </c>
      <c r="X26" s="98" t="s">
        <v>86</v>
      </c>
      <c r="Y26" s="78" t="s">
        <v>81</v>
      </c>
    </row>
    <row r="27" spans="1:25" s="78" customFormat="1" ht="11.1" customHeight="1" x14ac:dyDescent="0.2">
      <c r="A27" s="71">
        <f t="shared" si="6"/>
        <v>25</v>
      </c>
      <c r="B27" s="90" t="s">
        <v>171</v>
      </c>
      <c r="C27" s="82" t="str">
        <f>IF($B27&lt;&gt;"",_xlfn.IFNA(VLOOKUP($B27,'Node Details'!$B:$U,C$1,0),"Check"),"")</f>
        <v>00001GF15-1GF150107</v>
      </c>
      <c r="D27" s="82" t="str">
        <f>IF($B27&lt;&gt;"",_xlfn.IFNA(VLOOKUP($B27,'Node Details'!$B:$U,D$1,0),"Check"),"")</f>
        <v>1GF</v>
      </c>
      <c r="E27" s="82" t="str">
        <f>IF($B27&lt;&gt;"",_xlfn.IFNA(VLOOKUP($B27,'Node Details'!$B:$U,E$1,0),"Check"),"")</f>
        <v>Airtel</v>
      </c>
      <c r="F27" s="97">
        <v>45379</v>
      </c>
      <c r="G27" s="75"/>
      <c r="H27" s="92" t="s">
        <v>221</v>
      </c>
      <c r="I27" s="93">
        <v>1</v>
      </c>
      <c r="J27" s="93">
        <v>500</v>
      </c>
      <c r="K27" s="82">
        <f t="shared" si="0"/>
        <v>500</v>
      </c>
      <c r="L27" s="41">
        <v>45141</v>
      </c>
      <c r="M27" s="77"/>
      <c r="N27" s="98" t="s">
        <v>87</v>
      </c>
      <c r="O27" s="99">
        <v>45211</v>
      </c>
      <c r="P27" s="85">
        <f t="shared" si="1"/>
        <v>500</v>
      </c>
      <c r="Q27" s="86">
        <f t="shared" si="2"/>
        <v>500</v>
      </c>
      <c r="R27" s="77"/>
      <c r="S27" s="98" t="s">
        <v>88</v>
      </c>
      <c r="T27" s="99">
        <v>45257</v>
      </c>
      <c r="U27" s="85">
        <f t="shared" si="3"/>
        <v>500</v>
      </c>
      <c r="V27" s="85">
        <f t="shared" si="4"/>
        <v>1</v>
      </c>
      <c r="W27" s="88">
        <f t="shared" si="5"/>
        <v>500</v>
      </c>
      <c r="X27" s="98" t="s">
        <v>86</v>
      </c>
      <c r="Y27" s="78" t="s">
        <v>81</v>
      </c>
    </row>
    <row r="28" spans="1:25" s="78" customFormat="1" ht="11.1" customHeight="1" x14ac:dyDescent="0.2">
      <c r="A28" s="71">
        <f t="shared" si="6"/>
        <v>26</v>
      </c>
      <c r="B28" s="90" t="s">
        <v>109</v>
      </c>
      <c r="C28" s="82" t="str">
        <f>IF($B28&lt;&gt;"",_xlfn.IFNA(VLOOKUP($B28,'Node Details'!$B:$U,C$1,0),"Check"),"")</f>
        <v>00001GF15-1GF150107</v>
      </c>
      <c r="D28" s="82" t="str">
        <f>IF($B28&lt;&gt;"",_xlfn.IFNA(VLOOKUP($B28,'Node Details'!$B:$U,D$1,0),"Check"),"")</f>
        <v>1GF</v>
      </c>
      <c r="E28" s="82" t="str">
        <f>IF($B28&lt;&gt;"",_xlfn.IFNA(VLOOKUP($B28,'Node Details'!$B:$U,E$1,0),"Check"),"")</f>
        <v>Airtel</v>
      </c>
      <c r="F28" s="97">
        <v>45379</v>
      </c>
      <c r="G28" s="75"/>
      <c r="H28" s="92" t="s">
        <v>221</v>
      </c>
      <c r="I28" s="93">
        <v>1</v>
      </c>
      <c r="J28" s="93">
        <v>500</v>
      </c>
      <c r="K28" s="82">
        <f t="shared" si="0"/>
        <v>500</v>
      </c>
      <c r="L28" s="41">
        <v>45141</v>
      </c>
      <c r="M28" s="77"/>
      <c r="N28" s="98" t="s">
        <v>87</v>
      </c>
      <c r="O28" s="99">
        <v>45211</v>
      </c>
      <c r="P28" s="85">
        <f t="shared" si="1"/>
        <v>500</v>
      </c>
      <c r="Q28" s="86">
        <f t="shared" si="2"/>
        <v>500</v>
      </c>
      <c r="R28" s="77"/>
      <c r="S28" s="98" t="s">
        <v>88</v>
      </c>
      <c r="T28" s="99">
        <v>45257</v>
      </c>
      <c r="U28" s="85">
        <f t="shared" si="3"/>
        <v>500</v>
      </c>
      <c r="V28" s="85">
        <f t="shared" si="4"/>
        <v>1</v>
      </c>
      <c r="W28" s="88">
        <f t="shared" si="5"/>
        <v>500</v>
      </c>
      <c r="X28" s="98" t="s">
        <v>86</v>
      </c>
      <c r="Y28" s="78" t="s">
        <v>81</v>
      </c>
    </row>
    <row r="29" spans="1:25" s="78" customFormat="1" ht="11.1" customHeight="1" x14ac:dyDescent="0.2">
      <c r="A29" s="71">
        <f t="shared" si="6"/>
        <v>27</v>
      </c>
      <c r="B29" s="90" t="s">
        <v>172</v>
      </c>
      <c r="C29" s="82" t="str">
        <f>IF($B29&lt;&gt;"",_xlfn.IFNA(VLOOKUP($B29,'Node Details'!$B:$U,C$1,0),"Check"),"")</f>
        <v>00001GF16-1GF160107</v>
      </c>
      <c r="D29" s="82" t="str">
        <f>IF($B29&lt;&gt;"",_xlfn.IFNA(VLOOKUP($B29,'Node Details'!$B:$U,D$1,0),"Check"),"")</f>
        <v>1GF</v>
      </c>
      <c r="E29" s="82" t="str">
        <f>IF($B29&lt;&gt;"",_xlfn.IFNA(VLOOKUP($B29,'Node Details'!$B:$U,E$1,0),"Check"),"")</f>
        <v>Airtel</v>
      </c>
      <c r="F29" s="97">
        <v>45379</v>
      </c>
      <c r="G29" s="75"/>
      <c r="H29" s="92" t="s">
        <v>221</v>
      </c>
      <c r="I29" s="93">
        <v>1</v>
      </c>
      <c r="J29" s="93">
        <v>500</v>
      </c>
      <c r="K29" s="82">
        <f t="shared" si="0"/>
        <v>500</v>
      </c>
      <c r="L29" s="41">
        <v>45141</v>
      </c>
      <c r="M29" s="77"/>
      <c r="N29" s="98" t="s">
        <v>87</v>
      </c>
      <c r="O29" s="99">
        <v>45211</v>
      </c>
      <c r="P29" s="85">
        <f t="shared" si="1"/>
        <v>500</v>
      </c>
      <c r="Q29" s="86">
        <f t="shared" si="2"/>
        <v>500</v>
      </c>
      <c r="R29" s="77"/>
      <c r="S29" s="98" t="s">
        <v>88</v>
      </c>
      <c r="T29" s="99">
        <v>45257</v>
      </c>
      <c r="U29" s="85">
        <f t="shared" si="3"/>
        <v>500</v>
      </c>
      <c r="V29" s="85">
        <f t="shared" si="4"/>
        <v>1</v>
      </c>
      <c r="W29" s="88">
        <f t="shared" si="5"/>
        <v>500</v>
      </c>
      <c r="X29" s="98" t="s">
        <v>86</v>
      </c>
      <c r="Y29" s="78" t="s">
        <v>81</v>
      </c>
    </row>
    <row r="30" spans="1:25" s="78" customFormat="1" ht="11.1" customHeight="1" x14ac:dyDescent="0.2">
      <c r="A30" s="71">
        <f t="shared" si="6"/>
        <v>28</v>
      </c>
      <c r="B30" s="90" t="s">
        <v>173</v>
      </c>
      <c r="C30" s="82" t="str">
        <f>IF($B30&lt;&gt;"",_xlfn.IFNA(VLOOKUP($B30,'Node Details'!$B:$U,C$1,0),"Check"),"")</f>
        <v>00001GF16-1GF160107</v>
      </c>
      <c r="D30" s="82" t="str">
        <f>IF($B30&lt;&gt;"",_xlfn.IFNA(VLOOKUP($B30,'Node Details'!$B:$U,D$1,0),"Check"),"")</f>
        <v>1GF</v>
      </c>
      <c r="E30" s="82" t="str">
        <f>IF($B30&lt;&gt;"",_xlfn.IFNA(VLOOKUP($B30,'Node Details'!$B:$U,E$1,0),"Check"),"")</f>
        <v>Airtel</v>
      </c>
      <c r="F30" s="97">
        <v>45379</v>
      </c>
      <c r="G30" s="75"/>
      <c r="H30" s="92" t="s">
        <v>221</v>
      </c>
      <c r="I30" s="93">
        <v>1</v>
      </c>
      <c r="J30" s="93">
        <v>500</v>
      </c>
      <c r="K30" s="82">
        <f t="shared" si="0"/>
        <v>500</v>
      </c>
      <c r="L30" s="41">
        <v>45141</v>
      </c>
      <c r="M30" s="77"/>
      <c r="N30" s="98" t="s">
        <v>87</v>
      </c>
      <c r="O30" s="99">
        <v>45211</v>
      </c>
      <c r="P30" s="85">
        <f t="shared" si="1"/>
        <v>500</v>
      </c>
      <c r="Q30" s="86">
        <f t="shared" si="2"/>
        <v>500</v>
      </c>
      <c r="R30" s="77"/>
      <c r="S30" s="98" t="s">
        <v>88</v>
      </c>
      <c r="T30" s="99">
        <v>45257</v>
      </c>
      <c r="U30" s="85">
        <f t="shared" si="3"/>
        <v>500</v>
      </c>
      <c r="V30" s="85">
        <f t="shared" si="4"/>
        <v>1</v>
      </c>
      <c r="W30" s="88">
        <f t="shared" si="5"/>
        <v>500</v>
      </c>
      <c r="X30" s="98" t="s">
        <v>86</v>
      </c>
      <c r="Y30" s="78" t="s">
        <v>81</v>
      </c>
    </row>
    <row r="31" spans="1:25" s="78" customFormat="1" ht="11.1" customHeight="1" x14ac:dyDescent="0.2">
      <c r="A31" s="71">
        <f t="shared" si="6"/>
        <v>29</v>
      </c>
      <c r="B31" s="90" t="s">
        <v>174</v>
      </c>
      <c r="C31" s="82" t="str">
        <f>IF($B31&lt;&gt;"",_xlfn.IFNA(VLOOKUP($B31,'Node Details'!$B:$U,C$1,0),"Check"),"")</f>
        <v>00001GF16-1GF160107</v>
      </c>
      <c r="D31" s="82" t="str">
        <f>IF($B31&lt;&gt;"",_xlfn.IFNA(VLOOKUP($B31,'Node Details'!$B:$U,D$1,0),"Check"),"")</f>
        <v>1GF</v>
      </c>
      <c r="E31" s="82" t="str">
        <f>IF($B31&lt;&gt;"",_xlfn.IFNA(VLOOKUP($B31,'Node Details'!$B:$U,E$1,0),"Check"),"")</f>
        <v>Airtel</v>
      </c>
      <c r="F31" s="97">
        <v>45379</v>
      </c>
      <c r="G31" s="75"/>
      <c r="H31" s="92" t="s">
        <v>221</v>
      </c>
      <c r="I31" s="93">
        <v>1</v>
      </c>
      <c r="J31" s="93">
        <v>500</v>
      </c>
      <c r="K31" s="82">
        <f t="shared" si="0"/>
        <v>500</v>
      </c>
      <c r="L31" s="41">
        <v>45141</v>
      </c>
      <c r="M31" s="77"/>
      <c r="N31" s="98" t="s">
        <v>87</v>
      </c>
      <c r="O31" s="99">
        <v>45211</v>
      </c>
      <c r="P31" s="85">
        <f t="shared" si="1"/>
        <v>500</v>
      </c>
      <c r="Q31" s="86">
        <f t="shared" si="2"/>
        <v>500</v>
      </c>
      <c r="R31" s="77"/>
      <c r="S31" s="98" t="s">
        <v>88</v>
      </c>
      <c r="T31" s="99">
        <v>45257</v>
      </c>
      <c r="U31" s="85">
        <f t="shared" si="3"/>
        <v>500</v>
      </c>
      <c r="V31" s="85">
        <f t="shared" si="4"/>
        <v>1</v>
      </c>
      <c r="W31" s="88">
        <f t="shared" si="5"/>
        <v>500</v>
      </c>
      <c r="X31" s="98" t="s">
        <v>86</v>
      </c>
      <c r="Y31" s="78" t="s">
        <v>81</v>
      </c>
    </row>
    <row r="32" spans="1:25" s="78" customFormat="1" ht="11.1" customHeight="1" x14ac:dyDescent="0.2">
      <c r="A32" s="71">
        <f t="shared" si="6"/>
        <v>30</v>
      </c>
      <c r="B32" s="90" t="s">
        <v>175</v>
      </c>
      <c r="C32" s="82" t="str">
        <f>IF($B32&lt;&gt;"",_xlfn.IFNA(VLOOKUP($B32,'Node Details'!$B:$U,C$1,0),"Check"),"")</f>
        <v>00001GF16-1GF160107</v>
      </c>
      <c r="D32" s="82" t="str">
        <f>IF($B32&lt;&gt;"",_xlfn.IFNA(VLOOKUP($B32,'Node Details'!$B:$U,D$1,0),"Check"),"")</f>
        <v>1GF</v>
      </c>
      <c r="E32" s="82" t="str">
        <f>IF($B32&lt;&gt;"",_xlfn.IFNA(VLOOKUP($B32,'Node Details'!$B:$U,E$1,0),"Check"),"")</f>
        <v>Airtel</v>
      </c>
      <c r="F32" s="97">
        <v>45379</v>
      </c>
      <c r="G32" s="75"/>
      <c r="H32" s="92" t="s">
        <v>221</v>
      </c>
      <c r="I32" s="93">
        <v>1</v>
      </c>
      <c r="J32" s="93">
        <v>500</v>
      </c>
      <c r="K32" s="82">
        <f t="shared" si="0"/>
        <v>500</v>
      </c>
      <c r="L32" s="41">
        <v>45141</v>
      </c>
      <c r="M32" s="77"/>
      <c r="N32" s="98" t="s">
        <v>87</v>
      </c>
      <c r="O32" s="99">
        <v>45211</v>
      </c>
      <c r="P32" s="85">
        <f t="shared" si="1"/>
        <v>500</v>
      </c>
      <c r="Q32" s="86">
        <f t="shared" si="2"/>
        <v>500</v>
      </c>
      <c r="R32" s="77"/>
      <c r="S32" s="98" t="s">
        <v>88</v>
      </c>
      <c r="T32" s="99">
        <v>45257</v>
      </c>
      <c r="U32" s="85">
        <f t="shared" si="3"/>
        <v>500</v>
      </c>
      <c r="V32" s="85">
        <f t="shared" si="4"/>
        <v>1</v>
      </c>
      <c r="W32" s="88">
        <f t="shared" si="5"/>
        <v>500</v>
      </c>
      <c r="X32" s="98" t="s">
        <v>86</v>
      </c>
      <c r="Y32" s="78" t="s">
        <v>81</v>
      </c>
    </row>
    <row r="33" spans="1:25" s="78" customFormat="1" ht="11.1" customHeight="1" x14ac:dyDescent="0.2">
      <c r="A33" s="71">
        <f t="shared" si="6"/>
        <v>31</v>
      </c>
      <c r="B33" s="90" t="s">
        <v>176</v>
      </c>
      <c r="C33" s="82" t="str">
        <f>IF($B33&lt;&gt;"",_xlfn.IFNA(VLOOKUP($B33,'Node Details'!$B:$U,C$1,0),"Check"),"")</f>
        <v>00001GF16-1GF160107</v>
      </c>
      <c r="D33" s="82" t="str">
        <f>IF($B33&lt;&gt;"",_xlfn.IFNA(VLOOKUP($B33,'Node Details'!$B:$U,D$1,0),"Check"),"")</f>
        <v>1GF</v>
      </c>
      <c r="E33" s="82" t="str">
        <f>IF($B33&lt;&gt;"",_xlfn.IFNA(VLOOKUP($B33,'Node Details'!$B:$U,E$1,0),"Check"),"")</f>
        <v>Airtel</v>
      </c>
      <c r="F33" s="97">
        <v>45379</v>
      </c>
      <c r="G33" s="75"/>
      <c r="H33" s="92" t="s">
        <v>221</v>
      </c>
      <c r="I33" s="93">
        <v>1</v>
      </c>
      <c r="J33" s="93">
        <v>500</v>
      </c>
      <c r="K33" s="82">
        <f t="shared" si="0"/>
        <v>500</v>
      </c>
      <c r="L33" s="41">
        <v>45141</v>
      </c>
      <c r="M33" s="77"/>
      <c r="N33" s="98" t="s">
        <v>87</v>
      </c>
      <c r="O33" s="99">
        <v>45211</v>
      </c>
      <c r="P33" s="85">
        <f t="shared" si="1"/>
        <v>500</v>
      </c>
      <c r="Q33" s="86">
        <f t="shared" si="2"/>
        <v>500</v>
      </c>
      <c r="R33" s="77"/>
      <c r="S33" s="98" t="s">
        <v>88</v>
      </c>
      <c r="T33" s="99">
        <v>45257</v>
      </c>
      <c r="U33" s="85">
        <f t="shared" si="3"/>
        <v>500</v>
      </c>
      <c r="V33" s="85">
        <f t="shared" si="4"/>
        <v>1</v>
      </c>
      <c r="W33" s="88">
        <f t="shared" si="5"/>
        <v>500</v>
      </c>
      <c r="X33" s="98" t="s">
        <v>86</v>
      </c>
      <c r="Y33" s="78" t="s">
        <v>81</v>
      </c>
    </row>
    <row r="34" spans="1:25" s="78" customFormat="1" ht="11.1" customHeight="1" x14ac:dyDescent="0.2">
      <c r="A34" s="71">
        <f t="shared" si="6"/>
        <v>32</v>
      </c>
      <c r="B34" s="90" t="s">
        <v>177</v>
      </c>
      <c r="C34" s="82" t="str">
        <f>IF($B34&lt;&gt;"",_xlfn.IFNA(VLOOKUP($B34,'Node Details'!$B:$U,C$1,0),"Check"),"")</f>
        <v>00001GF16-1GF160107</v>
      </c>
      <c r="D34" s="82" t="str">
        <f>IF($B34&lt;&gt;"",_xlfn.IFNA(VLOOKUP($B34,'Node Details'!$B:$U,D$1,0),"Check"),"")</f>
        <v>1GF</v>
      </c>
      <c r="E34" s="82" t="str">
        <f>IF($B34&lt;&gt;"",_xlfn.IFNA(VLOOKUP($B34,'Node Details'!$B:$U,E$1,0),"Check"),"")</f>
        <v>Airtel</v>
      </c>
      <c r="F34" s="97">
        <v>45379</v>
      </c>
      <c r="G34" s="75"/>
      <c r="H34" s="92" t="s">
        <v>221</v>
      </c>
      <c r="I34" s="93">
        <v>1</v>
      </c>
      <c r="J34" s="93">
        <v>500</v>
      </c>
      <c r="K34" s="82">
        <f t="shared" si="0"/>
        <v>500</v>
      </c>
      <c r="L34" s="41">
        <v>45141</v>
      </c>
      <c r="M34" s="77"/>
      <c r="N34" s="98" t="s">
        <v>87</v>
      </c>
      <c r="O34" s="99">
        <v>45211</v>
      </c>
      <c r="P34" s="85">
        <f t="shared" si="1"/>
        <v>500</v>
      </c>
      <c r="Q34" s="86">
        <f t="shared" si="2"/>
        <v>500</v>
      </c>
      <c r="R34" s="77"/>
      <c r="S34" s="98" t="s">
        <v>88</v>
      </c>
      <c r="T34" s="99">
        <v>45257</v>
      </c>
      <c r="U34" s="85">
        <f t="shared" si="3"/>
        <v>500</v>
      </c>
      <c r="V34" s="85">
        <f t="shared" si="4"/>
        <v>1</v>
      </c>
      <c r="W34" s="88">
        <f t="shared" si="5"/>
        <v>500</v>
      </c>
      <c r="X34" s="98" t="s">
        <v>86</v>
      </c>
      <c r="Y34" s="78" t="s">
        <v>81</v>
      </c>
    </row>
    <row r="35" spans="1:25" s="78" customFormat="1" ht="11.1" customHeight="1" x14ac:dyDescent="0.2">
      <c r="A35" s="71">
        <f t="shared" si="6"/>
        <v>33</v>
      </c>
      <c r="B35" s="90" t="s">
        <v>113</v>
      </c>
      <c r="C35" s="82" t="str">
        <f>IF($B35&lt;&gt;"",_xlfn.IFNA(VLOOKUP($B35,'Node Details'!$B:$U,C$1,0),"Check"),"")</f>
        <v>00001GF16-1GF160107</v>
      </c>
      <c r="D35" s="82" t="str">
        <f>IF($B35&lt;&gt;"",_xlfn.IFNA(VLOOKUP($B35,'Node Details'!$B:$U,D$1,0),"Check"),"")</f>
        <v>1GF</v>
      </c>
      <c r="E35" s="82" t="str">
        <f>IF($B35&lt;&gt;"",_xlfn.IFNA(VLOOKUP($B35,'Node Details'!$B:$U,E$1,0),"Check"),"")</f>
        <v>Airtel</v>
      </c>
      <c r="F35" s="97">
        <v>45379</v>
      </c>
      <c r="G35" s="75"/>
      <c r="H35" s="92" t="s">
        <v>221</v>
      </c>
      <c r="I35" s="93">
        <v>1</v>
      </c>
      <c r="J35" s="93">
        <v>500</v>
      </c>
      <c r="K35" s="82">
        <f t="shared" si="0"/>
        <v>500</v>
      </c>
      <c r="L35" s="41">
        <v>45141</v>
      </c>
      <c r="M35" s="77"/>
      <c r="N35" s="98" t="s">
        <v>87</v>
      </c>
      <c r="O35" s="99">
        <v>45211</v>
      </c>
      <c r="P35" s="85">
        <f t="shared" si="1"/>
        <v>500</v>
      </c>
      <c r="Q35" s="86">
        <f t="shared" si="2"/>
        <v>500</v>
      </c>
      <c r="R35" s="77"/>
      <c r="S35" s="98" t="s">
        <v>88</v>
      </c>
      <c r="T35" s="99">
        <v>45257</v>
      </c>
      <c r="U35" s="85">
        <f t="shared" si="3"/>
        <v>500</v>
      </c>
      <c r="V35" s="85">
        <f t="shared" si="4"/>
        <v>1</v>
      </c>
      <c r="W35" s="88">
        <f t="shared" si="5"/>
        <v>500</v>
      </c>
      <c r="X35" s="98" t="s">
        <v>86</v>
      </c>
      <c r="Y35" s="78" t="s">
        <v>81</v>
      </c>
    </row>
    <row r="36" spans="1:25" s="78" customFormat="1" ht="11.1" customHeight="1" x14ac:dyDescent="0.2">
      <c r="A36" s="71">
        <f t="shared" si="6"/>
        <v>34</v>
      </c>
      <c r="B36" s="90" t="s">
        <v>178</v>
      </c>
      <c r="C36" s="82" t="str">
        <f>IF($B36&lt;&gt;"",_xlfn.IFNA(VLOOKUP($B36,'Node Details'!$B:$U,C$1,0),"Check"),"")</f>
        <v>00001GF17-1GF170104</v>
      </c>
      <c r="D36" s="82" t="str">
        <f>IF($B36&lt;&gt;"",_xlfn.IFNA(VLOOKUP($B36,'Node Details'!$B:$U,D$1,0),"Check"),"")</f>
        <v>1GF</v>
      </c>
      <c r="E36" s="82" t="str">
        <f>IF($B36&lt;&gt;"",_xlfn.IFNA(VLOOKUP($B36,'Node Details'!$B:$U,E$1,0),"Check"),"")</f>
        <v>Airtel</v>
      </c>
      <c r="F36" s="97">
        <v>45379</v>
      </c>
      <c r="G36" s="75"/>
      <c r="H36" s="92" t="s">
        <v>221</v>
      </c>
      <c r="I36" s="93">
        <v>1</v>
      </c>
      <c r="J36" s="93">
        <v>500</v>
      </c>
      <c r="K36" s="82">
        <f t="shared" si="0"/>
        <v>500</v>
      </c>
      <c r="L36" s="41">
        <v>45141</v>
      </c>
      <c r="M36" s="77"/>
      <c r="N36" s="98" t="s">
        <v>87</v>
      </c>
      <c r="O36" s="99">
        <v>45211</v>
      </c>
      <c r="P36" s="85">
        <f t="shared" si="1"/>
        <v>500</v>
      </c>
      <c r="Q36" s="86">
        <f t="shared" si="2"/>
        <v>500</v>
      </c>
      <c r="R36" s="77"/>
      <c r="S36" s="98" t="s">
        <v>88</v>
      </c>
      <c r="T36" s="99">
        <v>45257</v>
      </c>
      <c r="U36" s="85">
        <f t="shared" si="3"/>
        <v>500</v>
      </c>
      <c r="V36" s="85">
        <f t="shared" si="4"/>
        <v>1</v>
      </c>
      <c r="W36" s="88">
        <f t="shared" si="5"/>
        <v>500</v>
      </c>
      <c r="X36" s="98" t="s">
        <v>86</v>
      </c>
      <c r="Y36" s="78" t="s">
        <v>81</v>
      </c>
    </row>
    <row r="37" spans="1:25" s="78" customFormat="1" ht="11.1" customHeight="1" x14ac:dyDescent="0.2">
      <c r="A37" s="71">
        <f t="shared" si="6"/>
        <v>35</v>
      </c>
      <c r="B37" s="90" t="s">
        <v>179</v>
      </c>
      <c r="C37" s="82" t="str">
        <f>IF($B37&lt;&gt;"",_xlfn.IFNA(VLOOKUP($B37,'Node Details'!$B:$U,C$1,0),"Check"),"")</f>
        <v>00001GF17-1GF170104</v>
      </c>
      <c r="D37" s="82" t="str">
        <f>IF($B37&lt;&gt;"",_xlfn.IFNA(VLOOKUP($B37,'Node Details'!$B:$U,D$1,0),"Check"),"")</f>
        <v>1GF</v>
      </c>
      <c r="E37" s="82" t="str">
        <f>IF($B37&lt;&gt;"",_xlfn.IFNA(VLOOKUP($B37,'Node Details'!$B:$U,E$1,0),"Check"),"")</f>
        <v>Airtel</v>
      </c>
      <c r="F37" s="97">
        <v>45379</v>
      </c>
      <c r="G37" s="75"/>
      <c r="H37" s="92" t="s">
        <v>221</v>
      </c>
      <c r="I37" s="93">
        <v>1</v>
      </c>
      <c r="J37" s="93">
        <v>500</v>
      </c>
      <c r="K37" s="82">
        <f t="shared" si="0"/>
        <v>500</v>
      </c>
      <c r="L37" s="41">
        <v>45141</v>
      </c>
      <c r="M37" s="77"/>
      <c r="N37" s="98" t="s">
        <v>87</v>
      </c>
      <c r="O37" s="99">
        <v>45211</v>
      </c>
      <c r="P37" s="85">
        <f t="shared" si="1"/>
        <v>500</v>
      </c>
      <c r="Q37" s="86">
        <f t="shared" si="2"/>
        <v>500</v>
      </c>
      <c r="R37" s="77"/>
      <c r="S37" s="98" t="s">
        <v>88</v>
      </c>
      <c r="T37" s="99">
        <v>45257</v>
      </c>
      <c r="U37" s="85">
        <f t="shared" si="3"/>
        <v>500</v>
      </c>
      <c r="V37" s="85">
        <f t="shared" si="4"/>
        <v>1</v>
      </c>
      <c r="W37" s="88">
        <f t="shared" si="5"/>
        <v>500</v>
      </c>
      <c r="X37" s="98" t="s">
        <v>86</v>
      </c>
      <c r="Y37" s="78" t="s">
        <v>81</v>
      </c>
    </row>
    <row r="38" spans="1:25" s="78" customFormat="1" ht="11.1" customHeight="1" x14ac:dyDescent="0.2">
      <c r="A38" s="71">
        <f t="shared" si="6"/>
        <v>36</v>
      </c>
      <c r="B38" s="90" t="s">
        <v>180</v>
      </c>
      <c r="C38" s="82" t="str">
        <f>IF($B38&lt;&gt;"",_xlfn.IFNA(VLOOKUP($B38,'Node Details'!$B:$U,C$1,0),"Check"),"")</f>
        <v>00001GF17-1GF170104</v>
      </c>
      <c r="D38" s="82" t="str">
        <f>IF($B38&lt;&gt;"",_xlfn.IFNA(VLOOKUP($B38,'Node Details'!$B:$U,D$1,0),"Check"),"")</f>
        <v>1GF</v>
      </c>
      <c r="E38" s="82" t="str">
        <f>IF($B38&lt;&gt;"",_xlfn.IFNA(VLOOKUP($B38,'Node Details'!$B:$U,E$1,0),"Check"),"")</f>
        <v>Airtel</v>
      </c>
      <c r="F38" s="97">
        <v>45379</v>
      </c>
      <c r="G38" s="75"/>
      <c r="H38" s="92" t="s">
        <v>221</v>
      </c>
      <c r="I38" s="93">
        <v>1</v>
      </c>
      <c r="J38" s="93">
        <v>500</v>
      </c>
      <c r="K38" s="82">
        <f t="shared" si="0"/>
        <v>500</v>
      </c>
      <c r="L38" s="41">
        <v>45141</v>
      </c>
      <c r="M38" s="77"/>
      <c r="N38" s="98" t="s">
        <v>87</v>
      </c>
      <c r="O38" s="99">
        <v>45211</v>
      </c>
      <c r="P38" s="85">
        <f t="shared" si="1"/>
        <v>500</v>
      </c>
      <c r="Q38" s="86">
        <f t="shared" si="2"/>
        <v>500</v>
      </c>
      <c r="R38" s="77"/>
      <c r="S38" s="98" t="s">
        <v>88</v>
      </c>
      <c r="T38" s="99">
        <v>45257</v>
      </c>
      <c r="U38" s="85">
        <f t="shared" si="3"/>
        <v>500</v>
      </c>
      <c r="V38" s="85">
        <f t="shared" si="4"/>
        <v>1</v>
      </c>
      <c r="W38" s="88">
        <f t="shared" si="5"/>
        <v>500</v>
      </c>
      <c r="X38" s="98" t="s">
        <v>86</v>
      </c>
      <c r="Y38" s="78" t="s">
        <v>81</v>
      </c>
    </row>
    <row r="39" spans="1:25" s="78" customFormat="1" ht="11.1" customHeight="1" x14ac:dyDescent="0.2">
      <c r="A39" s="71">
        <f t="shared" si="6"/>
        <v>37</v>
      </c>
      <c r="B39" s="90" t="s">
        <v>117</v>
      </c>
      <c r="C39" s="82" t="str">
        <f>IF($B39&lt;&gt;"",_xlfn.IFNA(VLOOKUP($B39,'Node Details'!$B:$U,C$1,0),"Check"),"")</f>
        <v>00001GF17-1GF170104</v>
      </c>
      <c r="D39" s="82" t="str">
        <f>IF($B39&lt;&gt;"",_xlfn.IFNA(VLOOKUP($B39,'Node Details'!$B:$U,D$1,0),"Check"),"")</f>
        <v>1GF</v>
      </c>
      <c r="E39" s="82" t="str">
        <f>IF($B39&lt;&gt;"",_xlfn.IFNA(VLOOKUP($B39,'Node Details'!$B:$U,E$1,0),"Check"),"")</f>
        <v>Airtel</v>
      </c>
      <c r="F39" s="97">
        <v>45379</v>
      </c>
      <c r="G39" s="75"/>
      <c r="H39" s="92" t="s">
        <v>221</v>
      </c>
      <c r="I39" s="93">
        <v>1</v>
      </c>
      <c r="J39" s="93">
        <v>500</v>
      </c>
      <c r="K39" s="82">
        <f t="shared" si="0"/>
        <v>500</v>
      </c>
      <c r="L39" s="41">
        <v>45141</v>
      </c>
      <c r="M39" s="77"/>
      <c r="N39" s="98" t="s">
        <v>87</v>
      </c>
      <c r="O39" s="99">
        <v>45211</v>
      </c>
      <c r="P39" s="85">
        <f t="shared" si="1"/>
        <v>500</v>
      </c>
      <c r="Q39" s="86">
        <f t="shared" si="2"/>
        <v>500</v>
      </c>
      <c r="R39" s="77"/>
      <c r="S39" s="98" t="s">
        <v>88</v>
      </c>
      <c r="T39" s="99">
        <v>45257</v>
      </c>
      <c r="U39" s="85">
        <f t="shared" si="3"/>
        <v>500</v>
      </c>
      <c r="V39" s="85">
        <f t="shared" si="4"/>
        <v>1</v>
      </c>
      <c r="W39" s="88">
        <f t="shared" si="5"/>
        <v>500</v>
      </c>
      <c r="X39" s="98" t="s">
        <v>86</v>
      </c>
      <c r="Y39" s="78" t="s">
        <v>81</v>
      </c>
    </row>
    <row r="40" spans="1:25" s="78" customFormat="1" ht="11.1" customHeight="1" x14ac:dyDescent="0.2">
      <c r="A40" s="71">
        <f t="shared" si="6"/>
        <v>38</v>
      </c>
      <c r="B40" s="90" t="s">
        <v>181</v>
      </c>
      <c r="C40" s="82" t="str">
        <f>IF($B40&lt;&gt;"",_xlfn.IFNA(VLOOKUP($B40,'Node Details'!$B:$U,C$1,0),"Check"),"")</f>
        <v>00001GF18-1GF180104</v>
      </c>
      <c r="D40" s="82" t="str">
        <f>IF($B40&lt;&gt;"",_xlfn.IFNA(VLOOKUP($B40,'Node Details'!$B:$U,D$1,0),"Check"),"")</f>
        <v>1GF</v>
      </c>
      <c r="E40" s="82" t="str">
        <f>IF($B40&lt;&gt;"",_xlfn.IFNA(VLOOKUP($B40,'Node Details'!$B:$U,E$1,0),"Check"),"")</f>
        <v>Airtel</v>
      </c>
      <c r="F40" s="97">
        <v>45379</v>
      </c>
      <c r="G40" s="75"/>
      <c r="H40" s="92" t="s">
        <v>221</v>
      </c>
      <c r="I40" s="93">
        <v>1</v>
      </c>
      <c r="J40" s="93">
        <v>500</v>
      </c>
      <c r="K40" s="82">
        <f t="shared" si="0"/>
        <v>500</v>
      </c>
      <c r="L40" s="41">
        <v>45141</v>
      </c>
      <c r="M40" s="77"/>
      <c r="N40" s="98" t="s">
        <v>87</v>
      </c>
      <c r="O40" s="99">
        <v>45211</v>
      </c>
      <c r="P40" s="85">
        <f t="shared" si="1"/>
        <v>500</v>
      </c>
      <c r="Q40" s="86">
        <f t="shared" si="2"/>
        <v>500</v>
      </c>
      <c r="R40" s="77"/>
      <c r="S40" s="98" t="s">
        <v>88</v>
      </c>
      <c r="T40" s="99">
        <v>45257</v>
      </c>
      <c r="U40" s="85">
        <f t="shared" si="3"/>
        <v>500</v>
      </c>
      <c r="V40" s="85">
        <f t="shared" si="4"/>
        <v>1</v>
      </c>
      <c r="W40" s="88">
        <f t="shared" si="5"/>
        <v>500</v>
      </c>
      <c r="X40" s="98" t="s">
        <v>86</v>
      </c>
      <c r="Y40" s="78" t="s">
        <v>81</v>
      </c>
    </row>
    <row r="41" spans="1:25" s="78" customFormat="1" ht="11.1" customHeight="1" x14ac:dyDescent="0.2">
      <c r="A41" s="71">
        <f t="shared" si="6"/>
        <v>39</v>
      </c>
      <c r="B41" s="90" t="s">
        <v>182</v>
      </c>
      <c r="C41" s="82" t="str">
        <f>IF($B41&lt;&gt;"",_xlfn.IFNA(VLOOKUP($B41,'Node Details'!$B:$U,C$1,0),"Check"),"")</f>
        <v>00001GF18-1GF180104</v>
      </c>
      <c r="D41" s="82" t="str">
        <f>IF($B41&lt;&gt;"",_xlfn.IFNA(VLOOKUP($B41,'Node Details'!$B:$U,D$1,0),"Check"),"")</f>
        <v>1GF</v>
      </c>
      <c r="E41" s="82" t="str">
        <f>IF($B41&lt;&gt;"",_xlfn.IFNA(VLOOKUP($B41,'Node Details'!$B:$U,E$1,0),"Check"),"")</f>
        <v>Airtel</v>
      </c>
      <c r="F41" s="97">
        <v>45379</v>
      </c>
      <c r="G41" s="75"/>
      <c r="H41" s="92" t="s">
        <v>221</v>
      </c>
      <c r="I41" s="93">
        <v>1</v>
      </c>
      <c r="J41" s="93">
        <v>500</v>
      </c>
      <c r="K41" s="82">
        <f t="shared" si="0"/>
        <v>500</v>
      </c>
      <c r="L41" s="41">
        <v>45141</v>
      </c>
      <c r="M41" s="77"/>
      <c r="N41" s="98" t="s">
        <v>87</v>
      </c>
      <c r="O41" s="99">
        <v>45211</v>
      </c>
      <c r="P41" s="85">
        <f t="shared" si="1"/>
        <v>500</v>
      </c>
      <c r="Q41" s="86">
        <f t="shared" si="2"/>
        <v>500</v>
      </c>
      <c r="R41" s="77"/>
      <c r="S41" s="98" t="s">
        <v>88</v>
      </c>
      <c r="T41" s="99">
        <v>45257</v>
      </c>
      <c r="U41" s="85">
        <f t="shared" si="3"/>
        <v>500</v>
      </c>
      <c r="V41" s="85">
        <f t="shared" si="4"/>
        <v>1</v>
      </c>
      <c r="W41" s="88">
        <f t="shared" si="5"/>
        <v>500</v>
      </c>
      <c r="X41" s="98" t="s">
        <v>86</v>
      </c>
      <c r="Y41" s="78" t="s">
        <v>81</v>
      </c>
    </row>
    <row r="42" spans="1:25" s="78" customFormat="1" ht="11.1" customHeight="1" x14ac:dyDescent="0.2">
      <c r="A42" s="71">
        <f t="shared" si="6"/>
        <v>40</v>
      </c>
      <c r="B42" s="90" t="s">
        <v>183</v>
      </c>
      <c r="C42" s="82" t="str">
        <f>IF($B42&lt;&gt;"",_xlfn.IFNA(VLOOKUP($B42,'Node Details'!$B:$U,C$1,0),"Check"),"")</f>
        <v>00001GF18-1GF180104</v>
      </c>
      <c r="D42" s="82" t="str">
        <f>IF($B42&lt;&gt;"",_xlfn.IFNA(VLOOKUP($B42,'Node Details'!$B:$U,D$1,0),"Check"),"")</f>
        <v>1GF</v>
      </c>
      <c r="E42" s="82" t="str">
        <f>IF($B42&lt;&gt;"",_xlfn.IFNA(VLOOKUP($B42,'Node Details'!$B:$U,E$1,0),"Check"),"")</f>
        <v>Airtel</v>
      </c>
      <c r="F42" s="97">
        <v>45379</v>
      </c>
      <c r="G42" s="75"/>
      <c r="H42" s="92" t="s">
        <v>221</v>
      </c>
      <c r="I42" s="93">
        <v>1</v>
      </c>
      <c r="J42" s="93">
        <v>500</v>
      </c>
      <c r="K42" s="82">
        <f t="shared" si="0"/>
        <v>500</v>
      </c>
      <c r="L42" s="41">
        <v>45141</v>
      </c>
      <c r="M42" s="77"/>
      <c r="N42" s="98" t="s">
        <v>87</v>
      </c>
      <c r="O42" s="99">
        <v>45211</v>
      </c>
      <c r="P42" s="85">
        <f t="shared" si="1"/>
        <v>500</v>
      </c>
      <c r="Q42" s="86">
        <f t="shared" si="2"/>
        <v>500</v>
      </c>
      <c r="R42" s="77"/>
      <c r="S42" s="98" t="s">
        <v>88</v>
      </c>
      <c r="T42" s="99">
        <v>45257</v>
      </c>
      <c r="U42" s="85">
        <f t="shared" si="3"/>
        <v>500</v>
      </c>
      <c r="V42" s="85">
        <f t="shared" si="4"/>
        <v>1</v>
      </c>
      <c r="W42" s="88">
        <f t="shared" si="5"/>
        <v>500</v>
      </c>
      <c r="X42" s="98" t="s">
        <v>86</v>
      </c>
      <c r="Y42" s="78" t="s">
        <v>81</v>
      </c>
    </row>
    <row r="43" spans="1:25" s="78" customFormat="1" ht="11.1" customHeight="1" x14ac:dyDescent="0.2">
      <c r="A43" s="71">
        <f t="shared" si="6"/>
        <v>41</v>
      </c>
      <c r="B43" s="90" t="s">
        <v>121</v>
      </c>
      <c r="C43" s="82" t="str">
        <f>IF($B43&lt;&gt;"",_xlfn.IFNA(VLOOKUP($B43,'Node Details'!$B:$U,C$1,0),"Check"),"")</f>
        <v>00001GF18-1GF180104</v>
      </c>
      <c r="D43" s="82" t="str">
        <f>IF($B43&lt;&gt;"",_xlfn.IFNA(VLOOKUP($B43,'Node Details'!$B:$U,D$1,0),"Check"),"")</f>
        <v>1GF</v>
      </c>
      <c r="E43" s="82" t="str">
        <f>IF($B43&lt;&gt;"",_xlfn.IFNA(VLOOKUP($B43,'Node Details'!$B:$U,E$1,0),"Check"),"")</f>
        <v>Airtel</v>
      </c>
      <c r="F43" s="97">
        <v>45379</v>
      </c>
      <c r="G43" s="75"/>
      <c r="H43" s="92" t="s">
        <v>221</v>
      </c>
      <c r="I43" s="93">
        <v>1</v>
      </c>
      <c r="J43" s="93">
        <v>500</v>
      </c>
      <c r="K43" s="82">
        <f t="shared" si="0"/>
        <v>500</v>
      </c>
      <c r="L43" s="41">
        <v>45141</v>
      </c>
      <c r="M43" s="77"/>
      <c r="N43" s="98" t="s">
        <v>87</v>
      </c>
      <c r="O43" s="99">
        <v>45211</v>
      </c>
      <c r="P43" s="85">
        <f t="shared" si="1"/>
        <v>500</v>
      </c>
      <c r="Q43" s="86">
        <f t="shared" si="2"/>
        <v>500</v>
      </c>
      <c r="R43" s="77"/>
      <c r="S43" s="98" t="s">
        <v>88</v>
      </c>
      <c r="T43" s="99">
        <v>45257</v>
      </c>
      <c r="U43" s="85">
        <f t="shared" si="3"/>
        <v>500</v>
      </c>
      <c r="V43" s="85">
        <f t="shared" si="4"/>
        <v>1</v>
      </c>
      <c r="W43" s="88">
        <f t="shared" si="5"/>
        <v>500</v>
      </c>
      <c r="X43" s="98" t="s">
        <v>86</v>
      </c>
      <c r="Y43" s="78" t="s">
        <v>81</v>
      </c>
    </row>
    <row r="44" spans="1:25" s="78" customFormat="1" ht="11.1" customHeight="1" x14ac:dyDescent="0.2">
      <c r="A44" s="71">
        <f t="shared" si="6"/>
        <v>42</v>
      </c>
      <c r="B44" s="90" t="s">
        <v>184</v>
      </c>
      <c r="C44" s="82" t="str">
        <f>IF($B44&lt;&gt;"",_xlfn.IFNA(VLOOKUP($B44,'Node Details'!$B:$U,C$1,0),"Check"),"")</f>
        <v>00001GF19-1GF190104</v>
      </c>
      <c r="D44" s="82" t="str">
        <f>IF($B44&lt;&gt;"",_xlfn.IFNA(VLOOKUP($B44,'Node Details'!$B:$U,D$1,0),"Check"),"")</f>
        <v>1GF</v>
      </c>
      <c r="E44" s="82" t="str">
        <f>IF($B44&lt;&gt;"",_xlfn.IFNA(VLOOKUP($B44,'Node Details'!$B:$U,E$1,0),"Check"),"")</f>
        <v>Airtel</v>
      </c>
      <c r="F44" s="97">
        <v>45379</v>
      </c>
      <c r="G44" s="75"/>
      <c r="H44" s="92" t="s">
        <v>221</v>
      </c>
      <c r="I44" s="93">
        <v>1</v>
      </c>
      <c r="J44" s="93">
        <v>500</v>
      </c>
      <c r="K44" s="82">
        <f t="shared" si="0"/>
        <v>500</v>
      </c>
      <c r="L44" s="41">
        <v>45141</v>
      </c>
      <c r="M44" s="77"/>
      <c r="N44" s="98" t="s">
        <v>87</v>
      </c>
      <c r="O44" s="99">
        <v>45211</v>
      </c>
      <c r="P44" s="85">
        <f t="shared" si="1"/>
        <v>500</v>
      </c>
      <c r="Q44" s="86">
        <f t="shared" si="2"/>
        <v>500</v>
      </c>
      <c r="R44" s="77"/>
      <c r="S44" s="98" t="s">
        <v>88</v>
      </c>
      <c r="T44" s="99">
        <v>45257</v>
      </c>
      <c r="U44" s="85">
        <f t="shared" si="3"/>
        <v>500</v>
      </c>
      <c r="V44" s="85">
        <f t="shared" si="4"/>
        <v>1</v>
      </c>
      <c r="W44" s="88">
        <f t="shared" si="5"/>
        <v>500</v>
      </c>
      <c r="X44" s="98" t="s">
        <v>86</v>
      </c>
      <c r="Y44" s="78" t="s">
        <v>81</v>
      </c>
    </row>
    <row r="45" spans="1:25" s="78" customFormat="1" ht="11.1" customHeight="1" x14ac:dyDescent="0.2">
      <c r="A45" s="71">
        <f t="shared" si="6"/>
        <v>43</v>
      </c>
      <c r="B45" s="90" t="s">
        <v>185</v>
      </c>
      <c r="C45" s="82" t="str">
        <f>IF($B45&lt;&gt;"",_xlfn.IFNA(VLOOKUP($B45,'Node Details'!$B:$U,C$1,0),"Check"),"")</f>
        <v>00001GF19-1GF190104</v>
      </c>
      <c r="D45" s="82" t="str">
        <f>IF($B45&lt;&gt;"",_xlfn.IFNA(VLOOKUP($B45,'Node Details'!$B:$U,D$1,0),"Check"),"")</f>
        <v>1GF</v>
      </c>
      <c r="E45" s="82" t="str">
        <f>IF($B45&lt;&gt;"",_xlfn.IFNA(VLOOKUP($B45,'Node Details'!$B:$U,E$1,0),"Check"),"")</f>
        <v>Airtel</v>
      </c>
      <c r="F45" s="97">
        <v>45379</v>
      </c>
      <c r="G45" s="75"/>
      <c r="H45" s="92" t="s">
        <v>221</v>
      </c>
      <c r="I45" s="93">
        <v>1</v>
      </c>
      <c r="J45" s="93">
        <v>500</v>
      </c>
      <c r="K45" s="82">
        <f t="shared" si="0"/>
        <v>500</v>
      </c>
      <c r="L45" s="41">
        <v>45141</v>
      </c>
      <c r="M45" s="77"/>
      <c r="N45" s="98" t="s">
        <v>87</v>
      </c>
      <c r="O45" s="99">
        <v>45211</v>
      </c>
      <c r="P45" s="85">
        <f t="shared" si="1"/>
        <v>500</v>
      </c>
      <c r="Q45" s="86">
        <f t="shared" si="2"/>
        <v>500</v>
      </c>
      <c r="R45" s="77"/>
      <c r="S45" s="98" t="s">
        <v>88</v>
      </c>
      <c r="T45" s="99">
        <v>45257</v>
      </c>
      <c r="U45" s="85">
        <f t="shared" si="3"/>
        <v>500</v>
      </c>
      <c r="V45" s="85">
        <f t="shared" si="4"/>
        <v>1</v>
      </c>
      <c r="W45" s="88">
        <f t="shared" si="5"/>
        <v>500</v>
      </c>
      <c r="X45" s="98" t="s">
        <v>86</v>
      </c>
      <c r="Y45" s="78" t="s">
        <v>81</v>
      </c>
    </row>
    <row r="46" spans="1:25" s="78" customFormat="1" ht="11.1" customHeight="1" x14ac:dyDescent="0.2">
      <c r="A46" s="71">
        <f t="shared" si="6"/>
        <v>44</v>
      </c>
      <c r="B46" s="90" t="s">
        <v>186</v>
      </c>
      <c r="C46" s="82" t="str">
        <f>IF($B46&lt;&gt;"",_xlfn.IFNA(VLOOKUP($B46,'Node Details'!$B:$U,C$1,0),"Check"),"")</f>
        <v>00001GF19-1GF190104</v>
      </c>
      <c r="D46" s="82" t="str">
        <f>IF($B46&lt;&gt;"",_xlfn.IFNA(VLOOKUP($B46,'Node Details'!$B:$U,D$1,0),"Check"),"")</f>
        <v>1GF</v>
      </c>
      <c r="E46" s="82" t="str">
        <f>IF($B46&lt;&gt;"",_xlfn.IFNA(VLOOKUP($B46,'Node Details'!$B:$U,E$1,0),"Check"),"")</f>
        <v>Airtel</v>
      </c>
      <c r="F46" s="97">
        <v>45379</v>
      </c>
      <c r="G46" s="75"/>
      <c r="H46" s="92" t="s">
        <v>221</v>
      </c>
      <c r="I46" s="93">
        <v>1</v>
      </c>
      <c r="J46" s="93">
        <v>500</v>
      </c>
      <c r="K46" s="82">
        <f t="shared" si="0"/>
        <v>500</v>
      </c>
      <c r="L46" s="41">
        <v>45141</v>
      </c>
      <c r="M46" s="77"/>
      <c r="N46" s="98" t="s">
        <v>87</v>
      </c>
      <c r="O46" s="99">
        <v>45211</v>
      </c>
      <c r="P46" s="85">
        <f t="shared" si="1"/>
        <v>500</v>
      </c>
      <c r="Q46" s="86">
        <f t="shared" si="2"/>
        <v>500</v>
      </c>
      <c r="R46" s="77"/>
      <c r="S46" s="98" t="s">
        <v>88</v>
      </c>
      <c r="T46" s="99">
        <v>45257</v>
      </c>
      <c r="U46" s="85">
        <f t="shared" si="3"/>
        <v>500</v>
      </c>
      <c r="V46" s="85">
        <f t="shared" si="4"/>
        <v>1</v>
      </c>
      <c r="W46" s="88">
        <f t="shared" si="5"/>
        <v>500</v>
      </c>
      <c r="X46" s="98" t="s">
        <v>86</v>
      </c>
      <c r="Y46" s="78" t="s">
        <v>81</v>
      </c>
    </row>
    <row r="47" spans="1:25" s="78" customFormat="1" ht="11.1" customHeight="1" x14ac:dyDescent="0.2">
      <c r="A47" s="71">
        <f t="shared" si="6"/>
        <v>45</v>
      </c>
      <c r="B47" s="90" t="s">
        <v>125</v>
      </c>
      <c r="C47" s="82" t="str">
        <f>IF($B47&lt;&gt;"",_xlfn.IFNA(VLOOKUP($B47,'Node Details'!$B:$U,C$1,0),"Check"),"")</f>
        <v>00001GF19-1GF190104</v>
      </c>
      <c r="D47" s="82" t="str">
        <f>IF($B47&lt;&gt;"",_xlfn.IFNA(VLOOKUP($B47,'Node Details'!$B:$U,D$1,0),"Check"),"")</f>
        <v>1GF</v>
      </c>
      <c r="E47" s="82" t="str">
        <f>IF($B47&lt;&gt;"",_xlfn.IFNA(VLOOKUP($B47,'Node Details'!$B:$U,E$1,0),"Check"),"")</f>
        <v>Airtel</v>
      </c>
      <c r="F47" s="97">
        <v>45379</v>
      </c>
      <c r="G47" s="75"/>
      <c r="H47" s="92" t="s">
        <v>221</v>
      </c>
      <c r="I47" s="93">
        <v>1</v>
      </c>
      <c r="J47" s="93">
        <v>500</v>
      </c>
      <c r="K47" s="82">
        <f t="shared" si="0"/>
        <v>500</v>
      </c>
      <c r="L47" s="41">
        <v>45141</v>
      </c>
      <c r="M47" s="77"/>
      <c r="N47" s="98" t="s">
        <v>87</v>
      </c>
      <c r="O47" s="99">
        <v>45211</v>
      </c>
      <c r="P47" s="85">
        <f t="shared" si="1"/>
        <v>500</v>
      </c>
      <c r="Q47" s="86">
        <f t="shared" si="2"/>
        <v>500</v>
      </c>
      <c r="R47" s="77"/>
      <c r="S47" s="98" t="s">
        <v>88</v>
      </c>
      <c r="T47" s="99">
        <v>45257</v>
      </c>
      <c r="U47" s="85">
        <f t="shared" si="3"/>
        <v>500</v>
      </c>
      <c r="V47" s="85">
        <f t="shared" si="4"/>
        <v>1</v>
      </c>
      <c r="W47" s="88">
        <f t="shared" si="5"/>
        <v>500</v>
      </c>
      <c r="X47" s="98" t="s">
        <v>86</v>
      </c>
      <c r="Y47" s="78" t="s">
        <v>81</v>
      </c>
    </row>
    <row r="48" spans="1:25" s="78" customFormat="1" ht="11.1" customHeight="1" x14ac:dyDescent="0.2">
      <c r="A48" s="71">
        <f t="shared" si="6"/>
        <v>46</v>
      </c>
      <c r="B48" s="90" t="s">
        <v>187</v>
      </c>
      <c r="C48" s="82" t="str">
        <f>IF($B48&lt;&gt;"",_xlfn.IFNA(VLOOKUP($B48,'Node Details'!$B:$U,C$1,0),"Check"),"")</f>
        <v>00001GF20-1GF200104</v>
      </c>
      <c r="D48" s="82" t="str">
        <f>IF($B48&lt;&gt;"",_xlfn.IFNA(VLOOKUP($B48,'Node Details'!$B:$U,D$1,0),"Check"),"")</f>
        <v>1GF</v>
      </c>
      <c r="E48" s="82" t="str">
        <f>IF($B48&lt;&gt;"",_xlfn.IFNA(VLOOKUP($B48,'Node Details'!$B:$U,E$1,0),"Check"),"")</f>
        <v>Airtel</v>
      </c>
      <c r="F48" s="97">
        <v>45379</v>
      </c>
      <c r="G48" s="75"/>
      <c r="H48" s="92" t="s">
        <v>221</v>
      </c>
      <c r="I48" s="93">
        <v>1</v>
      </c>
      <c r="J48" s="93">
        <v>500</v>
      </c>
      <c r="K48" s="82">
        <f t="shared" si="0"/>
        <v>500</v>
      </c>
      <c r="L48" s="41">
        <v>45141</v>
      </c>
      <c r="M48" s="77"/>
      <c r="N48" s="98" t="s">
        <v>87</v>
      </c>
      <c r="O48" s="99">
        <v>45211</v>
      </c>
      <c r="P48" s="85">
        <f t="shared" si="1"/>
        <v>500</v>
      </c>
      <c r="Q48" s="86">
        <f t="shared" si="2"/>
        <v>500</v>
      </c>
      <c r="R48" s="77"/>
      <c r="S48" s="98" t="s">
        <v>88</v>
      </c>
      <c r="T48" s="99">
        <v>45257</v>
      </c>
      <c r="U48" s="85">
        <f t="shared" si="3"/>
        <v>500</v>
      </c>
      <c r="V48" s="85">
        <f t="shared" si="4"/>
        <v>1</v>
      </c>
      <c r="W48" s="88">
        <f t="shared" si="5"/>
        <v>500</v>
      </c>
      <c r="X48" s="98" t="s">
        <v>86</v>
      </c>
      <c r="Y48" s="78" t="s">
        <v>81</v>
      </c>
    </row>
    <row r="49" spans="1:25" s="78" customFormat="1" ht="11.1" customHeight="1" x14ac:dyDescent="0.2">
      <c r="A49" s="71">
        <f t="shared" si="6"/>
        <v>47</v>
      </c>
      <c r="B49" s="90" t="s">
        <v>188</v>
      </c>
      <c r="C49" s="82" t="str">
        <f>IF($B49&lt;&gt;"",_xlfn.IFNA(VLOOKUP($B49,'Node Details'!$B:$U,C$1,0),"Check"),"")</f>
        <v>00001GF20-1GF200104</v>
      </c>
      <c r="D49" s="82" t="str">
        <f>IF($B49&lt;&gt;"",_xlfn.IFNA(VLOOKUP($B49,'Node Details'!$B:$U,D$1,0),"Check"),"")</f>
        <v>1GF</v>
      </c>
      <c r="E49" s="82" t="str">
        <f>IF($B49&lt;&gt;"",_xlfn.IFNA(VLOOKUP($B49,'Node Details'!$B:$U,E$1,0),"Check"),"")</f>
        <v>Airtel</v>
      </c>
      <c r="F49" s="97">
        <v>45379</v>
      </c>
      <c r="G49" s="75"/>
      <c r="H49" s="92" t="s">
        <v>221</v>
      </c>
      <c r="I49" s="93">
        <v>1</v>
      </c>
      <c r="J49" s="93">
        <v>500</v>
      </c>
      <c r="K49" s="82">
        <f t="shared" si="0"/>
        <v>500</v>
      </c>
      <c r="L49" s="41">
        <v>45141</v>
      </c>
      <c r="M49" s="77"/>
      <c r="N49" s="98" t="s">
        <v>87</v>
      </c>
      <c r="O49" s="99">
        <v>45211</v>
      </c>
      <c r="P49" s="85">
        <f t="shared" si="1"/>
        <v>500</v>
      </c>
      <c r="Q49" s="86">
        <f t="shared" si="2"/>
        <v>500</v>
      </c>
      <c r="R49" s="77"/>
      <c r="S49" s="98" t="s">
        <v>88</v>
      </c>
      <c r="T49" s="99">
        <v>45257</v>
      </c>
      <c r="U49" s="85">
        <f t="shared" si="3"/>
        <v>500</v>
      </c>
      <c r="V49" s="85">
        <f t="shared" si="4"/>
        <v>1</v>
      </c>
      <c r="W49" s="88">
        <f t="shared" si="5"/>
        <v>500</v>
      </c>
      <c r="X49" s="98" t="s">
        <v>86</v>
      </c>
      <c r="Y49" s="78" t="s">
        <v>81</v>
      </c>
    </row>
    <row r="50" spans="1:25" s="78" customFormat="1" ht="11.1" customHeight="1" x14ac:dyDescent="0.2">
      <c r="A50" s="71">
        <f t="shared" si="6"/>
        <v>48</v>
      </c>
      <c r="B50" s="90" t="s">
        <v>189</v>
      </c>
      <c r="C50" s="82" t="str">
        <f>IF($B50&lt;&gt;"",_xlfn.IFNA(VLOOKUP($B50,'Node Details'!$B:$U,C$1,0),"Check"),"")</f>
        <v>00001GF20-1GF200104</v>
      </c>
      <c r="D50" s="82" t="str">
        <f>IF($B50&lt;&gt;"",_xlfn.IFNA(VLOOKUP($B50,'Node Details'!$B:$U,D$1,0),"Check"),"")</f>
        <v>1GF</v>
      </c>
      <c r="E50" s="82" t="str">
        <f>IF($B50&lt;&gt;"",_xlfn.IFNA(VLOOKUP($B50,'Node Details'!$B:$U,E$1,0),"Check"),"")</f>
        <v>Airtel</v>
      </c>
      <c r="F50" s="97">
        <v>45379</v>
      </c>
      <c r="G50" s="75"/>
      <c r="H50" s="92" t="s">
        <v>221</v>
      </c>
      <c r="I50" s="93">
        <v>1</v>
      </c>
      <c r="J50" s="93">
        <v>500</v>
      </c>
      <c r="K50" s="82">
        <f t="shared" si="0"/>
        <v>500</v>
      </c>
      <c r="L50" s="41">
        <v>45141</v>
      </c>
      <c r="M50" s="77"/>
      <c r="N50" s="98" t="s">
        <v>87</v>
      </c>
      <c r="O50" s="99">
        <v>45211</v>
      </c>
      <c r="P50" s="85">
        <f t="shared" si="1"/>
        <v>500</v>
      </c>
      <c r="Q50" s="86">
        <f t="shared" si="2"/>
        <v>500</v>
      </c>
      <c r="R50" s="77"/>
      <c r="S50" s="98" t="s">
        <v>88</v>
      </c>
      <c r="T50" s="99">
        <v>45257</v>
      </c>
      <c r="U50" s="85">
        <f t="shared" si="3"/>
        <v>500</v>
      </c>
      <c r="V50" s="85">
        <f t="shared" si="4"/>
        <v>1</v>
      </c>
      <c r="W50" s="88">
        <f t="shared" si="5"/>
        <v>500</v>
      </c>
      <c r="X50" s="98" t="s">
        <v>86</v>
      </c>
      <c r="Y50" s="78" t="s">
        <v>81</v>
      </c>
    </row>
    <row r="51" spans="1:25" s="78" customFormat="1" ht="11.1" customHeight="1" x14ac:dyDescent="0.2">
      <c r="A51" s="71">
        <f t="shared" si="6"/>
        <v>49</v>
      </c>
      <c r="B51" s="90" t="s">
        <v>129</v>
      </c>
      <c r="C51" s="82" t="str">
        <f>IF($B51&lt;&gt;"",_xlfn.IFNA(VLOOKUP($B51,'Node Details'!$B:$U,C$1,0),"Check"),"")</f>
        <v>00001GF20-1GF200104</v>
      </c>
      <c r="D51" s="82" t="str">
        <f>IF($B51&lt;&gt;"",_xlfn.IFNA(VLOOKUP($B51,'Node Details'!$B:$U,D$1,0),"Check"),"")</f>
        <v>1GF</v>
      </c>
      <c r="E51" s="82" t="str">
        <f>IF($B51&lt;&gt;"",_xlfn.IFNA(VLOOKUP($B51,'Node Details'!$B:$U,E$1,0),"Check"),"")</f>
        <v>Airtel</v>
      </c>
      <c r="F51" s="97">
        <v>45379</v>
      </c>
      <c r="G51" s="75"/>
      <c r="H51" s="92" t="s">
        <v>221</v>
      </c>
      <c r="I51" s="93">
        <v>1</v>
      </c>
      <c r="J51" s="93">
        <v>500</v>
      </c>
      <c r="K51" s="82">
        <f t="shared" si="0"/>
        <v>500</v>
      </c>
      <c r="L51" s="41">
        <v>45141</v>
      </c>
      <c r="M51" s="77"/>
      <c r="N51" s="98" t="s">
        <v>87</v>
      </c>
      <c r="O51" s="99">
        <v>45211</v>
      </c>
      <c r="P51" s="85">
        <f t="shared" si="1"/>
        <v>500</v>
      </c>
      <c r="Q51" s="86">
        <f t="shared" si="2"/>
        <v>500</v>
      </c>
      <c r="R51" s="77"/>
      <c r="S51" s="98" t="s">
        <v>88</v>
      </c>
      <c r="T51" s="99">
        <v>45257</v>
      </c>
      <c r="U51" s="85">
        <f t="shared" si="3"/>
        <v>500</v>
      </c>
      <c r="V51" s="85">
        <f t="shared" si="4"/>
        <v>1</v>
      </c>
      <c r="W51" s="88">
        <f t="shared" si="5"/>
        <v>500</v>
      </c>
      <c r="X51" s="98" t="s">
        <v>86</v>
      </c>
      <c r="Y51" s="78" t="s">
        <v>81</v>
      </c>
    </row>
    <row r="52" spans="1:25" s="78" customFormat="1" ht="11.1" customHeight="1" x14ac:dyDescent="0.2">
      <c r="A52" s="71">
        <f t="shared" si="6"/>
        <v>50</v>
      </c>
      <c r="B52" s="90" t="s">
        <v>190</v>
      </c>
      <c r="C52" s="82" t="str">
        <f>IF($B52&lt;&gt;"",_xlfn.IFNA(VLOOKUP($B52,'Node Details'!$B:$U,C$1,0),"Check"),"")</f>
        <v>00001GF21-1GF210104</v>
      </c>
      <c r="D52" s="82" t="str">
        <f>IF($B52&lt;&gt;"",_xlfn.IFNA(VLOOKUP($B52,'Node Details'!$B:$U,D$1,0),"Check"),"")</f>
        <v>1GF</v>
      </c>
      <c r="E52" s="82" t="str">
        <f>IF($B52&lt;&gt;"",_xlfn.IFNA(VLOOKUP($B52,'Node Details'!$B:$U,E$1,0),"Check"),"")</f>
        <v>Airtel</v>
      </c>
      <c r="F52" s="97">
        <v>45379</v>
      </c>
      <c r="G52" s="75"/>
      <c r="H52" s="92" t="s">
        <v>221</v>
      </c>
      <c r="I52" s="93">
        <v>1</v>
      </c>
      <c r="J52" s="93">
        <v>500</v>
      </c>
      <c r="K52" s="82">
        <f t="shared" si="0"/>
        <v>500</v>
      </c>
      <c r="L52" s="41">
        <v>45141</v>
      </c>
      <c r="M52" s="77"/>
      <c r="N52" s="98" t="s">
        <v>87</v>
      </c>
      <c r="O52" s="99">
        <v>45211</v>
      </c>
      <c r="P52" s="85">
        <f t="shared" si="1"/>
        <v>500</v>
      </c>
      <c r="Q52" s="86">
        <f t="shared" si="2"/>
        <v>500</v>
      </c>
      <c r="R52" s="77"/>
      <c r="S52" s="98" t="s">
        <v>88</v>
      </c>
      <c r="T52" s="99">
        <v>45257</v>
      </c>
      <c r="U52" s="85">
        <f t="shared" si="3"/>
        <v>500</v>
      </c>
      <c r="V52" s="85">
        <f t="shared" si="4"/>
        <v>1</v>
      </c>
      <c r="W52" s="88">
        <f t="shared" si="5"/>
        <v>500</v>
      </c>
      <c r="X52" s="98" t="s">
        <v>86</v>
      </c>
      <c r="Y52" s="78" t="s">
        <v>81</v>
      </c>
    </row>
    <row r="53" spans="1:25" s="78" customFormat="1" ht="11.1" customHeight="1" x14ac:dyDescent="0.2">
      <c r="A53" s="71">
        <f t="shared" si="6"/>
        <v>51</v>
      </c>
      <c r="B53" s="90" t="s">
        <v>136</v>
      </c>
      <c r="C53" s="82" t="str">
        <f>IF($B53&lt;&gt;"",_xlfn.IFNA(VLOOKUP($B53,'Node Details'!$B:$U,C$1,0),"Check"),"")</f>
        <v>00001GF21-1GF210104</v>
      </c>
      <c r="D53" s="82" t="str">
        <f>IF($B53&lt;&gt;"",_xlfn.IFNA(VLOOKUP($B53,'Node Details'!$B:$U,D$1,0),"Check"),"")</f>
        <v>1GF</v>
      </c>
      <c r="E53" s="82" t="str">
        <f>IF($B53&lt;&gt;"",_xlfn.IFNA(VLOOKUP($B53,'Node Details'!$B:$U,E$1,0),"Check"),"")</f>
        <v>Airtel</v>
      </c>
      <c r="F53" s="97">
        <v>45379</v>
      </c>
      <c r="G53" s="75"/>
      <c r="H53" s="92" t="s">
        <v>221</v>
      </c>
      <c r="I53" s="93">
        <v>1</v>
      </c>
      <c r="J53" s="93">
        <v>500</v>
      </c>
      <c r="K53" s="82">
        <f t="shared" si="0"/>
        <v>500</v>
      </c>
      <c r="L53" s="41">
        <v>45141</v>
      </c>
      <c r="M53" s="77"/>
      <c r="N53" s="98" t="s">
        <v>87</v>
      </c>
      <c r="O53" s="99">
        <v>45211</v>
      </c>
      <c r="P53" s="85">
        <f t="shared" si="1"/>
        <v>500</v>
      </c>
      <c r="Q53" s="86">
        <f t="shared" si="2"/>
        <v>500</v>
      </c>
      <c r="R53" s="77"/>
      <c r="S53" s="98" t="s">
        <v>88</v>
      </c>
      <c r="T53" s="99">
        <v>45257</v>
      </c>
      <c r="U53" s="85">
        <f t="shared" si="3"/>
        <v>500</v>
      </c>
      <c r="V53" s="85">
        <f t="shared" si="4"/>
        <v>1</v>
      </c>
      <c r="W53" s="88">
        <f t="shared" si="5"/>
        <v>500</v>
      </c>
      <c r="X53" s="98" t="s">
        <v>86</v>
      </c>
      <c r="Y53" s="78" t="s">
        <v>81</v>
      </c>
    </row>
    <row r="54" spans="1:25" s="78" customFormat="1" ht="11.1" customHeight="1" x14ac:dyDescent="0.2">
      <c r="A54" s="71">
        <f t="shared" si="6"/>
        <v>52</v>
      </c>
      <c r="B54" s="90" t="s">
        <v>191</v>
      </c>
      <c r="C54" s="82" t="str">
        <f>IF($B54&lt;&gt;"",_xlfn.IFNA(VLOOKUP($B54,'Node Details'!$B:$U,C$1,0),"Check"),"")</f>
        <v>00001GF21-1GF210104</v>
      </c>
      <c r="D54" s="82" t="str">
        <f>IF($B54&lt;&gt;"",_xlfn.IFNA(VLOOKUP($B54,'Node Details'!$B:$U,D$1,0),"Check"),"")</f>
        <v>1GF</v>
      </c>
      <c r="E54" s="82" t="str">
        <f>IF($B54&lt;&gt;"",_xlfn.IFNA(VLOOKUP($B54,'Node Details'!$B:$U,E$1,0),"Check"),"")</f>
        <v>Airtel</v>
      </c>
      <c r="F54" s="97">
        <v>45379</v>
      </c>
      <c r="G54" s="75"/>
      <c r="H54" s="92" t="s">
        <v>221</v>
      </c>
      <c r="I54" s="93">
        <v>1</v>
      </c>
      <c r="J54" s="93">
        <v>500</v>
      </c>
      <c r="K54" s="82">
        <f t="shared" si="0"/>
        <v>500</v>
      </c>
      <c r="L54" s="41">
        <v>45141</v>
      </c>
      <c r="M54" s="77"/>
      <c r="N54" s="98" t="s">
        <v>87</v>
      </c>
      <c r="O54" s="99">
        <v>45211</v>
      </c>
      <c r="P54" s="85">
        <f t="shared" si="1"/>
        <v>500</v>
      </c>
      <c r="Q54" s="86">
        <f t="shared" si="2"/>
        <v>500</v>
      </c>
      <c r="R54" s="77"/>
      <c r="S54" s="98" t="s">
        <v>88</v>
      </c>
      <c r="T54" s="99">
        <v>45257</v>
      </c>
      <c r="U54" s="85">
        <f t="shared" si="3"/>
        <v>500</v>
      </c>
      <c r="V54" s="85">
        <f t="shared" si="4"/>
        <v>1</v>
      </c>
      <c r="W54" s="88">
        <f t="shared" si="5"/>
        <v>500</v>
      </c>
      <c r="X54" s="98" t="s">
        <v>86</v>
      </c>
      <c r="Y54" s="78" t="s">
        <v>81</v>
      </c>
    </row>
    <row r="55" spans="1:25" s="78" customFormat="1" ht="11.1" customHeight="1" x14ac:dyDescent="0.2">
      <c r="A55" s="71">
        <f t="shared" si="6"/>
        <v>53</v>
      </c>
      <c r="B55" s="90" t="s">
        <v>133</v>
      </c>
      <c r="C55" s="82" t="str">
        <f>IF($B55&lt;&gt;"",_xlfn.IFNA(VLOOKUP($B55,'Node Details'!$B:$U,C$1,0),"Check"),"")</f>
        <v>00001GF21-1GF210104</v>
      </c>
      <c r="D55" s="82" t="str">
        <f>IF($B55&lt;&gt;"",_xlfn.IFNA(VLOOKUP($B55,'Node Details'!$B:$U,D$1,0),"Check"),"")</f>
        <v>1GF</v>
      </c>
      <c r="E55" s="82" t="str">
        <f>IF($B55&lt;&gt;"",_xlfn.IFNA(VLOOKUP($B55,'Node Details'!$B:$U,E$1,0),"Check"),"")</f>
        <v>Airtel</v>
      </c>
      <c r="F55" s="97">
        <v>45379</v>
      </c>
      <c r="G55" s="77"/>
      <c r="H55" s="92" t="s">
        <v>221</v>
      </c>
      <c r="I55" s="93">
        <v>1</v>
      </c>
      <c r="J55" s="93">
        <v>500</v>
      </c>
      <c r="K55" s="82">
        <f t="shared" si="0"/>
        <v>500</v>
      </c>
      <c r="L55" s="41">
        <v>45141</v>
      </c>
      <c r="M55" s="77"/>
      <c r="N55" s="98" t="s">
        <v>87</v>
      </c>
      <c r="O55" s="99">
        <v>45211</v>
      </c>
      <c r="P55" s="85">
        <f t="shared" si="1"/>
        <v>500</v>
      </c>
      <c r="Q55" s="86">
        <f t="shared" si="2"/>
        <v>500</v>
      </c>
      <c r="R55" s="76"/>
      <c r="S55" s="98" t="s">
        <v>88</v>
      </c>
      <c r="T55" s="99">
        <v>45257</v>
      </c>
      <c r="U55" s="85">
        <f t="shared" si="3"/>
        <v>500</v>
      </c>
      <c r="V55" s="85">
        <f t="shared" si="4"/>
        <v>1</v>
      </c>
      <c r="W55" s="88">
        <f t="shared" si="5"/>
        <v>500</v>
      </c>
      <c r="X55" s="98" t="s">
        <v>86</v>
      </c>
      <c r="Y55" s="78" t="s">
        <v>81</v>
      </c>
    </row>
    <row r="56" spans="1:25" s="78" customFormat="1" ht="11.1" customHeight="1" x14ac:dyDescent="0.2">
      <c r="A56" s="71">
        <f t="shared" si="6"/>
        <v>54</v>
      </c>
      <c r="B56" s="90" t="s">
        <v>192</v>
      </c>
      <c r="C56" s="82" t="str">
        <f>IF($B56&lt;&gt;"",_xlfn.IFNA(VLOOKUP($B56,'Node Details'!$B:$U,C$1,0),"Check"),"")</f>
        <v>00001GF22-1GF210102</v>
      </c>
      <c r="D56" s="82" t="str">
        <f>IF($B56&lt;&gt;"",_xlfn.IFNA(VLOOKUP($B56,'Node Details'!$B:$U,D$1,0),"Check"),"")</f>
        <v>1GF</v>
      </c>
      <c r="E56" s="82" t="str">
        <f>IF($B56&lt;&gt;"",_xlfn.IFNA(VLOOKUP($B56,'Node Details'!$B:$U,E$1,0),"Check"),"")</f>
        <v>Airtel</v>
      </c>
      <c r="F56" s="97">
        <v>45379</v>
      </c>
      <c r="G56" s="77"/>
      <c r="H56" s="92" t="s">
        <v>221</v>
      </c>
      <c r="I56" s="93">
        <v>1</v>
      </c>
      <c r="J56" s="93">
        <v>500</v>
      </c>
      <c r="K56" s="82">
        <f t="shared" si="0"/>
        <v>500</v>
      </c>
      <c r="L56" s="41">
        <v>45141</v>
      </c>
      <c r="M56" s="77"/>
      <c r="N56" s="98" t="s">
        <v>87</v>
      </c>
      <c r="O56" s="99">
        <v>45211</v>
      </c>
      <c r="P56" s="85">
        <f t="shared" si="1"/>
        <v>500</v>
      </c>
      <c r="Q56" s="86">
        <f t="shared" si="2"/>
        <v>500</v>
      </c>
      <c r="R56" s="76"/>
      <c r="S56" s="98" t="s">
        <v>88</v>
      </c>
      <c r="T56" s="99">
        <v>45257</v>
      </c>
      <c r="U56" s="85">
        <f t="shared" si="3"/>
        <v>500</v>
      </c>
      <c r="V56" s="85">
        <f t="shared" si="4"/>
        <v>1</v>
      </c>
      <c r="W56" s="88">
        <f t="shared" si="5"/>
        <v>500</v>
      </c>
      <c r="X56" s="98" t="s">
        <v>86</v>
      </c>
      <c r="Y56" s="78" t="s">
        <v>81</v>
      </c>
    </row>
    <row r="57" spans="1:25" s="78" customFormat="1" ht="11.1" customHeight="1" x14ac:dyDescent="0.2">
      <c r="A57" s="71">
        <f t="shared" si="6"/>
        <v>55</v>
      </c>
      <c r="B57" s="90" t="s">
        <v>194</v>
      </c>
      <c r="C57" s="82" t="str">
        <f>IF($B57&lt;&gt;"",_xlfn.IFNA(VLOOKUP($B57,'Node Details'!$B:$U,C$1,0),"Check"),"")</f>
        <v>00001GF22-1GF210102</v>
      </c>
      <c r="D57" s="82" t="str">
        <f>IF($B57&lt;&gt;"",_xlfn.IFNA(VLOOKUP($B57,'Node Details'!$B:$U,D$1,0),"Check"),"")</f>
        <v>1GF</v>
      </c>
      <c r="E57" s="82" t="str">
        <f>IF($B57&lt;&gt;"",_xlfn.IFNA(VLOOKUP($B57,'Node Details'!$B:$U,E$1,0),"Check"),"")</f>
        <v>Airtel</v>
      </c>
      <c r="F57" s="97">
        <v>45379</v>
      </c>
      <c r="G57" s="77"/>
      <c r="H57" s="92" t="s">
        <v>221</v>
      </c>
      <c r="I57" s="93">
        <v>1</v>
      </c>
      <c r="J57" s="93">
        <v>500</v>
      </c>
      <c r="K57" s="82">
        <f t="shared" si="0"/>
        <v>500</v>
      </c>
      <c r="L57" s="41">
        <v>45141</v>
      </c>
      <c r="M57" s="77"/>
      <c r="N57" s="98" t="s">
        <v>87</v>
      </c>
      <c r="O57" s="99">
        <v>45211</v>
      </c>
      <c r="P57" s="85">
        <f t="shared" si="1"/>
        <v>500</v>
      </c>
      <c r="Q57" s="86">
        <f t="shared" si="2"/>
        <v>500</v>
      </c>
      <c r="R57" s="76"/>
      <c r="S57" s="98" t="s">
        <v>88</v>
      </c>
      <c r="T57" s="99">
        <v>45257</v>
      </c>
      <c r="U57" s="85">
        <f t="shared" si="3"/>
        <v>500</v>
      </c>
      <c r="V57" s="85">
        <f t="shared" si="4"/>
        <v>1</v>
      </c>
      <c r="W57" s="88">
        <f t="shared" si="5"/>
        <v>500</v>
      </c>
      <c r="X57" s="98" t="s">
        <v>86</v>
      </c>
      <c r="Y57" s="78" t="s">
        <v>81</v>
      </c>
    </row>
    <row r="58" spans="1:25" s="78" customFormat="1" ht="11.1" customHeight="1" x14ac:dyDescent="0.2">
      <c r="A58" s="71">
        <f t="shared" si="6"/>
        <v>56</v>
      </c>
      <c r="B58" s="90" t="s">
        <v>195</v>
      </c>
      <c r="C58" s="82" t="str">
        <f>IF($B58&lt;&gt;"",_xlfn.IFNA(VLOOKUP($B58,'Node Details'!$B:$U,C$1,0),"Check"),"")</f>
        <v>00001GF22-1GF210102</v>
      </c>
      <c r="D58" s="82" t="str">
        <f>IF($B58&lt;&gt;"",_xlfn.IFNA(VLOOKUP($B58,'Node Details'!$B:$U,D$1,0),"Check"),"")</f>
        <v>1GF</v>
      </c>
      <c r="E58" s="82" t="str">
        <f>IF($B58&lt;&gt;"",_xlfn.IFNA(VLOOKUP($B58,'Node Details'!$B:$U,E$1,0),"Check"),"")</f>
        <v>Airtel</v>
      </c>
      <c r="F58" s="97">
        <v>45379</v>
      </c>
      <c r="G58" s="77"/>
      <c r="H58" s="92" t="s">
        <v>221</v>
      </c>
      <c r="I58" s="93">
        <v>1</v>
      </c>
      <c r="J58" s="93">
        <v>500</v>
      </c>
      <c r="K58" s="82">
        <f t="shared" si="0"/>
        <v>500</v>
      </c>
      <c r="L58" s="41">
        <v>45141</v>
      </c>
      <c r="M58" s="77"/>
      <c r="N58" s="98" t="s">
        <v>87</v>
      </c>
      <c r="O58" s="99">
        <v>45211</v>
      </c>
      <c r="P58" s="85">
        <f t="shared" si="1"/>
        <v>500</v>
      </c>
      <c r="Q58" s="86">
        <f t="shared" si="2"/>
        <v>500</v>
      </c>
      <c r="R58" s="76"/>
      <c r="S58" s="98" t="s">
        <v>88</v>
      </c>
      <c r="T58" s="99">
        <v>45257</v>
      </c>
      <c r="U58" s="85">
        <f t="shared" si="3"/>
        <v>500</v>
      </c>
      <c r="V58" s="85">
        <f t="shared" si="4"/>
        <v>1</v>
      </c>
      <c r="W58" s="88">
        <f t="shared" si="5"/>
        <v>500</v>
      </c>
      <c r="X58" s="98" t="s">
        <v>86</v>
      </c>
      <c r="Y58" s="78" t="s">
        <v>81</v>
      </c>
    </row>
    <row r="59" spans="1:25" s="78" customFormat="1" ht="11.1" customHeight="1" x14ac:dyDescent="0.2">
      <c r="A59" s="71">
        <f t="shared" si="6"/>
        <v>57</v>
      </c>
      <c r="B59" s="90" t="s">
        <v>196</v>
      </c>
      <c r="C59" s="82" t="str">
        <f>IF($B59&lt;&gt;"",_xlfn.IFNA(VLOOKUP($B59,'Node Details'!$B:$U,C$1,0),"Check"),"")</f>
        <v>00001GF22-1GF210102</v>
      </c>
      <c r="D59" s="82" t="str">
        <f>IF($B59&lt;&gt;"",_xlfn.IFNA(VLOOKUP($B59,'Node Details'!$B:$U,D$1,0),"Check"),"")</f>
        <v>1GF</v>
      </c>
      <c r="E59" s="82" t="str">
        <f>IF($B59&lt;&gt;"",_xlfn.IFNA(VLOOKUP($B59,'Node Details'!$B:$U,E$1,0),"Check"),"")</f>
        <v>Airtel</v>
      </c>
      <c r="F59" s="97">
        <v>45379</v>
      </c>
      <c r="G59" s="77"/>
      <c r="H59" s="92" t="s">
        <v>221</v>
      </c>
      <c r="I59" s="93">
        <v>1</v>
      </c>
      <c r="J59" s="93">
        <v>500</v>
      </c>
      <c r="K59" s="82">
        <f t="shared" si="0"/>
        <v>500</v>
      </c>
      <c r="L59" s="41">
        <v>45141</v>
      </c>
      <c r="M59" s="77"/>
      <c r="N59" s="98" t="s">
        <v>87</v>
      </c>
      <c r="O59" s="99">
        <v>45211</v>
      </c>
      <c r="P59" s="85">
        <f t="shared" si="1"/>
        <v>500</v>
      </c>
      <c r="Q59" s="86">
        <f t="shared" si="2"/>
        <v>500</v>
      </c>
      <c r="R59" s="76"/>
      <c r="S59" s="98" t="s">
        <v>88</v>
      </c>
      <c r="T59" s="99">
        <v>45257</v>
      </c>
      <c r="U59" s="85">
        <f t="shared" si="3"/>
        <v>500</v>
      </c>
      <c r="V59" s="85">
        <f t="shared" si="4"/>
        <v>1</v>
      </c>
      <c r="W59" s="88">
        <f t="shared" si="5"/>
        <v>500</v>
      </c>
      <c r="X59" s="98" t="s">
        <v>86</v>
      </c>
      <c r="Y59" s="78" t="s">
        <v>81</v>
      </c>
    </row>
    <row r="60" spans="1:25" s="78" customFormat="1" ht="11.1" customHeight="1" x14ac:dyDescent="0.2">
      <c r="A60" s="71">
        <f t="shared" si="6"/>
        <v>58</v>
      </c>
      <c r="B60" s="90" t="s">
        <v>197</v>
      </c>
      <c r="C60" s="82" t="str">
        <f>IF($B60&lt;&gt;"",_xlfn.IFNA(VLOOKUP($B60,'Node Details'!$B:$U,C$1,0),"Check"),"")</f>
        <v>00001GF22-1GF210102</v>
      </c>
      <c r="D60" s="82" t="str">
        <f>IF($B60&lt;&gt;"",_xlfn.IFNA(VLOOKUP($B60,'Node Details'!$B:$U,D$1,0),"Check"),"")</f>
        <v>1GF</v>
      </c>
      <c r="E60" s="82" t="str">
        <f>IF($B60&lt;&gt;"",_xlfn.IFNA(VLOOKUP($B60,'Node Details'!$B:$U,E$1,0),"Check"),"")</f>
        <v>Airtel</v>
      </c>
      <c r="F60" s="97">
        <v>45379</v>
      </c>
      <c r="G60" s="77"/>
      <c r="H60" s="92" t="s">
        <v>221</v>
      </c>
      <c r="I60" s="93">
        <v>1</v>
      </c>
      <c r="J60" s="93">
        <v>500</v>
      </c>
      <c r="K60" s="82">
        <f t="shared" si="0"/>
        <v>500</v>
      </c>
      <c r="L60" s="41">
        <v>45141</v>
      </c>
      <c r="M60" s="77"/>
      <c r="N60" s="98" t="s">
        <v>87</v>
      </c>
      <c r="O60" s="99">
        <v>45211</v>
      </c>
      <c r="P60" s="85">
        <f t="shared" si="1"/>
        <v>500</v>
      </c>
      <c r="Q60" s="86">
        <f t="shared" si="2"/>
        <v>500</v>
      </c>
      <c r="R60" s="76"/>
      <c r="S60" s="98" t="s">
        <v>88</v>
      </c>
      <c r="T60" s="99">
        <v>45257</v>
      </c>
      <c r="U60" s="85">
        <f t="shared" si="3"/>
        <v>500</v>
      </c>
      <c r="V60" s="85">
        <f t="shared" si="4"/>
        <v>1</v>
      </c>
      <c r="W60" s="88">
        <f t="shared" si="5"/>
        <v>500</v>
      </c>
      <c r="X60" s="98" t="s">
        <v>86</v>
      </c>
      <c r="Y60" s="78" t="s">
        <v>81</v>
      </c>
    </row>
    <row r="61" spans="1:25" s="78" customFormat="1" ht="11.1" customHeight="1" x14ac:dyDescent="0.2">
      <c r="A61" s="71">
        <f t="shared" si="6"/>
        <v>59</v>
      </c>
      <c r="B61" s="90" t="s">
        <v>198</v>
      </c>
      <c r="C61" s="82" t="str">
        <f>IF($B61&lt;&gt;"",_xlfn.IFNA(VLOOKUP($B61,'Node Details'!$B:$U,C$1,0),"Check"),"")</f>
        <v>00001GF22-1GF210102</v>
      </c>
      <c r="D61" s="82" t="str">
        <f>IF($B61&lt;&gt;"",_xlfn.IFNA(VLOOKUP($B61,'Node Details'!$B:$U,D$1,0),"Check"),"")</f>
        <v>1GF</v>
      </c>
      <c r="E61" s="82" t="str">
        <f>IF($B61&lt;&gt;"",_xlfn.IFNA(VLOOKUP($B61,'Node Details'!$B:$U,E$1,0),"Check"),"")</f>
        <v>Airtel</v>
      </c>
      <c r="F61" s="97">
        <v>45379</v>
      </c>
      <c r="G61" s="77"/>
      <c r="H61" s="92" t="s">
        <v>221</v>
      </c>
      <c r="I61" s="93">
        <v>1</v>
      </c>
      <c r="J61" s="93">
        <v>500</v>
      </c>
      <c r="K61" s="82">
        <f t="shared" si="0"/>
        <v>500</v>
      </c>
      <c r="L61" s="41">
        <v>45141</v>
      </c>
      <c r="M61" s="77"/>
      <c r="N61" s="98" t="s">
        <v>87</v>
      </c>
      <c r="O61" s="99">
        <v>45211</v>
      </c>
      <c r="P61" s="85">
        <f t="shared" si="1"/>
        <v>500</v>
      </c>
      <c r="Q61" s="86">
        <f t="shared" si="2"/>
        <v>500</v>
      </c>
      <c r="R61" s="76"/>
      <c r="S61" s="98" t="s">
        <v>88</v>
      </c>
      <c r="T61" s="99">
        <v>45257</v>
      </c>
      <c r="U61" s="85">
        <f t="shared" si="3"/>
        <v>500</v>
      </c>
      <c r="V61" s="85">
        <f t="shared" si="4"/>
        <v>1</v>
      </c>
      <c r="W61" s="88">
        <f t="shared" si="5"/>
        <v>500</v>
      </c>
      <c r="X61" s="98" t="s">
        <v>86</v>
      </c>
      <c r="Y61" s="78" t="s">
        <v>81</v>
      </c>
    </row>
    <row r="62" spans="1:25" s="78" customFormat="1" ht="11.1" customHeight="1" x14ac:dyDescent="0.25">
      <c r="A62" s="71">
        <f t="shared" si="6"/>
        <v>60</v>
      </c>
      <c r="B62" s="91" t="s">
        <v>78</v>
      </c>
      <c r="C62" s="82" t="str">
        <f>IF($B62&lt;&gt;"",_xlfn.IFNA(VLOOKUP($B62,'Node Details'!$B:$U,C$1,0),"Check"),"")</f>
        <v>0000001GF-00001GF12</v>
      </c>
      <c r="D62" s="82" t="str">
        <f>IF($B62&lt;&gt;"",_xlfn.IFNA(VLOOKUP($B62,'Node Details'!$B:$U,D$1,0),"Check"),"")</f>
        <v>1GF</v>
      </c>
      <c r="E62" s="82" t="str">
        <f>IF($B62&lt;&gt;"",_xlfn.IFNA(VLOOKUP($B62,'Node Details'!$B:$U,E$1,0),"Check"),"")</f>
        <v>Airtel</v>
      </c>
      <c r="F62" s="97">
        <v>45379</v>
      </c>
      <c r="G62" s="77"/>
      <c r="H62" s="92" t="s">
        <v>222</v>
      </c>
      <c r="I62" s="93">
        <v>1</v>
      </c>
      <c r="J62" s="93">
        <v>500</v>
      </c>
      <c r="K62" s="82">
        <f t="shared" si="0"/>
        <v>500</v>
      </c>
      <c r="L62" s="41">
        <v>45141</v>
      </c>
      <c r="M62" s="77"/>
      <c r="N62" s="98" t="s">
        <v>87</v>
      </c>
      <c r="O62" s="99">
        <v>45211</v>
      </c>
      <c r="P62" s="85">
        <f t="shared" si="1"/>
        <v>500</v>
      </c>
      <c r="Q62" s="86">
        <f t="shared" si="2"/>
        <v>500</v>
      </c>
      <c r="R62" s="76"/>
      <c r="S62" s="98" t="s">
        <v>88</v>
      </c>
      <c r="T62" s="99">
        <v>45257</v>
      </c>
      <c r="U62" s="85">
        <f t="shared" si="3"/>
        <v>500</v>
      </c>
      <c r="V62" s="85">
        <f t="shared" si="4"/>
        <v>1</v>
      </c>
      <c r="W62" s="88">
        <f t="shared" si="5"/>
        <v>500</v>
      </c>
      <c r="X62" s="98" t="s">
        <v>86</v>
      </c>
      <c r="Y62" s="78" t="s">
        <v>81</v>
      </c>
    </row>
    <row r="63" spans="1:25" s="78" customFormat="1" ht="11.1" customHeight="1" x14ac:dyDescent="0.25">
      <c r="A63" s="71">
        <f t="shared" si="6"/>
        <v>61</v>
      </c>
      <c r="B63" s="91" t="s">
        <v>99</v>
      </c>
      <c r="C63" s="82" t="str">
        <f>IF($B63&lt;&gt;"",_xlfn.IFNA(VLOOKUP($B63,'Node Details'!$B:$U,C$1,0),"Check"),"")</f>
        <v>00001GF12-00001GF22</v>
      </c>
      <c r="D63" s="82" t="str">
        <f>IF($B63&lt;&gt;"",_xlfn.IFNA(VLOOKUP($B63,'Node Details'!$B:$U,D$1,0),"Check"),"")</f>
        <v>1GF</v>
      </c>
      <c r="E63" s="82" t="str">
        <f>IF($B63&lt;&gt;"",_xlfn.IFNA(VLOOKUP($B63,'Node Details'!$B:$U,E$1,0),"Check"),"")</f>
        <v>Airtel</v>
      </c>
      <c r="F63" s="97">
        <v>45379</v>
      </c>
      <c r="G63" s="77"/>
      <c r="H63" s="92" t="s">
        <v>222</v>
      </c>
      <c r="I63" s="93">
        <v>1</v>
      </c>
      <c r="J63" s="93">
        <v>500</v>
      </c>
      <c r="K63" s="82">
        <f t="shared" si="0"/>
        <v>500</v>
      </c>
      <c r="L63" s="41">
        <v>45141</v>
      </c>
      <c r="M63" s="77"/>
      <c r="N63" s="98" t="s">
        <v>87</v>
      </c>
      <c r="O63" s="99">
        <v>45211</v>
      </c>
      <c r="P63" s="85">
        <f t="shared" si="1"/>
        <v>500</v>
      </c>
      <c r="Q63" s="86">
        <f t="shared" si="2"/>
        <v>500</v>
      </c>
      <c r="R63" s="76"/>
      <c r="S63" s="98" t="s">
        <v>88</v>
      </c>
      <c r="T63" s="99">
        <v>45257</v>
      </c>
      <c r="U63" s="85">
        <f t="shared" si="3"/>
        <v>500</v>
      </c>
      <c r="V63" s="85">
        <f t="shared" si="4"/>
        <v>1</v>
      </c>
      <c r="W63" s="88">
        <f t="shared" si="5"/>
        <v>500</v>
      </c>
      <c r="X63" s="98" t="s">
        <v>86</v>
      </c>
      <c r="Y63" s="78" t="s">
        <v>81</v>
      </c>
    </row>
    <row r="64" spans="1:25" s="78" customFormat="1" ht="11.1" customHeight="1" x14ac:dyDescent="0.25">
      <c r="A64" s="71">
        <f t="shared" si="6"/>
        <v>62</v>
      </c>
      <c r="B64" s="91" t="s">
        <v>103</v>
      </c>
      <c r="C64" s="82" t="str">
        <f>IF($B64&lt;&gt;"",_xlfn.IFNA(VLOOKUP($B64,'Node Details'!$B:$U,C$1,0),"Check"),"")</f>
        <v>00001GF12-00001GF22</v>
      </c>
      <c r="D64" s="82" t="str">
        <f>IF($B64&lt;&gt;"",_xlfn.IFNA(VLOOKUP($B64,'Node Details'!$B:$U,D$1,0),"Check"),"")</f>
        <v>1GF</v>
      </c>
      <c r="E64" s="82" t="str">
        <f>IF($B64&lt;&gt;"",_xlfn.IFNA(VLOOKUP($B64,'Node Details'!$B:$U,E$1,0),"Check"),"")</f>
        <v>Airtel</v>
      </c>
      <c r="F64" s="97">
        <v>45379</v>
      </c>
      <c r="G64" s="77"/>
      <c r="H64" s="92" t="s">
        <v>222</v>
      </c>
      <c r="I64" s="93">
        <v>1</v>
      </c>
      <c r="J64" s="93">
        <v>500</v>
      </c>
      <c r="K64" s="82">
        <f t="shared" si="0"/>
        <v>500</v>
      </c>
      <c r="L64" s="41">
        <v>45141</v>
      </c>
      <c r="M64" s="77"/>
      <c r="N64" s="98" t="s">
        <v>87</v>
      </c>
      <c r="O64" s="99">
        <v>45211</v>
      </c>
      <c r="P64" s="85">
        <f t="shared" si="1"/>
        <v>500</v>
      </c>
      <c r="Q64" s="86">
        <f t="shared" si="2"/>
        <v>500</v>
      </c>
      <c r="R64" s="76"/>
      <c r="S64" s="98" t="s">
        <v>88</v>
      </c>
      <c r="T64" s="99">
        <v>45257</v>
      </c>
      <c r="U64" s="85">
        <f t="shared" si="3"/>
        <v>500</v>
      </c>
      <c r="V64" s="85">
        <f t="shared" si="4"/>
        <v>1</v>
      </c>
      <c r="W64" s="88">
        <f t="shared" si="5"/>
        <v>500</v>
      </c>
      <c r="X64" s="98" t="s">
        <v>86</v>
      </c>
      <c r="Y64" s="78" t="s">
        <v>81</v>
      </c>
    </row>
    <row r="65" spans="1:25" s="78" customFormat="1" ht="11.1" customHeight="1" x14ac:dyDescent="0.25">
      <c r="A65" s="71">
        <f t="shared" si="6"/>
        <v>63</v>
      </c>
      <c r="B65" s="91" t="s">
        <v>107</v>
      </c>
      <c r="C65" s="82" t="str">
        <f>IF($B65&lt;&gt;"",_xlfn.IFNA(VLOOKUP($B65,'Node Details'!$B:$U,C$1,0),"Check"),"")</f>
        <v>00001GF12-00001GF22</v>
      </c>
      <c r="D65" s="82" t="str">
        <f>IF($B65&lt;&gt;"",_xlfn.IFNA(VLOOKUP($B65,'Node Details'!$B:$U,D$1,0),"Check"),"")</f>
        <v>1GF</v>
      </c>
      <c r="E65" s="82" t="str">
        <f>IF($B65&lt;&gt;"",_xlfn.IFNA(VLOOKUP($B65,'Node Details'!$B:$U,E$1,0),"Check"),"")</f>
        <v>Airtel</v>
      </c>
      <c r="F65" s="97">
        <v>45379</v>
      </c>
      <c r="G65" s="77"/>
      <c r="H65" s="92" t="s">
        <v>222</v>
      </c>
      <c r="I65" s="93">
        <v>1</v>
      </c>
      <c r="J65" s="93">
        <v>500</v>
      </c>
      <c r="K65" s="82">
        <f t="shared" si="0"/>
        <v>500</v>
      </c>
      <c r="L65" s="41">
        <v>45141</v>
      </c>
      <c r="M65" s="77"/>
      <c r="N65" s="98" t="s">
        <v>87</v>
      </c>
      <c r="O65" s="99">
        <v>45211</v>
      </c>
      <c r="P65" s="85">
        <f t="shared" si="1"/>
        <v>500</v>
      </c>
      <c r="Q65" s="86">
        <f t="shared" si="2"/>
        <v>500</v>
      </c>
      <c r="R65" s="76"/>
      <c r="S65" s="98" t="s">
        <v>88</v>
      </c>
      <c r="T65" s="99">
        <v>45257</v>
      </c>
      <c r="U65" s="85">
        <f t="shared" si="3"/>
        <v>500</v>
      </c>
      <c r="V65" s="85">
        <f t="shared" si="4"/>
        <v>1</v>
      </c>
      <c r="W65" s="88">
        <f t="shared" si="5"/>
        <v>500</v>
      </c>
      <c r="X65" s="98" t="s">
        <v>86</v>
      </c>
      <c r="Y65" s="78" t="s">
        <v>81</v>
      </c>
    </row>
    <row r="66" spans="1:25" s="78" customFormat="1" ht="11.1" customHeight="1" x14ac:dyDescent="0.25">
      <c r="A66" s="71">
        <f t="shared" si="6"/>
        <v>64</v>
      </c>
      <c r="B66" s="91" t="s">
        <v>111</v>
      </c>
      <c r="C66" s="82" t="str">
        <f>IF($B66&lt;&gt;"",_xlfn.IFNA(VLOOKUP($B66,'Node Details'!$B:$U,C$1,0),"Check"),"")</f>
        <v>00001GF12-00001GF22</v>
      </c>
      <c r="D66" s="82" t="str">
        <f>IF($B66&lt;&gt;"",_xlfn.IFNA(VLOOKUP($B66,'Node Details'!$B:$U,D$1,0),"Check"),"")</f>
        <v>1GF</v>
      </c>
      <c r="E66" s="82" t="str">
        <f>IF($B66&lt;&gt;"",_xlfn.IFNA(VLOOKUP($B66,'Node Details'!$B:$U,E$1,0),"Check"),"")</f>
        <v>Airtel</v>
      </c>
      <c r="F66" s="97">
        <v>45379</v>
      </c>
      <c r="G66" s="77"/>
      <c r="H66" s="92" t="s">
        <v>222</v>
      </c>
      <c r="I66" s="93">
        <v>1</v>
      </c>
      <c r="J66" s="93">
        <v>500</v>
      </c>
      <c r="K66" s="82">
        <f t="shared" si="0"/>
        <v>500</v>
      </c>
      <c r="L66" s="41">
        <v>45141</v>
      </c>
      <c r="M66" s="77"/>
      <c r="N66" s="98" t="s">
        <v>87</v>
      </c>
      <c r="O66" s="99">
        <v>45211</v>
      </c>
      <c r="P66" s="85">
        <f t="shared" si="1"/>
        <v>500</v>
      </c>
      <c r="Q66" s="86">
        <f t="shared" si="2"/>
        <v>500</v>
      </c>
      <c r="R66" s="76"/>
      <c r="S66" s="98" t="s">
        <v>88</v>
      </c>
      <c r="T66" s="99">
        <v>45257</v>
      </c>
      <c r="U66" s="85">
        <f t="shared" si="3"/>
        <v>500</v>
      </c>
      <c r="V66" s="85">
        <f t="shared" si="4"/>
        <v>1</v>
      </c>
      <c r="W66" s="88">
        <f t="shared" si="5"/>
        <v>500</v>
      </c>
      <c r="X66" s="98" t="s">
        <v>86</v>
      </c>
      <c r="Y66" s="78" t="s">
        <v>81</v>
      </c>
    </row>
    <row r="67" spans="1:25" s="78" customFormat="1" ht="11.1" customHeight="1" x14ac:dyDescent="0.25">
      <c r="A67" s="71">
        <f t="shared" si="6"/>
        <v>65</v>
      </c>
      <c r="B67" s="91" t="s">
        <v>115</v>
      </c>
      <c r="C67" s="82" t="str">
        <f>IF($B67&lt;&gt;"",_xlfn.IFNA(VLOOKUP($B67,'Node Details'!$B:$U,C$1,0),"Check"),"")</f>
        <v>00001GF12-00001GF22</v>
      </c>
      <c r="D67" s="82" t="str">
        <f>IF($B67&lt;&gt;"",_xlfn.IFNA(VLOOKUP($B67,'Node Details'!$B:$U,D$1,0),"Check"),"")</f>
        <v>1GF</v>
      </c>
      <c r="E67" s="82" t="str">
        <f>IF($B67&lt;&gt;"",_xlfn.IFNA(VLOOKUP($B67,'Node Details'!$B:$U,E$1,0),"Check"),"")</f>
        <v>Airtel</v>
      </c>
      <c r="F67" s="97">
        <v>45379</v>
      </c>
      <c r="G67" s="77"/>
      <c r="H67" s="92" t="s">
        <v>222</v>
      </c>
      <c r="I67" s="93">
        <v>1</v>
      </c>
      <c r="J67" s="93">
        <v>500</v>
      </c>
      <c r="K67" s="82">
        <f t="shared" ref="K67:K130" si="7">IF(I67&lt;&gt;"",J67*I67,0)</f>
        <v>500</v>
      </c>
      <c r="L67" s="41">
        <v>45141</v>
      </c>
      <c r="M67" s="77"/>
      <c r="N67" s="98" t="s">
        <v>87</v>
      </c>
      <c r="O67" s="99">
        <v>45211</v>
      </c>
      <c r="P67" s="85">
        <f t="shared" ref="P67:P130" si="8">J67</f>
        <v>500</v>
      </c>
      <c r="Q67" s="86">
        <f t="shared" ref="Q67:Q130" si="9">P67*I67</f>
        <v>500</v>
      </c>
      <c r="R67" s="76"/>
      <c r="S67" s="98" t="s">
        <v>88</v>
      </c>
      <c r="T67" s="99">
        <v>45257</v>
      </c>
      <c r="U67" s="85">
        <f t="shared" ref="U67:U130" si="10">J67</f>
        <v>500</v>
      </c>
      <c r="V67" s="85">
        <f t="shared" ref="V67:V130" si="11">I67</f>
        <v>1</v>
      </c>
      <c r="W67" s="88">
        <f t="shared" ref="W67:W130" si="12">IF(V67&lt;&gt;"",V67*U67,0)</f>
        <v>500</v>
      </c>
      <c r="X67" s="98" t="s">
        <v>86</v>
      </c>
      <c r="Y67" s="78" t="s">
        <v>81</v>
      </c>
    </row>
    <row r="68" spans="1:25" s="78" customFormat="1" ht="11.1" customHeight="1" x14ac:dyDescent="0.25">
      <c r="A68" s="71">
        <f t="shared" ref="A68:A131" si="13">A67+1</f>
        <v>66</v>
      </c>
      <c r="B68" s="91" t="s">
        <v>119</v>
      </c>
      <c r="C68" s="82" t="str">
        <f>IF($B68&lt;&gt;"",_xlfn.IFNA(VLOOKUP($B68,'Node Details'!$B:$U,C$1,0),"Check"),"")</f>
        <v>00001GF12-00001GF22</v>
      </c>
      <c r="D68" s="82" t="str">
        <f>IF($B68&lt;&gt;"",_xlfn.IFNA(VLOOKUP($B68,'Node Details'!$B:$U,D$1,0),"Check"),"")</f>
        <v>1GF</v>
      </c>
      <c r="E68" s="82" t="str">
        <f>IF($B68&lt;&gt;"",_xlfn.IFNA(VLOOKUP($B68,'Node Details'!$B:$U,E$1,0),"Check"),"")</f>
        <v>Airtel</v>
      </c>
      <c r="F68" s="97">
        <v>45379</v>
      </c>
      <c r="G68" s="77"/>
      <c r="H68" s="92" t="s">
        <v>222</v>
      </c>
      <c r="I68" s="93">
        <v>1</v>
      </c>
      <c r="J68" s="93">
        <v>500</v>
      </c>
      <c r="K68" s="82">
        <f t="shared" si="7"/>
        <v>500</v>
      </c>
      <c r="L68" s="41">
        <v>45141</v>
      </c>
      <c r="M68" s="77"/>
      <c r="N68" s="98" t="s">
        <v>87</v>
      </c>
      <c r="O68" s="99">
        <v>45211</v>
      </c>
      <c r="P68" s="85">
        <f t="shared" si="8"/>
        <v>500</v>
      </c>
      <c r="Q68" s="86">
        <f t="shared" si="9"/>
        <v>500</v>
      </c>
      <c r="R68" s="76"/>
      <c r="S68" s="98" t="s">
        <v>88</v>
      </c>
      <c r="T68" s="99">
        <v>45257</v>
      </c>
      <c r="U68" s="85">
        <f t="shared" si="10"/>
        <v>500</v>
      </c>
      <c r="V68" s="85">
        <f t="shared" si="11"/>
        <v>1</v>
      </c>
      <c r="W68" s="88">
        <f t="shared" si="12"/>
        <v>500</v>
      </c>
      <c r="X68" s="98" t="s">
        <v>86</v>
      </c>
      <c r="Y68" s="78" t="s">
        <v>81</v>
      </c>
    </row>
    <row r="69" spans="1:25" s="78" customFormat="1" ht="11.1" customHeight="1" x14ac:dyDescent="0.25">
      <c r="A69" s="71">
        <f t="shared" si="13"/>
        <v>67</v>
      </c>
      <c r="B69" s="91" t="s">
        <v>123</v>
      </c>
      <c r="C69" s="82" t="str">
        <f>IF($B69&lt;&gt;"",_xlfn.IFNA(VLOOKUP($B69,'Node Details'!$B:$U,C$1,0),"Check"),"")</f>
        <v>00001GF12-00001GF22</v>
      </c>
      <c r="D69" s="82" t="str">
        <f>IF($B69&lt;&gt;"",_xlfn.IFNA(VLOOKUP($B69,'Node Details'!$B:$U,D$1,0),"Check"),"")</f>
        <v>1GF</v>
      </c>
      <c r="E69" s="82" t="str">
        <f>IF($B69&lt;&gt;"",_xlfn.IFNA(VLOOKUP($B69,'Node Details'!$B:$U,E$1,0),"Check"),"")</f>
        <v>Airtel</v>
      </c>
      <c r="F69" s="97">
        <v>45379</v>
      </c>
      <c r="G69" s="77"/>
      <c r="H69" s="92" t="s">
        <v>222</v>
      </c>
      <c r="I69" s="93">
        <v>1</v>
      </c>
      <c r="J69" s="93">
        <v>500</v>
      </c>
      <c r="K69" s="82">
        <f t="shared" si="7"/>
        <v>500</v>
      </c>
      <c r="L69" s="41">
        <v>45141</v>
      </c>
      <c r="M69" s="77"/>
      <c r="N69" s="98" t="s">
        <v>87</v>
      </c>
      <c r="O69" s="99">
        <v>45211</v>
      </c>
      <c r="P69" s="85">
        <f t="shared" si="8"/>
        <v>500</v>
      </c>
      <c r="Q69" s="86">
        <f t="shared" si="9"/>
        <v>500</v>
      </c>
      <c r="R69" s="76"/>
      <c r="S69" s="98" t="s">
        <v>88</v>
      </c>
      <c r="T69" s="99">
        <v>45257</v>
      </c>
      <c r="U69" s="85">
        <f t="shared" si="10"/>
        <v>500</v>
      </c>
      <c r="V69" s="85">
        <f t="shared" si="11"/>
        <v>1</v>
      </c>
      <c r="W69" s="88">
        <f t="shared" si="12"/>
        <v>500</v>
      </c>
      <c r="X69" s="98" t="s">
        <v>86</v>
      </c>
      <c r="Y69" s="78" t="s">
        <v>81</v>
      </c>
    </row>
    <row r="70" spans="1:25" s="78" customFormat="1" ht="11.1" customHeight="1" x14ac:dyDescent="0.25">
      <c r="A70" s="71">
        <f t="shared" si="13"/>
        <v>68</v>
      </c>
      <c r="B70" s="91" t="s">
        <v>127</v>
      </c>
      <c r="C70" s="82" t="str">
        <f>IF($B70&lt;&gt;"",_xlfn.IFNA(VLOOKUP($B70,'Node Details'!$B:$U,C$1,0),"Check"),"")</f>
        <v>00001GF12-00001GF22</v>
      </c>
      <c r="D70" s="82" t="str">
        <f>IF($B70&lt;&gt;"",_xlfn.IFNA(VLOOKUP($B70,'Node Details'!$B:$U,D$1,0),"Check"),"")</f>
        <v>1GF</v>
      </c>
      <c r="E70" s="82" t="str">
        <f>IF($B70&lt;&gt;"",_xlfn.IFNA(VLOOKUP($B70,'Node Details'!$B:$U,E$1,0),"Check"),"")</f>
        <v>Airtel</v>
      </c>
      <c r="F70" s="97">
        <v>45379</v>
      </c>
      <c r="G70" s="77"/>
      <c r="H70" s="92" t="s">
        <v>222</v>
      </c>
      <c r="I70" s="93">
        <v>1</v>
      </c>
      <c r="J70" s="93">
        <v>500</v>
      </c>
      <c r="K70" s="82">
        <f t="shared" si="7"/>
        <v>500</v>
      </c>
      <c r="L70" s="41">
        <v>45141</v>
      </c>
      <c r="M70" s="77"/>
      <c r="N70" s="98" t="s">
        <v>87</v>
      </c>
      <c r="O70" s="99">
        <v>45211</v>
      </c>
      <c r="P70" s="85">
        <f t="shared" si="8"/>
        <v>500</v>
      </c>
      <c r="Q70" s="86">
        <f t="shared" si="9"/>
        <v>500</v>
      </c>
      <c r="R70" s="76"/>
      <c r="S70" s="98" t="s">
        <v>88</v>
      </c>
      <c r="T70" s="99">
        <v>45257</v>
      </c>
      <c r="U70" s="85">
        <f t="shared" si="10"/>
        <v>500</v>
      </c>
      <c r="V70" s="85">
        <f t="shared" si="11"/>
        <v>1</v>
      </c>
      <c r="W70" s="88">
        <f t="shared" si="12"/>
        <v>500</v>
      </c>
      <c r="X70" s="98" t="s">
        <v>86</v>
      </c>
      <c r="Y70" s="78" t="s">
        <v>81</v>
      </c>
    </row>
    <row r="71" spans="1:25" s="78" customFormat="1" ht="11.1" customHeight="1" x14ac:dyDescent="0.25">
      <c r="A71" s="71">
        <f t="shared" si="13"/>
        <v>69</v>
      </c>
      <c r="B71" s="91" t="s">
        <v>131</v>
      </c>
      <c r="C71" s="82" t="str">
        <f>IF($B71&lt;&gt;"",_xlfn.IFNA(VLOOKUP($B71,'Node Details'!$B:$U,C$1,0),"Check"),"")</f>
        <v>00001GF12-00001GF22</v>
      </c>
      <c r="D71" s="82" t="str">
        <f>IF($B71&lt;&gt;"",_xlfn.IFNA(VLOOKUP($B71,'Node Details'!$B:$U,D$1,0),"Check"),"")</f>
        <v>1GF</v>
      </c>
      <c r="E71" s="82" t="str">
        <f>IF($B71&lt;&gt;"",_xlfn.IFNA(VLOOKUP($B71,'Node Details'!$B:$U,E$1,0),"Check"),"")</f>
        <v>Airtel</v>
      </c>
      <c r="F71" s="97">
        <v>45379</v>
      </c>
      <c r="G71" s="77"/>
      <c r="H71" s="92" t="s">
        <v>222</v>
      </c>
      <c r="I71" s="93">
        <v>1</v>
      </c>
      <c r="J71" s="93">
        <v>500</v>
      </c>
      <c r="K71" s="82">
        <f t="shared" si="7"/>
        <v>500</v>
      </c>
      <c r="L71" s="41">
        <v>45141</v>
      </c>
      <c r="M71" s="77"/>
      <c r="N71" s="98" t="s">
        <v>87</v>
      </c>
      <c r="O71" s="99">
        <v>45211</v>
      </c>
      <c r="P71" s="85">
        <f t="shared" si="8"/>
        <v>500</v>
      </c>
      <c r="Q71" s="86">
        <f t="shared" si="9"/>
        <v>500</v>
      </c>
      <c r="R71" s="76"/>
      <c r="S71" s="98" t="s">
        <v>88</v>
      </c>
      <c r="T71" s="99">
        <v>45257</v>
      </c>
      <c r="U71" s="85">
        <f t="shared" si="10"/>
        <v>500</v>
      </c>
      <c r="V71" s="85">
        <f t="shared" si="11"/>
        <v>1</v>
      </c>
      <c r="W71" s="88">
        <f t="shared" si="12"/>
        <v>500</v>
      </c>
      <c r="X71" s="98" t="s">
        <v>86</v>
      </c>
      <c r="Y71" s="78" t="s">
        <v>81</v>
      </c>
    </row>
    <row r="72" spans="1:25" s="78" customFormat="1" ht="11.1" customHeight="1" x14ac:dyDescent="0.25">
      <c r="A72" s="71">
        <f t="shared" si="13"/>
        <v>70</v>
      </c>
      <c r="B72" s="91" t="s">
        <v>90</v>
      </c>
      <c r="C72" s="82" t="str">
        <f>IF($B72&lt;&gt;"",_xlfn.IFNA(VLOOKUP($B72,'Node Details'!$B:$U,C$1,0),"Check"),"")</f>
        <v>00001GF12-00001GF22</v>
      </c>
      <c r="D72" s="82" t="str">
        <f>IF($B72&lt;&gt;"",_xlfn.IFNA(VLOOKUP($B72,'Node Details'!$B:$U,D$1,0),"Check"),"")</f>
        <v>1GF</v>
      </c>
      <c r="E72" s="82" t="str">
        <f>IF($B72&lt;&gt;"",_xlfn.IFNA(VLOOKUP($B72,'Node Details'!$B:$U,E$1,0),"Check"),"")</f>
        <v>Airtel</v>
      </c>
      <c r="F72" s="97">
        <v>45379</v>
      </c>
      <c r="G72" s="77"/>
      <c r="H72" s="92" t="s">
        <v>222</v>
      </c>
      <c r="I72" s="93">
        <v>1</v>
      </c>
      <c r="J72" s="93">
        <v>500</v>
      </c>
      <c r="K72" s="82">
        <f t="shared" si="7"/>
        <v>500</v>
      </c>
      <c r="L72" s="41">
        <v>45141</v>
      </c>
      <c r="M72" s="77"/>
      <c r="N72" s="98" t="s">
        <v>87</v>
      </c>
      <c r="O72" s="99">
        <v>45211</v>
      </c>
      <c r="P72" s="85">
        <f t="shared" si="8"/>
        <v>500</v>
      </c>
      <c r="Q72" s="86">
        <f t="shared" si="9"/>
        <v>500</v>
      </c>
      <c r="R72" s="76"/>
      <c r="S72" s="98" t="s">
        <v>88</v>
      </c>
      <c r="T72" s="99">
        <v>45257</v>
      </c>
      <c r="U72" s="85">
        <f t="shared" si="10"/>
        <v>500</v>
      </c>
      <c r="V72" s="85">
        <f t="shared" si="11"/>
        <v>1</v>
      </c>
      <c r="W72" s="88">
        <f t="shared" si="12"/>
        <v>500</v>
      </c>
      <c r="X72" s="98" t="s">
        <v>86</v>
      </c>
      <c r="Y72" s="78" t="s">
        <v>81</v>
      </c>
    </row>
    <row r="73" spans="1:25" s="78" customFormat="1" ht="11.1" customHeight="1" x14ac:dyDescent="0.2">
      <c r="A73" s="71">
        <f t="shared" si="13"/>
        <v>71</v>
      </c>
      <c r="B73" s="90" t="s">
        <v>150</v>
      </c>
      <c r="C73" s="82" t="str">
        <f>IF($B73&lt;&gt;"",_xlfn.IFNA(VLOOKUP($B73,'Node Details'!$B:$U,C$1,0),"Check"),"")</f>
        <v>00001GF12-1GF120106</v>
      </c>
      <c r="D73" s="82" t="str">
        <f>IF($B73&lt;&gt;"",_xlfn.IFNA(VLOOKUP($B73,'Node Details'!$B:$U,D$1,0),"Check"),"")</f>
        <v>1GF</v>
      </c>
      <c r="E73" s="82" t="str">
        <f>IF($B73&lt;&gt;"",_xlfn.IFNA(VLOOKUP($B73,'Node Details'!$B:$U,E$1,0),"Check"),"")</f>
        <v>Airtel</v>
      </c>
      <c r="F73" s="97">
        <v>45379</v>
      </c>
      <c r="G73" s="77"/>
      <c r="H73" s="92" t="s">
        <v>223</v>
      </c>
      <c r="I73" s="93">
        <v>1</v>
      </c>
      <c r="J73" s="93">
        <v>50</v>
      </c>
      <c r="K73" s="82">
        <f t="shared" si="7"/>
        <v>50</v>
      </c>
      <c r="L73" s="41">
        <v>45141</v>
      </c>
      <c r="M73" s="77"/>
      <c r="N73" s="98" t="s">
        <v>87</v>
      </c>
      <c r="O73" s="99">
        <v>45211</v>
      </c>
      <c r="P73" s="85">
        <f t="shared" si="8"/>
        <v>50</v>
      </c>
      <c r="Q73" s="86">
        <f t="shared" si="9"/>
        <v>50</v>
      </c>
      <c r="R73" s="76"/>
      <c r="S73" s="98" t="s">
        <v>88</v>
      </c>
      <c r="T73" s="99">
        <v>45257</v>
      </c>
      <c r="U73" s="85">
        <f t="shared" si="10"/>
        <v>50</v>
      </c>
      <c r="V73" s="85">
        <f t="shared" si="11"/>
        <v>1</v>
      </c>
      <c r="W73" s="88">
        <f t="shared" si="12"/>
        <v>50</v>
      </c>
      <c r="X73" s="98" t="s">
        <v>86</v>
      </c>
      <c r="Y73" s="78" t="s">
        <v>81</v>
      </c>
    </row>
    <row r="74" spans="1:25" s="78" customFormat="1" ht="11.1" customHeight="1" x14ac:dyDescent="0.2">
      <c r="A74" s="71">
        <f t="shared" si="13"/>
        <v>72</v>
      </c>
      <c r="B74" s="90" t="s">
        <v>151</v>
      </c>
      <c r="C74" s="82" t="str">
        <f>IF($B74&lt;&gt;"",_xlfn.IFNA(VLOOKUP($B74,'Node Details'!$B:$U,C$1,0),"Check"),"")</f>
        <v>00001GF12-1GF120106</v>
      </c>
      <c r="D74" s="82" t="str">
        <f>IF($B74&lt;&gt;"",_xlfn.IFNA(VLOOKUP($B74,'Node Details'!$B:$U,D$1,0),"Check"),"")</f>
        <v>1GF</v>
      </c>
      <c r="E74" s="82" t="str">
        <f>IF($B74&lt;&gt;"",_xlfn.IFNA(VLOOKUP($B74,'Node Details'!$B:$U,E$1,0),"Check"),"")</f>
        <v>Airtel</v>
      </c>
      <c r="F74" s="97">
        <v>45379</v>
      </c>
      <c r="G74" s="77"/>
      <c r="H74" s="92" t="s">
        <v>223</v>
      </c>
      <c r="I74" s="93">
        <v>1</v>
      </c>
      <c r="J74" s="93">
        <v>50</v>
      </c>
      <c r="K74" s="82">
        <f t="shared" si="7"/>
        <v>50</v>
      </c>
      <c r="L74" s="41">
        <v>45141</v>
      </c>
      <c r="M74" s="77"/>
      <c r="N74" s="98" t="s">
        <v>87</v>
      </c>
      <c r="O74" s="99">
        <v>45211</v>
      </c>
      <c r="P74" s="85">
        <f t="shared" si="8"/>
        <v>50</v>
      </c>
      <c r="Q74" s="86">
        <f t="shared" si="9"/>
        <v>50</v>
      </c>
      <c r="R74" s="76"/>
      <c r="S74" s="98" t="s">
        <v>88</v>
      </c>
      <c r="T74" s="99">
        <v>45257</v>
      </c>
      <c r="U74" s="85">
        <f t="shared" si="10"/>
        <v>50</v>
      </c>
      <c r="V74" s="85">
        <f t="shared" si="11"/>
        <v>1</v>
      </c>
      <c r="W74" s="88">
        <f t="shared" si="12"/>
        <v>50</v>
      </c>
      <c r="X74" s="98" t="s">
        <v>86</v>
      </c>
      <c r="Y74" s="78" t="s">
        <v>81</v>
      </c>
    </row>
    <row r="75" spans="1:25" s="78" customFormat="1" ht="11.1" customHeight="1" x14ac:dyDescent="0.2">
      <c r="A75" s="71">
        <f t="shared" si="13"/>
        <v>73</v>
      </c>
      <c r="B75" s="90" t="s">
        <v>152</v>
      </c>
      <c r="C75" s="82" t="str">
        <f>IF($B75&lt;&gt;"",_xlfn.IFNA(VLOOKUP($B75,'Node Details'!$B:$U,C$1,0),"Check"),"")</f>
        <v>00001GF12-1GF120106</v>
      </c>
      <c r="D75" s="82" t="str">
        <f>IF($B75&lt;&gt;"",_xlfn.IFNA(VLOOKUP($B75,'Node Details'!$B:$U,D$1,0),"Check"),"")</f>
        <v>1GF</v>
      </c>
      <c r="E75" s="82" t="str">
        <f>IF($B75&lt;&gt;"",_xlfn.IFNA(VLOOKUP($B75,'Node Details'!$B:$U,E$1,0),"Check"),"")</f>
        <v>Airtel</v>
      </c>
      <c r="F75" s="97">
        <v>45379</v>
      </c>
      <c r="G75" s="77"/>
      <c r="H75" s="92" t="s">
        <v>223</v>
      </c>
      <c r="I75" s="93">
        <v>1</v>
      </c>
      <c r="J75" s="93">
        <v>50</v>
      </c>
      <c r="K75" s="82">
        <f t="shared" si="7"/>
        <v>50</v>
      </c>
      <c r="L75" s="41">
        <v>45141</v>
      </c>
      <c r="M75" s="77"/>
      <c r="N75" s="98" t="s">
        <v>87</v>
      </c>
      <c r="O75" s="99">
        <v>45211</v>
      </c>
      <c r="P75" s="85">
        <f t="shared" si="8"/>
        <v>50</v>
      </c>
      <c r="Q75" s="86">
        <f t="shared" si="9"/>
        <v>50</v>
      </c>
      <c r="R75" s="76"/>
      <c r="S75" s="98" t="s">
        <v>88</v>
      </c>
      <c r="T75" s="99">
        <v>45257</v>
      </c>
      <c r="U75" s="85">
        <f t="shared" si="10"/>
        <v>50</v>
      </c>
      <c r="V75" s="85">
        <f t="shared" si="11"/>
        <v>1</v>
      </c>
      <c r="W75" s="88">
        <f t="shared" si="12"/>
        <v>50</v>
      </c>
      <c r="X75" s="98" t="s">
        <v>86</v>
      </c>
      <c r="Y75" s="78" t="s">
        <v>81</v>
      </c>
    </row>
    <row r="76" spans="1:25" s="78" customFormat="1" ht="11.1" customHeight="1" x14ac:dyDescent="0.2">
      <c r="A76" s="71">
        <f t="shared" si="13"/>
        <v>74</v>
      </c>
      <c r="B76" s="90" t="s">
        <v>153</v>
      </c>
      <c r="C76" s="82" t="str">
        <f>IF($B76&lt;&gt;"",_xlfn.IFNA(VLOOKUP($B76,'Node Details'!$B:$U,C$1,0),"Check"),"")</f>
        <v>00001GF12-1GF120106</v>
      </c>
      <c r="D76" s="82" t="str">
        <f>IF($B76&lt;&gt;"",_xlfn.IFNA(VLOOKUP($B76,'Node Details'!$B:$U,D$1,0),"Check"),"")</f>
        <v>1GF</v>
      </c>
      <c r="E76" s="82" t="str">
        <f>IF($B76&lt;&gt;"",_xlfn.IFNA(VLOOKUP($B76,'Node Details'!$B:$U,E$1,0),"Check"),"")</f>
        <v>Airtel</v>
      </c>
      <c r="F76" s="97">
        <v>45379</v>
      </c>
      <c r="G76" s="77"/>
      <c r="H76" s="92" t="s">
        <v>223</v>
      </c>
      <c r="I76" s="93">
        <v>1</v>
      </c>
      <c r="J76" s="93">
        <v>50</v>
      </c>
      <c r="K76" s="82">
        <f t="shared" si="7"/>
        <v>50</v>
      </c>
      <c r="L76" s="41">
        <v>45141</v>
      </c>
      <c r="M76" s="77"/>
      <c r="N76" s="98" t="s">
        <v>87</v>
      </c>
      <c r="O76" s="99">
        <v>45211</v>
      </c>
      <c r="P76" s="85">
        <f t="shared" si="8"/>
        <v>50</v>
      </c>
      <c r="Q76" s="86">
        <f t="shared" si="9"/>
        <v>50</v>
      </c>
      <c r="R76" s="76"/>
      <c r="S76" s="98" t="s">
        <v>88</v>
      </c>
      <c r="T76" s="99">
        <v>45257</v>
      </c>
      <c r="U76" s="85">
        <f t="shared" si="10"/>
        <v>50</v>
      </c>
      <c r="V76" s="85">
        <f t="shared" si="11"/>
        <v>1</v>
      </c>
      <c r="W76" s="88">
        <f t="shared" si="12"/>
        <v>50</v>
      </c>
      <c r="X76" s="98" t="s">
        <v>86</v>
      </c>
      <c r="Y76" s="78" t="s">
        <v>81</v>
      </c>
    </row>
    <row r="77" spans="1:25" s="78" customFormat="1" ht="11.1" customHeight="1" x14ac:dyDescent="0.2">
      <c r="A77" s="71">
        <f t="shared" si="13"/>
        <v>75</v>
      </c>
      <c r="B77" s="90" t="s">
        <v>154</v>
      </c>
      <c r="C77" s="82" t="str">
        <f>IF($B77&lt;&gt;"",_xlfn.IFNA(VLOOKUP($B77,'Node Details'!$B:$U,C$1,0),"Check"),"")</f>
        <v>00001GF12-1GF120106</v>
      </c>
      <c r="D77" s="82" t="str">
        <f>IF($B77&lt;&gt;"",_xlfn.IFNA(VLOOKUP($B77,'Node Details'!$B:$U,D$1,0),"Check"),"")</f>
        <v>1GF</v>
      </c>
      <c r="E77" s="82" t="str">
        <f>IF($B77&lt;&gt;"",_xlfn.IFNA(VLOOKUP($B77,'Node Details'!$B:$U,E$1,0),"Check"),"")</f>
        <v>Airtel</v>
      </c>
      <c r="F77" s="97">
        <v>45379</v>
      </c>
      <c r="G77" s="77"/>
      <c r="H77" s="92" t="s">
        <v>223</v>
      </c>
      <c r="I77" s="93">
        <v>1</v>
      </c>
      <c r="J77" s="93">
        <v>50</v>
      </c>
      <c r="K77" s="82">
        <f t="shared" si="7"/>
        <v>50</v>
      </c>
      <c r="L77" s="41">
        <v>45141</v>
      </c>
      <c r="M77" s="77"/>
      <c r="N77" s="98" t="s">
        <v>87</v>
      </c>
      <c r="O77" s="99">
        <v>45211</v>
      </c>
      <c r="P77" s="85">
        <f t="shared" si="8"/>
        <v>50</v>
      </c>
      <c r="Q77" s="86">
        <f t="shared" si="9"/>
        <v>50</v>
      </c>
      <c r="R77" s="76"/>
      <c r="S77" s="98" t="s">
        <v>88</v>
      </c>
      <c r="T77" s="99">
        <v>45257</v>
      </c>
      <c r="U77" s="85">
        <f t="shared" si="10"/>
        <v>50</v>
      </c>
      <c r="V77" s="85">
        <f t="shared" si="11"/>
        <v>1</v>
      </c>
      <c r="W77" s="88">
        <f t="shared" si="12"/>
        <v>50</v>
      </c>
      <c r="X77" s="98" t="s">
        <v>86</v>
      </c>
      <c r="Y77" s="78" t="s">
        <v>81</v>
      </c>
    </row>
    <row r="78" spans="1:25" s="78" customFormat="1" ht="11.1" customHeight="1" x14ac:dyDescent="0.2">
      <c r="A78" s="71">
        <f t="shared" si="13"/>
        <v>76</v>
      </c>
      <c r="B78" s="90" t="s">
        <v>97</v>
      </c>
      <c r="C78" s="82" t="str">
        <f>IF($B78&lt;&gt;"",_xlfn.IFNA(VLOOKUP($B78,'Node Details'!$B:$U,C$1,0),"Check"),"")</f>
        <v>00001GF12-1GF120106</v>
      </c>
      <c r="D78" s="82" t="str">
        <f>IF($B78&lt;&gt;"",_xlfn.IFNA(VLOOKUP($B78,'Node Details'!$B:$U,D$1,0),"Check"),"")</f>
        <v>1GF</v>
      </c>
      <c r="E78" s="82" t="str">
        <f>IF($B78&lt;&gt;"",_xlfn.IFNA(VLOOKUP($B78,'Node Details'!$B:$U,E$1,0),"Check"),"")</f>
        <v>Airtel</v>
      </c>
      <c r="F78" s="97">
        <v>45379</v>
      </c>
      <c r="G78" s="77"/>
      <c r="H78" s="92" t="s">
        <v>223</v>
      </c>
      <c r="I78" s="93">
        <v>1</v>
      </c>
      <c r="J78" s="93">
        <v>50</v>
      </c>
      <c r="K78" s="82">
        <f t="shared" si="7"/>
        <v>50</v>
      </c>
      <c r="L78" s="41">
        <v>45141</v>
      </c>
      <c r="M78" s="77"/>
      <c r="N78" s="98" t="s">
        <v>87</v>
      </c>
      <c r="O78" s="99">
        <v>45211</v>
      </c>
      <c r="P78" s="85">
        <f t="shared" si="8"/>
        <v>50</v>
      </c>
      <c r="Q78" s="86">
        <f t="shared" si="9"/>
        <v>50</v>
      </c>
      <c r="R78" s="76"/>
      <c r="S78" s="98" t="s">
        <v>88</v>
      </c>
      <c r="T78" s="99">
        <v>45257</v>
      </c>
      <c r="U78" s="85">
        <f t="shared" si="10"/>
        <v>50</v>
      </c>
      <c r="V78" s="85">
        <f t="shared" si="11"/>
        <v>1</v>
      </c>
      <c r="W78" s="88">
        <f t="shared" si="12"/>
        <v>50</v>
      </c>
      <c r="X78" s="98" t="s">
        <v>86</v>
      </c>
      <c r="Y78" s="78" t="s">
        <v>81</v>
      </c>
    </row>
    <row r="79" spans="1:25" s="78" customFormat="1" ht="11.1" customHeight="1" x14ac:dyDescent="0.2">
      <c r="A79" s="71">
        <f t="shared" si="13"/>
        <v>77</v>
      </c>
      <c r="B79" s="90" t="s">
        <v>155</v>
      </c>
      <c r="C79" s="82" t="str">
        <f>IF($B79&lt;&gt;"",_xlfn.IFNA(VLOOKUP($B79,'Node Details'!$B:$U,C$1,0),"Check"),"")</f>
        <v>00001GF13-1GF130106</v>
      </c>
      <c r="D79" s="82" t="str">
        <f>IF($B79&lt;&gt;"",_xlfn.IFNA(VLOOKUP($B79,'Node Details'!$B:$U,D$1,0),"Check"),"")</f>
        <v>1GF</v>
      </c>
      <c r="E79" s="82" t="str">
        <f>IF($B79&lt;&gt;"",_xlfn.IFNA(VLOOKUP($B79,'Node Details'!$B:$U,E$1,0),"Check"),"")</f>
        <v>Airtel</v>
      </c>
      <c r="F79" s="97">
        <v>45379</v>
      </c>
      <c r="G79" s="77"/>
      <c r="H79" s="92" t="s">
        <v>223</v>
      </c>
      <c r="I79" s="93">
        <v>1</v>
      </c>
      <c r="J79" s="93">
        <v>50</v>
      </c>
      <c r="K79" s="82">
        <f t="shared" si="7"/>
        <v>50</v>
      </c>
      <c r="L79" s="41">
        <v>45141</v>
      </c>
      <c r="M79" s="77"/>
      <c r="N79" s="98" t="s">
        <v>87</v>
      </c>
      <c r="O79" s="99">
        <v>45211</v>
      </c>
      <c r="P79" s="85">
        <f t="shared" si="8"/>
        <v>50</v>
      </c>
      <c r="Q79" s="86">
        <f t="shared" si="9"/>
        <v>50</v>
      </c>
      <c r="R79" s="76"/>
      <c r="S79" s="98" t="s">
        <v>88</v>
      </c>
      <c r="T79" s="99">
        <v>45257</v>
      </c>
      <c r="U79" s="85">
        <f t="shared" si="10"/>
        <v>50</v>
      </c>
      <c r="V79" s="85">
        <f t="shared" si="11"/>
        <v>1</v>
      </c>
      <c r="W79" s="88">
        <f t="shared" si="12"/>
        <v>50</v>
      </c>
      <c r="X79" s="98" t="s">
        <v>86</v>
      </c>
      <c r="Y79" s="78" t="s">
        <v>81</v>
      </c>
    </row>
    <row r="80" spans="1:25" s="78" customFormat="1" ht="11.1" customHeight="1" x14ac:dyDescent="0.2">
      <c r="A80" s="71">
        <f t="shared" si="13"/>
        <v>78</v>
      </c>
      <c r="B80" s="90" t="s">
        <v>156</v>
      </c>
      <c r="C80" s="82" t="str">
        <f>IF($B80&lt;&gt;"",_xlfn.IFNA(VLOOKUP($B80,'Node Details'!$B:$U,C$1,0),"Check"),"")</f>
        <v>00001GF13-1GF130106</v>
      </c>
      <c r="D80" s="82" t="str">
        <f>IF($B80&lt;&gt;"",_xlfn.IFNA(VLOOKUP($B80,'Node Details'!$B:$U,D$1,0),"Check"),"")</f>
        <v>1GF</v>
      </c>
      <c r="E80" s="82" t="str">
        <f>IF($B80&lt;&gt;"",_xlfn.IFNA(VLOOKUP($B80,'Node Details'!$B:$U,E$1,0),"Check"),"")</f>
        <v>Airtel</v>
      </c>
      <c r="F80" s="97">
        <v>45379</v>
      </c>
      <c r="G80" s="77"/>
      <c r="H80" s="92" t="s">
        <v>223</v>
      </c>
      <c r="I80" s="93">
        <v>1</v>
      </c>
      <c r="J80" s="93">
        <v>50</v>
      </c>
      <c r="K80" s="82">
        <f t="shared" si="7"/>
        <v>50</v>
      </c>
      <c r="L80" s="41">
        <v>45141</v>
      </c>
      <c r="M80" s="77"/>
      <c r="N80" s="98" t="s">
        <v>87</v>
      </c>
      <c r="O80" s="99">
        <v>45211</v>
      </c>
      <c r="P80" s="85">
        <f t="shared" si="8"/>
        <v>50</v>
      </c>
      <c r="Q80" s="86">
        <f t="shared" si="9"/>
        <v>50</v>
      </c>
      <c r="R80" s="76"/>
      <c r="S80" s="98" t="s">
        <v>88</v>
      </c>
      <c r="T80" s="99">
        <v>45257</v>
      </c>
      <c r="U80" s="85">
        <f t="shared" si="10"/>
        <v>50</v>
      </c>
      <c r="V80" s="85">
        <f t="shared" si="11"/>
        <v>1</v>
      </c>
      <c r="W80" s="88">
        <f t="shared" si="12"/>
        <v>50</v>
      </c>
      <c r="X80" s="98" t="s">
        <v>86</v>
      </c>
      <c r="Y80" s="78" t="s">
        <v>81</v>
      </c>
    </row>
    <row r="81" spans="1:25" s="78" customFormat="1" ht="11.1" customHeight="1" x14ac:dyDescent="0.2">
      <c r="A81" s="71">
        <f t="shared" si="13"/>
        <v>79</v>
      </c>
      <c r="B81" s="90" t="s">
        <v>157</v>
      </c>
      <c r="C81" s="82" t="str">
        <f>IF($B81&lt;&gt;"",_xlfn.IFNA(VLOOKUP($B81,'Node Details'!$B:$U,C$1,0),"Check"),"")</f>
        <v>00001GF13-1GF130106</v>
      </c>
      <c r="D81" s="82" t="str">
        <f>IF($B81&lt;&gt;"",_xlfn.IFNA(VLOOKUP($B81,'Node Details'!$B:$U,D$1,0),"Check"),"")</f>
        <v>1GF</v>
      </c>
      <c r="E81" s="82" t="str">
        <f>IF($B81&lt;&gt;"",_xlfn.IFNA(VLOOKUP($B81,'Node Details'!$B:$U,E$1,0),"Check"),"")</f>
        <v>Airtel</v>
      </c>
      <c r="F81" s="97">
        <v>45379</v>
      </c>
      <c r="G81" s="77"/>
      <c r="H81" s="92" t="s">
        <v>223</v>
      </c>
      <c r="I81" s="93">
        <v>1</v>
      </c>
      <c r="J81" s="93">
        <v>50</v>
      </c>
      <c r="K81" s="82">
        <f t="shared" si="7"/>
        <v>50</v>
      </c>
      <c r="L81" s="41">
        <v>45141</v>
      </c>
      <c r="M81" s="77"/>
      <c r="N81" s="98" t="s">
        <v>87</v>
      </c>
      <c r="O81" s="99">
        <v>45211</v>
      </c>
      <c r="P81" s="85">
        <f t="shared" si="8"/>
        <v>50</v>
      </c>
      <c r="Q81" s="86">
        <f t="shared" si="9"/>
        <v>50</v>
      </c>
      <c r="R81" s="76"/>
      <c r="S81" s="98" t="s">
        <v>88</v>
      </c>
      <c r="T81" s="99">
        <v>45257</v>
      </c>
      <c r="U81" s="85">
        <f t="shared" si="10"/>
        <v>50</v>
      </c>
      <c r="V81" s="85">
        <f t="shared" si="11"/>
        <v>1</v>
      </c>
      <c r="W81" s="88">
        <f t="shared" si="12"/>
        <v>50</v>
      </c>
      <c r="X81" s="98" t="s">
        <v>86</v>
      </c>
      <c r="Y81" s="78" t="s">
        <v>81</v>
      </c>
    </row>
    <row r="82" spans="1:25" s="78" customFormat="1" ht="11.1" customHeight="1" x14ac:dyDescent="0.2">
      <c r="A82" s="71">
        <f t="shared" si="13"/>
        <v>80</v>
      </c>
      <c r="B82" s="90" t="s">
        <v>158</v>
      </c>
      <c r="C82" s="82" t="str">
        <f>IF($B82&lt;&gt;"",_xlfn.IFNA(VLOOKUP($B82,'Node Details'!$B:$U,C$1,0),"Check"),"")</f>
        <v>00001GF13-1GF130106</v>
      </c>
      <c r="D82" s="82" t="str">
        <f>IF($B82&lt;&gt;"",_xlfn.IFNA(VLOOKUP($B82,'Node Details'!$B:$U,D$1,0),"Check"),"")</f>
        <v>1GF</v>
      </c>
      <c r="E82" s="82" t="str">
        <f>IF($B82&lt;&gt;"",_xlfn.IFNA(VLOOKUP($B82,'Node Details'!$B:$U,E$1,0),"Check"),"")</f>
        <v>Airtel</v>
      </c>
      <c r="F82" s="97">
        <v>45379</v>
      </c>
      <c r="G82" s="77"/>
      <c r="H82" s="92" t="s">
        <v>223</v>
      </c>
      <c r="I82" s="93">
        <v>1</v>
      </c>
      <c r="J82" s="93">
        <v>50</v>
      </c>
      <c r="K82" s="82">
        <f t="shared" si="7"/>
        <v>50</v>
      </c>
      <c r="L82" s="41">
        <v>45141</v>
      </c>
      <c r="M82" s="77"/>
      <c r="N82" s="98" t="s">
        <v>87</v>
      </c>
      <c r="O82" s="99">
        <v>45211</v>
      </c>
      <c r="P82" s="85">
        <f t="shared" si="8"/>
        <v>50</v>
      </c>
      <c r="Q82" s="86">
        <f t="shared" si="9"/>
        <v>50</v>
      </c>
      <c r="R82" s="76"/>
      <c r="S82" s="98" t="s">
        <v>88</v>
      </c>
      <c r="T82" s="99">
        <v>45257</v>
      </c>
      <c r="U82" s="85">
        <f t="shared" si="10"/>
        <v>50</v>
      </c>
      <c r="V82" s="85">
        <f t="shared" si="11"/>
        <v>1</v>
      </c>
      <c r="W82" s="88">
        <f t="shared" si="12"/>
        <v>50</v>
      </c>
      <c r="X82" s="98" t="s">
        <v>86</v>
      </c>
      <c r="Y82" s="78" t="s">
        <v>81</v>
      </c>
    </row>
    <row r="83" spans="1:25" s="78" customFormat="1" ht="11.1" customHeight="1" x14ac:dyDescent="0.2">
      <c r="A83" s="71">
        <f t="shared" si="13"/>
        <v>81</v>
      </c>
      <c r="B83" s="90" t="s">
        <v>159</v>
      </c>
      <c r="C83" s="82" t="str">
        <f>IF($B83&lt;&gt;"",_xlfn.IFNA(VLOOKUP($B83,'Node Details'!$B:$U,C$1,0),"Check"),"")</f>
        <v>00001GF13-1GF130106</v>
      </c>
      <c r="D83" s="82" t="str">
        <f>IF($B83&lt;&gt;"",_xlfn.IFNA(VLOOKUP($B83,'Node Details'!$B:$U,D$1,0),"Check"),"")</f>
        <v>1GF</v>
      </c>
      <c r="E83" s="82" t="str">
        <f>IF($B83&lt;&gt;"",_xlfn.IFNA(VLOOKUP($B83,'Node Details'!$B:$U,E$1,0),"Check"),"")</f>
        <v>Airtel</v>
      </c>
      <c r="F83" s="97">
        <v>45379</v>
      </c>
      <c r="G83" s="77"/>
      <c r="H83" s="92" t="s">
        <v>223</v>
      </c>
      <c r="I83" s="93">
        <v>1</v>
      </c>
      <c r="J83" s="93">
        <v>50</v>
      </c>
      <c r="K83" s="82">
        <f t="shared" si="7"/>
        <v>50</v>
      </c>
      <c r="L83" s="41">
        <v>45141</v>
      </c>
      <c r="M83" s="77"/>
      <c r="N83" s="98" t="s">
        <v>87</v>
      </c>
      <c r="O83" s="99">
        <v>45211</v>
      </c>
      <c r="P83" s="85">
        <f t="shared" si="8"/>
        <v>50</v>
      </c>
      <c r="Q83" s="86">
        <f t="shared" si="9"/>
        <v>50</v>
      </c>
      <c r="R83" s="76"/>
      <c r="S83" s="98" t="s">
        <v>88</v>
      </c>
      <c r="T83" s="99">
        <v>45257</v>
      </c>
      <c r="U83" s="85">
        <f t="shared" si="10"/>
        <v>50</v>
      </c>
      <c r="V83" s="85">
        <f t="shared" si="11"/>
        <v>1</v>
      </c>
      <c r="W83" s="88">
        <f t="shared" si="12"/>
        <v>50</v>
      </c>
      <c r="X83" s="98" t="s">
        <v>86</v>
      </c>
      <c r="Y83" s="78" t="s">
        <v>81</v>
      </c>
    </row>
    <row r="84" spans="1:25" s="78" customFormat="1" ht="11.1" customHeight="1" x14ac:dyDescent="0.2">
      <c r="A84" s="71">
        <f t="shared" si="13"/>
        <v>82</v>
      </c>
      <c r="B84" s="90" t="s">
        <v>101</v>
      </c>
      <c r="C84" s="82" t="str">
        <f>IF($B84&lt;&gt;"",_xlfn.IFNA(VLOOKUP($B84,'Node Details'!$B:$U,C$1,0),"Check"),"")</f>
        <v>00001GF13-1GF130106</v>
      </c>
      <c r="D84" s="82" t="str">
        <f>IF($B84&lt;&gt;"",_xlfn.IFNA(VLOOKUP($B84,'Node Details'!$B:$U,D$1,0),"Check"),"")</f>
        <v>1GF</v>
      </c>
      <c r="E84" s="82" t="str">
        <f>IF($B84&lt;&gt;"",_xlfn.IFNA(VLOOKUP($B84,'Node Details'!$B:$U,E$1,0),"Check"),"")</f>
        <v>Airtel</v>
      </c>
      <c r="F84" s="97">
        <v>45379</v>
      </c>
      <c r="G84" s="77"/>
      <c r="H84" s="92" t="s">
        <v>223</v>
      </c>
      <c r="I84" s="93">
        <v>1</v>
      </c>
      <c r="J84" s="93">
        <v>50</v>
      </c>
      <c r="K84" s="82">
        <f t="shared" si="7"/>
        <v>50</v>
      </c>
      <c r="L84" s="41">
        <v>45141</v>
      </c>
      <c r="M84" s="77"/>
      <c r="N84" s="98" t="s">
        <v>87</v>
      </c>
      <c r="O84" s="99">
        <v>45211</v>
      </c>
      <c r="P84" s="85">
        <f t="shared" si="8"/>
        <v>50</v>
      </c>
      <c r="Q84" s="86">
        <f t="shared" si="9"/>
        <v>50</v>
      </c>
      <c r="R84" s="76"/>
      <c r="S84" s="98" t="s">
        <v>88</v>
      </c>
      <c r="T84" s="99">
        <v>45257</v>
      </c>
      <c r="U84" s="85">
        <f t="shared" si="10"/>
        <v>50</v>
      </c>
      <c r="V84" s="85">
        <f t="shared" si="11"/>
        <v>1</v>
      </c>
      <c r="W84" s="88">
        <f t="shared" si="12"/>
        <v>50</v>
      </c>
      <c r="X84" s="98" t="s">
        <v>86</v>
      </c>
      <c r="Y84" s="78" t="s">
        <v>81</v>
      </c>
    </row>
    <row r="85" spans="1:25" s="78" customFormat="1" ht="11.1" customHeight="1" x14ac:dyDescent="0.2">
      <c r="A85" s="71">
        <f t="shared" si="13"/>
        <v>83</v>
      </c>
      <c r="B85" s="90" t="s">
        <v>160</v>
      </c>
      <c r="C85" s="82" t="str">
        <f>IF($B85&lt;&gt;"",_xlfn.IFNA(VLOOKUP($B85,'Node Details'!$B:$U,C$1,0),"Check"),"")</f>
        <v>00001GF14-1GF140107</v>
      </c>
      <c r="D85" s="82" t="str">
        <f>IF($B85&lt;&gt;"",_xlfn.IFNA(VLOOKUP($B85,'Node Details'!$B:$U,D$1,0),"Check"),"")</f>
        <v>1GF</v>
      </c>
      <c r="E85" s="82" t="str">
        <f>IF($B85&lt;&gt;"",_xlfn.IFNA(VLOOKUP($B85,'Node Details'!$B:$U,E$1,0),"Check"),"")</f>
        <v>Airtel</v>
      </c>
      <c r="F85" s="97">
        <v>45379</v>
      </c>
      <c r="G85" s="77"/>
      <c r="H85" s="92" t="s">
        <v>223</v>
      </c>
      <c r="I85" s="93">
        <v>1</v>
      </c>
      <c r="J85" s="93">
        <v>50</v>
      </c>
      <c r="K85" s="82">
        <f t="shared" si="7"/>
        <v>50</v>
      </c>
      <c r="L85" s="41">
        <v>45141</v>
      </c>
      <c r="M85" s="77"/>
      <c r="N85" s="98" t="s">
        <v>87</v>
      </c>
      <c r="O85" s="99">
        <v>45211</v>
      </c>
      <c r="P85" s="85">
        <f t="shared" si="8"/>
        <v>50</v>
      </c>
      <c r="Q85" s="86">
        <f t="shared" si="9"/>
        <v>50</v>
      </c>
      <c r="R85" s="76"/>
      <c r="S85" s="98" t="s">
        <v>88</v>
      </c>
      <c r="T85" s="99">
        <v>45257</v>
      </c>
      <c r="U85" s="85">
        <f t="shared" si="10"/>
        <v>50</v>
      </c>
      <c r="V85" s="85">
        <f t="shared" si="11"/>
        <v>1</v>
      </c>
      <c r="W85" s="88">
        <f t="shared" si="12"/>
        <v>50</v>
      </c>
      <c r="X85" s="98" t="s">
        <v>86</v>
      </c>
      <c r="Y85" s="78" t="s">
        <v>81</v>
      </c>
    </row>
    <row r="86" spans="1:25" s="78" customFormat="1" ht="11.1" customHeight="1" x14ac:dyDescent="0.2">
      <c r="A86" s="71">
        <f t="shared" si="13"/>
        <v>84</v>
      </c>
      <c r="B86" s="90" t="s">
        <v>161</v>
      </c>
      <c r="C86" s="82" t="str">
        <f>IF($B86&lt;&gt;"",_xlfn.IFNA(VLOOKUP($B86,'Node Details'!$B:$U,C$1,0),"Check"),"")</f>
        <v>00001GF14-1GF140107</v>
      </c>
      <c r="D86" s="82" t="str">
        <f>IF($B86&lt;&gt;"",_xlfn.IFNA(VLOOKUP($B86,'Node Details'!$B:$U,D$1,0),"Check"),"")</f>
        <v>1GF</v>
      </c>
      <c r="E86" s="82" t="str">
        <f>IF($B86&lt;&gt;"",_xlfn.IFNA(VLOOKUP($B86,'Node Details'!$B:$U,E$1,0),"Check"),"")</f>
        <v>Airtel</v>
      </c>
      <c r="F86" s="97">
        <v>45379</v>
      </c>
      <c r="G86" s="77"/>
      <c r="H86" s="92" t="s">
        <v>223</v>
      </c>
      <c r="I86" s="93">
        <v>1</v>
      </c>
      <c r="J86" s="93">
        <v>50</v>
      </c>
      <c r="K86" s="82">
        <f t="shared" si="7"/>
        <v>50</v>
      </c>
      <c r="L86" s="41">
        <v>45141</v>
      </c>
      <c r="M86" s="77"/>
      <c r="N86" s="98" t="s">
        <v>87</v>
      </c>
      <c r="O86" s="99">
        <v>45211</v>
      </c>
      <c r="P86" s="85">
        <f t="shared" si="8"/>
        <v>50</v>
      </c>
      <c r="Q86" s="86">
        <f t="shared" si="9"/>
        <v>50</v>
      </c>
      <c r="R86" s="76"/>
      <c r="S86" s="98" t="s">
        <v>88</v>
      </c>
      <c r="T86" s="99">
        <v>45257</v>
      </c>
      <c r="U86" s="85">
        <f t="shared" si="10"/>
        <v>50</v>
      </c>
      <c r="V86" s="85">
        <f t="shared" si="11"/>
        <v>1</v>
      </c>
      <c r="W86" s="88">
        <f t="shared" si="12"/>
        <v>50</v>
      </c>
      <c r="X86" s="98" t="s">
        <v>86</v>
      </c>
      <c r="Y86" s="78" t="s">
        <v>81</v>
      </c>
    </row>
    <row r="87" spans="1:25" s="78" customFormat="1" ht="11.1" customHeight="1" x14ac:dyDescent="0.2">
      <c r="A87" s="71">
        <f t="shared" si="13"/>
        <v>85</v>
      </c>
      <c r="B87" s="90" t="s">
        <v>162</v>
      </c>
      <c r="C87" s="82" t="str">
        <f>IF($B87&lt;&gt;"",_xlfn.IFNA(VLOOKUP($B87,'Node Details'!$B:$U,C$1,0),"Check"),"")</f>
        <v>00001GF14-1GF140107</v>
      </c>
      <c r="D87" s="82" t="str">
        <f>IF($B87&lt;&gt;"",_xlfn.IFNA(VLOOKUP($B87,'Node Details'!$B:$U,D$1,0),"Check"),"")</f>
        <v>1GF</v>
      </c>
      <c r="E87" s="82" t="str">
        <f>IF($B87&lt;&gt;"",_xlfn.IFNA(VLOOKUP($B87,'Node Details'!$B:$U,E$1,0),"Check"),"")</f>
        <v>Airtel</v>
      </c>
      <c r="F87" s="97">
        <v>45379</v>
      </c>
      <c r="G87" s="77"/>
      <c r="H87" s="92" t="s">
        <v>223</v>
      </c>
      <c r="I87" s="93">
        <v>1</v>
      </c>
      <c r="J87" s="93">
        <v>50</v>
      </c>
      <c r="K87" s="82">
        <f t="shared" si="7"/>
        <v>50</v>
      </c>
      <c r="L87" s="41">
        <v>45141</v>
      </c>
      <c r="M87" s="77"/>
      <c r="N87" s="98" t="s">
        <v>87</v>
      </c>
      <c r="O87" s="99">
        <v>45211</v>
      </c>
      <c r="P87" s="85">
        <f t="shared" si="8"/>
        <v>50</v>
      </c>
      <c r="Q87" s="86">
        <f t="shared" si="9"/>
        <v>50</v>
      </c>
      <c r="R87" s="76"/>
      <c r="S87" s="98" t="s">
        <v>88</v>
      </c>
      <c r="T87" s="99">
        <v>45257</v>
      </c>
      <c r="U87" s="85">
        <f t="shared" si="10"/>
        <v>50</v>
      </c>
      <c r="V87" s="85">
        <f t="shared" si="11"/>
        <v>1</v>
      </c>
      <c r="W87" s="88">
        <f t="shared" si="12"/>
        <v>50</v>
      </c>
      <c r="X87" s="98" t="s">
        <v>86</v>
      </c>
      <c r="Y87" s="78" t="s">
        <v>81</v>
      </c>
    </row>
    <row r="88" spans="1:25" s="78" customFormat="1" ht="11.1" customHeight="1" x14ac:dyDescent="0.2">
      <c r="A88" s="71">
        <f t="shared" si="13"/>
        <v>86</v>
      </c>
      <c r="B88" s="90" t="s">
        <v>163</v>
      </c>
      <c r="C88" s="82" t="str">
        <f>IF($B88&lt;&gt;"",_xlfn.IFNA(VLOOKUP($B88,'Node Details'!$B:$U,C$1,0),"Check"),"")</f>
        <v>00001GF14-1GF140107</v>
      </c>
      <c r="D88" s="82" t="str">
        <f>IF($B88&lt;&gt;"",_xlfn.IFNA(VLOOKUP($B88,'Node Details'!$B:$U,D$1,0),"Check"),"")</f>
        <v>1GF</v>
      </c>
      <c r="E88" s="82" t="str">
        <f>IF($B88&lt;&gt;"",_xlfn.IFNA(VLOOKUP($B88,'Node Details'!$B:$U,E$1,0),"Check"),"")</f>
        <v>Airtel</v>
      </c>
      <c r="F88" s="97">
        <v>45379</v>
      </c>
      <c r="G88" s="77"/>
      <c r="H88" s="92" t="s">
        <v>223</v>
      </c>
      <c r="I88" s="93">
        <v>1</v>
      </c>
      <c r="J88" s="93">
        <v>50</v>
      </c>
      <c r="K88" s="82">
        <f t="shared" si="7"/>
        <v>50</v>
      </c>
      <c r="L88" s="41">
        <v>45141</v>
      </c>
      <c r="M88" s="77"/>
      <c r="N88" s="98" t="s">
        <v>87</v>
      </c>
      <c r="O88" s="99">
        <v>45211</v>
      </c>
      <c r="P88" s="85">
        <f t="shared" si="8"/>
        <v>50</v>
      </c>
      <c r="Q88" s="86">
        <f t="shared" si="9"/>
        <v>50</v>
      </c>
      <c r="R88" s="76"/>
      <c r="S88" s="98" t="s">
        <v>88</v>
      </c>
      <c r="T88" s="99">
        <v>45257</v>
      </c>
      <c r="U88" s="85">
        <f t="shared" si="10"/>
        <v>50</v>
      </c>
      <c r="V88" s="85">
        <f t="shared" si="11"/>
        <v>1</v>
      </c>
      <c r="W88" s="88">
        <f t="shared" si="12"/>
        <v>50</v>
      </c>
      <c r="X88" s="98" t="s">
        <v>86</v>
      </c>
      <c r="Y88" s="78" t="s">
        <v>81</v>
      </c>
    </row>
    <row r="89" spans="1:25" s="78" customFormat="1" ht="11.1" customHeight="1" x14ac:dyDescent="0.2">
      <c r="A89" s="71">
        <f t="shared" si="13"/>
        <v>87</v>
      </c>
      <c r="B89" s="90" t="s">
        <v>164</v>
      </c>
      <c r="C89" s="82" t="str">
        <f>IF($B89&lt;&gt;"",_xlfn.IFNA(VLOOKUP($B89,'Node Details'!$B:$U,C$1,0),"Check"),"")</f>
        <v>00001GF14-1GF140107</v>
      </c>
      <c r="D89" s="82" t="str">
        <f>IF($B89&lt;&gt;"",_xlfn.IFNA(VLOOKUP($B89,'Node Details'!$B:$U,D$1,0),"Check"),"")</f>
        <v>1GF</v>
      </c>
      <c r="E89" s="82" t="str">
        <f>IF($B89&lt;&gt;"",_xlfn.IFNA(VLOOKUP($B89,'Node Details'!$B:$U,E$1,0),"Check"),"")</f>
        <v>Airtel</v>
      </c>
      <c r="F89" s="97">
        <v>45379</v>
      </c>
      <c r="G89" s="77"/>
      <c r="H89" s="92" t="s">
        <v>223</v>
      </c>
      <c r="I89" s="93">
        <v>1</v>
      </c>
      <c r="J89" s="93">
        <v>50</v>
      </c>
      <c r="K89" s="82">
        <f t="shared" si="7"/>
        <v>50</v>
      </c>
      <c r="L89" s="41">
        <v>45141</v>
      </c>
      <c r="M89" s="77"/>
      <c r="N89" s="98" t="s">
        <v>87</v>
      </c>
      <c r="O89" s="99">
        <v>45211</v>
      </c>
      <c r="P89" s="85">
        <f t="shared" si="8"/>
        <v>50</v>
      </c>
      <c r="Q89" s="86">
        <f t="shared" si="9"/>
        <v>50</v>
      </c>
      <c r="R89" s="76"/>
      <c r="S89" s="98" t="s">
        <v>88</v>
      </c>
      <c r="T89" s="99">
        <v>45257</v>
      </c>
      <c r="U89" s="85">
        <f t="shared" si="10"/>
        <v>50</v>
      </c>
      <c r="V89" s="85">
        <f t="shared" si="11"/>
        <v>1</v>
      </c>
      <c r="W89" s="88">
        <f t="shared" si="12"/>
        <v>50</v>
      </c>
      <c r="X89" s="98" t="s">
        <v>86</v>
      </c>
      <c r="Y89" s="78" t="s">
        <v>81</v>
      </c>
    </row>
    <row r="90" spans="1:25" s="78" customFormat="1" ht="11.1" customHeight="1" x14ac:dyDescent="0.2">
      <c r="A90" s="71">
        <f t="shared" si="13"/>
        <v>88</v>
      </c>
      <c r="B90" s="90" t="s">
        <v>165</v>
      </c>
      <c r="C90" s="82" t="str">
        <f>IF($B90&lt;&gt;"",_xlfn.IFNA(VLOOKUP($B90,'Node Details'!$B:$U,C$1,0),"Check"),"")</f>
        <v>00001GF14-1GF140107</v>
      </c>
      <c r="D90" s="82" t="str">
        <f>IF($B90&lt;&gt;"",_xlfn.IFNA(VLOOKUP($B90,'Node Details'!$B:$U,D$1,0),"Check"),"")</f>
        <v>1GF</v>
      </c>
      <c r="E90" s="82" t="str">
        <f>IF($B90&lt;&gt;"",_xlfn.IFNA(VLOOKUP($B90,'Node Details'!$B:$U,E$1,0),"Check"),"")</f>
        <v>Airtel</v>
      </c>
      <c r="F90" s="97">
        <v>45379</v>
      </c>
      <c r="G90" s="77"/>
      <c r="H90" s="92" t="s">
        <v>223</v>
      </c>
      <c r="I90" s="93">
        <v>1</v>
      </c>
      <c r="J90" s="93">
        <v>50</v>
      </c>
      <c r="K90" s="82">
        <f t="shared" si="7"/>
        <v>50</v>
      </c>
      <c r="L90" s="41">
        <v>45141</v>
      </c>
      <c r="M90" s="77"/>
      <c r="N90" s="98" t="s">
        <v>87</v>
      </c>
      <c r="O90" s="99">
        <v>45211</v>
      </c>
      <c r="P90" s="85">
        <f t="shared" si="8"/>
        <v>50</v>
      </c>
      <c r="Q90" s="86">
        <f t="shared" si="9"/>
        <v>50</v>
      </c>
      <c r="R90" s="76"/>
      <c r="S90" s="98" t="s">
        <v>88</v>
      </c>
      <c r="T90" s="99">
        <v>45257</v>
      </c>
      <c r="U90" s="85">
        <f t="shared" si="10"/>
        <v>50</v>
      </c>
      <c r="V90" s="85">
        <f t="shared" si="11"/>
        <v>1</v>
      </c>
      <c r="W90" s="88">
        <f t="shared" si="12"/>
        <v>50</v>
      </c>
      <c r="X90" s="98" t="s">
        <v>86</v>
      </c>
      <c r="Y90" s="78" t="s">
        <v>81</v>
      </c>
    </row>
    <row r="91" spans="1:25" s="78" customFormat="1" ht="11.1" customHeight="1" x14ac:dyDescent="0.2">
      <c r="A91" s="71">
        <f t="shared" si="13"/>
        <v>89</v>
      </c>
      <c r="B91" s="90" t="s">
        <v>105</v>
      </c>
      <c r="C91" s="82" t="str">
        <f>IF($B91&lt;&gt;"",_xlfn.IFNA(VLOOKUP($B91,'Node Details'!$B:$U,C$1,0),"Check"),"")</f>
        <v>00001GF14-1GF140107</v>
      </c>
      <c r="D91" s="82" t="str">
        <f>IF($B91&lt;&gt;"",_xlfn.IFNA(VLOOKUP($B91,'Node Details'!$B:$U,D$1,0),"Check"),"")</f>
        <v>1GF</v>
      </c>
      <c r="E91" s="82" t="str">
        <f>IF($B91&lt;&gt;"",_xlfn.IFNA(VLOOKUP($B91,'Node Details'!$B:$U,E$1,0),"Check"),"")</f>
        <v>Airtel</v>
      </c>
      <c r="F91" s="97">
        <v>45379</v>
      </c>
      <c r="G91" s="77"/>
      <c r="H91" s="92" t="s">
        <v>223</v>
      </c>
      <c r="I91" s="93">
        <v>1</v>
      </c>
      <c r="J91" s="93">
        <v>50</v>
      </c>
      <c r="K91" s="82">
        <f t="shared" si="7"/>
        <v>50</v>
      </c>
      <c r="L91" s="41">
        <v>45141</v>
      </c>
      <c r="M91" s="77"/>
      <c r="N91" s="98" t="s">
        <v>87</v>
      </c>
      <c r="O91" s="99">
        <v>45211</v>
      </c>
      <c r="P91" s="85">
        <f t="shared" si="8"/>
        <v>50</v>
      </c>
      <c r="Q91" s="86">
        <f t="shared" si="9"/>
        <v>50</v>
      </c>
      <c r="R91" s="76"/>
      <c r="S91" s="98" t="s">
        <v>88</v>
      </c>
      <c r="T91" s="99">
        <v>45257</v>
      </c>
      <c r="U91" s="85">
        <f t="shared" si="10"/>
        <v>50</v>
      </c>
      <c r="V91" s="85">
        <f t="shared" si="11"/>
        <v>1</v>
      </c>
      <c r="W91" s="88">
        <f t="shared" si="12"/>
        <v>50</v>
      </c>
      <c r="X91" s="98" t="s">
        <v>86</v>
      </c>
      <c r="Y91" s="78" t="s">
        <v>81</v>
      </c>
    </row>
    <row r="92" spans="1:25" s="78" customFormat="1" ht="11.1" customHeight="1" x14ac:dyDescent="0.2">
      <c r="A92" s="71">
        <f t="shared" si="13"/>
        <v>90</v>
      </c>
      <c r="B92" s="90" t="s">
        <v>166</v>
      </c>
      <c r="C92" s="82" t="str">
        <f>IF($B92&lt;&gt;"",_xlfn.IFNA(VLOOKUP($B92,'Node Details'!$B:$U,C$1,0),"Check"),"")</f>
        <v>00001GF15-1GF150107</v>
      </c>
      <c r="D92" s="82" t="str">
        <f>IF($B92&lt;&gt;"",_xlfn.IFNA(VLOOKUP($B92,'Node Details'!$B:$U,D$1,0),"Check"),"")</f>
        <v>1GF</v>
      </c>
      <c r="E92" s="82" t="str">
        <f>IF($B92&lt;&gt;"",_xlfn.IFNA(VLOOKUP($B92,'Node Details'!$B:$U,E$1,0),"Check"),"")</f>
        <v>Airtel</v>
      </c>
      <c r="F92" s="97">
        <v>45379</v>
      </c>
      <c r="G92" s="77"/>
      <c r="H92" s="92" t="s">
        <v>223</v>
      </c>
      <c r="I92" s="93">
        <v>1</v>
      </c>
      <c r="J92" s="93">
        <v>50</v>
      </c>
      <c r="K92" s="82">
        <f t="shared" si="7"/>
        <v>50</v>
      </c>
      <c r="L92" s="41">
        <v>45141</v>
      </c>
      <c r="M92" s="77"/>
      <c r="N92" s="98" t="s">
        <v>87</v>
      </c>
      <c r="O92" s="99">
        <v>45211</v>
      </c>
      <c r="P92" s="85">
        <f t="shared" si="8"/>
        <v>50</v>
      </c>
      <c r="Q92" s="86">
        <f t="shared" si="9"/>
        <v>50</v>
      </c>
      <c r="R92" s="76"/>
      <c r="S92" s="98" t="s">
        <v>88</v>
      </c>
      <c r="T92" s="99">
        <v>45257</v>
      </c>
      <c r="U92" s="85">
        <f t="shared" si="10"/>
        <v>50</v>
      </c>
      <c r="V92" s="85">
        <f t="shared" si="11"/>
        <v>1</v>
      </c>
      <c r="W92" s="88">
        <f t="shared" si="12"/>
        <v>50</v>
      </c>
      <c r="X92" s="98" t="s">
        <v>86</v>
      </c>
      <c r="Y92" s="78" t="s">
        <v>81</v>
      </c>
    </row>
    <row r="93" spans="1:25" s="78" customFormat="1" ht="11.1" customHeight="1" x14ac:dyDescent="0.2">
      <c r="A93" s="71">
        <f t="shared" si="13"/>
        <v>91</v>
      </c>
      <c r="B93" s="90" t="s">
        <v>167</v>
      </c>
      <c r="C93" s="82" t="str">
        <f>IF($B93&lt;&gt;"",_xlfn.IFNA(VLOOKUP($B93,'Node Details'!$B:$U,C$1,0),"Check"),"")</f>
        <v>00001GF15-1GF150107</v>
      </c>
      <c r="D93" s="82" t="str">
        <f>IF($B93&lt;&gt;"",_xlfn.IFNA(VLOOKUP($B93,'Node Details'!$B:$U,D$1,0),"Check"),"")</f>
        <v>1GF</v>
      </c>
      <c r="E93" s="82" t="str">
        <f>IF($B93&lt;&gt;"",_xlfn.IFNA(VLOOKUP($B93,'Node Details'!$B:$U,E$1,0),"Check"),"")</f>
        <v>Airtel</v>
      </c>
      <c r="F93" s="97">
        <v>45379</v>
      </c>
      <c r="G93" s="77"/>
      <c r="H93" s="92" t="s">
        <v>223</v>
      </c>
      <c r="I93" s="93">
        <v>1</v>
      </c>
      <c r="J93" s="93">
        <v>50</v>
      </c>
      <c r="K93" s="82">
        <f t="shared" si="7"/>
        <v>50</v>
      </c>
      <c r="L93" s="41">
        <v>45141</v>
      </c>
      <c r="M93" s="77"/>
      <c r="N93" s="98" t="s">
        <v>87</v>
      </c>
      <c r="O93" s="99">
        <v>45211</v>
      </c>
      <c r="P93" s="85">
        <f t="shared" si="8"/>
        <v>50</v>
      </c>
      <c r="Q93" s="86">
        <f t="shared" si="9"/>
        <v>50</v>
      </c>
      <c r="R93" s="76"/>
      <c r="S93" s="98" t="s">
        <v>88</v>
      </c>
      <c r="T93" s="99">
        <v>45257</v>
      </c>
      <c r="U93" s="85">
        <f t="shared" si="10"/>
        <v>50</v>
      </c>
      <c r="V93" s="85">
        <f t="shared" si="11"/>
        <v>1</v>
      </c>
      <c r="W93" s="88">
        <f t="shared" si="12"/>
        <v>50</v>
      </c>
      <c r="X93" s="98" t="s">
        <v>86</v>
      </c>
      <c r="Y93" s="78" t="s">
        <v>81</v>
      </c>
    </row>
    <row r="94" spans="1:25" s="78" customFormat="1" ht="11.1" customHeight="1" x14ac:dyDescent="0.2">
      <c r="A94" s="71">
        <f t="shared" si="13"/>
        <v>92</v>
      </c>
      <c r="B94" s="90" t="s">
        <v>168</v>
      </c>
      <c r="C94" s="82" t="str">
        <f>IF($B94&lt;&gt;"",_xlfn.IFNA(VLOOKUP($B94,'Node Details'!$B:$U,C$1,0),"Check"),"")</f>
        <v>00001GF15-1GF150107</v>
      </c>
      <c r="D94" s="82" t="str">
        <f>IF($B94&lt;&gt;"",_xlfn.IFNA(VLOOKUP($B94,'Node Details'!$B:$U,D$1,0),"Check"),"")</f>
        <v>1GF</v>
      </c>
      <c r="E94" s="82" t="str">
        <f>IF($B94&lt;&gt;"",_xlfn.IFNA(VLOOKUP($B94,'Node Details'!$B:$U,E$1,0),"Check"),"")</f>
        <v>Airtel</v>
      </c>
      <c r="F94" s="97">
        <v>45379</v>
      </c>
      <c r="G94" s="77"/>
      <c r="H94" s="92" t="s">
        <v>223</v>
      </c>
      <c r="I94" s="93">
        <v>1</v>
      </c>
      <c r="J94" s="93">
        <v>50</v>
      </c>
      <c r="K94" s="82">
        <f t="shared" si="7"/>
        <v>50</v>
      </c>
      <c r="L94" s="41">
        <v>45141</v>
      </c>
      <c r="M94" s="77"/>
      <c r="N94" s="98" t="s">
        <v>87</v>
      </c>
      <c r="O94" s="99">
        <v>45211</v>
      </c>
      <c r="P94" s="85">
        <f t="shared" si="8"/>
        <v>50</v>
      </c>
      <c r="Q94" s="86">
        <f t="shared" si="9"/>
        <v>50</v>
      </c>
      <c r="R94" s="76"/>
      <c r="S94" s="98" t="s">
        <v>88</v>
      </c>
      <c r="T94" s="99">
        <v>45257</v>
      </c>
      <c r="U94" s="85">
        <f t="shared" si="10"/>
        <v>50</v>
      </c>
      <c r="V94" s="85">
        <f t="shared" si="11"/>
        <v>1</v>
      </c>
      <c r="W94" s="88">
        <f t="shared" si="12"/>
        <v>50</v>
      </c>
      <c r="X94" s="98" t="s">
        <v>86</v>
      </c>
      <c r="Y94" s="78" t="s">
        <v>81</v>
      </c>
    </row>
    <row r="95" spans="1:25" s="78" customFormat="1" ht="11.1" customHeight="1" x14ac:dyDescent="0.2">
      <c r="A95" s="71">
        <f t="shared" si="13"/>
        <v>93</v>
      </c>
      <c r="B95" s="90" t="s">
        <v>169</v>
      </c>
      <c r="C95" s="82" t="str">
        <f>IF($B95&lt;&gt;"",_xlfn.IFNA(VLOOKUP($B95,'Node Details'!$B:$U,C$1,0),"Check"),"")</f>
        <v>00001GF15-1GF150107</v>
      </c>
      <c r="D95" s="82" t="str">
        <f>IF($B95&lt;&gt;"",_xlfn.IFNA(VLOOKUP($B95,'Node Details'!$B:$U,D$1,0),"Check"),"")</f>
        <v>1GF</v>
      </c>
      <c r="E95" s="82" t="str">
        <f>IF($B95&lt;&gt;"",_xlfn.IFNA(VLOOKUP($B95,'Node Details'!$B:$U,E$1,0),"Check"),"")</f>
        <v>Airtel</v>
      </c>
      <c r="F95" s="97">
        <v>45379</v>
      </c>
      <c r="G95" s="77"/>
      <c r="H95" s="92" t="s">
        <v>223</v>
      </c>
      <c r="I95" s="93">
        <v>1</v>
      </c>
      <c r="J95" s="93">
        <v>50</v>
      </c>
      <c r="K95" s="82">
        <f t="shared" si="7"/>
        <v>50</v>
      </c>
      <c r="L95" s="41">
        <v>45141</v>
      </c>
      <c r="M95" s="77"/>
      <c r="N95" s="98" t="s">
        <v>87</v>
      </c>
      <c r="O95" s="99">
        <v>45211</v>
      </c>
      <c r="P95" s="85">
        <f t="shared" si="8"/>
        <v>50</v>
      </c>
      <c r="Q95" s="86">
        <f t="shared" si="9"/>
        <v>50</v>
      </c>
      <c r="R95" s="76"/>
      <c r="S95" s="98" t="s">
        <v>88</v>
      </c>
      <c r="T95" s="99">
        <v>45257</v>
      </c>
      <c r="U95" s="85">
        <f t="shared" si="10"/>
        <v>50</v>
      </c>
      <c r="V95" s="85">
        <f t="shared" si="11"/>
        <v>1</v>
      </c>
      <c r="W95" s="88">
        <f t="shared" si="12"/>
        <v>50</v>
      </c>
      <c r="X95" s="98" t="s">
        <v>86</v>
      </c>
      <c r="Y95" s="78" t="s">
        <v>81</v>
      </c>
    </row>
    <row r="96" spans="1:25" s="78" customFormat="1" ht="11.1" customHeight="1" x14ac:dyDescent="0.2">
      <c r="A96" s="71">
        <f t="shared" si="13"/>
        <v>94</v>
      </c>
      <c r="B96" s="90" t="s">
        <v>170</v>
      </c>
      <c r="C96" s="82" t="str">
        <f>IF($B96&lt;&gt;"",_xlfn.IFNA(VLOOKUP($B96,'Node Details'!$B:$U,C$1,0),"Check"),"")</f>
        <v>00001GF15-1GF150107</v>
      </c>
      <c r="D96" s="82" t="str">
        <f>IF($B96&lt;&gt;"",_xlfn.IFNA(VLOOKUP($B96,'Node Details'!$B:$U,D$1,0),"Check"),"")</f>
        <v>1GF</v>
      </c>
      <c r="E96" s="82" t="str">
        <f>IF($B96&lt;&gt;"",_xlfn.IFNA(VLOOKUP($B96,'Node Details'!$B:$U,E$1,0),"Check"),"")</f>
        <v>Airtel</v>
      </c>
      <c r="F96" s="97">
        <v>45379</v>
      </c>
      <c r="G96" s="77"/>
      <c r="H96" s="92" t="s">
        <v>223</v>
      </c>
      <c r="I96" s="93">
        <v>1</v>
      </c>
      <c r="J96" s="93">
        <v>50</v>
      </c>
      <c r="K96" s="82">
        <f t="shared" si="7"/>
        <v>50</v>
      </c>
      <c r="L96" s="41">
        <v>45141</v>
      </c>
      <c r="M96" s="77"/>
      <c r="N96" s="98" t="s">
        <v>87</v>
      </c>
      <c r="O96" s="99">
        <v>45211</v>
      </c>
      <c r="P96" s="85">
        <f t="shared" si="8"/>
        <v>50</v>
      </c>
      <c r="Q96" s="86">
        <f t="shared" si="9"/>
        <v>50</v>
      </c>
      <c r="R96" s="76"/>
      <c r="S96" s="98" t="s">
        <v>88</v>
      </c>
      <c r="T96" s="99">
        <v>45257</v>
      </c>
      <c r="U96" s="85">
        <f t="shared" si="10"/>
        <v>50</v>
      </c>
      <c r="V96" s="85">
        <f t="shared" si="11"/>
        <v>1</v>
      </c>
      <c r="W96" s="88">
        <f t="shared" si="12"/>
        <v>50</v>
      </c>
      <c r="X96" s="98" t="s">
        <v>86</v>
      </c>
      <c r="Y96" s="78" t="s">
        <v>81</v>
      </c>
    </row>
    <row r="97" spans="1:25" s="78" customFormat="1" ht="11.1" customHeight="1" x14ac:dyDescent="0.2">
      <c r="A97" s="71">
        <f t="shared" si="13"/>
        <v>95</v>
      </c>
      <c r="B97" s="90" t="s">
        <v>171</v>
      </c>
      <c r="C97" s="82" t="str">
        <f>IF($B97&lt;&gt;"",_xlfn.IFNA(VLOOKUP($B97,'Node Details'!$B:$U,C$1,0),"Check"),"")</f>
        <v>00001GF15-1GF150107</v>
      </c>
      <c r="D97" s="82" t="str">
        <f>IF($B97&lt;&gt;"",_xlfn.IFNA(VLOOKUP($B97,'Node Details'!$B:$U,D$1,0),"Check"),"")</f>
        <v>1GF</v>
      </c>
      <c r="E97" s="82" t="str">
        <f>IF($B97&lt;&gt;"",_xlfn.IFNA(VLOOKUP($B97,'Node Details'!$B:$U,E$1,0),"Check"),"")</f>
        <v>Airtel</v>
      </c>
      <c r="F97" s="97">
        <v>45379</v>
      </c>
      <c r="G97" s="77"/>
      <c r="H97" s="92" t="s">
        <v>223</v>
      </c>
      <c r="I97" s="93">
        <v>1</v>
      </c>
      <c r="J97" s="93">
        <v>50</v>
      </c>
      <c r="K97" s="82">
        <f t="shared" si="7"/>
        <v>50</v>
      </c>
      <c r="L97" s="41">
        <v>45141</v>
      </c>
      <c r="M97" s="77"/>
      <c r="N97" s="98" t="s">
        <v>87</v>
      </c>
      <c r="O97" s="99">
        <v>45211</v>
      </c>
      <c r="P97" s="85">
        <f t="shared" si="8"/>
        <v>50</v>
      </c>
      <c r="Q97" s="86">
        <f t="shared" si="9"/>
        <v>50</v>
      </c>
      <c r="R97" s="76"/>
      <c r="S97" s="98" t="s">
        <v>88</v>
      </c>
      <c r="T97" s="99">
        <v>45257</v>
      </c>
      <c r="U97" s="85">
        <f t="shared" si="10"/>
        <v>50</v>
      </c>
      <c r="V97" s="85">
        <f t="shared" si="11"/>
        <v>1</v>
      </c>
      <c r="W97" s="88">
        <f t="shared" si="12"/>
        <v>50</v>
      </c>
      <c r="X97" s="98" t="s">
        <v>86</v>
      </c>
      <c r="Y97" s="78" t="s">
        <v>81</v>
      </c>
    </row>
    <row r="98" spans="1:25" s="78" customFormat="1" ht="11.1" customHeight="1" x14ac:dyDescent="0.2">
      <c r="A98" s="71">
        <f t="shared" si="13"/>
        <v>96</v>
      </c>
      <c r="B98" s="90" t="s">
        <v>109</v>
      </c>
      <c r="C98" s="82" t="str">
        <f>IF($B98&lt;&gt;"",_xlfn.IFNA(VLOOKUP($B98,'Node Details'!$B:$U,C$1,0),"Check"),"")</f>
        <v>00001GF15-1GF150107</v>
      </c>
      <c r="D98" s="82" t="str">
        <f>IF($B98&lt;&gt;"",_xlfn.IFNA(VLOOKUP($B98,'Node Details'!$B:$U,D$1,0),"Check"),"")</f>
        <v>1GF</v>
      </c>
      <c r="E98" s="82" t="str">
        <f>IF($B98&lt;&gt;"",_xlfn.IFNA(VLOOKUP($B98,'Node Details'!$B:$U,E$1,0),"Check"),"")</f>
        <v>Airtel</v>
      </c>
      <c r="F98" s="97">
        <v>45379</v>
      </c>
      <c r="G98" s="77"/>
      <c r="H98" s="92" t="s">
        <v>223</v>
      </c>
      <c r="I98" s="93">
        <v>1</v>
      </c>
      <c r="J98" s="93">
        <v>50</v>
      </c>
      <c r="K98" s="82">
        <f t="shared" si="7"/>
        <v>50</v>
      </c>
      <c r="L98" s="41">
        <v>45141</v>
      </c>
      <c r="M98" s="77"/>
      <c r="N98" s="98" t="s">
        <v>87</v>
      </c>
      <c r="O98" s="99">
        <v>45211</v>
      </c>
      <c r="P98" s="85">
        <f t="shared" si="8"/>
        <v>50</v>
      </c>
      <c r="Q98" s="86">
        <f t="shared" si="9"/>
        <v>50</v>
      </c>
      <c r="R98" s="76"/>
      <c r="S98" s="98" t="s">
        <v>88</v>
      </c>
      <c r="T98" s="99">
        <v>45257</v>
      </c>
      <c r="U98" s="85">
        <f t="shared" si="10"/>
        <v>50</v>
      </c>
      <c r="V98" s="85">
        <f t="shared" si="11"/>
        <v>1</v>
      </c>
      <c r="W98" s="88">
        <f t="shared" si="12"/>
        <v>50</v>
      </c>
      <c r="X98" s="98" t="s">
        <v>86</v>
      </c>
      <c r="Y98" s="78" t="s">
        <v>81</v>
      </c>
    </row>
    <row r="99" spans="1:25" s="78" customFormat="1" ht="11.1" customHeight="1" x14ac:dyDescent="0.2">
      <c r="A99" s="71">
        <f t="shared" si="13"/>
        <v>97</v>
      </c>
      <c r="B99" s="90" t="s">
        <v>172</v>
      </c>
      <c r="C99" s="82" t="str">
        <f>IF($B99&lt;&gt;"",_xlfn.IFNA(VLOOKUP($B99,'Node Details'!$B:$U,C$1,0),"Check"),"")</f>
        <v>00001GF16-1GF160107</v>
      </c>
      <c r="D99" s="82" t="str">
        <f>IF($B99&lt;&gt;"",_xlfn.IFNA(VLOOKUP($B99,'Node Details'!$B:$U,D$1,0),"Check"),"")</f>
        <v>1GF</v>
      </c>
      <c r="E99" s="82" t="str">
        <f>IF($B99&lt;&gt;"",_xlfn.IFNA(VLOOKUP($B99,'Node Details'!$B:$U,E$1,0),"Check"),"")</f>
        <v>Airtel</v>
      </c>
      <c r="F99" s="97">
        <v>45379</v>
      </c>
      <c r="G99" s="77"/>
      <c r="H99" s="92" t="s">
        <v>223</v>
      </c>
      <c r="I99" s="93">
        <v>1</v>
      </c>
      <c r="J99" s="93">
        <v>50</v>
      </c>
      <c r="K99" s="82">
        <f t="shared" si="7"/>
        <v>50</v>
      </c>
      <c r="L99" s="41">
        <v>45141</v>
      </c>
      <c r="M99" s="77"/>
      <c r="N99" s="98" t="s">
        <v>87</v>
      </c>
      <c r="O99" s="99">
        <v>45211</v>
      </c>
      <c r="P99" s="85">
        <f t="shared" si="8"/>
        <v>50</v>
      </c>
      <c r="Q99" s="86">
        <f t="shared" si="9"/>
        <v>50</v>
      </c>
      <c r="R99" s="76"/>
      <c r="S99" s="98" t="s">
        <v>88</v>
      </c>
      <c r="T99" s="99">
        <v>45257</v>
      </c>
      <c r="U99" s="85">
        <f t="shared" si="10"/>
        <v>50</v>
      </c>
      <c r="V99" s="85">
        <f t="shared" si="11"/>
        <v>1</v>
      </c>
      <c r="W99" s="88">
        <f t="shared" si="12"/>
        <v>50</v>
      </c>
      <c r="X99" s="98" t="s">
        <v>86</v>
      </c>
      <c r="Y99" s="78" t="s">
        <v>81</v>
      </c>
    </row>
    <row r="100" spans="1:25" s="78" customFormat="1" ht="11.1" customHeight="1" x14ac:dyDescent="0.2">
      <c r="A100" s="71">
        <f t="shared" si="13"/>
        <v>98</v>
      </c>
      <c r="B100" s="90" t="s">
        <v>173</v>
      </c>
      <c r="C100" s="82" t="str">
        <f>IF($B100&lt;&gt;"",_xlfn.IFNA(VLOOKUP($B100,'Node Details'!$B:$U,C$1,0),"Check"),"")</f>
        <v>00001GF16-1GF160107</v>
      </c>
      <c r="D100" s="82" t="str">
        <f>IF($B100&lt;&gt;"",_xlfn.IFNA(VLOOKUP($B100,'Node Details'!$B:$U,D$1,0),"Check"),"")</f>
        <v>1GF</v>
      </c>
      <c r="E100" s="82" t="str">
        <f>IF($B100&lt;&gt;"",_xlfn.IFNA(VLOOKUP($B100,'Node Details'!$B:$U,E$1,0),"Check"),"")</f>
        <v>Airtel</v>
      </c>
      <c r="F100" s="97">
        <v>45379</v>
      </c>
      <c r="G100" s="77"/>
      <c r="H100" s="92" t="s">
        <v>223</v>
      </c>
      <c r="I100" s="93">
        <v>1</v>
      </c>
      <c r="J100" s="93">
        <v>50</v>
      </c>
      <c r="K100" s="82">
        <f t="shared" si="7"/>
        <v>50</v>
      </c>
      <c r="L100" s="41">
        <v>45141</v>
      </c>
      <c r="M100" s="77"/>
      <c r="N100" s="98" t="s">
        <v>87</v>
      </c>
      <c r="O100" s="99">
        <v>45211</v>
      </c>
      <c r="P100" s="85">
        <f t="shared" si="8"/>
        <v>50</v>
      </c>
      <c r="Q100" s="86">
        <f t="shared" si="9"/>
        <v>50</v>
      </c>
      <c r="R100" s="76"/>
      <c r="S100" s="98" t="s">
        <v>88</v>
      </c>
      <c r="T100" s="99">
        <v>45257</v>
      </c>
      <c r="U100" s="85">
        <f t="shared" si="10"/>
        <v>50</v>
      </c>
      <c r="V100" s="85">
        <f t="shared" si="11"/>
        <v>1</v>
      </c>
      <c r="W100" s="88">
        <f t="shared" si="12"/>
        <v>50</v>
      </c>
      <c r="X100" s="98" t="s">
        <v>86</v>
      </c>
      <c r="Y100" s="78" t="s">
        <v>81</v>
      </c>
    </row>
    <row r="101" spans="1:25" s="78" customFormat="1" ht="11.1" customHeight="1" x14ac:dyDescent="0.2">
      <c r="A101" s="71">
        <f t="shared" si="13"/>
        <v>99</v>
      </c>
      <c r="B101" s="90" t="s">
        <v>174</v>
      </c>
      <c r="C101" s="82" t="str">
        <f>IF($B101&lt;&gt;"",_xlfn.IFNA(VLOOKUP($B101,'Node Details'!$B:$U,C$1,0),"Check"),"")</f>
        <v>00001GF16-1GF160107</v>
      </c>
      <c r="D101" s="82" t="str">
        <f>IF($B101&lt;&gt;"",_xlfn.IFNA(VLOOKUP($B101,'Node Details'!$B:$U,D$1,0),"Check"),"")</f>
        <v>1GF</v>
      </c>
      <c r="E101" s="82" t="str">
        <f>IF($B101&lt;&gt;"",_xlfn.IFNA(VLOOKUP($B101,'Node Details'!$B:$U,E$1,0),"Check"),"")</f>
        <v>Airtel</v>
      </c>
      <c r="F101" s="97">
        <v>45379</v>
      </c>
      <c r="G101" s="77"/>
      <c r="H101" s="92" t="s">
        <v>223</v>
      </c>
      <c r="I101" s="93">
        <v>1</v>
      </c>
      <c r="J101" s="93">
        <v>50</v>
      </c>
      <c r="K101" s="82">
        <f t="shared" si="7"/>
        <v>50</v>
      </c>
      <c r="L101" s="41">
        <v>45141</v>
      </c>
      <c r="M101" s="77"/>
      <c r="N101" s="98" t="s">
        <v>87</v>
      </c>
      <c r="O101" s="99">
        <v>45211</v>
      </c>
      <c r="P101" s="85">
        <f t="shared" si="8"/>
        <v>50</v>
      </c>
      <c r="Q101" s="86">
        <f t="shared" si="9"/>
        <v>50</v>
      </c>
      <c r="R101" s="76"/>
      <c r="S101" s="98" t="s">
        <v>88</v>
      </c>
      <c r="T101" s="99">
        <v>45257</v>
      </c>
      <c r="U101" s="85">
        <f t="shared" si="10"/>
        <v>50</v>
      </c>
      <c r="V101" s="85">
        <f t="shared" si="11"/>
        <v>1</v>
      </c>
      <c r="W101" s="88">
        <f t="shared" si="12"/>
        <v>50</v>
      </c>
      <c r="X101" s="98" t="s">
        <v>86</v>
      </c>
      <c r="Y101" s="78" t="s">
        <v>81</v>
      </c>
    </row>
    <row r="102" spans="1:25" s="78" customFormat="1" ht="11.1" customHeight="1" x14ac:dyDescent="0.2">
      <c r="A102" s="71">
        <f t="shared" si="13"/>
        <v>100</v>
      </c>
      <c r="B102" s="90" t="s">
        <v>175</v>
      </c>
      <c r="C102" s="82" t="str">
        <f>IF($B102&lt;&gt;"",_xlfn.IFNA(VLOOKUP($B102,'Node Details'!$B:$U,C$1,0),"Check"),"")</f>
        <v>00001GF16-1GF160107</v>
      </c>
      <c r="D102" s="82" t="str">
        <f>IF($B102&lt;&gt;"",_xlfn.IFNA(VLOOKUP($B102,'Node Details'!$B:$U,D$1,0),"Check"),"")</f>
        <v>1GF</v>
      </c>
      <c r="E102" s="82" t="str">
        <f>IF($B102&lt;&gt;"",_xlfn.IFNA(VLOOKUP($B102,'Node Details'!$B:$U,E$1,0),"Check"),"")</f>
        <v>Airtel</v>
      </c>
      <c r="F102" s="97">
        <v>45379</v>
      </c>
      <c r="G102" s="77"/>
      <c r="H102" s="92" t="s">
        <v>223</v>
      </c>
      <c r="I102" s="93">
        <v>1</v>
      </c>
      <c r="J102" s="93">
        <v>50</v>
      </c>
      <c r="K102" s="82">
        <f t="shared" si="7"/>
        <v>50</v>
      </c>
      <c r="L102" s="41">
        <v>45141</v>
      </c>
      <c r="M102" s="77"/>
      <c r="N102" s="98" t="s">
        <v>87</v>
      </c>
      <c r="O102" s="99">
        <v>45211</v>
      </c>
      <c r="P102" s="85">
        <f t="shared" si="8"/>
        <v>50</v>
      </c>
      <c r="Q102" s="86">
        <f t="shared" si="9"/>
        <v>50</v>
      </c>
      <c r="R102" s="76"/>
      <c r="S102" s="98" t="s">
        <v>88</v>
      </c>
      <c r="T102" s="99">
        <v>45257</v>
      </c>
      <c r="U102" s="85">
        <f t="shared" si="10"/>
        <v>50</v>
      </c>
      <c r="V102" s="85">
        <f t="shared" si="11"/>
        <v>1</v>
      </c>
      <c r="W102" s="88">
        <f t="shared" si="12"/>
        <v>50</v>
      </c>
      <c r="X102" s="98" t="s">
        <v>86</v>
      </c>
      <c r="Y102" s="78" t="s">
        <v>81</v>
      </c>
    </row>
    <row r="103" spans="1:25" s="78" customFormat="1" ht="11.1" customHeight="1" x14ac:dyDescent="0.2">
      <c r="A103" s="71">
        <f t="shared" si="13"/>
        <v>101</v>
      </c>
      <c r="B103" s="90" t="s">
        <v>176</v>
      </c>
      <c r="C103" s="82" t="str">
        <f>IF($B103&lt;&gt;"",_xlfn.IFNA(VLOOKUP($B103,'Node Details'!$B:$U,C$1,0),"Check"),"")</f>
        <v>00001GF16-1GF160107</v>
      </c>
      <c r="D103" s="82" t="str">
        <f>IF($B103&lt;&gt;"",_xlfn.IFNA(VLOOKUP($B103,'Node Details'!$B:$U,D$1,0),"Check"),"")</f>
        <v>1GF</v>
      </c>
      <c r="E103" s="82" t="str">
        <f>IF($B103&lt;&gt;"",_xlfn.IFNA(VLOOKUP($B103,'Node Details'!$B:$U,E$1,0),"Check"),"")</f>
        <v>Airtel</v>
      </c>
      <c r="F103" s="97">
        <v>45379</v>
      </c>
      <c r="G103" s="77"/>
      <c r="H103" s="92" t="s">
        <v>223</v>
      </c>
      <c r="I103" s="93">
        <v>1</v>
      </c>
      <c r="J103" s="93">
        <v>50</v>
      </c>
      <c r="K103" s="82">
        <f t="shared" si="7"/>
        <v>50</v>
      </c>
      <c r="L103" s="41">
        <v>45141</v>
      </c>
      <c r="M103" s="77"/>
      <c r="N103" s="98" t="s">
        <v>87</v>
      </c>
      <c r="O103" s="99">
        <v>45211</v>
      </c>
      <c r="P103" s="85">
        <f t="shared" si="8"/>
        <v>50</v>
      </c>
      <c r="Q103" s="86">
        <f t="shared" si="9"/>
        <v>50</v>
      </c>
      <c r="R103" s="76"/>
      <c r="S103" s="98" t="s">
        <v>88</v>
      </c>
      <c r="T103" s="99">
        <v>45257</v>
      </c>
      <c r="U103" s="85">
        <f t="shared" si="10"/>
        <v>50</v>
      </c>
      <c r="V103" s="85">
        <f t="shared" si="11"/>
        <v>1</v>
      </c>
      <c r="W103" s="88">
        <f t="shared" si="12"/>
        <v>50</v>
      </c>
      <c r="X103" s="98" t="s">
        <v>86</v>
      </c>
      <c r="Y103" s="78" t="s">
        <v>81</v>
      </c>
    </row>
    <row r="104" spans="1:25" s="78" customFormat="1" ht="11.1" customHeight="1" x14ac:dyDescent="0.2">
      <c r="A104" s="71">
        <f t="shared" si="13"/>
        <v>102</v>
      </c>
      <c r="B104" s="90" t="s">
        <v>177</v>
      </c>
      <c r="C104" s="82" t="str">
        <f>IF($B104&lt;&gt;"",_xlfn.IFNA(VLOOKUP($B104,'Node Details'!$B:$U,C$1,0),"Check"),"")</f>
        <v>00001GF16-1GF160107</v>
      </c>
      <c r="D104" s="82" t="str">
        <f>IF($B104&lt;&gt;"",_xlfn.IFNA(VLOOKUP($B104,'Node Details'!$B:$U,D$1,0),"Check"),"")</f>
        <v>1GF</v>
      </c>
      <c r="E104" s="82" t="str">
        <f>IF($B104&lt;&gt;"",_xlfn.IFNA(VLOOKUP($B104,'Node Details'!$B:$U,E$1,0),"Check"),"")</f>
        <v>Airtel</v>
      </c>
      <c r="F104" s="97">
        <v>45379</v>
      </c>
      <c r="G104" s="77"/>
      <c r="H104" s="92" t="s">
        <v>223</v>
      </c>
      <c r="I104" s="93">
        <v>1</v>
      </c>
      <c r="J104" s="93">
        <v>50</v>
      </c>
      <c r="K104" s="82">
        <f t="shared" si="7"/>
        <v>50</v>
      </c>
      <c r="L104" s="41">
        <v>45141</v>
      </c>
      <c r="M104" s="77"/>
      <c r="N104" s="98" t="s">
        <v>87</v>
      </c>
      <c r="O104" s="99">
        <v>45211</v>
      </c>
      <c r="P104" s="85">
        <f t="shared" si="8"/>
        <v>50</v>
      </c>
      <c r="Q104" s="86">
        <f t="shared" si="9"/>
        <v>50</v>
      </c>
      <c r="R104" s="76"/>
      <c r="S104" s="98" t="s">
        <v>88</v>
      </c>
      <c r="T104" s="99">
        <v>45257</v>
      </c>
      <c r="U104" s="85">
        <f t="shared" si="10"/>
        <v>50</v>
      </c>
      <c r="V104" s="85">
        <f t="shared" si="11"/>
        <v>1</v>
      </c>
      <c r="W104" s="88">
        <f t="shared" si="12"/>
        <v>50</v>
      </c>
      <c r="X104" s="98" t="s">
        <v>86</v>
      </c>
      <c r="Y104" s="78" t="s">
        <v>81</v>
      </c>
    </row>
    <row r="105" spans="1:25" s="78" customFormat="1" ht="11.1" customHeight="1" x14ac:dyDescent="0.2">
      <c r="A105" s="71">
        <f t="shared" si="13"/>
        <v>103</v>
      </c>
      <c r="B105" s="90" t="s">
        <v>113</v>
      </c>
      <c r="C105" s="82" t="str">
        <f>IF($B105&lt;&gt;"",_xlfn.IFNA(VLOOKUP($B105,'Node Details'!$B:$U,C$1,0),"Check"),"")</f>
        <v>00001GF16-1GF160107</v>
      </c>
      <c r="D105" s="82" t="str">
        <f>IF($B105&lt;&gt;"",_xlfn.IFNA(VLOOKUP($B105,'Node Details'!$B:$U,D$1,0),"Check"),"")</f>
        <v>1GF</v>
      </c>
      <c r="E105" s="82" t="str">
        <f>IF($B105&lt;&gt;"",_xlfn.IFNA(VLOOKUP($B105,'Node Details'!$B:$U,E$1,0),"Check"),"")</f>
        <v>Airtel</v>
      </c>
      <c r="F105" s="97">
        <v>45379</v>
      </c>
      <c r="G105" s="77"/>
      <c r="H105" s="92" t="s">
        <v>223</v>
      </c>
      <c r="I105" s="93">
        <v>1</v>
      </c>
      <c r="J105" s="93">
        <v>50</v>
      </c>
      <c r="K105" s="82">
        <f t="shared" si="7"/>
        <v>50</v>
      </c>
      <c r="L105" s="41">
        <v>45141</v>
      </c>
      <c r="M105" s="77"/>
      <c r="N105" s="98" t="s">
        <v>87</v>
      </c>
      <c r="O105" s="99">
        <v>45211</v>
      </c>
      <c r="P105" s="85">
        <f t="shared" si="8"/>
        <v>50</v>
      </c>
      <c r="Q105" s="86">
        <f t="shared" si="9"/>
        <v>50</v>
      </c>
      <c r="R105" s="76"/>
      <c r="S105" s="98" t="s">
        <v>88</v>
      </c>
      <c r="T105" s="99">
        <v>45257</v>
      </c>
      <c r="U105" s="85">
        <f t="shared" si="10"/>
        <v>50</v>
      </c>
      <c r="V105" s="85">
        <f t="shared" si="11"/>
        <v>1</v>
      </c>
      <c r="W105" s="88">
        <f t="shared" si="12"/>
        <v>50</v>
      </c>
      <c r="X105" s="98" t="s">
        <v>86</v>
      </c>
      <c r="Y105" s="78" t="s">
        <v>81</v>
      </c>
    </row>
    <row r="106" spans="1:25" s="78" customFormat="1" ht="11.1" customHeight="1" x14ac:dyDescent="0.2">
      <c r="A106" s="71">
        <f t="shared" si="13"/>
        <v>104</v>
      </c>
      <c r="B106" s="90" t="s">
        <v>178</v>
      </c>
      <c r="C106" s="82" t="str">
        <f>IF($B106&lt;&gt;"",_xlfn.IFNA(VLOOKUP($B106,'Node Details'!$B:$U,C$1,0),"Check"),"")</f>
        <v>00001GF17-1GF170104</v>
      </c>
      <c r="D106" s="82" t="str">
        <f>IF($B106&lt;&gt;"",_xlfn.IFNA(VLOOKUP($B106,'Node Details'!$B:$U,D$1,0),"Check"),"")</f>
        <v>1GF</v>
      </c>
      <c r="E106" s="82" t="str">
        <f>IF($B106&lt;&gt;"",_xlfn.IFNA(VLOOKUP($B106,'Node Details'!$B:$U,E$1,0),"Check"),"")</f>
        <v>Airtel</v>
      </c>
      <c r="F106" s="97">
        <v>45379</v>
      </c>
      <c r="G106" s="77"/>
      <c r="H106" s="92" t="s">
        <v>223</v>
      </c>
      <c r="I106" s="93">
        <v>1</v>
      </c>
      <c r="J106" s="93">
        <v>50</v>
      </c>
      <c r="K106" s="82">
        <f t="shared" si="7"/>
        <v>50</v>
      </c>
      <c r="L106" s="41">
        <v>45141</v>
      </c>
      <c r="M106" s="77"/>
      <c r="N106" s="98" t="s">
        <v>87</v>
      </c>
      <c r="O106" s="99">
        <v>45211</v>
      </c>
      <c r="P106" s="85">
        <f t="shared" si="8"/>
        <v>50</v>
      </c>
      <c r="Q106" s="86">
        <f t="shared" si="9"/>
        <v>50</v>
      </c>
      <c r="R106" s="76"/>
      <c r="S106" s="98" t="s">
        <v>88</v>
      </c>
      <c r="T106" s="99">
        <v>45257</v>
      </c>
      <c r="U106" s="85">
        <f t="shared" si="10"/>
        <v>50</v>
      </c>
      <c r="V106" s="85">
        <f t="shared" si="11"/>
        <v>1</v>
      </c>
      <c r="W106" s="88">
        <f t="shared" si="12"/>
        <v>50</v>
      </c>
      <c r="X106" s="98" t="s">
        <v>86</v>
      </c>
      <c r="Y106" s="78" t="s">
        <v>81</v>
      </c>
    </row>
    <row r="107" spans="1:25" s="78" customFormat="1" ht="11.1" customHeight="1" x14ac:dyDescent="0.2">
      <c r="A107" s="71">
        <f t="shared" si="13"/>
        <v>105</v>
      </c>
      <c r="B107" s="90" t="s">
        <v>179</v>
      </c>
      <c r="C107" s="82" t="str">
        <f>IF($B107&lt;&gt;"",_xlfn.IFNA(VLOOKUP($B107,'Node Details'!$B:$U,C$1,0),"Check"),"")</f>
        <v>00001GF17-1GF170104</v>
      </c>
      <c r="D107" s="82" t="str">
        <f>IF($B107&lt;&gt;"",_xlfn.IFNA(VLOOKUP($B107,'Node Details'!$B:$U,D$1,0),"Check"),"")</f>
        <v>1GF</v>
      </c>
      <c r="E107" s="82" t="str">
        <f>IF($B107&lt;&gt;"",_xlfn.IFNA(VLOOKUP($B107,'Node Details'!$B:$U,E$1,0),"Check"),"")</f>
        <v>Airtel</v>
      </c>
      <c r="F107" s="97">
        <v>45379</v>
      </c>
      <c r="G107" s="77"/>
      <c r="H107" s="92" t="s">
        <v>223</v>
      </c>
      <c r="I107" s="93">
        <v>1</v>
      </c>
      <c r="J107" s="93">
        <v>50</v>
      </c>
      <c r="K107" s="82">
        <f t="shared" si="7"/>
        <v>50</v>
      </c>
      <c r="L107" s="41">
        <v>45141</v>
      </c>
      <c r="M107" s="77"/>
      <c r="N107" s="98" t="s">
        <v>87</v>
      </c>
      <c r="O107" s="99">
        <v>45211</v>
      </c>
      <c r="P107" s="85">
        <f t="shared" si="8"/>
        <v>50</v>
      </c>
      <c r="Q107" s="86">
        <f t="shared" si="9"/>
        <v>50</v>
      </c>
      <c r="R107" s="76"/>
      <c r="S107" s="98" t="s">
        <v>88</v>
      </c>
      <c r="T107" s="99">
        <v>45257</v>
      </c>
      <c r="U107" s="85">
        <f t="shared" si="10"/>
        <v>50</v>
      </c>
      <c r="V107" s="85">
        <f t="shared" si="11"/>
        <v>1</v>
      </c>
      <c r="W107" s="88">
        <f t="shared" si="12"/>
        <v>50</v>
      </c>
      <c r="X107" s="98" t="s">
        <v>86</v>
      </c>
      <c r="Y107" s="78" t="s">
        <v>81</v>
      </c>
    </row>
    <row r="108" spans="1:25" s="78" customFormat="1" ht="11.1" customHeight="1" x14ac:dyDescent="0.2">
      <c r="A108" s="71">
        <f t="shared" si="13"/>
        <v>106</v>
      </c>
      <c r="B108" s="90" t="s">
        <v>180</v>
      </c>
      <c r="C108" s="82" t="str">
        <f>IF($B108&lt;&gt;"",_xlfn.IFNA(VLOOKUP($B108,'Node Details'!$B:$U,C$1,0),"Check"),"")</f>
        <v>00001GF17-1GF170104</v>
      </c>
      <c r="D108" s="82" t="str">
        <f>IF($B108&lt;&gt;"",_xlfn.IFNA(VLOOKUP($B108,'Node Details'!$B:$U,D$1,0),"Check"),"")</f>
        <v>1GF</v>
      </c>
      <c r="E108" s="82" t="str">
        <f>IF($B108&lt;&gt;"",_xlfn.IFNA(VLOOKUP($B108,'Node Details'!$B:$U,E$1,0),"Check"),"")</f>
        <v>Airtel</v>
      </c>
      <c r="F108" s="97">
        <v>45379</v>
      </c>
      <c r="G108" s="77"/>
      <c r="H108" s="92" t="s">
        <v>223</v>
      </c>
      <c r="I108" s="93">
        <v>1</v>
      </c>
      <c r="J108" s="93">
        <v>50</v>
      </c>
      <c r="K108" s="82">
        <f t="shared" si="7"/>
        <v>50</v>
      </c>
      <c r="L108" s="41">
        <v>45141</v>
      </c>
      <c r="M108" s="77"/>
      <c r="N108" s="98" t="s">
        <v>87</v>
      </c>
      <c r="O108" s="99">
        <v>45211</v>
      </c>
      <c r="P108" s="85">
        <f t="shared" si="8"/>
        <v>50</v>
      </c>
      <c r="Q108" s="86">
        <f t="shared" si="9"/>
        <v>50</v>
      </c>
      <c r="R108" s="76"/>
      <c r="S108" s="98" t="s">
        <v>88</v>
      </c>
      <c r="T108" s="99">
        <v>45257</v>
      </c>
      <c r="U108" s="85">
        <f t="shared" si="10"/>
        <v>50</v>
      </c>
      <c r="V108" s="85">
        <f t="shared" si="11"/>
        <v>1</v>
      </c>
      <c r="W108" s="88">
        <f t="shared" si="12"/>
        <v>50</v>
      </c>
      <c r="X108" s="98" t="s">
        <v>86</v>
      </c>
      <c r="Y108" s="78" t="s">
        <v>81</v>
      </c>
    </row>
    <row r="109" spans="1:25" s="78" customFormat="1" ht="11.1" customHeight="1" x14ac:dyDescent="0.2">
      <c r="A109" s="71">
        <f t="shared" si="13"/>
        <v>107</v>
      </c>
      <c r="B109" s="90" t="s">
        <v>117</v>
      </c>
      <c r="C109" s="82" t="str">
        <f>IF($B109&lt;&gt;"",_xlfn.IFNA(VLOOKUP($B109,'Node Details'!$B:$U,C$1,0),"Check"),"")</f>
        <v>00001GF17-1GF170104</v>
      </c>
      <c r="D109" s="82" t="str">
        <f>IF($B109&lt;&gt;"",_xlfn.IFNA(VLOOKUP($B109,'Node Details'!$B:$U,D$1,0),"Check"),"")</f>
        <v>1GF</v>
      </c>
      <c r="E109" s="82" t="str">
        <f>IF($B109&lt;&gt;"",_xlfn.IFNA(VLOOKUP($B109,'Node Details'!$B:$U,E$1,0),"Check"),"")</f>
        <v>Airtel</v>
      </c>
      <c r="F109" s="97">
        <v>45379</v>
      </c>
      <c r="G109" s="77"/>
      <c r="H109" s="92" t="s">
        <v>223</v>
      </c>
      <c r="I109" s="93">
        <v>1</v>
      </c>
      <c r="J109" s="93">
        <v>50</v>
      </c>
      <c r="K109" s="82">
        <f t="shared" si="7"/>
        <v>50</v>
      </c>
      <c r="L109" s="41">
        <v>45141</v>
      </c>
      <c r="M109" s="77"/>
      <c r="N109" s="98" t="s">
        <v>87</v>
      </c>
      <c r="O109" s="99">
        <v>45211</v>
      </c>
      <c r="P109" s="85">
        <f t="shared" si="8"/>
        <v>50</v>
      </c>
      <c r="Q109" s="86">
        <f t="shared" si="9"/>
        <v>50</v>
      </c>
      <c r="R109" s="76"/>
      <c r="S109" s="98" t="s">
        <v>88</v>
      </c>
      <c r="T109" s="99">
        <v>45257</v>
      </c>
      <c r="U109" s="85">
        <f t="shared" si="10"/>
        <v>50</v>
      </c>
      <c r="V109" s="85">
        <f t="shared" si="11"/>
        <v>1</v>
      </c>
      <c r="W109" s="88">
        <f t="shared" si="12"/>
        <v>50</v>
      </c>
      <c r="X109" s="98" t="s">
        <v>86</v>
      </c>
      <c r="Y109" s="78" t="s">
        <v>81</v>
      </c>
    </row>
    <row r="110" spans="1:25" s="78" customFormat="1" ht="11.1" customHeight="1" x14ac:dyDescent="0.2">
      <c r="A110" s="71">
        <f t="shared" si="13"/>
        <v>108</v>
      </c>
      <c r="B110" s="90" t="s">
        <v>181</v>
      </c>
      <c r="C110" s="82" t="str">
        <f>IF($B110&lt;&gt;"",_xlfn.IFNA(VLOOKUP($B110,'Node Details'!$B:$U,C$1,0),"Check"),"")</f>
        <v>00001GF18-1GF180104</v>
      </c>
      <c r="D110" s="82" t="str">
        <f>IF($B110&lt;&gt;"",_xlfn.IFNA(VLOOKUP($B110,'Node Details'!$B:$U,D$1,0),"Check"),"")</f>
        <v>1GF</v>
      </c>
      <c r="E110" s="82" t="str">
        <f>IF($B110&lt;&gt;"",_xlfn.IFNA(VLOOKUP($B110,'Node Details'!$B:$U,E$1,0),"Check"),"")</f>
        <v>Airtel</v>
      </c>
      <c r="F110" s="97">
        <v>45379</v>
      </c>
      <c r="G110" s="77"/>
      <c r="H110" s="92" t="s">
        <v>223</v>
      </c>
      <c r="I110" s="93">
        <v>1</v>
      </c>
      <c r="J110" s="93">
        <v>50</v>
      </c>
      <c r="K110" s="82">
        <f t="shared" si="7"/>
        <v>50</v>
      </c>
      <c r="L110" s="41">
        <v>45141</v>
      </c>
      <c r="M110" s="77"/>
      <c r="N110" s="98" t="s">
        <v>87</v>
      </c>
      <c r="O110" s="99">
        <v>45211</v>
      </c>
      <c r="P110" s="85">
        <f t="shared" si="8"/>
        <v>50</v>
      </c>
      <c r="Q110" s="86">
        <f t="shared" si="9"/>
        <v>50</v>
      </c>
      <c r="R110" s="76"/>
      <c r="S110" s="98" t="s">
        <v>88</v>
      </c>
      <c r="T110" s="99">
        <v>45257</v>
      </c>
      <c r="U110" s="85">
        <f t="shared" si="10"/>
        <v>50</v>
      </c>
      <c r="V110" s="85">
        <f t="shared" si="11"/>
        <v>1</v>
      </c>
      <c r="W110" s="88">
        <f t="shared" si="12"/>
        <v>50</v>
      </c>
      <c r="X110" s="98" t="s">
        <v>86</v>
      </c>
      <c r="Y110" s="78" t="s">
        <v>81</v>
      </c>
    </row>
    <row r="111" spans="1:25" s="78" customFormat="1" ht="11.1" customHeight="1" x14ac:dyDescent="0.2">
      <c r="A111" s="71">
        <f t="shared" si="13"/>
        <v>109</v>
      </c>
      <c r="B111" s="90" t="s">
        <v>182</v>
      </c>
      <c r="C111" s="82" t="str">
        <f>IF($B111&lt;&gt;"",_xlfn.IFNA(VLOOKUP($B111,'Node Details'!$B:$U,C$1,0),"Check"),"")</f>
        <v>00001GF18-1GF180104</v>
      </c>
      <c r="D111" s="82" t="str">
        <f>IF($B111&lt;&gt;"",_xlfn.IFNA(VLOOKUP($B111,'Node Details'!$B:$U,D$1,0),"Check"),"")</f>
        <v>1GF</v>
      </c>
      <c r="E111" s="82" t="str">
        <f>IF($B111&lt;&gt;"",_xlfn.IFNA(VLOOKUP($B111,'Node Details'!$B:$U,E$1,0),"Check"),"")</f>
        <v>Airtel</v>
      </c>
      <c r="F111" s="97">
        <v>45379</v>
      </c>
      <c r="G111" s="77"/>
      <c r="H111" s="92" t="s">
        <v>223</v>
      </c>
      <c r="I111" s="93">
        <v>1</v>
      </c>
      <c r="J111" s="93">
        <v>50</v>
      </c>
      <c r="K111" s="82">
        <f t="shared" si="7"/>
        <v>50</v>
      </c>
      <c r="L111" s="41">
        <v>45141</v>
      </c>
      <c r="M111" s="77"/>
      <c r="N111" s="98" t="s">
        <v>87</v>
      </c>
      <c r="O111" s="99">
        <v>45211</v>
      </c>
      <c r="P111" s="85">
        <f t="shared" si="8"/>
        <v>50</v>
      </c>
      <c r="Q111" s="86">
        <f t="shared" si="9"/>
        <v>50</v>
      </c>
      <c r="R111" s="76"/>
      <c r="S111" s="98" t="s">
        <v>88</v>
      </c>
      <c r="T111" s="99">
        <v>45257</v>
      </c>
      <c r="U111" s="85">
        <f t="shared" si="10"/>
        <v>50</v>
      </c>
      <c r="V111" s="85">
        <f t="shared" si="11"/>
        <v>1</v>
      </c>
      <c r="W111" s="88">
        <f t="shared" si="12"/>
        <v>50</v>
      </c>
      <c r="X111" s="98" t="s">
        <v>86</v>
      </c>
      <c r="Y111" s="78" t="s">
        <v>81</v>
      </c>
    </row>
    <row r="112" spans="1:25" s="78" customFormat="1" ht="11.1" customHeight="1" x14ac:dyDescent="0.2">
      <c r="A112" s="71">
        <f t="shared" si="13"/>
        <v>110</v>
      </c>
      <c r="B112" s="90" t="s">
        <v>183</v>
      </c>
      <c r="C112" s="82" t="str">
        <f>IF($B112&lt;&gt;"",_xlfn.IFNA(VLOOKUP($B112,'Node Details'!$B:$U,C$1,0),"Check"),"")</f>
        <v>00001GF18-1GF180104</v>
      </c>
      <c r="D112" s="82" t="str">
        <f>IF($B112&lt;&gt;"",_xlfn.IFNA(VLOOKUP($B112,'Node Details'!$B:$U,D$1,0),"Check"),"")</f>
        <v>1GF</v>
      </c>
      <c r="E112" s="82" t="str">
        <f>IF($B112&lt;&gt;"",_xlfn.IFNA(VLOOKUP($B112,'Node Details'!$B:$U,E$1,0),"Check"),"")</f>
        <v>Airtel</v>
      </c>
      <c r="F112" s="97">
        <v>45379</v>
      </c>
      <c r="G112" s="77"/>
      <c r="H112" s="92" t="s">
        <v>223</v>
      </c>
      <c r="I112" s="93">
        <v>1</v>
      </c>
      <c r="J112" s="93">
        <v>50</v>
      </c>
      <c r="K112" s="82">
        <f t="shared" si="7"/>
        <v>50</v>
      </c>
      <c r="L112" s="41">
        <v>45141</v>
      </c>
      <c r="M112" s="77"/>
      <c r="N112" s="98" t="s">
        <v>87</v>
      </c>
      <c r="O112" s="99">
        <v>45211</v>
      </c>
      <c r="P112" s="85">
        <f t="shared" si="8"/>
        <v>50</v>
      </c>
      <c r="Q112" s="86">
        <f t="shared" si="9"/>
        <v>50</v>
      </c>
      <c r="R112" s="76"/>
      <c r="S112" s="98" t="s">
        <v>88</v>
      </c>
      <c r="T112" s="99">
        <v>45257</v>
      </c>
      <c r="U112" s="85">
        <f t="shared" si="10"/>
        <v>50</v>
      </c>
      <c r="V112" s="85">
        <f t="shared" si="11"/>
        <v>1</v>
      </c>
      <c r="W112" s="88">
        <f t="shared" si="12"/>
        <v>50</v>
      </c>
      <c r="X112" s="98" t="s">
        <v>86</v>
      </c>
      <c r="Y112" s="78" t="s">
        <v>81</v>
      </c>
    </row>
    <row r="113" spans="1:25" s="78" customFormat="1" ht="11.1" customHeight="1" x14ac:dyDescent="0.2">
      <c r="A113" s="71">
        <f t="shared" si="13"/>
        <v>111</v>
      </c>
      <c r="B113" s="90" t="s">
        <v>121</v>
      </c>
      <c r="C113" s="82" t="str">
        <f>IF($B113&lt;&gt;"",_xlfn.IFNA(VLOOKUP($B113,'Node Details'!$B:$U,C$1,0),"Check"),"")</f>
        <v>00001GF18-1GF180104</v>
      </c>
      <c r="D113" s="82" t="str">
        <f>IF($B113&lt;&gt;"",_xlfn.IFNA(VLOOKUP($B113,'Node Details'!$B:$U,D$1,0),"Check"),"")</f>
        <v>1GF</v>
      </c>
      <c r="E113" s="82" t="str">
        <f>IF($B113&lt;&gt;"",_xlfn.IFNA(VLOOKUP($B113,'Node Details'!$B:$U,E$1,0),"Check"),"")</f>
        <v>Airtel</v>
      </c>
      <c r="F113" s="97">
        <v>45379</v>
      </c>
      <c r="G113" s="77"/>
      <c r="H113" s="92" t="s">
        <v>223</v>
      </c>
      <c r="I113" s="93">
        <v>1</v>
      </c>
      <c r="J113" s="93">
        <v>50</v>
      </c>
      <c r="K113" s="82">
        <f t="shared" si="7"/>
        <v>50</v>
      </c>
      <c r="L113" s="41">
        <v>45141</v>
      </c>
      <c r="M113" s="77"/>
      <c r="N113" s="98" t="s">
        <v>87</v>
      </c>
      <c r="O113" s="99">
        <v>45211</v>
      </c>
      <c r="P113" s="85">
        <f t="shared" si="8"/>
        <v>50</v>
      </c>
      <c r="Q113" s="86">
        <f t="shared" si="9"/>
        <v>50</v>
      </c>
      <c r="R113" s="76"/>
      <c r="S113" s="98" t="s">
        <v>88</v>
      </c>
      <c r="T113" s="99">
        <v>45257</v>
      </c>
      <c r="U113" s="85">
        <f t="shared" si="10"/>
        <v>50</v>
      </c>
      <c r="V113" s="85">
        <f t="shared" si="11"/>
        <v>1</v>
      </c>
      <c r="W113" s="88">
        <f t="shared" si="12"/>
        <v>50</v>
      </c>
      <c r="X113" s="98" t="s">
        <v>86</v>
      </c>
      <c r="Y113" s="78" t="s">
        <v>81</v>
      </c>
    </row>
    <row r="114" spans="1:25" s="78" customFormat="1" ht="11.1" customHeight="1" x14ac:dyDescent="0.2">
      <c r="A114" s="71">
        <f t="shared" si="13"/>
        <v>112</v>
      </c>
      <c r="B114" s="90" t="s">
        <v>184</v>
      </c>
      <c r="C114" s="82" t="str">
        <f>IF($B114&lt;&gt;"",_xlfn.IFNA(VLOOKUP($B114,'Node Details'!$B:$U,C$1,0),"Check"),"")</f>
        <v>00001GF19-1GF190104</v>
      </c>
      <c r="D114" s="82" t="str">
        <f>IF($B114&lt;&gt;"",_xlfn.IFNA(VLOOKUP($B114,'Node Details'!$B:$U,D$1,0),"Check"),"")</f>
        <v>1GF</v>
      </c>
      <c r="E114" s="82" t="str">
        <f>IF($B114&lt;&gt;"",_xlfn.IFNA(VLOOKUP($B114,'Node Details'!$B:$U,E$1,0),"Check"),"")</f>
        <v>Airtel</v>
      </c>
      <c r="F114" s="97">
        <v>45379</v>
      </c>
      <c r="G114" s="77"/>
      <c r="H114" s="92" t="s">
        <v>223</v>
      </c>
      <c r="I114" s="93">
        <v>1</v>
      </c>
      <c r="J114" s="93">
        <v>50</v>
      </c>
      <c r="K114" s="82">
        <f t="shared" si="7"/>
        <v>50</v>
      </c>
      <c r="L114" s="41">
        <v>45141</v>
      </c>
      <c r="M114" s="77"/>
      <c r="N114" s="98" t="s">
        <v>87</v>
      </c>
      <c r="O114" s="99">
        <v>45211</v>
      </c>
      <c r="P114" s="85">
        <f t="shared" si="8"/>
        <v>50</v>
      </c>
      <c r="Q114" s="86">
        <f t="shared" si="9"/>
        <v>50</v>
      </c>
      <c r="R114" s="76"/>
      <c r="S114" s="98" t="s">
        <v>88</v>
      </c>
      <c r="T114" s="99">
        <v>45257</v>
      </c>
      <c r="U114" s="85">
        <f t="shared" si="10"/>
        <v>50</v>
      </c>
      <c r="V114" s="85">
        <f t="shared" si="11"/>
        <v>1</v>
      </c>
      <c r="W114" s="88">
        <f t="shared" si="12"/>
        <v>50</v>
      </c>
      <c r="X114" s="98" t="s">
        <v>86</v>
      </c>
      <c r="Y114" s="78" t="s">
        <v>81</v>
      </c>
    </row>
    <row r="115" spans="1:25" s="78" customFormat="1" ht="11.1" customHeight="1" x14ac:dyDescent="0.2">
      <c r="A115" s="71">
        <f t="shared" si="13"/>
        <v>113</v>
      </c>
      <c r="B115" s="90" t="s">
        <v>185</v>
      </c>
      <c r="C115" s="82" t="str">
        <f>IF($B115&lt;&gt;"",_xlfn.IFNA(VLOOKUP($B115,'Node Details'!$B:$U,C$1,0),"Check"),"")</f>
        <v>00001GF19-1GF190104</v>
      </c>
      <c r="D115" s="82" t="str">
        <f>IF($B115&lt;&gt;"",_xlfn.IFNA(VLOOKUP($B115,'Node Details'!$B:$U,D$1,0),"Check"),"")</f>
        <v>1GF</v>
      </c>
      <c r="E115" s="82" t="str">
        <f>IF($B115&lt;&gt;"",_xlfn.IFNA(VLOOKUP($B115,'Node Details'!$B:$U,E$1,0),"Check"),"")</f>
        <v>Airtel</v>
      </c>
      <c r="F115" s="97">
        <v>45379</v>
      </c>
      <c r="G115" s="77"/>
      <c r="H115" s="92" t="s">
        <v>223</v>
      </c>
      <c r="I115" s="93">
        <v>1</v>
      </c>
      <c r="J115" s="93">
        <v>50</v>
      </c>
      <c r="K115" s="82">
        <f t="shared" si="7"/>
        <v>50</v>
      </c>
      <c r="L115" s="41">
        <v>45141</v>
      </c>
      <c r="M115" s="77"/>
      <c r="N115" s="98" t="s">
        <v>87</v>
      </c>
      <c r="O115" s="99">
        <v>45211</v>
      </c>
      <c r="P115" s="85">
        <f t="shared" si="8"/>
        <v>50</v>
      </c>
      <c r="Q115" s="86">
        <f t="shared" si="9"/>
        <v>50</v>
      </c>
      <c r="R115" s="76"/>
      <c r="S115" s="98" t="s">
        <v>88</v>
      </c>
      <c r="T115" s="99">
        <v>45257</v>
      </c>
      <c r="U115" s="85">
        <f t="shared" si="10"/>
        <v>50</v>
      </c>
      <c r="V115" s="85">
        <f t="shared" si="11"/>
        <v>1</v>
      </c>
      <c r="W115" s="88">
        <f t="shared" si="12"/>
        <v>50</v>
      </c>
      <c r="X115" s="98" t="s">
        <v>86</v>
      </c>
      <c r="Y115" s="78" t="s">
        <v>81</v>
      </c>
    </row>
    <row r="116" spans="1:25" s="78" customFormat="1" ht="11.1" customHeight="1" x14ac:dyDescent="0.2">
      <c r="A116" s="71">
        <f t="shared" si="13"/>
        <v>114</v>
      </c>
      <c r="B116" s="90" t="s">
        <v>186</v>
      </c>
      <c r="C116" s="82" t="str">
        <f>IF($B116&lt;&gt;"",_xlfn.IFNA(VLOOKUP($B116,'Node Details'!$B:$U,C$1,0),"Check"),"")</f>
        <v>00001GF19-1GF190104</v>
      </c>
      <c r="D116" s="82" t="str">
        <f>IF($B116&lt;&gt;"",_xlfn.IFNA(VLOOKUP($B116,'Node Details'!$B:$U,D$1,0),"Check"),"")</f>
        <v>1GF</v>
      </c>
      <c r="E116" s="82" t="str">
        <f>IF($B116&lt;&gt;"",_xlfn.IFNA(VLOOKUP($B116,'Node Details'!$B:$U,E$1,0),"Check"),"")</f>
        <v>Airtel</v>
      </c>
      <c r="F116" s="97">
        <v>45379</v>
      </c>
      <c r="G116" s="77"/>
      <c r="H116" s="92" t="s">
        <v>223</v>
      </c>
      <c r="I116" s="93">
        <v>1</v>
      </c>
      <c r="J116" s="93">
        <v>50</v>
      </c>
      <c r="K116" s="82">
        <f t="shared" si="7"/>
        <v>50</v>
      </c>
      <c r="L116" s="41">
        <v>45141</v>
      </c>
      <c r="M116" s="77"/>
      <c r="N116" s="98" t="s">
        <v>87</v>
      </c>
      <c r="O116" s="99">
        <v>45211</v>
      </c>
      <c r="P116" s="85">
        <f t="shared" si="8"/>
        <v>50</v>
      </c>
      <c r="Q116" s="86">
        <f t="shared" si="9"/>
        <v>50</v>
      </c>
      <c r="R116" s="76"/>
      <c r="S116" s="98" t="s">
        <v>88</v>
      </c>
      <c r="T116" s="99">
        <v>45257</v>
      </c>
      <c r="U116" s="85">
        <f t="shared" si="10"/>
        <v>50</v>
      </c>
      <c r="V116" s="85">
        <f t="shared" si="11"/>
        <v>1</v>
      </c>
      <c r="W116" s="88">
        <f t="shared" si="12"/>
        <v>50</v>
      </c>
      <c r="X116" s="98" t="s">
        <v>86</v>
      </c>
      <c r="Y116" s="78" t="s">
        <v>81</v>
      </c>
    </row>
    <row r="117" spans="1:25" s="78" customFormat="1" ht="11.1" customHeight="1" x14ac:dyDescent="0.2">
      <c r="A117" s="71">
        <f t="shared" si="13"/>
        <v>115</v>
      </c>
      <c r="B117" s="90" t="s">
        <v>125</v>
      </c>
      <c r="C117" s="82" t="str">
        <f>IF($B117&lt;&gt;"",_xlfn.IFNA(VLOOKUP($B117,'Node Details'!$B:$U,C$1,0),"Check"),"")</f>
        <v>00001GF19-1GF190104</v>
      </c>
      <c r="D117" s="82" t="str">
        <f>IF($B117&lt;&gt;"",_xlfn.IFNA(VLOOKUP($B117,'Node Details'!$B:$U,D$1,0),"Check"),"")</f>
        <v>1GF</v>
      </c>
      <c r="E117" s="82" t="str">
        <f>IF($B117&lt;&gt;"",_xlfn.IFNA(VLOOKUP($B117,'Node Details'!$B:$U,E$1,0),"Check"),"")</f>
        <v>Airtel</v>
      </c>
      <c r="F117" s="97">
        <v>45379</v>
      </c>
      <c r="G117" s="77"/>
      <c r="H117" s="92" t="s">
        <v>223</v>
      </c>
      <c r="I117" s="93">
        <v>1</v>
      </c>
      <c r="J117" s="93">
        <v>50</v>
      </c>
      <c r="K117" s="82">
        <f t="shared" si="7"/>
        <v>50</v>
      </c>
      <c r="L117" s="41">
        <v>45141</v>
      </c>
      <c r="M117" s="77"/>
      <c r="N117" s="98" t="s">
        <v>87</v>
      </c>
      <c r="O117" s="99">
        <v>45211</v>
      </c>
      <c r="P117" s="85">
        <f t="shared" si="8"/>
        <v>50</v>
      </c>
      <c r="Q117" s="86">
        <f t="shared" si="9"/>
        <v>50</v>
      </c>
      <c r="R117" s="76"/>
      <c r="S117" s="98" t="s">
        <v>88</v>
      </c>
      <c r="T117" s="99">
        <v>45257</v>
      </c>
      <c r="U117" s="85">
        <f t="shared" si="10"/>
        <v>50</v>
      </c>
      <c r="V117" s="85">
        <f t="shared" si="11"/>
        <v>1</v>
      </c>
      <c r="W117" s="88">
        <f t="shared" si="12"/>
        <v>50</v>
      </c>
      <c r="X117" s="98" t="s">
        <v>86</v>
      </c>
      <c r="Y117" s="78" t="s">
        <v>81</v>
      </c>
    </row>
    <row r="118" spans="1:25" s="78" customFormat="1" ht="11.1" customHeight="1" x14ac:dyDescent="0.2">
      <c r="A118" s="71">
        <f t="shared" si="13"/>
        <v>116</v>
      </c>
      <c r="B118" s="90" t="s">
        <v>187</v>
      </c>
      <c r="C118" s="82" t="str">
        <f>IF($B118&lt;&gt;"",_xlfn.IFNA(VLOOKUP($B118,'Node Details'!$B:$U,C$1,0),"Check"),"")</f>
        <v>00001GF20-1GF200104</v>
      </c>
      <c r="D118" s="82" t="str">
        <f>IF($B118&lt;&gt;"",_xlfn.IFNA(VLOOKUP($B118,'Node Details'!$B:$U,D$1,0),"Check"),"")</f>
        <v>1GF</v>
      </c>
      <c r="E118" s="82" t="str">
        <f>IF($B118&lt;&gt;"",_xlfn.IFNA(VLOOKUP($B118,'Node Details'!$B:$U,E$1,0),"Check"),"")</f>
        <v>Airtel</v>
      </c>
      <c r="F118" s="97">
        <v>45379</v>
      </c>
      <c r="G118" s="77"/>
      <c r="H118" s="92" t="s">
        <v>223</v>
      </c>
      <c r="I118" s="93">
        <v>1</v>
      </c>
      <c r="J118" s="93">
        <v>50</v>
      </c>
      <c r="K118" s="82">
        <f t="shared" si="7"/>
        <v>50</v>
      </c>
      <c r="L118" s="41">
        <v>45141</v>
      </c>
      <c r="M118" s="77"/>
      <c r="N118" s="98" t="s">
        <v>87</v>
      </c>
      <c r="O118" s="99">
        <v>45211</v>
      </c>
      <c r="P118" s="85">
        <f t="shared" si="8"/>
        <v>50</v>
      </c>
      <c r="Q118" s="86">
        <f t="shared" si="9"/>
        <v>50</v>
      </c>
      <c r="R118" s="76"/>
      <c r="S118" s="98" t="s">
        <v>88</v>
      </c>
      <c r="T118" s="99">
        <v>45257</v>
      </c>
      <c r="U118" s="85">
        <f t="shared" si="10"/>
        <v>50</v>
      </c>
      <c r="V118" s="85">
        <f t="shared" si="11"/>
        <v>1</v>
      </c>
      <c r="W118" s="88">
        <f t="shared" si="12"/>
        <v>50</v>
      </c>
      <c r="X118" s="98" t="s">
        <v>86</v>
      </c>
      <c r="Y118" s="78" t="s">
        <v>81</v>
      </c>
    </row>
    <row r="119" spans="1:25" s="78" customFormat="1" ht="11.1" customHeight="1" x14ac:dyDescent="0.2">
      <c r="A119" s="71">
        <f t="shared" si="13"/>
        <v>117</v>
      </c>
      <c r="B119" s="90" t="s">
        <v>188</v>
      </c>
      <c r="C119" s="82" t="str">
        <f>IF($B119&lt;&gt;"",_xlfn.IFNA(VLOOKUP($B119,'Node Details'!$B:$U,C$1,0),"Check"),"")</f>
        <v>00001GF20-1GF200104</v>
      </c>
      <c r="D119" s="82" t="str">
        <f>IF($B119&lt;&gt;"",_xlfn.IFNA(VLOOKUP($B119,'Node Details'!$B:$U,D$1,0),"Check"),"")</f>
        <v>1GF</v>
      </c>
      <c r="E119" s="82" t="str">
        <f>IF($B119&lt;&gt;"",_xlfn.IFNA(VLOOKUP($B119,'Node Details'!$B:$U,E$1,0),"Check"),"")</f>
        <v>Airtel</v>
      </c>
      <c r="F119" s="97">
        <v>45379</v>
      </c>
      <c r="G119" s="77"/>
      <c r="H119" s="92" t="s">
        <v>223</v>
      </c>
      <c r="I119" s="93">
        <v>1</v>
      </c>
      <c r="J119" s="93">
        <v>50</v>
      </c>
      <c r="K119" s="82">
        <f t="shared" si="7"/>
        <v>50</v>
      </c>
      <c r="L119" s="41">
        <v>45141</v>
      </c>
      <c r="M119" s="77"/>
      <c r="N119" s="98" t="s">
        <v>87</v>
      </c>
      <c r="O119" s="99">
        <v>45211</v>
      </c>
      <c r="P119" s="85">
        <f t="shared" si="8"/>
        <v>50</v>
      </c>
      <c r="Q119" s="86">
        <f t="shared" si="9"/>
        <v>50</v>
      </c>
      <c r="R119" s="76"/>
      <c r="S119" s="98" t="s">
        <v>88</v>
      </c>
      <c r="T119" s="99">
        <v>45257</v>
      </c>
      <c r="U119" s="85">
        <f t="shared" si="10"/>
        <v>50</v>
      </c>
      <c r="V119" s="85">
        <f t="shared" si="11"/>
        <v>1</v>
      </c>
      <c r="W119" s="88">
        <f t="shared" si="12"/>
        <v>50</v>
      </c>
      <c r="X119" s="98" t="s">
        <v>86</v>
      </c>
      <c r="Y119" s="78" t="s">
        <v>81</v>
      </c>
    </row>
    <row r="120" spans="1:25" s="78" customFormat="1" ht="11.1" customHeight="1" x14ac:dyDescent="0.2">
      <c r="A120" s="71">
        <f t="shared" si="13"/>
        <v>118</v>
      </c>
      <c r="B120" s="90" t="s">
        <v>189</v>
      </c>
      <c r="C120" s="82" t="str">
        <f>IF($B120&lt;&gt;"",_xlfn.IFNA(VLOOKUP($B120,'Node Details'!$B:$U,C$1,0),"Check"),"")</f>
        <v>00001GF20-1GF200104</v>
      </c>
      <c r="D120" s="82" t="str">
        <f>IF($B120&lt;&gt;"",_xlfn.IFNA(VLOOKUP($B120,'Node Details'!$B:$U,D$1,0),"Check"),"")</f>
        <v>1GF</v>
      </c>
      <c r="E120" s="82" t="str">
        <f>IF($B120&lt;&gt;"",_xlfn.IFNA(VLOOKUP($B120,'Node Details'!$B:$U,E$1,0),"Check"),"")</f>
        <v>Airtel</v>
      </c>
      <c r="F120" s="97">
        <v>45379</v>
      </c>
      <c r="G120" s="77"/>
      <c r="H120" s="92" t="s">
        <v>223</v>
      </c>
      <c r="I120" s="93">
        <v>1</v>
      </c>
      <c r="J120" s="93">
        <v>50</v>
      </c>
      <c r="K120" s="82">
        <f t="shared" si="7"/>
        <v>50</v>
      </c>
      <c r="L120" s="41">
        <v>45141</v>
      </c>
      <c r="M120" s="77"/>
      <c r="N120" s="98" t="s">
        <v>87</v>
      </c>
      <c r="O120" s="99">
        <v>45211</v>
      </c>
      <c r="P120" s="85">
        <f t="shared" si="8"/>
        <v>50</v>
      </c>
      <c r="Q120" s="86">
        <f t="shared" si="9"/>
        <v>50</v>
      </c>
      <c r="R120" s="76"/>
      <c r="S120" s="98" t="s">
        <v>88</v>
      </c>
      <c r="T120" s="99">
        <v>45257</v>
      </c>
      <c r="U120" s="85">
        <f t="shared" si="10"/>
        <v>50</v>
      </c>
      <c r="V120" s="85">
        <f t="shared" si="11"/>
        <v>1</v>
      </c>
      <c r="W120" s="88">
        <f t="shared" si="12"/>
        <v>50</v>
      </c>
      <c r="X120" s="98" t="s">
        <v>86</v>
      </c>
      <c r="Y120" s="78" t="s">
        <v>81</v>
      </c>
    </row>
    <row r="121" spans="1:25" s="78" customFormat="1" ht="11.1" customHeight="1" x14ac:dyDescent="0.2">
      <c r="A121" s="71">
        <f t="shared" si="13"/>
        <v>119</v>
      </c>
      <c r="B121" s="90" t="s">
        <v>129</v>
      </c>
      <c r="C121" s="82" t="str">
        <f>IF($B121&lt;&gt;"",_xlfn.IFNA(VLOOKUP($B121,'Node Details'!$B:$U,C$1,0),"Check"),"")</f>
        <v>00001GF20-1GF200104</v>
      </c>
      <c r="D121" s="82" t="str">
        <f>IF($B121&lt;&gt;"",_xlfn.IFNA(VLOOKUP($B121,'Node Details'!$B:$U,D$1,0),"Check"),"")</f>
        <v>1GF</v>
      </c>
      <c r="E121" s="82" t="str">
        <f>IF($B121&lt;&gt;"",_xlfn.IFNA(VLOOKUP($B121,'Node Details'!$B:$U,E$1,0),"Check"),"")</f>
        <v>Airtel</v>
      </c>
      <c r="F121" s="97">
        <v>45379</v>
      </c>
      <c r="G121" s="77"/>
      <c r="H121" s="92" t="s">
        <v>223</v>
      </c>
      <c r="I121" s="93">
        <v>1</v>
      </c>
      <c r="J121" s="93">
        <v>50</v>
      </c>
      <c r="K121" s="82">
        <f t="shared" si="7"/>
        <v>50</v>
      </c>
      <c r="L121" s="41">
        <v>45141</v>
      </c>
      <c r="M121" s="77"/>
      <c r="N121" s="98" t="s">
        <v>87</v>
      </c>
      <c r="O121" s="99">
        <v>45211</v>
      </c>
      <c r="P121" s="85">
        <f t="shared" si="8"/>
        <v>50</v>
      </c>
      <c r="Q121" s="86">
        <f t="shared" si="9"/>
        <v>50</v>
      </c>
      <c r="R121" s="76"/>
      <c r="S121" s="98" t="s">
        <v>88</v>
      </c>
      <c r="T121" s="99">
        <v>45257</v>
      </c>
      <c r="U121" s="85">
        <f t="shared" si="10"/>
        <v>50</v>
      </c>
      <c r="V121" s="85">
        <f t="shared" si="11"/>
        <v>1</v>
      </c>
      <c r="W121" s="88">
        <f t="shared" si="12"/>
        <v>50</v>
      </c>
      <c r="X121" s="98" t="s">
        <v>86</v>
      </c>
      <c r="Y121" s="78" t="s">
        <v>81</v>
      </c>
    </row>
    <row r="122" spans="1:25" s="78" customFormat="1" ht="11.1" customHeight="1" x14ac:dyDescent="0.2">
      <c r="A122" s="71">
        <f t="shared" si="13"/>
        <v>120</v>
      </c>
      <c r="B122" s="90" t="s">
        <v>190</v>
      </c>
      <c r="C122" s="82" t="str">
        <f>IF($B122&lt;&gt;"",_xlfn.IFNA(VLOOKUP($B122,'Node Details'!$B:$U,C$1,0),"Check"),"")</f>
        <v>00001GF21-1GF210104</v>
      </c>
      <c r="D122" s="82" t="str">
        <f>IF($B122&lt;&gt;"",_xlfn.IFNA(VLOOKUP($B122,'Node Details'!$B:$U,D$1,0),"Check"),"")</f>
        <v>1GF</v>
      </c>
      <c r="E122" s="82" t="str">
        <f>IF($B122&lt;&gt;"",_xlfn.IFNA(VLOOKUP($B122,'Node Details'!$B:$U,E$1,0),"Check"),"")</f>
        <v>Airtel</v>
      </c>
      <c r="F122" s="97">
        <v>45379</v>
      </c>
      <c r="G122" s="77"/>
      <c r="H122" s="92" t="s">
        <v>223</v>
      </c>
      <c r="I122" s="93">
        <v>1</v>
      </c>
      <c r="J122" s="93">
        <v>50</v>
      </c>
      <c r="K122" s="82">
        <f t="shared" si="7"/>
        <v>50</v>
      </c>
      <c r="L122" s="41">
        <v>45141</v>
      </c>
      <c r="M122" s="77"/>
      <c r="N122" s="98" t="s">
        <v>87</v>
      </c>
      <c r="O122" s="99">
        <v>45211</v>
      </c>
      <c r="P122" s="85">
        <f t="shared" si="8"/>
        <v>50</v>
      </c>
      <c r="Q122" s="86">
        <f t="shared" si="9"/>
        <v>50</v>
      </c>
      <c r="R122" s="76"/>
      <c r="S122" s="98" t="s">
        <v>88</v>
      </c>
      <c r="T122" s="99">
        <v>45257</v>
      </c>
      <c r="U122" s="85">
        <f t="shared" si="10"/>
        <v>50</v>
      </c>
      <c r="V122" s="85">
        <f t="shared" si="11"/>
        <v>1</v>
      </c>
      <c r="W122" s="88">
        <f t="shared" si="12"/>
        <v>50</v>
      </c>
      <c r="X122" s="98" t="s">
        <v>86</v>
      </c>
      <c r="Y122" s="78" t="s">
        <v>81</v>
      </c>
    </row>
    <row r="123" spans="1:25" s="78" customFormat="1" ht="11.1" customHeight="1" x14ac:dyDescent="0.2">
      <c r="A123" s="71">
        <f t="shared" si="13"/>
        <v>121</v>
      </c>
      <c r="B123" s="90" t="s">
        <v>136</v>
      </c>
      <c r="C123" s="82" t="str">
        <f>IF($B123&lt;&gt;"",_xlfn.IFNA(VLOOKUP($B123,'Node Details'!$B:$U,C$1,0),"Check"),"")</f>
        <v>00001GF21-1GF210104</v>
      </c>
      <c r="D123" s="82" t="str">
        <f>IF($B123&lt;&gt;"",_xlfn.IFNA(VLOOKUP($B123,'Node Details'!$B:$U,D$1,0),"Check"),"")</f>
        <v>1GF</v>
      </c>
      <c r="E123" s="82" t="str">
        <f>IF($B123&lt;&gt;"",_xlfn.IFNA(VLOOKUP($B123,'Node Details'!$B:$U,E$1,0),"Check"),"")</f>
        <v>Airtel</v>
      </c>
      <c r="F123" s="97">
        <v>45379</v>
      </c>
      <c r="G123" s="77"/>
      <c r="H123" s="92" t="s">
        <v>223</v>
      </c>
      <c r="I123" s="93">
        <v>1</v>
      </c>
      <c r="J123" s="93">
        <v>50</v>
      </c>
      <c r="K123" s="82">
        <f t="shared" si="7"/>
        <v>50</v>
      </c>
      <c r="L123" s="41">
        <v>45141</v>
      </c>
      <c r="M123" s="77"/>
      <c r="N123" s="98" t="s">
        <v>87</v>
      </c>
      <c r="O123" s="99">
        <v>45211</v>
      </c>
      <c r="P123" s="85">
        <f t="shared" si="8"/>
        <v>50</v>
      </c>
      <c r="Q123" s="86">
        <f t="shared" si="9"/>
        <v>50</v>
      </c>
      <c r="R123" s="76"/>
      <c r="S123" s="98" t="s">
        <v>88</v>
      </c>
      <c r="T123" s="99">
        <v>45257</v>
      </c>
      <c r="U123" s="85">
        <f t="shared" si="10"/>
        <v>50</v>
      </c>
      <c r="V123" s="85">
        <f t="shared" si="11"/>
        <v>1</v>
      </c>
      <c r="W123" s="88">
        <f t="shared" si="12"/>
        <v>50</v>
      </c>
      <c r="X123" s="98" t="s">
        <v>86</v>
      </c>
      <c r="Y123" s="78" t="s">
        <v>81</v>
      </c>
    </row>
    <row r="124" spans="1:25" s="78" customFormat="1" ht="11.1" customHeight="1" x14ac:dyDescent="0.2">
      <c r="A124" s="71">
        <f t="shared" si="13"/>
        <v>122</v>
      </c>
      <c r="B124" s="90" t="s">
        <v>191</v>
      </c>
      <c r="C124" s="82" t="str">
        <f>IF($B124&lt;&gt;"",_xlfn.IFNA(VLOOKUP($B124,'Node Details'!$B:$U,C$1,0),"Check"),"")</f>
        <v>00001GF21-1GF210104</v>
      </c>
      <c r="D124" s="82" t="str">
        <f>IF($B124&lt;&gt;"",_xlfn.IFNA(VLOOKUP($B124,'Node Details'!$B:$U,D$1,0),"Check"),"")</f>
        <v>1GF</v>
      </c>
      <c r="E124" s="82" t="str">
        <f>IF($B124&lt;&gt;"",_xlfn.IFNA(VLOOKUP($B124,'Node Details'!$B:$U,E$1,0),"Check"),"")</f>
        <v>Airtel</v>
      </c>
      <c r="F124" s="97">
        <v>45379</v>
      </c>
      <c r="G124" s="77"/>
      <c r="H124" s="92" t="s">
        <v>223</v>
      </c>
      <c r="I124" s="93">
        <v>1</v>
      </c>
      <c r="J124" s="93">
        <v>50</v>
      </c>
      <c r="K124" s="82">
        <f t="shared" si="7"/>
        <v>50</v>
      </c>
      <c r="L124" s="41">
        <v>45141</v>
      </c>
      <c r="M124" s="77"/>
      <c r="N124" s="98" t="s">
        <v>87</v>
      </c>
      <c r="O124" s="99">
        <v>45211</v>
      </c>
      <c r="P124" s="85">
        <f t="shared" si="8"/>
        <v>50</v>
      </c>
      <c r="Q124" s="86">
        <f t="shared" si="9"/>
        <v>50</v>
      </c>
      <c r="R124" s="76"/>
      <c r="S124" s="98" t="s">
        <v>88</v>
      </c>
      <c r="T124" s="99">
        <v>45257</v>
      </c>
      <c r="U124" s="85">
        <f t="shared" si="10"/>
        <v>50</v>
      </c>
      <c r="V124" s="85">
        <f t="shared" si="11"/>
        <v>1</v>
      </c>
      <c r="W124" s="88">
        <f t="shared" si="12"/>
        <v>50</v>
      </c>
      <c r="X124" s="98" t="s">
        <v>86</v>
      </c>
      <c r="Y124" s="78" t="s">
        <v>81</v>
      </c>
    </row>
    <row r="125" spans="1:25" s="78" customFormat="1" ht="11.1" customHeight="1" x14ac:dyDescent="0.2">
      <c r="A125" s="71">
        <f t="shared" si="13"/>
        <v>123</v>
      </c>
      <c r="B125" s="90" t="s">
        <v>133</v>
      </c>
      <c r="C125" s="82" t="str">
        <f>IF($B125&lt;&gt;"",_xlfn.IFNA(VLOOKUP($B125,'Node Details'!$B:$U,C$1,0),"Check"),"")</f>
        <v>00001GF21-1GF210104</v>
      </c>
      <c r="D125" s="82" t="str">
        <f>IF($B125&lt;&gt;"",_xlfn.IFNA(VLOOKUP($B125,'Node Details'!$B:$U,D$1,0),"Check"),"")</f>
        <v>1GF</v>
      </c>
      <c r="E125" s="82" t="str">
        <f>IF($B125&lt;&gt;"",_xlfn.IFNA(VLOOKUP($B125,'Node Details'!$B:$U,E$1,0),"Check"),"")</f>
        <v>Airtel</v>
      </c>
      <c r="F125" s="97">
        <v>45379</v>
      </c>
      <c r="G125" s="77"/>
      <c r="H125" s="92" t="s">
        <v>223</v>
      </c>
      <c r="I125" s="93">
        <v>1</v>
      </c>
      <c r="J125" s="93">
        <v>50</v>
      </c>
      <c r="K125" s="82">
        <f t="shared" si="7"/>
        <v>50</v>
      </c>
      <c r="L125" s="41">
        <v>45141</v>
      </c>
      <c r="M125" s="77"/>
      <c r="N125" s="98" t="s">
        <v>87</v>
      </c>
      <c r="O125" s="99">
        <v>45211</v>
      </c>
      <c r="P125" s="85">
        <f t="shared" si="8"/>
        <v>50</v>
      </c>
      <c r="Q125" s="86">
        <f t="shared" si="9"/>
        <v>50</v>
      </c>
      <c r="R125" s="76"/>
      <c r="S125" s="98" t="s">
        <v>88</v>
      </c>
      <c r="T125" s="99">
        <v>45257</v>
      </c>
      <c r="U125" s="85">
        <f t="shared" si="10"/>
        <v>50</v>
      </c>
      <c r="V125" s="85">
        <f t="shared" si="11"/>
        <v>1</v>
      </c>
      <c r="W125" s="88">
        <f t="shared" si="12"/>
        <v>50</v>
      </c>
      <c r="X125" s="98" t="s">
        <v>86</v>
      </c>
      <c r="Y125" s="78" t="s">
        <v>81</v>
      </c>
    </row>
    <row r="126" spans="1:25" s="78" customFormat="1" ht="11.1" customHeight="1" x14ac:dyDescent="0.2">
      <c r="A126" s="71">
        <f t="shared" si="13"/>
        <v>124</v>
      </c>
      <c r="B126" s="90" t="s">
        <v>192</v>
      </c>
      <c r="C126" s="82" t="str">
        <f>IF($B126&lt;&gt;"",_xlfn.IFNA(VLOOKUP($B126,'Node Details'!$B:$U,C$1,0),"Check"),"")</f>
        <v>00001GF22-1GF210102</v>
      </c>
      <c r="D126" s="82" t="str">
        <f>IF($B126&lt;&gt;"",_xlfn.IFNA(VLOOKUP($B126,'Node Details'!$B:$U,D$1,0),"Check"),"")</f>
        <v>1GF</v>
      </c>
      <c r="E126" s="82" t="str">
        <f>IF($B126&lt;&gt;"",_xlfn.IFNA(VLOOKUP($B126,'Node Details'!$B:$U,E$1,0),"Check"),"")</f>
        <v>Airtel</v>
      </c>
      <c r="F126" s="97">
        <v>45379</v>
      </c>
      <c r="G126" s="77"/>
      <c r="H126" s="92" t="s">
        <v>223</v>
      </c>
      <c r="I126" s="93">
        <v>1</v>
      </c>
      <c r="J126" s="93">
        <v>50</v>
      </c>
      <c r="K126" s="82">
        <f t="shared" si="7"/>
        <v>50</v>
      </c>
      <c r="L126" s="41">
        <v>45141</v>
      </c>
      <c r="M126" s="77"/>
      <c r="N126" s="98" t="s">
        <v>87</v>
      </c>
      <c r="O126" s="99">
        <v>45211</v>
      </c>
      <c r="P126" s="85">
        <f t="shared" si="8"/>
        <v>50</v>
      </c>
      <c r="Q126" s="86">
        <f t="shared" si="9"/>
        <v>50</v>
      </c>
      <c r="R126" s="76"/>
      <c r="S126" s="98" t="s">
        <v>88</v>
      </c>
      <c r="T126" s="99">
        <v>45257</v>
      </c>
      <c r="U126" s="85">
        <f t="shared" si="10"/>
        <v>50</v>
      </c>
      <c r="V126" s="85">
        <f t="shared" si="11"/>
        <v>1</v>
      </c>
      <c r="W126" s="88">
        <f t="shared" si="12"/>
        <v>50</v>
      </c>
      <c r="X126" s="98" t="s">
        <v>86</v>
      </c>
      <c r="Y126" s="78" t="s">
        <v>81</v>
      </c>
    </row>
    <row r="127" spans="1:25" s="78" customFormat="1" ht="11.1" customHeight="1" x14ac:dyDescent="0.2">
      <c r="A127" s="71">
        <f t="shared" si="13"/>
        <v>125</v>
      </c>
      <c r="B127" s="90" t="s">
        <v>194</v>
      </c>
      <c r="C127" s="82" t="str">
        <f>IF($B127&lt;&gt;"",_xlfn.IFNA(VLOOKUP($B127,'Node Details'!$B:$U,C$1,0),"Check"),"")</f>
        <v>00001GF22-1GF210102</v>
      </c>
      <c r="D127" s="82" t="str">
        <f>IF($B127&lt;&gt;"",_xlfn.IFNA(VLOOKUP($B127,'Node Details'!$B:$U,D$1,0),"Check"),"")</f>
        <v>1GF</v>
      </c>
      <c r="E127" s="82" t="str">
        <f>IF($B127&lt;&gt;"",_xlfn.IFNA(VLOOKUP($B127,'Node Details'!$B:$U,E$1,0),"Check"),"")</f>
        <v>Airtel</v>
      </c>
      <c r="F127" s="97">
        <v>45379</v>
      </c>
      <c r="G127" s="77"/>
      <c r="H127" s="92" t="s">
        <v>223</v>
      </c>
      <c r="I127" s="93">
        <v>1</v>
      </c>
      <c r="J127" s="93">
        <v>50</v>
      </c>
      <c r="K127" s="82">
        <f t="shared" si="7"/>
        <v>50</v>
      </c>
      <c r="L127" s="41">
        <v>45141</v>
      </c>
      <c r="M127" s="77"/>
      <c r="N127" s="98" t="s">
        <v>87</v>
      </c>
      <c r="O127" s="99">
        <v>45211</v>
      </c>
      <c r="P127" s="85">
        <f t="shared" si="8"/>
        <v>50</v>
      </c>
      <c r="Q127" s="86">
        <f t="shared" si="9"/>
        <v>50</v>
      </c>
      <c r="R127" s="76"/>
      <c r="S127" s="98" t="s">
        <v>88</v>
      </c>
      <c r="T127" s="99">
        <v>45257</v>
      </c>
      <c r="U127" s="85">
        <f t="shared" si="10"/>
        <v>50</v>
      </c>
      <c r="V127" s="85">
        <f t="shared" si="11"/>
        <v>1</v>
      </c>
      <c r="W127" s="88">
        <f t="shared" si="12"/>
        <v>50</v>
      </c>
      <c r="X127" s="98" t="s">
        <v>86</v>
      </c>
      <c r="Y127" s="78" t="s">
        <v>81</v>
      </c>
    </row>
    <row r="128" spans="1:25" s="78" customFormat="1" ht="11.1" customHeight="1" x14ac:dyDescent="0.2">
      <c r="A128" s="71">
        <f t="shared" si="13"/>
        <v>126</v>
      </c>
      <c r="B128" s="90" t="s">
        <v>195</v>
      </c>
      <c r="C128" s="82" t="str">
        <f>IF($B128&lt;&gt;"",_xlfn.IFNA(VLOOKUP($B128,'Node Details'!$B:$U,C$1,0),"Check"),"")</f>
        <v>00001GF22-1GF210102</v>
      </c>
      <c r="D128" s="82" t="str">
        <f>IF($B128&lt;&gt;"",_xlfn.IFNA(VLOOKUP($B128,'Node Details'!$B:$U,D$1,0),"Check"),"")</f>
        <v>1GF</v>
      </c>
      <c r="E128" s="82" t="str">
        <f>IF($B128&lt;&gt;"",_xlfn.IFNA(VLOOKUP($B128,'Node Details'!$B:$U,E$1,0),"Check"),"")</f>
        <v>Airtel</v>
      </c>
      <c r="F128" s="97">
        <v>45379</v>
      </c>
      <c r="G128" s="77"/>
      <c r="H128" s="92" t="s">
        <v>223</v>
      </c>
      <c r="I128" s="93">
        <v>1</v>
      </c>
      <c r="J128" s="93">
        <v>50</v>
      </c>
      <c r="K128" s="82">
        <f t="shared" si="7"/>
        <v>50</v>
      </c>
      <c r="L128" s="41">
        <v>45141</v>
      </c>
      <c r="M128" s="77"/>
      <c r="N128" s="98" t="s">
        <v>87</v>
      </c>
      <c r="O128" s="99">
        <v>45211</v>
      </c>
      <c r="P128" s="85">
        <f t="shared" si="8"/>
        <v>50</v>
      </c>
      <c r="Q128" s="86">
        <f t="shared" si="9"/>
        <v>50</v>
      </c>
      <c r="R128" s="76"/>
      <c r="S128" s="98" t="s">
        <v>88</v>
      </c>
      <c r="T128" s="99">
        <v>45257</v>
      </c>
      <c r="U128" s="85">
        <f t="shared" si="10"/>
        <v>50</v>
      </c>
      <c r="V128" s="85">
        <f t="shared" si="11"/>
        <v>1</v>
      </c>
      <c r="W128" s="88">
        <f t="shared" si="12"/>
        <v>50</v>
      </c>
      <c r="X128" s="98" t="s">
        <v>86</v>
      </c>
      <c r="Y128" s="78" t="s">
        <v>81</v>
      </c>
    </row>
    <row r="129" spans="1:25" s="78" customFormat="1" ht="11.1" customHeight="1" x14ac:dyDescent="0.2">
      <c r="A129" s="71">
        <f t="shared" si="13"/>
        <v>127</v>
      </c>
      <c r="B129" s="90" t="s">
        <v>196</v>
      </c>
      <c r="C129" s="82" t="str">
        <f>IF($B129&lt;&gt;"",_xlfn.IFNA(VLOOKUP($B129,'Node Details'!$B:$U,C$1,0),"Check"),"")</f>
        <v>00001GF22-1GF210102</v>
      </c>
      <c r="D129" s="82" t="str">
        <f>IF($B129&lt;&gt;"",_xlfn.IFNA(VLOOKUP($B129,'Node Details'!$B:$U,D$1,0),"Check"),"")</f>
        <v>1GF</v>
      </c>
      <c r="E129" s="82" t="str">
        <f>IF($B129&lt;&gt;"",_xlfn.IFNA(VLOOKUP($B129,'Node Details'!$B:$U,E$1,0),"Check"),"")</f>
        <v>Airtel</v>
      </c>
      <c r="F129" s="97">
        <v>45379</v>
      </c>
      <c r="G129" s="77"/>
      <c r="H129" s="92" t="s">
        <v>223</v>
      </c>
      <c r="I129" s="93">
        <v>1</v>
      </c>
      <c r="J129" s="93">
        <v>50</v>
      </c>
      <c r="K129" s="82">
        <f t="shared" si="7"/>
        <v>50</v>
      </c>
      <c r="L129" s="41">
        <v>45141</v>
      </c>
      <c r="M129" s="77"/>
      <c r="N129" s="98" t="s">
        <v>87</v>
      </c>
      <c r="O129" s="99">
        <v>45211</v>
      </c>
      <c r="P129" s="85">
        <f t="shared" si="8"/>
        <v>50</v>
      </c>
      <c r="Q129" s="86">
        <f t="shared" si="9"/>
        <v>50</v>
      </c>
      <c r="R129" s="76"/>
      <c r="S129" s="98" t="s">
        <v>88</v>
      </c>
      <c r="T129" s="99">
        <v>45257</v>
      </c>
      <c r="U129" s="85">
        <f t="shared" si="10"/>
        <v>50</v>
      </c>
      <c r="V129" s="85">
        <f t="shared" si="11"/>
        <v>1</v>
      </c>
      <c r="W129" s="88">
        <f t="shared" si="12"/>
        <v>50</v>
      </c>
      <c r="X129" s="98" t="s">
        <v>86</v>
      </c>
      <c r="Y129" s="78" t="s">
        <v>81</v>
      </c>
    </row>
    <row r="130" spans="1:25" s="78" customFormat="1" ht="11.1" customHeight="1" x14ac:dyDescent="0.2">
      <c r="A130" s="71">
        <f t="shared" si="13"/>
        <v>128</v>
      </c>
      <c r="B130" s="90" t="s">
        <v>197</v>
      </c>
      <c r="C130" s="82" t="str">
        <f>IF($B130&lt;&gt;"",_xlfn.IFNA(VLOOKUP($B130,'Node Details'!$B:$U,C$1,0),"Check"),"")</f>
        <v>00001GF22-1GF210102</v>
      </c>
      <c r="D130" s="82" t="str">
        <f>IF($B130&lt;&gt;"",_xlfn.IFNA(VLOOKUP($B130,'Node Details'!$B:$U,D$1,0),"Check"),"")</f>
        <v>1GF</v>
      </c>
      <c r="E130" s="82" t="str">
        <f>IF($B130&lt;&gt;"",_xlfn.IFNA(VLOOKUP($B130,'Node Details'!$B:$U,E$1,0),"Check"),"")</f>
        <v>Airtel</v>
      </c>
      <c r="F130" s="97">
        <v>45379</v>
      </c>
      <c r="G130" s="77"/>
      <c r="H130" s="92" t="s">
        <v>223</v>
      </c>
      <c r="I130" s="93">
        <v>1</v>
      </c>
      <c r="J130" s="93">
        <v>50</v>
      </c>
      <c r="K130" s="82">
        <f t="shared" si="7"/>
        <v>50</v>
      </c>
      <c r="L130" s="41">
        <v>45141</v>
      </c>
      <c r="M130" s="77"/>
      <c r="N130" s="98" t="s">
        <v>87</v>
      </c>
      <c r="O130" s="99">
        <v>45211</v>
      </c>
      <c r="P130" s="85">
        <f t="shared" si="8"/>
        <v>50</v>
      </c>
      <c r="Q130" s="86">
        <f t="shared" si="9"/>
        <v>50</v>
      </c>
      <c r="R130" s="76"/>
      <c r="S130" s="98" t="s">
        <v>88</v>
      </c>
      <c r="T130" s="99">
        <v>45257</v>
      </c>
      <c r="U130" s="85">
        <f t="shared" si="10"/>
        <v>50</v>
      </c>
      <c r="V130" s="85">
        <f t="shared" si="11"/>
        <v>1</v>
      </c>
      <c r="W130" s="88">
        <f t="shared" si="12"/>
        <v>50</v>
      </c>
      <c r="X130" s="98" t="s">
        <v>86</v>
      </c>
      <c r="Y130" s="78" t="s">
        <v>81</v>
      </c>
    </row>
    <row r="131" spans="1:25" s="78" customFormat="1" ht="11.1" customHeight="1" x14ac:dyDescent="0.2">
      <c r="A131" s="71">
        <f t="shared" si="13"/>
        <v>129</v>
      </c>
      <c r="B131" s="90" t="s">
        <v>198</v>
      </c>
      <c r="C131" s="82" t="str">
        <f>IF($B131&lt;&gt;"",_xlfn.IFNA(VLOOKUP($B131,'Node Details'!$B:$U,C$1,0),"Check"),"")</f>
        <v>00001GF22-1GF210102</v>
      </c>
      <c r="D131" s="82" t="str">
        <f>IF($B131&lt;&gt;"",_xlfn.IFNA(VLOOKUP($B131,'Node Details'!$B:$U,D$1,0),"Check"),"")</f>
        <v>1GF</v>
      </c>
      <c r="E131" s="82" t="str">
        <f>IF($B131&lt;&gt;"",_xlfn.IFNA(VLOOKUP($B131,'Node Details'!$B:$U,E$1,0),"Check"),"")</f>
        <v>Airtel</v>
      </c>
      <c r="F131" s="97">
        <v>45379</v>
      </c>
      <c r="G131" s="77"/>
      <c r="H131" s="92" t="s">
        <v>223</v>
      </c>
      <c r="I131" s="93">
        <v>1</v>
      </c>
      <c r="J131" s="93">
        <v>50</v>
      </c>
      <c r="K131" s="82">
        <f t="shared" ref="K131:K194" si="14">IF(I131&lt;&gt;"",J131*I131,0)</f>
        <v>50</v>
      </c>
      <c r="L131" s="41">
        <v>45141</v>
      </c>
      <c r="M131" s="77"/>
      <c r="N131" s="98" t="s">
        <v>87</v>
      </c>
      <c r="O131" s="99">
        <v>45211</v>
      </c>
      <c r="P131" s="85">
        <f t="shared" ref="P131:P194" si="15">J131</f>
        <v>50</v>
      </c>
      <c r="Q131" s="86">
        <f t="shared" ref="Q131:Q194" si="16">P131*I131</f>
        <v>50</v>
      </c>
      <c r="R131" s="76"/>
      <c r="S131" s="98" t="s">
        <v>88</v>
      </c>
      <c r="T131" s="99">
        <v>45257</v>
      </c>
      <c r="U131" s="85">
        <f t="shared" ref="U131:U194" si="17">J131</f>
        <v>50</v>
      </c>
      <c r="V131" s="85">
        <f t="shared" ref="V131:V194" si="18">I131</f>
        <v>1</v>
      </c>
      <c r="W131" s="88">
        <f t="shared" ref="W131:W194" si="19">IF(V131&lt;&gt;"",V131*U131,0)</f>
        <v>50</v>
      </c>
      <c r="X131" s="98" t="s">
        <v>86</v>
      </c>
      <c r="Y131" s="78" t="s">
        <v>81</v>
      </c>
    </row>
    <row r="132" spans="1:25" s="78" customFormat="1" ht="11.1" customHeight="1" x14ac:dyDescent="0.2">
      <c r="A132" s="71">
        <f t="shared" ref="A132:A195" si="20">A131+1</f>
        <v>130</v>
      </c>
      <c r="B132" s="90" t="s">
        <v>78</v>
      </c>
      <c r="C132" s="82" t="str">
        <f>IF($B132&lt;&gt;"",_xlfn.IFNA(VLOOKUP($B132,'Node Details'!$B:$U,C$1,0),"Check"),"")</f>
        <v>0000001GF-00001GF12</v>
      </c>
      <c r="D132" s="82" t="str">
        <f>IF($B132&lt;&gt;"",_xlfn.IFNA(VLOOKUP($B132,'Node Details'!$B:$U,D$1,0),"Check"),"")</f>
        <v>1GF</v>
      </c>
      <c r="E132" s="82" t="str">
        <f>IF($B132&lt;&gt;"",_xlfn.IFNA(VLOOKUP($B132,'Node Details'!$B:$U,E$1,0),"Check"),"")</f>
        <v>Airtel</v>
      </c>
      <c r="F132" s="97">
        <v>45379</v>
      </c>
      <c r="G132" s="77"/>
      <c r="H132" s="92" t="s">
        <v>223</v>
      </c>
      <c r="I132" s="93">
        <v>1</v>
      </c>
      <c r="J132" s="93">
        <v>50</v>
      </c>
      <c r="K132" s="82">
        <f t="shared" si="14"/>
        <v>50</v>
      </c>
      <c r="L132" s="41">
        <v>45141</v>
      </c>
      <c r="M132" s="77"/>
      <c r="N132" s="98" t="s">
        <v>87</v>
      </c>
      <c r="O132" s="99">
        <v>45211</v>
      </c>
      <c r="P132" s="85">
        <f t="shared" si="15"/>
        <v>50</v>
      </c>
      <c r="Q132" s="86">
        <f t="shared" si="16"/>
        <v>50</v>
      </c>
      <c r="R132" s="76"/>
      <c r="S132" s="98" t="s">
        <v>88</v>
      </c>
      <c r="T132" s="99">
        <v>45257</v>
      </c>
      <c r="U132" s="85">
        <f t="shared" si="17"/>
        <v>50</v>
      </c>
      <c r="V132" s="85">
        <f t="shared" si="18"/>
        <v>1</v>
      </c>
      <c r="W132" s="88">
        <f t="shared" si="19"/>
        <v>50</v>
      </c>
      <c r="X132" s="98" t="s">
        <v>86</v>
      </c>
      <c r="Y132" s="78" t="s">
        <v>81</v>
      </c>
    </row>
    <row r="133" spans="1:25" s="78" customFormat="1" ht="11.1" customHeight="1" x14ac:dyDescent="0.2">
      <c r="A133" s="71">
        <f t="shared" si="20"/>
        <v>131</v>
      </c>
      <c r="B133" s="90" t="s">
        <v>99</v>
      </c>
      <c r="C133" s="82" t="str">
        <f>IF($B133&lt;&gt;"",_xlfn.IFNA(VLOOKUP($B133,'Node Details'!$B:$U,C$1,0),"Check"),"")</f>
        <v>00001GF12-00001GF22</v>
      </c>
      <c r="D133" s="82" t="str">
        <f>IF($B133&lt;&gt;"",_xlfn.IFNA(VLOOKUP($B133,'Node Details'!$B:$U,D$1,0),"Check"),"")</f>
        <v>1GF</v>
      </c>
      <c r="E133" s="82" t="str">
        <f>IF($B133&lt;&gt;"",_xlfn.IFNA(VLOOKUP($B133,'Node Details'!$B:$U,E$1,0),"Check"),"")</f>
        <v>Airtel</v>
      </c>
      <c r="F133" s="97">
        <v>45379</v>
      </c>
      <c r="G133" s="77"/>
      <c r="H133" s="92" t="s">
        <v>223</v>
      </c>
      <c r="I133" s="93">
        <v>1</v>
      </c>
      <c r="J133" s="93">
        <v>50</v>
      </c>
      <c r="K133" s="82">
        <f t="shared" si="14"/>
        <v>50</v>
      </c>
      <c r="L133" s="41">
        <v>45141</v>
      </c>
      <c r="M133" s="77"/>
      <c r="N133" s="98" t="s">
        <v>87</v>
      </c>
      <c r="O133" s="99">
        <v>45211</v>
      </c>
      <c r="P133" s="85">
        <f t="shared" si="15"/>
        <v>50</v>
      </c>
      <c r="Q133" s="86">
        <f t="shared" si="16"/>
        <v>50</v>
      </c>
      <c r="R133" s="76"/>
      <c r="S133" s="98" t="s">
        <v>88</v>
      </c>
      <c r="T133" s="99">
        <v>45257</v>
      </c>
      <c r="U133" s="85">
        <f t="shared" si="17"/>
        <v>50</v>
      </c>
      <c r="V133" s="85">
        <f t="shared" si="18"/>
        <v>1</v>
      </c>
      <c r="W133" s="88">
        <f t="shared" si="19"/>
        <v>50</v>
      </c>
      <c r="X133" s="98" t="s">
        <v>86</v>
      </c>
      <c r="Y133" s="78" t="s">
        <v>81</v>
      </c>
    </row>
    <row r="134" spans="1:25" s="78" customFormat="1" ht="11.1" customHeight="1" x14ac:dyDescent="0.2">
      <c r="A134" s="71">
        <f t="shared" si="20"/>
        <v>132</v>
      </c>
      <c r="B134" s="90" t="s">
        <v>103</v>
      </c>
      <c r="C134" s="82" t="str">
        <f>IF($B134&lt;&gt;"",_xlfn.IFNA(VLOOKUP($B134,'Node Details'!$B:$U,C$1,0),"Check"),"")</f>
        <v>00001GF12-00001GF22</v>
      </c>
      <c r="D134" s="82" t="str">
        <f>IF($B134&lt;&gt;"",_xlfn.IFNA(VLOOKUP($B134,'Node Details'!$B:$U,D$1,0),"Check"),"")</f>
        <v>1GF</v>
      </c>
      <c r="E134" s="82" t="str">
        <f>IF($B134&lt;&gt;"",_xlfn.IFNA(VLOOKUP($B134,'Node Details'!$B:$U,E$1,0),"Check"),"")</f>
        <v>Airtel</v>
      </c>
      <c r="F134" s="97">
        <v>45379</v>
      </c>
      <c r="G134" s="77"/>
      <c r="H134" s="92" t="s">
        <v>223</v>
      </c>
      <c r="I134" s="93">
        <v>1</v>
      </c>
      <c r="J134" s="93">
        <v>50</v>
      </c>
      <c r="K134" s="82">
        <f t="shared" si="14"/>
        <v>50</v>
      </c>
      <c r="L134" s="81"/>
      <c r="M134" s="77"/>
      <c r="N134" s="83"/>
      <c r="O134" s="79"/>
      <c r="P134" s="85">
        <f t="shared" si="15"/>
        <v>50</v>
      </c>
      <c r="Q134" s="86">
        <f t="shared" si="16"/>
        <v>50</v>
      </c>
      <c r="R134" s="76"/>
      <c r="S134" s="87" t="s">
        <v>88</v>
      </c>
      <c r="T134" s="80"/>
      <c r="U134" s="85">
        <f t="shared" si="17"/>
        <v>50</v>
      </c>
      <c r="V134" s="85">
        <f t="shared" si="18"/>
        <v>1</v>
      </c>
      <c r="W134" s="88">
        <f t="shared" si="19"/>
        <v>50</v>
      </c>
      <c r="X134" s="98" t="s">
        <v>86</v>
      </c>
      <c r="Y134" s="78" t="s">
        <v>81</v>
      </c>
    </row>
    <row r="135" spans="1:25" s="78" customFormat="1" ht="11.1" customHeight="1" x14ac:dyDescent="0.2">
      <c r="A135" s="71">
        <f t="shared" si="20"/>
        <v>133</v>
      </c>
      <c r="B135" s="90" t="s">
        <v>107</v>
      </c>
      <c r="C135" s="82" t="str">
        <f>IF($B135&lt;&gt;"",_xlfn.IFNA(VLOOKUP($B135,'Node Details'!$B:$U,C$1,0),"Check"),"")</f>
        <v>00001GF12-00001GF22</v>
      </c>
      <c r="D135" s="82" t="str">
        <f>IF($B135&lt;&gt;"",_xlfn.IFNA(VLOOKUP($B135,'Node Details'!$B:$U,D$1,0),"Check"),"")</f>
        <v>1GF</v>
      </c>
      <c r="E135" s="82" t="str">
        <f>IF($B135&lt;&gt;"",_xlfn.IFNA(VLOOKUP($B135,'Node Details'!$B:$U,E$1,0),"Check"),"")</f>
        <v>Airtel</v>
      </c>
      <c r="F135" s="97">
        <v>45379</v>
      </c>
      <c r="G135" s="77"/>
      <c r="H135" s="92" t="s">
        <v>223</v>
      </c>
      <c r="I135" s="93">
        <v>1</v>
      </c>
      <c r="J135" s="93">
        <v>50</v>
      </c>
      <c r="K135" s="82">
        <f t="shared" si="14"/>
        <v>50</v>
      </c>
      <c r="L135" s="81"/>
      <c r="M135" s="77"/>
      <c r="N135" s="83"/>
      <c r="O135" s="79"/>
      <c r="P135" s="85">
        <f t="shared" si="15"/>
        <v>50</v>
      </c>
      <c r="Q135" s="86">
        <f t="shared" si="16"/>
        <v>50</v>
      </c>
      <c r="R135" s="76"/>
      <c r="S135" s="87" t="s">
        <v>88</v>
      </c>
      <c r="T135" s="80"/>
      <c r="U135" s="85">
        <f t="shared" si="17"/>
        <v>50</v>
      </c>
      <c r="V135" s="85">
        <f t="shared" si="18"/>
        <v>1</v>
      </c>
      <c r="W135" s="88">
        <f t="shared" si="19"/>
        <v>50</v>
      </c>
      <c r="X135" s="98" t="s">
        <v>86</v>
      </c>
      <c r="Y135" s="78" t="s">
        <v>81</v>
      </c>
    </row>
    <row r="136" spans="1:25" s="78" customFormat="1" ht="11.1" customHeight="1" x14ac:dyDescent="0.2">
      <c r="A136" s="71">
        <f t="shared" si="20"/>
        <v>134</v>
      </c>
      <c r="B136" s="90" t="s">
        <v>111</v>
      </c>
      <c r="C136" s="82" t="str">
        <f>IF($B136&lt;&gt;"",_xlfn.IFNA(VLOOKUP($B136,'Node Details'!$B:$U,C$1,0),"Check"),"")</f>
        <v>00001GF12-00001GF22</v>
      </c>
      <c r="D136" s="82" t="str">
        <f>IF($B136&lt;&gt;"",_xlfn.IFNA(VLOOKUP($B136,'Node Details'!$B:$U,D$1,0),"Check"),"")</f>
        <v>1GF</v>
      </c>
      <c r="E136" s="82" t="str">
        <f>IF($B136&lt;&gt;"",_xlfn.IFNA(VLOOKUP($B136,'Node Details'!$B:$U,E$1,0),"Check"),"")</f>
        <v>Airtel</v>
      </c>
      <c r="F136" s="97">
        <v>45379</v>
      </c>
      <c r="G136" s="77"/>
      <c r="H136" s="92" t="s">
        <v>223</v>
      </c>
      <c r="I136" s="93">
        <v>1</v>
      </c>
      <c r="J136" s="93">
        <v>50</v>
      </c>
      <c r="K136" s="82">
        <f t="shared" si="14"/>
        <v>50</v>
      </c>
      <c r="L136" s="81"/>
      <c r="M136" s="77"/>
      <c r="N136" s="83"/>
      <c r="O136" s="79"/>
      <c r="P136" s="85">
        <f t="shared" si="15"/>
        <v>50</v>
      </c>
      <c r="Q136" s="86">
        <f t="shared" si="16"/>
        <v>50</v>
      </c>
      <c r="R136" s="76"/>
      <c r="S136" s="87" t="s">
        <v>88</v>
      </c>
      <c r="T136" s="80"/>
      <c r="U136" s="85">
        <f t="shared" si="17"/>
        <v>50</v>
      </c>
      <c r="V136" s="85">
        <f t="shared" si="18"/>
        <v>1</v>
      </c>
      <c r="W136" s="88">
        <f t="shared" si="19"/>
        <v>50</v>
      </c>
      <c r="X136" s="98" t="s">
        <v>86</v>
      </c>
      <c r="Y136" s="78" t="s">
        <v>81</v>
      </c>
    </row>
    <row r="137" spans="1:25" s="78" customFormat="1" ht="11.1" customHeight="1" x14ac:dyDescent="0.2">
      <c r="A137" s="71">
        <f t="shared" si="20"/>
        <v>135</v>
      </c>
      <c r="B137" s="90" t="s">
        <v>115</v>
      </c>
      <c r="C137" s="82" t="str">
        <f>IF($B137&lt;&gt;"",_xlfn.IFNA(VLOOKUP($B137,'Node Details'!$B:$U,C$1,0),"Check"),"")</f>
        <v>00001GF12-00001GF22</v>
      </c>
      <c r="D137" s="82" t="str">
        <f>IF($B137&lt;&gt;"",_xlfn.IFNA(VLOOKUP($B137,'Node Details'!$B:$U,D$1,0),"Check"),"")</f>
        <v>1GF</v>
      </c>
      <c r="E137" s="82" t="str">
        <f>IF($B137&lt;&gt;"",_xlfn.IFNA(VLOOKUP($B137,'Node Details'!$B:$U,E$1,0),"Check"),"")</f>
        <v>Airtel</v>
      </c>
      <c r="F137" s="97">
        <v>45379</v>
      </c>
      <c r="G137" s="77"/>
      <c r="H137" s="92" t="s">
        <v>223</v>
      </c>
      <c r="I137" s="93">
        <v>1</v>
      </c>
      <c r="J137" s="93">
        <v>50</v>
      </c>
      <c r="K137" s="82">
        <f t="shared" si="14"/>
        <v>50</v>
      </c>
      <c r="L137" s="81"/>
      <c r="M137" s="77"/>
      <c r="N137" s="83"/>
      <c r="O137" s="79"/>
      <c r="P137" s="85">
        <f t="shared" si="15"/>
        <v>50</v>
      </c>
      <c r="Q137" s="86">
        <f t="shared" si="16"/>
        <v>50</v>
      </c>
      <c r="R137" s="76"/>
      <c r="S137" s="87" t="s">
        <v>88</v>
      </c>
      <c r="T137" s="79"/>
      <c r="U137" s="85">
        <f t="shared" si="17"/>
        <v>50</v>
      </c>
      <c r="V137" s="85">
        <f t="shared" si="18"/>
        <v>1</v>
      </c>
      <c r="W137" s="88">
        <f t="shared" si="19"/>
        <v>50</v>
      </c>
      <c r="X137" s="98" t="s">
        <v>86</v>
      </c>
      <c r="Y137" s="78" t="s">
        <v>81</v>
      </c>
    </row>
    <row r="138" spans="1:25" s="78" customFormat="1" ht="11.1" customHeight="1" x14ac:dyDescent="0.2">
      <c r="A138" s="71">
        <f t="shared" si="20"/>
        <v>136</v>
      </c>
      <c r="B138" s="90" t="s">
        <v>119</v>
      </c>
      <c r="C138" s="82" t="str">
        <f>IF($B138&lt;&gt;"",_xlfn.IFNA(VLOOKUP($B138,'Node Details'!$B:$U,C$1,0),"Check"),"")</f>
        <v>00001GF12-00001GF22</v>
      </c>
      <c r="D138" s="82" t="str">
        <f>IF($B138&lt;&gt;"",_xlfn.IFNA(VLOOKUP($B138,'Node Details'!$B:$U,D$1,0),"Check"),"")</f>
        <v>1GF</v>
      </c>
      <c r="E138" s="82" t="str">
        <f>IF($B138&lt;&gt;"",_xlfn.IFNA(VLOOKUP($B138,'Node Details'!$B:$U,E$1,0),"Check"),"")</f>
        <v>Airtel</v>
      </c>
      <c r="F138" s="97">
        <v>45379</v>
      </c>
      <c r="G138" s="77"/>
      <c r="H138" s="92" t="s">
        <v>223</v>
      </c>
      <c r="I138" s="93">
        <v>1</v>
      </c>
      <c r="J138" s="93">
        <v>50</v>
      </c>
      <c r="K138" s="82">
        <f t="shared" si="14"/>
        <v>50</v>
      </c>
      <c r="L138" s="81"/>
      <c r="M138" s="77"/>
      <c r="N138" s="83"/>
      <c r="O138" s="79"/>
      <c r="P138" s="85">
        <f t="shared" si="15"/>
        <v>50</v>
      </c>
      <c r="Q138" s="86">
        <f t="shared" si="16"/>
        <v>50</v>
      </c>
      <c r="R138" s="76"/>
      <c r="S138" s="87" t="s">
        <v>88</v>
      </c>
      <c r="T138" s="79"/>
      <c r="U138" s="85">
        <f t="shared" si="17"/>
        <v>50</v>
      </c>
      <c r="V138" s="85">
        <f t="shared" si="18"/>
        <v>1</v>
      </c>
      <c r="W138" s="88">
        <f t="shared" si="19"/>
        <v>50</v>
      </c>
      <c r="X138" s="98" t="s">
        <v>86</v>
      </c>
      <c r="Y138" s="78" t="s">
        <v>81</v>
      </c>
    </row>
    <row r="139" spans="1:25" s="78" customFormat="1" ht="11.1" customHeight="1" x14ac:dyDescent="0.2">
      <c r="A139" s="71">
        <f t="shared" si="20"/>
        <v>137</v>
      </c>
      <c r="B139" s="90" t="s">
        <v>123</v>
      </c>
      <c r="C139" s="82" t="str">
        <f>IF($B139&lt;&gt;"",_xlfn.IFNA(VLOOKUP($B139,'Node Details'!$B:$U,C$1,0),"Check"),"")</f>
        <v>00001GF12-00001GF22</v>
      </c>
      <c r="D139" s="82" t="str">
        <f>IF($B139&lt;&gt;"",_xlfn.IFNA(VLOOKUP($B139,'Node Details'!$B:$U,D$1,0),"Check"),"")</f>
        <v>1GF</v>
      </c>
      <c r="E139" s="82" t="str">
        <f>IF($B139&lt;&gt;"",_xlfn.IFNA(VLOOKUP($B139,'Node Details'!$B:$U,E$1,0),"Check"),"")</f>
        <v>Airtel</v>
      </c>
      <c r="F139" s="97">
        <v>45379</v>
      </c>
      <c r="G139" s="77"/>
      <c r="H139" s="92" t="s">
        <v>223</v>
      </c>
      <c r="I139" s="93">
        <v>2</v>
      </c>
      <c r="J139" s="93">
        <v>50</v>
      </c>
      <c r="K139" s="82">
        <f t="shared" si="14"/>
        <v>100</v>
      </c>
      <c r="L139" s="81"/>
      <c r="M139" s="77"/>
      <c r="N139" s="83"/>
      <c r="O139" s="79"/>
      <c r="P139" s="85">
        <f t="shared" si="15"/>
        <v>50</v>
      </c>
      <c r="Q139" s="86">
        <f t="shared" si="16"/>
        <v>100</v>
      </c>
      <c r="R139" s="76"/>
      <c r="S139" s="87" t="s">
        <v>88</v>
      </c>
      <c r="T139" s="79"/>
      <c r="U139" s="85">
        <f t="shared" si="17"/>
        <v>50</v>
      </c>
      <c r="V139" s="85">
        <f t="shared" si="18"/>
        <v>2</v>
      </c>
      <c r="W139" s="88">
        <f t="shared" si="19"/>
        <v>100</v>
      </c>
      <c r="X139" s="98" t="s">
        <v>86</v>
      </c>
      <c r="Y139" s="78" t="s">
        <v>81</v>
      </c>
    </row>
    <row r="140" spans="1:25" s="78" customFormat="1" ht="11.1" customHeight="1" x14ac:dyDescent="0.2">
      <c r="A140" s="71">
        <f t="shared" si="20"/>
        <v>138</v>
      </c>
      <c r="B140" s="90" t="s">
        <v>127</v>
      </c>
      <c r="C140" s="82" t="str">
        <f>IF($B140&lt;&gt;"",_xlfn.IFNA(VLOOKUP($B140,'Node Details'!$B:$U,C$1,0),"Check"),"")</f>
        <v>00001GF12-00001GF22</v>
      </c>
      <c r="D140" s="82" t="str">
        <f>IF($B140&lt;&gt;"",_xlfn.IFNA(VLOOKUP($B140,'Node Details'!$B:$U,D$1,0),"Check"),"")</f>
        <v>1GF</v>
      </c>
      <c r="E140" s="82" t="str">
        <f>IF($B140&lt;&gt;"",_xlfn.IFNA(VLOOKUP($B140,'Node Details'!$B:$U,E$1,0),"Check"),"")</f>
        <v>Airtel</v>
      </c>
      <c r="F140" s="97">
        <v>45379</v>
      </c>
      <c r="G140" s="77"/>
      <c r="H140" s="92" t="s">
        <v>223</v>
      </c>
      <c r="I140" s="93">
        <v>1</v>
      </c>
      <c r="J140" s="93">
        <v>50</v>
      </c>
      <c r="K140" s="82">
        <f t="shared" si="14"/>
        <v>50</v>
      </c>
      <c r="L140" s="81"/>
      <c r="M140" s="77"/>
      <c r="N140" s="83"/>
      <c r="O140" s="79"/>
      <c r="P140" s="85">
        <f t="shared" si="15"/>
        <v>50</v>
      </c>
      <c r="Q140" s="86">
        <f t="shared" si="16"/>
        <v>50</v>
      </c>
      <c r="R140" s="76"/>
      <c r="S140" s="87" t="s">
        <v>88</v>
      </c>
      <c r="T140" s="79"/>
      <c r="U140" s="85">
        <f t="shared" si="17"/>
        <v>50</v>
      </c>
      <c r="V140" s="85">
        <f t="shared" si="18"/>
        <v>1</v>
      </c>
      <c r="W140" s="88">
        <f t="shared" si="19"/>
        <v>50</v>
      </c>
      <c r="X140" s="98" t="s">
        <v>86</v>
      </c>
      <c r="Y140" s="78" t="s">
        <v>81</v>
      </c>
    </row>
    <row r="141" spans="1:25" s="78" customFormat="1" ht="11.1" customHeight="1" x14ac:dyDescent="0.2">
      <c r="A141" s="71">
        <f t="shared" si="20"/>
        <v>139</v>
      </c>
      <c r="B141" s="90" t="s">
        <v>131</v>
      </c>
      <c r="C141" s="82" t="str">
        <f>IF($B141&lt;&gt;"",_xlfn.IFNA(VLOOKUP($B141,'Node Details'!$B:$U,C$1,0),"Check"),"")</f>
        <v>00001GF12-00001GF22</v>
      </c>
      <c r="D141" s="82" t="str">
        <f>IF($B141&lt;&gt;"",_xlfn.IFNA(VLOOKUP($B141,'Node Details'!$B:$U,D$1,0),"Check"),"")</f>
        <v>1GF</v>
      </c>
      <c r="E141" s="82" t="str">
        <f>IF($B141&lt;&gt;"",_xlfn.IFNA(VLOOKUP($B141,'Node Details'!$B:$U,E$1,0),"Check"),"")</f>
        <v>Airtel</v>
      </c>
      <c r="F141" s="97">
        <v>45379</v>
      </c>
      <c r="G141" s="77"/>
      <c r="H141" s="92" t="s">
        <v>223</v>
      </c>
      <c r="I141" s="93">
        <v>2</v>
      </c>
      <c r="J141" s="93">
        <v>50</v>
      </c>
      <c r="K141" s="82">
        <f t="shared" si="14"/>
        <v>100</v>
      </c>
      <c r="L141" s="81"/>
      <c r="M141" s="77"/>
      <c r="N141" s="83"/>
      <c r="O141" s="79"/>
      <c r="P141" s="85">
        <f t="shared" si="15"/>
        <v>50</v>
      </c>
      <c r="Q141" s="86">
        <f t="shared" si="16"/>
        <v>100</v>
      </c>
      <c r="R141" s="76"/>
      <c r="S141" s="87" t="s">
        <v>88</v>
      </c>
      <c r="T141" s="79"/>
      <c r="U141" s="85">
        <f t="shared" si="17"/>
        <v>50</v>
      </c>
      <c r="V141" s="85">
        <f t="shared" si="18"/>
        <v>2</v>
      </c>
      <c r="W141" s="88">
        <f t="shared" si="19"/>
        <v>100</v>
      </c>
      <c r="X141" s="98" t="s">
        <v>86</v>
      </c>
      <c r="Y141" s="78" t="s">
        <v>81</v>
      </c>
    </row>
    <row r="142" spans="1:25" s="78" customFormat="1" ht="11.1" customHeight="1" x14ac:dyDescent="0.2">
      <c r="A142" s="71">
        <f t="shared" si="20"/>
        <v>140</v>
      </c>
      <c r="B142" s="90" t="s">
        <v>90</v>
      </c>
      <c r="C142" s="82" t="str">
        <f>IF($B142&lt;&gt;"",_xlfn.IFNA(VLOOKUP($B142,'Node Details'!$B:$U,C$1,0),"Check"),"")</f>
        <v>00001GF12-00001GF22</v>
      </c>
      <c r="D142" s="82" t="str">
        <f>IF($B142&lt;&gt;"",_xlfn.IFNA(VLOOKUP($B142,'Node Details'!$B:$U,D$1,0),"Check"),"")</f>
        <v>1GF</v>
      </c>
      <c r="E142" s="82" t="str">
        <f>IF($B142&lt;&gt;"",_xlfn.IFNA(VLOOKUP($B142,'Node Details'!$B:$U,E$1,0),"Check"),"")</f>
        <v>Airtel</v>
      </c>
      <c r="F142" s="97">
        <v>45379</v>
      </c>
      <c r="G142" s="77"/>
      <c r="H142" s="92" t="s">
        <v>223</v>
      </c>
      <c r="I142" s="93">
        <v>1</v>
      </c>
      <c r="J142" s="93">
        <v>50</v>
      </c>
      <c r="K142" s="82">
        <f t="shared" si="14"/>
        <v>50</v>
      </c>
      <c r="L142" s="81"/>
      <c r="M142" s="77"/>
      <c r="N142" s="83"/>
      <c r="O142" s="79"/>
      <c r="P142" s="85">
        <f t="shared" si="15"/>
        <v>50</v>
      </c>
      <c r="Q142" s="86">
        <f t="shared" si="16"/>
        <v>50</v>
      </c>
      <c r="R142" s="76"/>
      <c r="S142" s="87" t="s">
        <v>88</v>
      </c>
      <c r="T142" s="79"/>
      <c r="U142" s="85">
        <f t="shared" si="17"/>
        <v>50</v>
      </c>
      <c r="V142" s="85">
        <f t="shared" si="18"/>
        <v>1</v>
      </c>
      <c r="W142" s="88">
        <f t="shared" si="19"/>
        <v>50</v>
      </c>
      <c r="X142" s="98" t="s">
        <v>86</v>
      </c>
      <c r="Y142" s="78" t="s">
        <v>81</v>
      </c>
    </row>
    <row r="143" spans="1:25" s="78" customFormat="1" ht="11.1" customHeight="1" x14ac:dyDescent="0.25">
      <c r="A143" s="71">
        <f t="shared" si="20"/>
        <v>141</v>
      </c>
      <c r="B143" s="91" t="s">
        <v>76</v>
      </c>
      <c r="C143" s="82" t="str">
        <f>IF($B143&lt;&gt;"",_xlfn.IFNA(VLOOKUP($B143,'Node Details'!$B:$U,C$1,0),"Check"),"")</f>
        <v>00001GF22-0000001GF</v>
      </c>
      <c r="D143" s="82" t="str">
        <f>IF($B143&lt;&gt;"",_xlfn.IFNA(VLOOKUP($B143,'Node Details'!$B:$U,D$1,0),"Check"),"")</f>
        <v>1GF</v>
      </c>
      <c r="E143" s="82" t="str">
        <f>IF($B143&lt;&gt;"",_xlfn.IFNA(VLOOKUP($B143,'Node Details'!$B:$U,E$1,0),"Check"),"")</f>
        <v>Airtel</v>
      </c>
      <c r="F143" s="97">
        <v>45379</v>
      </c>
      <c r="G143" s="77"/>
      <c r="H143" s="92" t="s">
        <v>224</v>
      </c>
      <c r="I143" s="93">
        <v>1</v>
      </c>
      <c r="J143" s="93">
        <v>2400</v>
      </c>
      <c r="K143" s="82">
        <f t="shared" si="14"/>
        <v>2400</v>
      </c>
      <c r="L143" s="81"/>
      <c r="M143" s="77"/>
      <c r="N143" s="83"/>
      <c r="O143" s="79"/>
      <c r="P143" s="85">
        <f t="shared" si="15"/>
        <v>2400</v>
      </c>
      <c r="Q143" s="86">
        <f t="shared" si="16"/>
        <v>2400</v>
      </c>
      <c r="R143" s="76"/>
      <c r="S143" s="83"/>
      <c r="T143" s="79"/>
      <c r="U143" s="85">
        <f t="shared" si="17"/>
        <v>2400</v>
      </c>
      <c r="V143" s="85">
        <f t="shared" si="18"/>
        <v>1</v>
      </c>
      <c r="W143" s="88">
        <f t="shared" si="19"/>
        <v>2400</v>
      </c>
      <c r="X143" s="98" t="s">
        <v>86</v>
      </c>
      <c r="Y143" s="78" t="s">
        <v>81</v>
      </c>
    </row>
    <row r="144" spans="1:25" s="78" customFormat="1" ht="11.1" customHeight="1" x14ac:dyDescent="0.2">
      <c r="A144" s="71">
        <f t="shared" si="20"/>
        <v>142</v>
      </c>
      <c r="B144" s="90" t="s">
        <v>150</v>
      </c>
      <c r="C144" s="82" t="str">
        <f>IF($B144&lt;&gt;"",_xlfn.IFNA(VLOOKUP($B144,'Node Details'!$B:$U,C$1,0),"Check"),"")</f>
        <v>00001GF12-1GF120106</v>
      </c>
      <c r="D144" s="82" t="str">
        <f>IF($B144&lt;&gt;"",_xlfn.IFNA(VLOOKUP($B144,'Node Details'!$B:$U,D$1,0),"Check"),"")</f>
        <v>1GF</v>
      </c>
      <c r="E144" s="82" t="str">
        <f>IF($B144&lt;&gt;"",_xlfn.IFNA(VLOOKUP($B144,'Node Details'!$B:$U,E$1,0),"Check"),"")</f>
        <v>Airtel</v>
      </c>
      <c r="F144" s="97">
        <v>45379</v>
      </c>
      <c r="G144" s="77"/>
      <c r="H144" s="92" t="s">
        <v>225</v>
      </c>
      <c r="I144" s="93">
        <v>1</v>
      </c>
      <c r="J144" s="93">
        <v>70</v>
      </c>
      <c r="K144" s="82">
        <f t="shared" si="14"/>
        <v>70</v>
      </c>
      <c r="L144" s="81"/>
      <c r="M144" s="77"/>
      <c r="N144" s="83"/>
      <c r="O144" s="79"/>
      <c r="P144" s="85">
        <f t="shared" si="15"/>
        <v>70</v>
      </c>
      <c r="Q144" s="86">
        <f t="shared" si="16"/>
        <v>70</v>
      </c>
      <c r="R144" s="76"/>
      <c r="S144" s="87" t="s">
        <v>88</v>
      </c>
      <c r="T144" s="79"/>
      <c r="U144" s="85">
        <f t="shared" si="17"/>
        <v>70</v>
      </c>
      <c r="V144" s="85">
        <f t="shared" si="18"/>
        <v>1</v>
      </c>
      <c r="W144" s="88">
        <f t="shared" si="19"/>
        <v>70</v>
      </c>
      <c r="X144" s="98" t="s">
        <v>86</v>
      </c>
      <c r="Y144" s="78" t="s">
        <v>81</v>
      </c>
    </row>
    <row r="145" spans="1:25" s="78" customFormat="1" ht="11.1" customHeight="1" x14ac:dyDescent="0.2">
      <c r="A145" s="71">
        <f t="shared" si="20"/>
        <v>143</v>
      </c>
      <c r="B145" s="90" t="s">
        <v>151</v>
      </c>
      <c r="C145" s="82" t="str">
        <f>IF($B145&lt;&gt;"",_xlfn.IFNA(VLOOKUP($B145,'Node Details'!$B:$U,C$1,0),"Check"),"")</f>
        <v>00001GF12-1GF120106</v>
      </c>
      <c r="D145" s="82" t="str">
        <f>IF($B145&lt;&gt;"",_xlfn.IFNA(VLOOKUP($B145,'Node Details'!$B:$U,D$1,0),"Check"),"")</f>
        <v>1GF</v>
      </c>
      <c r="E145" s="82" t="str">
        <f>IF($B145&lt;&gt;"",_xlfn.IFNA(VLOOKUP($B145,'Node Details'!$B:$U,E$1,0),"Check"),"")</f>
        <v>Airtel</v>
      </c>
      <c r="F145" s="97">
        <v>45379</v>
      </c>
      <c r="G145" s="77"/>
      <c r="H145" s="92" t="s">
        <v>225</v>
      </c>
      <c r="I145" s="93">
        <v>1</v>
      </c>
      <c r="J145" s="93">
        <v>70</v>
      </c>
      <c r="K145" s="82">
        <f t="shared" si="14"/>
        <v>70</v>
      </c>
      <c r="L145" s="81"/>
      <c r="M145" s="77"/>
      <c r="N145" s="83"/>
      <c r="O145" s="79"/>
      <c r="P145" s="85">
        <f t="shared" si="15"/>
        <v>70</v>
      </c>
      <c r="Q145" s="86">
        <f t="shared" si="16"/>
        <v>70</v>
      </c>
      <c r="R145" s="76"/>
      <c r="S145" s="87" t="s">
        <v>88</v>
      </c>
      <c r="T145" s="79"/>
      <c r="U145" s="85">
        <f t="shared" si="17"/>
        <v>70</v>
      </c>
      <c r="V145" s="85">
        <f t="shared" si="18"/>
        <v>1</v>
      </c>
      <c r="W145" s="88">
        <f t="shared" si="19"/>
        <v>70</v>
      </c>
      <c r="X145" s="98" t="s">
        <v>86</v>
      </c>
      <c r="Y145" s="78" t="s">
        <v>81</v>
      </c>
    </row>
    <row r="146" spans="1:25" s="78" customFormat="1" ht="11.1" customHeight="1" x14ac:dyDescent="0.2">
      <c r="A146" s="71">
        <f t="shared" si="20"/>
        <v>144</v>
      </c>
      <c r="B146" s="90" t="s">
        <v>152</v>
      </c>
      <c r="C146" s="82" t="str">
        <f>IF($B146&lt;&gt;"",_xlfn.IFNA(VLOOKUP($B146,'Node Details'!$B:$U,C$1,0),"Check"),"")</f>
        <v>00001GF12-1GF120106</v>
      </c>
      <c r="D146" s="82" t="str">
        <f>IF($B146&lt;&gt;"",_xlfn.IFNA(VLOOKUP($B146,'Node Details'!$B:$U,D$1,0),"Check"),"")</f>
        <v>1GF</v>
      </c>
      <c r="E146" s="82" t="str">
        <f>IF($B146&lt;&gt;"",_xlfn.IFNA(VLOOKUP($B146,'Node Details'!$B:$U,E$1,0),"Check"),"")</f>
        <v>Airtel</v>
      </c>
      <c r="F146" s="97">
        <v>45379</v>
      </c>
      <c r="G146" s="77"/>
      <c r="H146" s="92" t="s">
        <v>225</v>
      </c>
      <c r="I146" s="93">
        <v>1</v>
      </c>
      <c r="J146" s="93">
        <v>70</v>
      </c>
      <c r="K146" s="82">
        <f t="shared" si="14"/>
        <v>70</v>
      </c>
      <c r="L146" s="81"/>
      <c r="M146" s="77"/>
      <c r="N146" s="83"/>
      <c r="O146" s="79"/>
      <c r="P146" s="85">
        <f t="shared" si="15"/>
        <v>70</v>
      </c>
      <c r="Q146" s="86">
        <f t="shared" si="16"/>
        <v>70</v>
      </c>
      <c r="R146" s="76"/>
      <c r="S146" s="87" t="s">
        <v>88</v>
      </c>
      <c r="T146" s="79"/>
      <c r="U146" s="85">
        <f t="shared" si="17"/>
        <v>70</v>
      </c>
      <c r="V146" s="85">
        <f t="shared" si="18"/>
        <v>1</v>
      </c>
      <c r="W146" s="88">
        <f t="shared" si="19"/>
        <v>70</v>
      </c>
      <c r="X146" s="98" t="s">
        <v>86</v>
      </c>
      <c r="Y146" s="78" t="s">
        <v>81</v>
      </c>
    </row>
    <row r="147" spans="1:25" s="78" customFormat="1" ht="11.1" customHeight="1" x14ac:dyDescent="0.2">
      <c r="A147" s="71">
        <f t="shared" si="20"/>
        <v>145</v>
      </c>
      <c r="B147" s="90" t="s">
        <v>153</v>
      </c>
      <c r="C147" s="82" t="str">
        <f>IF($B147&lt;&gt;"",_xlfn.IFNA(VLOOKUP($B147,'Node Details'!$B:$U,C$1,0),"Check"),"")</f>
        <v>00001GF12-1GF120106</v>
      </c>
      <c r="D147" s="82" t="str">
        <f>IF($B147&lt;&gt;"",_xlfn.IFNA(VLOOKUP($B147,'Node Details'!$B:$U,D$1,0),"Check"),"")</f>
        <v>1GF</v>
      </c>
      <c r="E147" s="82" t="str">
        <f>IF($B147&lt;&gt;"",_xlfn.IFNA(VLOOKUP($B147,'Node Details'!$B:$U,E$1,0),"Check"),"")</f>
        <v>Airtel</v>
      </c>
      <c r="F147" s="97">
        <v>45379</v>
      </c>
      <c r="G147" s="77"/>
      <c r="H147" s="92" t="s">
        <v>225</v>
      </c>
      <c r="I147" s="93">
        <v>1</v>
      </c>
      <c r="J147" s="93">
        <v>70</v>
      </c>
      <c r="K147" s="82">
        <f t="shared" si="14"/>
        <v>70</v>
      </c>
      <c r="L147" s="81"/>
      <c r="M147" s="77"/>
      <c r="N147" s="83"/>
      <c r="O147" s="79"/>
      <c r="P147" s="85">
        <f t="shared" si="15"/>
        <v>70</v>
      </c>
      <c r="Q147" s="86">
        <f t="shared" si="16"/>
        <v>70</v>
      </c>
      <c r="R147" s="76"/>
      <c r="S147" s="87" t="s">
        <v>88</v>
      </c>
      <c r="T147" s="79"/>
      <c r="U147" s="85">
        <f t="shared" si="17"/>
        <v>70</v>
      </c>
      <c r="V147" s="85">
        <f t="shared" si="18"/>
        <v>1</v>
      </c>
      <c r="W147" s="88">
        <f t="shared" si="19"/>
        <v>70</v>
      </c>
      <c r="X147" s="98" t="s">
        <v>86</v>
      </c>
      <c r="Y147" s="78" t="s">
        <v>81</v>
      </c>
    </row>
    <row r="148" spans="1:25" s="78" customFormat="1" ht="11.1" customHeight="1" x14ac:dyDescent="0.2">
      <c r="A148" s="71">
        <f t="shared" si="20"/>
        <v>146</v>
      </c>
      <c r="B148" s="90" t="s">
        <v>154</v>
      </c>
      <c r="C148" s="82" t="str">
        <f>IF($B148&lt;&gt;"",_xlfn.IFNA(VLOOKUP($B148,'Node Details'!$B:$U,C$1,0),"Check"),"")</f>
        <v>00001GF12-1GF120106</v>
      </c>
      <c r="D148" s="82" t="str">
        <f>IF($B148&lt;&gt;"",_xlfn.IFNA(VLOOKUP($B148,'Node Details'!$B:$U,D$1,0),"Check"),"")</f>
        <v>1GF</v>
      </c>
      <c r="E148" s="82" t="str">
        <f>IF($B148&lt;&gt;"",_xlfn.IFNA(VLOOKUP($B148,'Node Details'!$B:$U,E$1,0),"Check"),"")</f>
        <v>Airtel</v>
      </c>
      <c r="F148" s="97">
        <v>45379</v>
      </c>
      <c r="G148" s="77"/>
      <c r="H148" s="92" t="s">
        <v>225</v>
      </c>
      <c r="I148" s="93">
        <v>2</v>
      </c>
      <c r="J148" s="93">
        <v>70</v>
      </c>
      <c r="K148" s="82">
        <f t="shared" si="14"/>
        <v>140</v>
      </c>
      <c r="L148" s="81"/>
      <c r="M148" s="77"/>
      <c r="N148" s="83"/>
      <c r="O148" s="79"/>
      <c r="P148" s="85">
        <f t="shared" si="15"/>
        <v>70</v>
      </c>
      <c r="Q148" s="86">
        <f t="shared" si="16"/>
        <v>140</v>
      </c>
      <c r="R148" s="76"/>
      <c r="S148" s="87" t="s">
        <v>88</v>
      </c>
      <c r="T148" s="79"/>
      <c r="U148" s="85">
        <f t="shared" si="17"/>
        <v>70</v>
      </c>
      <c r="V148" s="85">
        <f t="shared" si="18"/>
        <v>2</v>
      </c>
      <c r="W148" s="88">
        <f t="shared" si="19"/>
        <v>140</v>
      </c>
      <c r="X148" s="98" t="s">
        <v>86</v>
      </c>
      <c r="Y148" s="78" t="s">
        <v>81</v>
      </c>
    </row>
    <row r="149" spans="1:25" s="78" customFormat="1" ht="11.1" customHeight="1" x14ac:dyDescent="0.2">
      <c r="A149" s="71">
        <f t="shared" si="20"/>
        <v>147</v>
      </c>
      <c r="B149" s="90" t="s">
        <v>97</v>
      </c>
      <c r="C149" s="82" t="str">
        <f>IF($B149&lt;&gt;"",_xlfn.IFNA(VLOOKUP($B149,'Node Details'!$B:$U,C$1,0),"Check"),"")</f>
        <v>00001GF12-1GF120106</v>
      </c>
      <c r="D149" s="82" t="str">
        <f>IF($B149&lt;&gt;"",_xlfn.IFNA(VLOOKUP($B149,'Node Details'!$B:$U,D$1,0),"Check"),"")</f>
        <v>1GF</v>
      </c>
      <c r="E149" s="82" t="str">
        <f>IF($B149&lt;&gt;"",_xlfn.IFNA(VLOOKUP($B149,'Node Details'!$B:$U,E$1,0),"Check"),"")</f>
        <v>Airtel</v>
      </c>
      <c r="F149" s="97">
        <v>45379</v>
      </c>
      <c r="G149" s="77"/>
      <c r="H149" s="92" t="s">
        <v>225</v>
      </c>
      <c r="I149" s="93">
        <v>1</v>
      </c>
      <c r="J149" s="93">
        <v>70</v>
      </c>
      <c r="K149" s="82">
        <f t="shared" si="14"/>
        <v>70</v>
      </c>
      <c r="L149" s="81"/>
      <c r="M149" s="77"/>
      <c r="N149" s="83"/>
      <c r="O149" s="79"/>
      <c r="P149" s="85">
        <f t="shared" si="15"/>
        <v>70</v>
      </c>
      <c r="Q149" s="86">
        <f t="shared" si="16"/>
        <v>70</v>
      </c>
      <c r="R149" s="76"/>
      <c r="S149" s="87" t="s">
        <v>88</v>
      </c>
      <c r="T149" s="79"/>
      <c r="U149" s="85">
        <f t="shared" si="17"/>
        <v>70</v>
      </c>
      <c r="V149" s="85">
        <f t="shared" si="18"/>
        <v>1</v>
      </c>
      <c r="W149" s="88">
        <f t="shared" si="19"/>
        <v>70</v>
      </c>
      <c r="X149" s="98" t="s">
        <v>86</v>
      </c>
      <c r="Y149" s="78" t="s">
        <v>81</v>
      </c>
    </row>
    <row r="150" spans="1:25" s="78" customFormat="1" ht="11.1" customHeight="1" x14ac:dyDescent="0.2">
      <c r="A150" s="71">
        <f t="shared" si="20"/>
        <v>148</v>
      </c>
      <c r="B150" s="90" t="s">
        <v>155</v>
      </c>
      <c r="C150" s="82" t="str">
        <f>IF($B150&lt;&gt;"",_xlfn.IFNA(VLOOKUP($B150,'Node Details'!$B:$U,C$1,0),"Check"),"")</f>
        <v>00001GF13-1GF130106</v>
      </c>
      <c r="D150" s="82" t="str">
        <f>IF($B150&lt;&gt;"",_xlfn.IFNA(VLOOKUP($B150,'Node Details'!$B:$U,D$1,0),"Check"),"")</f>
        <v>1GF</v>
      </c>
      <c r="E150" s="82" t="str">
        <f>IF($B150&lt;&gt;"",_xlfn.IFNA(VLOOKUP($B150,'Node Details'!$B:$U,E$1,0),"Check"),"")</f>
        <v>Airtel</v>
      </c>
      <c r="F150" s="97">
        <v>45379</v>
      </c>
      <c r="G150" s="77"/>
      <c r="H150" s="92" t="s">
        <v>225</v>
      </c>
      <c r="I150" s="93">
        <v>1</v>
      </c>
      <c r="J150" s="93">
        <v>70</v>
      </c>
      <c r="K150" s="82">
        <f t="shared" si="14"/>
        <v>70</v>
      </c>
      <c r="L150" s="81"/>
      <c r="M150" s="77"/>
      <c r="N150" s="83"/>
      <c r="O150" s="79"/>
      <c r="P150" s="85">
        <f t="shared" si="15"/>
        <v>70</v>
      </c>
      <c r="Q150" s="86">
        <f t="shared" si="16"/>
        <v>70</v>
      </c>
      <c r="R150" s="76"/>
      <c r="S150" s="87" t="s">
        <v>88</v>
      </c>
      <c r="T150" s="79"/>
      <c r="U150" s="85">
        <f t="shared" si="17"/>
        <v>70</v>
      </c>
      <c r="V150" s="85">
        <f t="shared" si="18"/>
        <v>1</v>
      </c>
      <c r="W150" s="88">
        <f t="shared" si="19"/>
        <v>70</v>
      </c>
      <c r="X150" s="98" t="s">
        <v>86</v>
      </c>
      <c r="Y150" s="78" t="s">
        <v>81</v>
      </c>
    </row>
    <row r="151" spans="1:25" s="78" customFormat="1" ht="11.1" customHeight="1" x14ac:dyDescent="0.2">
      <c r="A151" s="71">
        <f t="shared" si="20"/>
        <v>149</v>
      </c>
      <c r="B151" s="90" t="s">
        <v>156</v>
      </c>
      <c r="C151" s="82" t="str">
        <f>IF($B151&lt;&gt;"",_xlfn.IFNA(VLOOKUP($B151,'Node Details'!$B:$U,C$1,0),"Check"),"")</f>
        <v>00001GF13-1GF130106</v>
      </c>
      <c r="D151" s="82" t="str">
        <f>IF($B151&lt;&gt;"",_xlfn.IFNA(VLOOKUP($B151,'Node Details'!$B:$U,D$1,0),"Check"),"")</f>
        <v>1GF</v>
      </c>
      <c r="E151" s="82" t="str">
        <f>IF($B151&lt;&gt;"",_xlfn.IFNA(VLOOKUP($B151,'Node Details'!$B:$U,E$1,0),"Check"),"")</f>
        <v>Airtel</v>
      </c>
      <c r="F151" s="97">
        <v>45379</v>
      </c>
      <c r="G151" s="77"/>
      <c r="H151" s="92" t="s">
        <v>225</v>
      </c>
      <c r="I151" s="93">
        <v>2</v>
      </c>
      <c r="J151" s="93">
        <v>70</v>
      </c>
      <c r="K151" s="82">
        <f t="shared" si="14"/>
        <v>140</v>
      </c>
      <c r="L151" s="81"/>
      <c r="M151" s="77"/>
      <c r="N151" s="83"/>
      <c r="O151" s="79"/>
      <c r="P151" s="85">
        <f t="shared" si="15"/>
        <v>70</v>
      </c>
      <c r="Q151" s="86">
        <f t="shared" si="16"/>
        <v>140</v>
      </c>
      <c r="R151" s="76"/>
      <c r="S151" s="87" t="s">
        <v>88</v>
      </c>
      <c r="T151" s="79"/>
      <c r="U151" s="85">
        <f t="shared" si="17"/>
        <v>70</v>
      </c>
      <c r="V151" s="85">
        <f t="shared" si="18"/>
        <v>2</v>
      </c>
      <c r="W151" s="88">
        <f t="shared" si="19"/>
        <v>140</v>
      </c>
      <c r="X151" s="98" t="s">
        <v>86</v>
      </c>
      <c r="Y151" s="78" t="s">
        <v>81</v>
      </c>
    </row>
    <row r="152" spans="1:25" s="78" customFormat="1" ht="11.1" customHeight="1" x14ac:dyDescent="0.2">
      <c r="A152" s="71">
        <f t="shared" si="20"/>
        <v>150</v>
      </c>
      <c r="B152" s="90" t="s">
        <v>157</v>
      </c>
      <c r="C152" s="82" t="str">
        <f>IF($B152&lt;&gt;"",_xlfn.IFNA(VLOOKUP($B152,'Node Details'!$B:$U,C$1,0),"Check"),"")</f>
        <v>00001GF13-1GF130106</v>
      </c>
      <c r="D152" s="82" t="str">
        <f>IF($B152&lt;&gt;"",_xlfn.IFNA(VLOOKUP($B152,'Node Details'!$B:$U,D$1,0),"Check"),"")</f>
        <v>1GF</v>
      </c>
      <c r="E152" s="82" t="str">
        <f>IF($B152&lt;&gt;"",_xlfn.IFNA(VLOOKUP($B152,'Node Details'!$B:$U,E$1,0),"Check"),"")</f>
        <v>Airtel</v>
      </c>
      <c r="F152" s="97">
        <v>45379</v>
      </c>
      <c r="G152" s="77"/>
      <c r="H152" s="92" t="s">
        <v>225</v>
      </c>
      <c r="I152" s="93">
        <v>1</v>
      </c>
      <c r="J152" s="93">
        <v>70</v>
      </c>
      <c r="K152" s="82">
        <f t="shared" si="14"/>
        <v>70</v>
      </c>
      <c r="L152" s="81"/>
      <c r="M152" s="77"/>
      <c r="N152" s="83"/>
      <c r="O152" s="79"/>
      <c r="P152" s="85">
        <f t="shared" si="15"/>
        <v>70</v>
      </c>
      <c r="Q152" s="86">
        <f t="shared" si="16"/>
        <v>70</v>
      </c>
      <c r="R152" s="76"/>
      <c r="S152" s="87" t="s">
        <v>88</v>
      </c>
      <c r="T152" s="79"/>
      <c r="U152" s="85">
        <f t="shared" si="17"/>
        <v>70</v>
      </c>
      <c r="V152" s="85">
        <f t="shared" si="18"/>
        <v>1</v>
      </c>
      <c r="W152" s="88">
        <f t="shared" si="19"/>
        <v>70</v>
      </c>
      <c r="X152" s="98" t="s">
        <v>86</v>
      </c>
      <c r="Y152" s="78" t="s">
        <v>81</v>
      </c>
    </row>
    <row r="153" spans="1:25" s="78" customFormat="1" ht="11.1" customHeight="1" x14ac:dyDescent="0.2">
      <c r="A153" s="71">
        <f t="shared" si="20"/>
        <v>151</v>
      </c>
      <c r="B153" s="90" t="s">
        <v>158</v>
      </c>
      <c r="C153" s="82" t="str">
        <f>IF($B153&lt;&gt;"",_xlfn.IFNA(VLOOKUP($B153,'Node Details'!$B:$U,C$1,0),"Check"),"")</f>
        <v>00001GF13-1GF130106</v>
      </c>
      <c r="D153" s="82" t="str">
        <f>IF($B153&lt;&gt;"",_xlfn.IFNA(VLOOKUP($B153,'Node Details'!$B:$U,D$1,0),"Check"),"")</f>
        <v>1GF</v>
      </c>
      <c r="E153" s="82" t="str">
        <f>IF($B153&lt;&gt;"",_xlfn.IFNA(VLOOKUP($B153,'Node Details'!$B:$U,E$1,0),"Check"),"")</f>
        <v>Airtel</v>
      </c>
      <c r="F153" s="97">
        <v>45379</v>
      </c>
      <c r="G153" s="77"/>
      <c r="H153" s="92" t="s">
        <v>225</v>
      </c>
      <c r="I153" s="93">
        <v>1</v>
      </c>
      <c r="J153" s="93">
        <v>70</v>
      </c>
      <c r="K153" s="82">
        <f t="shared" si="14"/>
        <v>70</v>
      </c>
      <c r="L153" s="81"/>
      <c r="M153" s="77"/>
      <c r="N153" s="83"/>
      <c r="O153" s="79"/>
      <c r="P153" s="85">
        <f t="shared" si="15"/>
        <v>70</v>
      </c>
      <c r="Q153" s="86">
        <f t="shared" si="16"/>
        <v>70</v>
      </c>
      <c r="R153" s="76"/>
      <c r="S153" s="87" t="s">
        <v>88</v>
      </c>
      <c r="T153" s="79"/>
      <c r="U153" s="85">
        <f t="shared" si="17"/>
        <v>70</v>
      </c>
      <c r="V153" s="85">
        <f t="shared" si="18"/>
        <v>1</v>
      </c>
      <c r="W153" s="88">
        <f t="shared" si="19"/>
        <v>70</v>
      </c>
      <c r="X153" s="98" t="s">
        <v>86</v>
      </c>
      <c r="Y153" s="78" t="s">
        <v>81</v>
      </c>
    </row>
    <row r="154" spans="1:25" s="78" customFormat="1" ht="11.1" customHeight="1" x14ac:dyDescent="0.2">
      <c r="A154" s="71">
        <f t="shared" si="20"/>
        <v>152</v>
      </c>
      <c r="B154" s="90" t="s">
        <v>159</v>
      </c>
      <c r="C154" s="82" t="str">
        <f>IF($B154&lt;&gt;"",_xlfn.IFNA(VLOOKUP($B154,'Node Details'!$B:$U,C$1,0),"Check"),"")</f>
        <v>00001GF13-1GF130106</v>
      </c>
      <c r="D154" s="82" t="str">
        <f>IF($B154&lt;&gt;"",_xlfn.IFNA(VLOOKUP($B154,'Node Details'!$B:$U,D$1,0),"Check"),"")</f>
        <v>1GF</v>
      </c>
      <c r="E154" s="82" t="str">
        <f>IF($B154&lt;&gt;"",_xlfn.IFNA(VLOOKUP($B154,'Node Details'!$B:$U,E$1,0),"Check"),"")</f>
        <v>Airtel</v>
      </c>
      <c r="F154" s="97">
        <v>45379</v>
      </c>
      <c r="G154" s="77"/>
      <c r="H154" s="92" t="s">
        <v>225</v>
      </c>
      <c r="I154" s="93">
        <v>1</v>
      </c>
      <c r="J154" s="93">
        <v>70</v>
      </c>
      <c r="K154" s="82">
        <f t="shared" si="14"/>
        <v>70</v>
      </c>
      <c r="L154" s="81"/>
      <c r="M154" s="77"/>
      <c r="N154" s="83"/>
      <c r="O154" s="79"/>
      <c r="P154" s="85">
        <f t="shared" si="15"/>
        <v>70</v>
      </c>
      <c r="Q154" s="86">
        <f t="shared" si="16"/>
        <v>70</v>
      </c>
      <c r="R154" s="76"/>
      <c r="S154" s="87" t="s">
        <v>88</v>
      </c>
      <c r="T154" s="79"/>
      <c r="U154" s="85">
        <f t="shared" si="17"/>
        <v>70</v>
      </c>
      <c r="V154" s="85">
        <f t="shared" si="18"/>
        <v>1</v>
      </c>
      <c r="W154" s="88">
        <f t="shared" si="19"/>
        <v>70</v>
      </c>
      <c r="X154" s="98" t="s">
        <v>86</v>
      </c>
      <c r="Y154" s="78" t="s">
        <v>81</v>
      </c>
    </row>
    <row r="155" spans="1:25" s="78" customFormat="1" ht="11.1" customHeight="1" x14ac:dyDescent="0.2">
      <c r="A155" s="71">
        <f t="shared" si="20"/>
        <v>153</v>
      </c>
      <c r="B155" s="90" t="s">
        <v>101</v>
      </c>
      <c r="C155" s="82" t="str">
        <f>IF($B155&lt;&gt;"",_xlfn.IFNA(VLOOKUP($B155,'Node Details'!$B:$U,C$1,0),"Check"),"")</f>
        <v>00001GF13-1GF130106</v>
      </c>
      <c r="D155" s="82" t="str">
        <f>IF($B155&lt;&gt;"",_xlfn.IFNA(VLOOKUP($B155,'Node Details'!$B:$U,D$1,0),"Check"),"")</f>
        <v>1GF</v>
      </c>
      <c r="E155" s="82" t="str">
        <f>IF($B155&lt;&gt;"",_xlfn.IFNA(VLOOKUP($B155,'Node Details'!$B:$U,E$1,0),"Check"),"")</f>
        <v>Airtel</v>
      </c>
      <c r="F155" s="97">
        <v>45379</v>
      </c>
      <c r="G155" s="77"/>
      <c r="H155" s="92" t="s">
        <v>225</v>
      </c>
      <c r="I155" s="93">
        <v>2</v>
      </c>
      <c r="J155" s="93">
        <v>70</v>
      </c>
      <c r="K155" s="82">
        <f t="shared" si="14"/>
        <v>140</v>
      </c>
      <c r="L155" s="81"/>
      <c r="M155" s="77"/>
      <c r="N155" s="83"/>
      <c r="O155" s="79"/>
      <c r="P155" s="85">
        <f t="shared" si="15"/>
        <v>70</v>
      </c>
      <c r="Q155" s="86">
        <f t="shared" si="16"/>
        <v>140</v>
      </c>
      <c r="R155" s="76"/>
      <c r="S155" s="87" t="s">
        <v>88</v>
      </c>
      <c r="T155" s="79"/>
      <c r="U155" s="85">
        <f t="shared" si="17"/>
        <v>70</v>
      </c>
      <c r="V155" s="85">
        <f t="shared" si="18"/>
        <v>2</v>
      </c>
      <c r="W155" s="88">
        <f t="shared" si="19"/>
        <v>140</v>
      </c>
      <c r="X155" s="98" t="s">
        <v>86</v>
      </c>
      <c r="Y155" s="78" t="s">
        <v>81</v>
      </c>
    </row>
    <row r="156" spans="1:25" s="78" customFormat="1" ht="11.1" customHeight="1" x14ac:dyDescent="0.2">
      <c r="A156" s="71">
        <f t="shared" si="20"/>
        <v>154</v>
      </c>
      <c r="B156" s="90" t="s">
        <v>160</v>
      </c>
      <c r="C156" s="82" t="str">
        <f>IF($B156&lt;&gt;"",_xlfn.IFNA(VLOOKUP($B156,'Node Details'!$B:$U,C$1,0),"Check"),"")</f>
        <v>00001GF14-1GF140107</v>
      </c>
      <c r="D156" s="82" t="str">
        <f>IF($B156&lt;&gt;"",_xlfn.IFNA(VLOOKUP($B156,'Node Details'!$B:$U,D$1,0),"Check"),"")</f>
        <v>1GF</v>
      </c>
      <c r="E156" s="82" t="str">
        <f>IF($B156&lt;&gt;"",_xlfn.IFNA(VLOOKUP($B156,'Node Details'!$B:$U,E$1,0),"Check"),"")</f>
        <v>Airtel</v>
      </c>
      <c r="F156" s="97">
        <v>45379</v>
      </c>
      <c r="G156" s="77"/>
      <c r="H156" s="92" t="s">
        <v>225</v>
      </c>
      <c r="I156" s="93">
        <v>1</v>
      </c>
      <c r="J156" s="93">
        <v>70</v>
      </c>
      <c r="K156" s="82">
        <f t="shared" si="14"/>
        <v>70</v>
      </c>
      <c r="L156" s="81"/>
      <c r="M156" s="77"/>
      <c r="N156" s="83"/>
      <c r="O156" s="79"/>
      <c r="P156" s="85">
        <f t="shared" si="15"/>
        <v>70</v>
      </c>
      <c r="Q156" s="86">
        <f t="shared" si="16"/>
        <v>70</v>
      </c>
      <c r="R156" s="76"/>
      <c r="S156" s="87" t="s">
        <v>88</v>
      </c>
      <c r="T156" s="79"/>
      <c r="U156" s="85">
        <f t="shared" si="17"/>
        <v>70</v>
      </c>
      <c r="V156" s="85">
        <f t="shared" si="18"/>
        <v>1</v>
      </c>
      <c r="W156" s="88">
        <f t="shared" si="19"/>
        <v>70</v>
      </c>
      <c r="X156" s="98" t="s">
        <v>86</v>
      </c>
      <c r="Y156" s="78" t="s">
        <v>81</v>
      </c>
    </row>
    <row r="157" spans="1:25" s="78" customFormat="1" ht="11.1" customHeight="1" x14ac:dyDescent="0.2">
      <c r="A157" s="71">
        <f t="shared" si="20"/>
        <v>155</v>
      </c>
      <c r="B157" s="90" t="s">
        <v>161</v>
      </c>
      <c r="C157" s="82" t="str">
        <f>IF($B157&lt;&gt;"",_xlfn.IFNA(VLOOKUP($B157,'Node Details'!$B:$U,C$1,0),"Check"),"")</f>
        <v>00001GF14-1GF140107</v>
      </c>
      <c r="D157" s="82" t="str">
        <f>IF($B157&lt;&gt;"",_xlfn.IFNA(VLOOKUP($B157,'Node Details'!$B:$U,D$1,0),"Check"),"")</f>
        <v>1GF</v>
      </c>
      <c r="E157" s="82" t="str">
        <f>IF($B157&lt;&gt;"",_xlfn.IFNA(VLOOKUP($B157,'Node Details'!$B:$U,E$1,0),"Check"),"")</f>
        <v>Airtel</v>
      </c>
      <c r="F157" s="97">
        <v>45379</v>
      </c>
      <c r="G157" s="77"/>
      <c r="H157" s="92" t="s">
        <v>225</v>
      </c>
      <c r="I157" s="93">
        <v>1</v>
      </c>
      <c r="J157" s="93">
        <v>70</v>
      </c>
      <c r="K157" s="82">
        <f t="shared" si="14"/>
        <v>70</v>
      </c>
      <c r="L157" s="81"/>
      <c r="M157" s="77"/>
      <c r="N157" s="83"/>
      <c r="O157" s="79"/>
      <c r="P157" s="85">
        <f t="shared" si="15"/>
        <v>70</v>
      </c>
      <c r="Q157" s="86">
        <f t="shared" si="16"/>
        <v>70</v>
      </c>
      <c r="R157" s="76"/>
      <c r="S157" s="87" t="s">
        <v>88</v>
      </c>
      <c r="T157" s="79"/>
      <c r="U157" s="85">
        <f t="shared" si="17"/>
        <v>70</v>
      </c>
      <c r="V157" s="85">
        <f t="shared" si="18"/>
        <v>1</v>
      </c>
      <c r="W157" s="88">
        <f t="shared" si="19"/>
        <v>70</v>
      </c>
      <c r="X157" s="98" t="s">
        <v>86</v>
      </c>
      <c r="Y157" s="78" t="s">
        <v>81</v>
      </c>
    </row>
    <row r="158" spans="1:25" s="78" customFormat="1" ht="11.1" customHeight="1" x14ac:dyDescent="0.2">
      <c r="A158" s="71">
        <f t="shared" si="20"/>
        <v>156</v>
      </c>
      <c r="B158" s="90" t="s">
        <v>162</v>
      </c>
      <c r="C158" s="82" t="str">
        <f>IF($B158&lt;&gt;"",_xlfn.IFNA(VLOOKUP($B158,'Node Details'!$B:$U,C$1,0),"Check"),"")</f>
        <v>00001GF14-1GF140107</v>
      </c>
      <c r="D158" s="82" t="str">
        <f>IF($B158&lt;&gt;"",_xlfn.IFNA(VLOOKUP($B158,'Node Details'!$B:$U,D$1,0),"Check"),"")</f>
        <v>1GF</v>
      </c>
      <c r="E158" s="82" t="str">
        <f>IF($B158&lt;&gt;"",_xlfn.IFNA(VLOOKUP($B158,'Node Details'!$B:$U,E$1,0),"Check"),"")</f>
        <v>Airtel</v>
      </c>
      <c r="F158" s="97">
        <v>45379</v>
      </c>
      <c r="G158" s="77"/>
      <c r="H158" s="92" t="s">
        <v>225</v>
      </c>
      <c r="I158" s="93">
        <v>1</v>
      </c>
      <c r="J158" s="93">
        <v>70</v>
      </c>
      <c r="K158" s="82">
        <f t="shared" si="14"/>
        <v>70</v>
      </c>
      <c r="L158" s="81"/>
      <c r="M158" s="77"/>
      <c r="N158" s="83"/>
      <c r="O158" s="79"/>
      <c r="P158" s="85">
        <f t="shared" si="15"/>
        <v>70</v>
      </c>
      <c r="Q158" s="86">
        <f t="shared" si="16"/>
        <v>70</v>
      </c>
      <c r="R158" s="76"/>
      <c r="S158" s="87" t="s">
        <v>88</v>
      </c>
      <c r="T158" s="79"/>
      <c r="U158" s="85">
        <f t="shared" si="17"/>
        <v>70</v>
      </c>
      <c r="V158" s="85">
        <f t="shared" si="18"/>
        <v>1</v>
      </c>
      <c r="W158" s="88">
        <f t="shared" si="19"/>
        <v>70</v>
      </c>
      <c r="X158" s="98" t="s">
        <v>86</v>
      </c>
      <c r="Y158" s="78" t="s">
        <v>81</v>
      </c>
    </row>
    <row r="159" spans="1:25" s="78" customFormat="1" ht="11.1" customHeight="1" x14ac:dyDescent="0.2">
      <c r="A159" s="71">
        <f t="shared" si="20"/>
        <v>157</v>
      </c>
      <c r="B159" s="90" t="s">
        <v>163</v>
      </c>
      <c r="C159" s="82" t="str">
        <f>IF($B159&lt;&gt;"",_xlfn.IFNA(VLOOKUP($B159,'Node Details'!$B:$U,C$1,0),"Check"),"")</f>
        <v>00001GF14-1GF140107</v>
      </c>
      <c r="D159" s="82" t="str">
        <f>IF($B159&lt;&gt;"",_xlfn.IFNA(VLOOKUP($B159,'Node Details'!$B:$U,D$1,0),"Check"),"")</f>
        <v>1GF</v>
      </c>
      <c r="E159" s="82" t="str">
        <f>IF($B159&lt;&gt;"",_xlfn.IFNA(VLOOKUP($B159,'Node Details'!$B:$U,E$1,0),"Check"),"")</f>
        <v>Airtel</v>
      </c>
      <c r="F159" s="97">
        <v>45379</v>
      </c>
      <c r="G159" s="77"/>
      <c r="H159" s="92" t="s">
        <v>225</v>
      </c>
      <c r="I159" s="93">
        <v>2</v>
      </c>
      <c r="J159" s="93">
        <v>70</v>
      </c>
      <c r="K159" s="82">
        <f t="shared" si="14"/>
        <v>140</v>
      </c>
      <c r="L159" s="81"/>
      <c r="M159" s="77"/>
      <c r="N159" s="83"/>
      <c r="O159" s="79"/>
      <c r="P159" s="85">
        <f t="shared" si="15"/>
        <v>70</v>
      </c>
      <c r="Q159" s="86">
        <f t="shared" si="16"/>
        <v>140</v>
      </c>
      <c r="R159" s="76"/>
      <c r="S159" s="87" t="s">
        <v>88</v>
      </c>
      <c r="T159" s="79"/>
      <c r="U159" s="85">
        <f t="shared" si="17"/>
        <v>70</v>
      </c>
      <c r="V159" s="85">
        <f t="shared" si="18"/>
        <v>2</v>
      </c>
      <c r="W159" s="88">
        <f t="shared" si="19"/>
        <v>140</v>
      </c>
      <c r="X159" s="98" t="s">
        <v>86</v>
      </c>
      <c r="Y159" s="78" t="s">
        <v>81</v>
      </c>
    </row>
    <row r="160" spans="1:25" s="78" customFormat="1" ht="11.1" customHeight="1" x14ac:dyDescent="0.2">
      <c r="A160" s="71">
        <f t="shared" si="20"/>
        <v>158</v>
      </c>
      <c r="B160" s="90" t="s">
        <v>164</v>
      </c>
      <c r="C160" s="82" t="str">
        <f>IF($B160&lt;&gt;"",_xlfn.IFNA(VLOOKUP($B160,'Node Details'!$B:$U,C$1,0),"Check"),"")</f>
        <v>00001GF14-1GF140107</v>
      </c>
      <c r="D160" s="82" t="str">
        <f>IF($B160&lt;&gt;"",_xlfn.IFNA(VLOOKUP($B160,'Node Details'!$B:$U,D$1,0),"Check"),"")</f>
        <v>1GF</v>
      </c>
      <c r="E160" s="82" t="str">
        <f>IF($B160&lt;&gt;"",_xlfn.IFNA(VLOOKUP($B160,'Node Details'!$B:$U,E$1,0),"Check"),"")</f>
        <v>Airtel</v>
      </c>
      <c r="F160" s="97">
        <v>45379</v>
      </c>
      <c r="G160" s="77"/>
      <c r="H160" s="92" t="s">
        <v>225</v>
      </c>
      <c r="I160" s="93">
        <v>1</v>
      </c>
      <c r="J160" s="93">
        <v>70</v>
      </c>
      <c r="K160" s="82">
        <f t="shared" si="14"/>
        <v>70</v>
      </c>
      <c r="L160" s="81"/>
      <c r="M160" s="77"/>
      <c r="N160" s="83"/>
      <c r="O160" s="79"/>
      <c r="P160" s="85">
        <f t="shared" si="15"/>
        <v>70</v>
      </c>
      <c r="Q160" s="86">
        <f t="shared" si="16"/>
        <v>70</v>
      </c>
      <c r="R160" s="76"/>
      <c r="S160" s="87" t="s">
        <v>88</v>
      </c>
      <c r="T160" s="79"/>
      <c r="U160" s="85">
        <f t="shared" si="17"/>
        <v>70</v>
      </c>
      <c r="V160" s="85">
        <f t="shared" si="18"/>
        <v>1</v>
      </c>
      <c r="W160" s="88">
        <f t="shared" si="19"/>
        <v>70</v>
      </c>
      <c r="X160" s="98" t="s">
        <v>86</v>
      </c>
      <c r="Y160" s="78" t="s">
        <v>81</v>
      </c>
    </row>
    <row r="161" spans="1:25" s="78" customFormat="1" ht="11.1" customHeight="1" x14ac:dyDescent="0.2">
      <c r="A161" s="71">
        <f t="shared" si="20"/>
        <v>159</v>
      </c>
      <c r="B161" s="90" t="s">
        <v>165</v>
      </c>
      <c r="C161" s="82" t="str">
        <f>IF($B161&lt;&gt;"",_xlfn.IFNA(VLOOKUP($B161,'Node Details'!$B:$U,C$1,0),"Check"),"")</f>
        <v>00001GF14-1GF140107</v>
      </c>
      <c r="D161" s="82" t="str">
        <f>IF($B161&lt;&gt;"",_xlfn.IFNA(VLOOKUP($B161,'Node Details'!$B:$U,D$1,0),"Check"),"")</f>
        <v>1GF</v>
      </c>
      <c r="E161" s="82" t="str">
        <f>IF($B161&lt;&gt;"",_xlfn.IFNA(VLOOKUP($B161,'Node Details'!$B:$U,E$1,0),"Check"),"")</f>
        <v>Airtel</v>
      </c>
      <c r="F161" s="97">
        <v>45379</v>
      </c>
      <c r="G161" s="77"/>
      <c r="H161" s="92" t="s">
        <v>225</v>
      </c>
      <c r="I161" s="93">
        <v>1</v>
      </c>
      <c r="J161" s="93">
        <v>70</v>
      </c>
      <c r="K161" s="82">
        <f t="shared" si="14"/>
        <v>70</v>
      </c>
      <c r="L161" s="81"/>
      <c r="M161" s="77"/>
      <c r="N161" s="83"/>
      <c r="O161" s="79"/>
      <c r="P161" s="85">
        <f t="shared" si="15"/>
        <v>70</v>
      </c>
      <c r="Q161" s="86">
        <f t="shared" si="16"/>
        <v>70</v>
      </c>
      <c r="R161" s="76"/>
      <c r="S161" s="87" t="s">
        <v>88</v>
      </c>
      <c r="T161" s="79"/>
      <c r="U161" s="85">
        <f t="shared" si="17"/>
        <v>70</v>
      </c>
      <c r="V161" s="85">
        <f t="shared" si="18"/>
        <v>1</v>
      </c>
      <c r="W161" s="88">
        <f t="shared" si="19"/>
        <v>70</v>
      </c>
      <c r="X161" s="98" t="s">
        <v>86</v>
      </c>
      <c r="Y161" s="78" t="s">
        <v>81</v>
      </c>
    </row>
    <row r="162" spans="1:25" s="78" customFormat="1" ht="11.1" customHeight="1" x14ac:dyDescent="0.2">
      <c r="A162" s="71">
        <f t="shared" si="20"/>
        <v>160</v>
      </c>
      <c r="B162" s="90" t="s">
        <v>105</v>
      </c>
      <c r="C162" s="82" t="str">
        <f>IF($B162&lt;&gt;"",_xlfn.IFNA(VLOOKUP($B162,'Node Details'!$B:$U,C$1,0),"Check"),"")</f>
        <v>00001GF14-1GF140107</v>
      </c>
      <c r="D162" s="82" t="str">
        <f>IF($B162&lt;&gt;"",_xlfn.IFNA(VLOOKUP($B162,'Node Details'!$B:$U,D$1,0),"Check"),"")</f>
        <v>1GF</v>
      </c>
      <c r="E162" s="82" t="str">
        <f>IF($B162&lt;&gt;"",_xlfn.IFNA(VLOOKUP($B162,'Node Details'!$B:$U,E$1,0),"Check"),"")</f>
        <v>Airtel</v>
      </c>
      <c r="F162" s="97">
        <v>45379</v>
      </c>
      <c r="G162" s="77"/>
      <c r="H162" s="92" t="s">
        <v>225</v>
      </c>
      <c r="I162" s="93">
        <v>1</v>
      </c>
      <c r="J162" s="93">
        <v>70</v>
      </c>
      <c r="K162" s="82">
        <f t="shared" si="14"/>
        <v>70</v>
      </c>
      <c r="L162" s="81"/>
      <c r="M162" s="77"/>
      <c r="N162" s="83"/>
      <c r="O162" s="79"/>
      <c r="P162" s="85">
        <f t="shared" si="15"/>
        <v>70</v>
      </c>
      <c r="Q162" s="86">
        <f t="shared" si="16"/>
        <v>70</v>
      </c>
      <c r="R162" s="76"/>
      <c r="S162" s="87" t="s">
        <v>88</v>
      </c>
      <c r="T162" s="79"/>
      <c r="U162" s="85">
        <f t="shared" si="17"/>
        <v>70</v>
      </c>
      <c r="V162" s="85">
        <f t="shared" si="18"/>
        <v>1</v>
      </c>
      <c r="W162" s="88">
        <f t="shared" si="19"/>
        <v>70</v>
      </c>
      <c r="X162" s="98" t="s">
        <v>86</v>
      </c>
      <c r="Y162" s="78" t="s">
        <v>81</v>
      </c>
    </row>
    <row r="163" spans="1:25" s="78" customFormat="1" ht="11.1" customHeight="1" x14ac:dyDescent="0.2">
      <c r="A163" s="71">
        <f t="shared" si="20"/>
        <v>161</v>
      </c>
      <c r="B163" s="90" t="s">
        <v>166</v>
      </c>
      <c r="C163" s="82" t="str">
        <f>IF($B163&lt;&gt;"",_xlfn.IFNA(VLOOKUP($B163,'Node Details'!$B:$U,C$1,0),"Check"),"")</f>
        <v>00001GF15-1GF150107</v>
      </c>
      <c r="D163" s="82" t="str">
        <f>IF($B163&lt;&gt;"",_xlfn.IFNA(VLOOKUP($B163,'Node Details'!$B:$U,D$1,0),"Check"),"")</f>
        <v>1GF</v>
      </c>
      <c r="E163" s="82" t="str">
        <f>IF($B163&lt;&gt;"",_xlfn.IFNA(VLOOKUP($B163,'Node Details'!$B:$U,E$1,0),"Check"),"")</f>
        <v>Airtel</v>
      </c>
      <c r="F163" s="97">
        <v>45379</v>
      </c>
      <c r="G163" s="77"/>
      <c r="H163" s="92" t="s">
        <v>225</v>
      </c>
      <c r="I163" s="93">
        <v>1</v>
      </c>
      <c r="J163" s="93">
        <v>70</v>
      </c>
      <c r="K163" s="82">
        <f t="shared" si="14"/>
        <v>70</v>
      </c>
      <c r="L163" s="81"/>
      <c r="M163" s="77"/>
      <c r="N163" s="83"/>
      <c r="O163" s="79"/>
      <c r="P163" s="85">
        <f t="shared" si="15"/>
        <v>70</v>
      </c>
      <c r="Q163" s="86">
        <f t="shared" si="16"/>
        <v>70</v>
      </c>
      <c r="R163" s="76"/>
      <c r="S163" s="87" t="s">
        <v>88</v>
      </c>
      <c r="T163" s="79"/>
      <c r="U163" s="85">
        <f t="shared" si="17"/>
        <v>70</v>
      </c>
      <c r="V163" s="85">
        <f t="shared" si="18"/>
        <v>1</v>
      </c>
      <c r="W163" s="88">
        <f t="shared" si="19"/>
        <v>70</v>
      </c>
      <c r="X163" s="98" t="s">
        <v>86</v>
      </c>
      <c r="Y163" s="78" t="s">
        <v>81</v>
      </c>
    </row>
    <row r="164" spans="1:25" s="78" customFormat="1" ht="11.1" customHeight="1" x14ac:dyDescent="0.2">
      <c r="A164" s="71">
        <f t="shared" si="20"/>
        <v>162</v>
      </c>
      <c r="B164" s="90" t="s">
        <v>167</v>
      </c>
      <c r="C164" s="82" t="str">
        <f>IF($B164&lt;&gt;"",_xlfn.IFNA(VLOOKUP($B164,'Node Details'!$B:$U,C$1,0),"Check"),"")</f>
        <v>00001GF15-1GF150107</v>
      </c>
      <c r="D164" s="82" t="str">
        <f>IF($B164&lt;&gt;"",_xlfn.IFNA(VLOOKUP($B164,'Node Details'!$B:$U,D$1,0),"Check"),"")</f>
        <v>1GF</v>
      </c>
      <c r="E164" s="82" t="str">
        <f>IF($B164&lt;&gt;"",_xlfn.IFNA(VLOOKUP($B164,'Node Details'!$B:$U,E$1,0),"Check"),"")</f>
        <v>Airtel</v>
      </c>
      <c r="F164" s="97">
        <v>45379</v>
      </c>
      <c r="G164" s="77"/>
      <c r="H164" s="92" t="s">
        <v>225</v>
      </c>
      <c r="I164" s="93">
        <v>1</v>
      </c>
      <c r="J164" s="93">
        <v>70</v>
      </c>
      <c r="K164" s="82">
        <f t="shared" si="14"/>
        <v>70</v>
      </c>
      <c r="L164" s="81"/>
      <c r="M164" s="77"/>
      <c r="N164" s="83"/>
      <c r="O164" s="79"/>
      <c r="P164" s="85">
        <f t="shared" si="15"/>
        <v>70</v>
      </c>
      <c r="Q164" s="86">
        <f t="shared" si="16"/>
        <v>70</v>
      </c>
      <c r="R164" s="76"/>
      <c r="S164" s="87" t="s">
        <v>88</v>
      </c>
      <c r="T164" s="79"/>
      <c r="U164" s="85">
        <f t="shared" si="17"/>
        <v>70</v>
      </c>
      <c r="V164" s="85">
        <f t="shared" si="18"/>
        <v>1</v>
      </c>
      <c r="W164" s="88">
        <f t="shared" si="19"/>
        <v>70</v>
      </c>
      <c r="X164" s="98" t="s">
        <v>86</v>
      </c>
      <c r="Y164" s="78" t="s">
        <v>81</v>
      </c>
    </row>
    <row r="165" spans="1:25" s="78" customFormat="1" ht="11.1" customHeight="1" x14ac:dyDescent="0.2">
      <c r="A165" s="71">
        <f t="shared" si="20"/>
        <v>163</v>
      </c>
      <c r="B165" s="90" t="s">
        <v>168</v>
      </c>
      <c r="C165" s="82" t="str">
        <f>IF($B165&lt;&gt;"",_xlfn.IFNA(VLOOKUP($B165,'Node Details'!$B:$U,C$1,0),"Check"),"")</f>
        <v>00001GF15-1GF150107</v>
      </c>
      <c r="D165" s="82" t="str">
        <f>IF($B165&lt;&gt;"",_xlfn.IFNA(VLOOKUP($B165,'Node Details'!$B:$U,D$1,0),"Check"),"")</f>
        <v>1GF</v>
      </c>
      <c r="E165" s="82" t="str">
        <f>IF($B165&lt;&gt;"",_xlfn.IFNA(VLOOKUP($B165,'Node Details'!$B:$U,E$1,0),"Check"),"")</f>
        <v>Airtel</v>
      </c>
      <c r="F165" s="97">
        <v>45379</v>
      </c>
      <c r="G165" s="77"/>
      <c r="H165" s="92" t="s">
        <v>225</v>
      </c>
      <c r="I165" s="93">
        <v>2</v>
      </c>
      <c r="J165" s="93">
        <v>70</v>
      </c>
      <c r="K165" s="82">
        <f t="shared" si="14"/>
        <v>140</v>
      </c>
      <c r="L165" s="81"/>
      <c r="M165" s="77"/>
      <c r="N165" s="83"/>
      <c r="O165" s="79"/>
      <c r="P165" s="85">
        <f t="shared" si="15"/>
        <v>70</v>
      </c>
      <c r="Q165" s="86">
        <f t="shared" si="16"/>
        <v>140</v>
      </c>
      <c r="R165" s="76"/>
      <c r="S165" s="87" t="s">
        <v>88</v>
      </c>
      <c r="T165" s="79"/>
      <c r="U165" s="85">
        <f t="shared" si="17"/>
        <v>70</v>
      </c>
      <c r="V165" s="85">
        <f t="shared" si="18"/>
        <v>2</v>
      </c>
      <c r="W165" s="88">
        <f t="shared" si="19"/>
        <v>140</v>
      </c>
      <c r="X165" s="98" t="s">
        <v>86</v>
      </c>
      <c r="Y165" s="78" t="s">
        <v>81</v>
      </c>
    </row>
    <row r="166" spans="1:25" s="78" customFormat="1" ht="11.1" customHeight="1" x14ac:dyDescent="0.2">
      <c r="A166" s="71">
        <f t="shared" si="20"/>
        <v>164</v>
      </c>
      <c r="B166" s="90" t="s">
        <v>169</v>
      </c>
      <c r="C166" s="82" t="str">
        <f>IF($B166&lt;&gt;"",_xlfn.IFNA(VLOOKUP($B166,'Node Details'!$B:$U,C$1,0),"Check"),"")</f>
        <v>00001GF15-1GF150107</v>
      </c>
      <c r="D166" s="82" t="str">
        <f>IF($B166&lt;&gt;"",_xlfn.IFNA(VLOOKUP($B166,'Node Details'!$B:$U,D$1,0),"Check"),"")</f>
        <v>1GF</v>
      </c>
      <c r="E166" s="82" t="str">
        <f>IF($B166&lt;&gt;"",_xlfn.IFNA(VLOOKUP($B166,'Node Details'!$B:$U,E$1,0),"Check"),"")</f>
        <v>Airtel</v>
      </c>
      <c r="F166" s="97">
        <v>45379</v>
      </c>
      <c r="G166" s="77"/>
      <c r="H166" s="92" t="s">
        <v>225</v>
      </c>
      <c r="I166" s="93">
        <v>1</v>
      </c>
      <c r="J166" s="93">
        <v>70</v>
      </c>
      <c r="K166" s="82">
        <f t="shared" si="14"/>
        <v>70</v>
      </c>
      <c r="L166" s="81"/>
      <c r="M166" s="77"/>
      <c r="N166" s="83"/>
      <c r="O166" s="79"/>
      <c r="P166" s="85">
        <f t="shared" si="15"/>
        <v>70</v>
      </c>
      <c r="Q166" s="86">
        <f t="shared" si="16"/>
        <v>70</v>
      </c>
      <c r="R166" s="76"/>
      <c r="S166" s="87" t="s">
        <v>88</v>
      </c>
      <c r="T166" s="79"/>
      <c r="U166" s="85">
        <f t="shared" si="17"/>
        <v>70</v>
      </c>
      <c r="V166" s="85">
        <f t="shared" si="18"/>
        <v>1</v>
      </c>
      <c r="W166" s="88">
        <f t="shared" si="19"/>
        <v>70</v>
      </c>
      <c r="X166" s="98" t="s">
        <v>86</v>
      </c>
      <c r="Y166" s="78" t="s">
        <v>81</v>
      </c>
    </row>
    <row r="167" spans="1:25" s="78" customFormat="1" ht="11.1" customHeight="1" x14ac:dyDescent="0.2">
      <c r="A167" s="71">
        <f t="shared" si="20"/>
        <v>165</v>
      </c>
      <c r="B167" s="90" t="s">
        <v>170</v>
      </c>
      <c r="C167" s="82" t="str">
        <f>IF($B167&lt;&gt;"",_xlfn.IFNA(VLOOKUP($B167,'Node Details'!$B:$U,C$1,0),"Check"),"")</f>
        <v>00001GF15-1GF150107</v>
      </c>
      <c r="D167" s="82" t="str">
        <f>IF($B167&lt;&gt;"",_xlfn.IFNA(VLOOKUP($B167,'Node Details'!$B:$U,D$1,0),"Check"),"")</f>
        <v>1GF</v>
      </c>
      <c r="E167" s="82" t="str">
        <f>IF($B167&lt;&gt;"",_xlfn.IFNA(VLOOKUP($B167,'Node Details'!$B:$U,E$1,0),"Check"),"")</f>
        <v>Airtel</v>
      </c>
      <c r="F167" s="97">
        <v>45379</v>
      </c>
      <c r="G167" s="77"/>
      <c r="H167" s="92" t="s">
        <v>225</v>
      </c>
      <c r="I167" s="93">
        <v>1</v>
      </c>
      <c r="J167" s="93">
        <v>70</v>
      </c>
      <c r="K167" s="82">
        <f t="shared" si="14"/>
        <v>70</v>
      </c>
      <c r="L167" s="81"/>
      <c r="M167" s="77"/>
      <c r="N167" s="83"/>
      <c r="O167" s="79"/>
      <c r="P167" s="85">
        <f t="shared" si="15"/>
        <v>70</v>
      </c>
      <c r="Q167" s="86">
        <f t="shared" si="16"/>
        <v>70</v>
      </c>
      <c r="R167" s="76"/>
      <c r="S167" s="87" t="s">
        <v>88</v>
      </c>
      <c r="T167" s="79"/>
      <c r="U167" s="85">
        <f t="shared" si="17"/>
        <v>70</v>
      </c>
      <c r="V167" s="85">
        <f t="shared" si="18"/>
        <v>1</v>
      </c>
      <c r="W167" s="88">
        <f t="shared" si="19"/>
        <v>70</v>
      </c>
      <c r="X167" s="98" t="s">
        <v>86</v>
      </c>
      <c r="Y167" s="78" t="s">
        <v>81</v>
      </c>
    </row>
    <row r="168" spans="1:25" s="78" customFormat="1" ht="11.1" customHeight="1" x14ac:dyDescent="0.2">
      <c r="A168" s="71">
        <f t="shared" si="20"/>
        <v>166</v>
      </c>
      <c r="B168" s="90" t="s">
        <v>171</v>
      </c>
      <c r="C168" s="82" t="str">
        <f>IF($B168&lt;&gt;"",_xlfn.IFNA(VLOOKUP($B168,'Node Details'!$B:$U,C$1,0),"Check"),"")</f>
        <v>00001GF15-1GF150107</v>
      </c>
      <c r="D168" s="82" t="str">
        <f>IF($B168&lt;&gt;"",_xlfn.IFNA(VLOOKUP($B168,'Node Details'!$B:$U,D$1,0),"Check"),"")</f>
        <v>1GF</v>
      </c>
      <c r="E168" s="82" t="str">
        <f>IF($B168&lt;&gt;"",_xlfn.IFNA(VLOOKUP($B168,'Node Details'!$B:$U,E$1,0),"Check"),"")</f>
        <v>Airtel</v>
      </c>
      <c r="F168" s="97">
        <v>45379</v>
      </c>
      <c r="G168" s="77"/>
      <c r="H168" s="92" t="s">
        <v>225</v>
      </c>
      <c r="I168" s="93">
        <v>1</v>
      </c>
      <c r="J168" s="93">
        <v>70</v>
      </c>
      <c r="K168" s="82">
        <f t="shared" si="14"/>
        <v>70</v>
      </c>
      <c r="L168" s="81"/>
      <c r="M168" s="77"/>
      <c r="N168" s="83"/>
      <c r="O168" s="79"/>
      <c r="P168" s="85">
        <f t="shared" si="15"/>
        <v>70</v>
      </c>
      <c r="Q168" s="86">
        <f t="shared" si="16"/>
        <v>70</v>
      </c>
      <c r="R168" s="76"/>
      <c r="S168" s="87" t="s">
        <v>88</v>
      </c>
      <c r="T168" s="79"/>
      <c r="U168" s="85">
        <f t="shared" si="17"/>
        <v>70</v>
      </c>
      <c r="V168" s="85">
        <f t="shared" si="18"/>
        <v>1</v>
      </c>
      <c r="W168" s="88">
        <f t="shared" si="19"/>
        <v>70</v>
      </c>
      <c r="X168" s="98" t="s">
        <v>86</v>
      </c>
      <c r="Y168" s="78" t="s">
        <v>81</v>
      </c>
    </row>
    <row r="169" spans="1:25" s="78" customFormat="1" ht="11.1" customHeight="1" x14ac:dyDescent="0.2">
      <c r="A169" s="71">
        <f t="shared" si="20"/>
        <v>167</v>
      </c>
      <c r="B169" s="90" t="s">
        <v>109</v>
      </c>
      <c r="C169" s="82" t="str">
        <f>IF($B169&lt;&gt;"",_xlfn.IFNA(VLOOKUP($B169,'Node Details'!$B:$U,C$1,0),"Check"),"")</f>
        <v>00001GF15-1GF150107</v>
      </c>
      <c r="D169" s="82" t="str">
        <f>IF($B169&lt;&gt;"",_xlfn.IFNA(VLOOKUP($B169,'Node Details'!$B:$U,D$1,0),"Check"),"")</f>
        <v>1GF</v>
      </c>
      <c r="E169" s="82" t="str">
        <f>IF($B169&lt;&gt;"",_xlfn.IFNA(VLOOKUP($B169,'Node Details'!$B:$U,E$1,0),"Check"),"")</f>
        <v>Airtel</v>
      </c>
      <c r="F169" s="97">
        <v>45379</v>
      </c>
      <c r="G169" s="77"/>
      <c r="H169" s="92" t="s">
        <v>225</v>
      </c>
      <c r="I169" s="93">
        <v>2</v>
      </c>
      <c r="J169" s="93">
        <v>70</v>
      </c>
      <c r="K169" s="82">
        <f t="shared" si="14"/>
        <v>140</v>
      </c>
      <c r="L169" s="81"/>
      <c r="M169" s="77"/>
      <c r="N169" s="83"/>
      <c r="O169" s="79"/>
      <c r="P169" s="85">
        <f t="shared" si="15"/>
        <v>70</v>
      </c>
      <c r="Q169" s="86">
        <f t="shared" si="16"/>
        <v>140</v>
      </c>
      <c r="R169" s="76"/>
      <c r="S169" s="87" t="s">
        <v>88</v>
      </c>
      <c r="T169" s="79"/>
      <c r="U169" s="85">
        <f t="shared" si="17"/>
        <v>70</v>
      </c>
      <c r="V169" s="85">
        <f t="shared" si="18"/>
        <v>2</v>
      </c>
      <c r="W169" s="88">
        <f t="shared" si="19"/>
        <v>140</v>
      </c>
      <c r="X169" s="98" t="s">
        <v>86</v>
      </c>
      <c r="Y169" s="78" t="s">
        <v>81</v>
      </c>
    </row>
    <row r="170" spans="1:25" s="78" customFormat="1" ht="11.1" customHeight="1" x14ac:dyDescent="0.2">
      <c r="A170" s="71">
        <f t="shared" si="20"/>
        <v>168</v>
      </c>
      <c r="B170" s="90" t="s">
        <v>172</v>
      </c>
      <c r="C170" s="82" t="str">
        <f>IF($B170&lt;&gt;"",_xlfn.IFNA(VLOOKUP($B170,'Node Details'!$B:$U,C$1,0),"Check"),"")</f>
        <v>00001GF16-1GF160107</v>
      </c>
      <c r="D170" s="82" t="str">
        <f>IF($B170&lt;&gt;"",_xlfn.IFNA(VLOOKUP($B170,'Node Details'!$B:$U,D$1,0),"Check"),"")</f>
        <v>1GF</v>
      </c>
      <c r="E170" s="82" t="str">
        <f>IF($B170&lt;&gt;"",_xlfn.IFNA(VLOOKUP($B170,'Node Details'!$B:$U,E$1,0),"Check"),"")</f>
        <v>Airtel</v>
      </c>
      <c r="F170" s="97">
        <v>45379</v>
      </c>
      <c r="G170" s="77"/>
      <c r="H170" s="92" t="s">
        <v>225</v>
      </c>
      <c r="I170" s="93">
        <v>1</v>
      </c>
      <c r="J170" s="93">
        <v>70</v>
      </c>
      <c r="K170" s="82">
        <f t="shared" si="14"/>
        <v>70</v>
      </c>
      <c r="L170" s="81"/>
      <c r="M170" s="77"/>
      <c r="N170" s="83"/>
      <c r="O170" s="79"/>
      <c r="P170" s="85">
        <f t="shared" si="15"/>
        <v>70</v>
      </c>
      <c r="Q170" s="86">
        <f t="shared" si="16"/>
        <v>70</v>
      </c>
      <c r="R170" s="76"/>
      <c r="S170" s="87" t="s">
        <v>88</v>
      </c>
      <c r="T170" s="79"/>
      <c r="U170" s="85">
        <f t="shared" si="17"/>
        <v>70</v>
      </c>
      <c r="V170" s="85">
        <f t="shared" si="18"/>
        <v>1</v>
      </c>
      <c r="W170" s="88">
        <f t="shared" si="19"/>
        <v>70</v>
      </c>
      <c r="X170" s="98" t="s">
        <v>86</v>
      </c>
      <c r="Y170" s="78" t="s">
        <v>81</v>
      </c>
    </row>
    <row r="171" spans="1:25" s="78" customFormat="1" ht="11.1" customHeight="1" x14ac:dyDescent="0.2">
      <c r="A171" s="71">
        <f t="shared" si="20"/>
        <v>169</v>
      </c>
      <c r="B171" s="90" t="s">
        <v>173</v>
      </c>
      <c r="C171" s="82" t="str">
        <f>IF($B171&lt;&gt;"",_xlfn.IFNA(VLOOKUP($B171,'Node Details'!$B:$U,C$1,0),"Check"),"")</f>
        <v>00001GF16-1GF160107</v>
      </c>
      <c r="D171" s="82" t="str">
        <f>IF($B171&lt;&gt;"",_xlfn.IFNA(VLOOKUP($B171,'Node Details'!$B:$U,D$1,0),"Check"),"")</f>
        <v>1GF</v>
      </c>
      <c r="E171" s="82" t="str">
        <f>IF($B171&lt;&gt;"",_xlfn.IFNA(VLOOKUP($B171,'Node Details'!$B:$U,E$1,0),"Check"),"")</f>
        <v>Airtel</v>
      </c>
      <c r="F171" s="97">
        <v>45379</v>
      </c>
      <c r="G171" s="77"/>
      <c r="H171" s="92" t="s">
        <v>225</v>
      </c>
      <c r="I171" s="93">
        <v>1</v>
      </c>
      <c r="J171" s="93">
        <v>70</v>
      </c>
      <c r="K171" s="82">
        <f t="shared" si="14"/>
        <v>70</v>
      </c>
      <c r="L171" s="81"/>
      <c r="M171" s="77"/>
      <c r="N171" s="83"/>
      <c r="O171" s="79"/>
      <c r="P171" s="85">
        <f t="shared" si="15"/>
        <v>70</v>
      </c>
      <c r="Q171" s="86">
        <f t="shared" si="16"/>
        <v>70</v>
      </c>
      <c r="R171" s="76"/>
      <c r="S171" s="87" t="s">
        <v>88</v>
      </c>
      <c r="T171" s="79"/>
      <c r="U171" s="85">
        <f t="shared" si="17"/>
        <v>70</v>
      </c>
      <c r="V171" s="85">
        <f t="shared" si="18"/>
        <v>1</v>
      </c>
      <c r="W171" s="88">
        <f t="shared" si="19"/>
        <v>70</v>
      </c>
      <c r="X171" s="98" t="s">
        <v>86</v>
      </c>
      <c r="Y171" s="78" t="s">
        <v>81</v>
      </c>
    </row>
    <row r="172" spans="1:25" s="78" customFormat="1" ht="11.1" customHeight="1" x14ac:dyDescent="0.2">
      <c r="A172" s="71">
        <f t="shared" si="20"/>
        <v>170</v>
      </c>
      <c r="B172" s="90" t="s">
        <v>174</v>
      </c>
      <c r="C172" s="82" t="str">
        <f>IF($B172&lt;&gt;"",_xlfn.IFNA(VLOOKUP($B172,'Node Details'!$B:$U,C$1,0),"Check"),"")</f>
        <v>00001GF16-1GF160107</v>
      </c>
      <c r="D172" s="82" t="str">
        <f>IF($B172&lt;&gt;"",_xlfn.IFNA(VLOOKUP($B172,'Node Details'!$B:$U,D$1,0),"Check"),"")</f>
        <v>1GF</v>
      </c>
      <c r="E172" s="82" t="str">
        <f>IF($B172&lt;&gt;"",_xlfn.IFNA(VLOOKUP($B172,'Node Details'!$B:$U,E$1,0),"Check"),"")</f>
        <v>Airtel</v>
      </c>
      <c r="F172" s="97">
        <v>45379</v>
      </c>
      <c r="G172" s="77"/>
      <c r="H172" s="92" t="s">
        <v>225</v>
      </c>
      <c r="I172" s="93">
        <v>1</v>
      </c>
      <c r="J172" s="93">
        <v>70</v>
      </c>
      <c r="K172" s="82">
        <f t="shared" si="14"/>
        <v>70</v>
      </c>
      <c r="L172" s="81"/>
      <c r="M172" s="77"/>
      <c r="N172" s="83"/>
      <c r="O172" s="79"/>
      <c r="P172" s="85">
        <f t="shared" si="15"/>
        <v>70</v>
      </c>
      <c r="Q172" s="86">
        <f t="shared" si="16"/>
        <v>70</v>
      </c>
      <c r="R172" s="76"/>
      <c r="S172" s="87" t="s">
        <v>88</v>
      </c>
      <c r="T172" s="79"/>
      <c r="U172" s="85">
        <f t="shared" si="17"/>
        <v>70</v>
      </c>
      <c r="V172" s="85">
        <f t="shared" si="18"/>
        <v>1</v>
      </c>
      <c r="W172" s="88">
        <f t="shared" si="19"/>
        <v>70</v>
      </c>
      <c r="X172" s="98" t="s">
        <v>86</v>
      </c>
      <c r="Y172" s="78" t="s">
        <v>81</v>
      </c>
    </row>
    <row r="173" spans="1:25" s="78" customFormat="1" ht="11.1" customHeight="1" x14ac:dyDescent="0.2">
      <c r="A173" s="71">
        <f t="shared" si="20"/>
        <v>171</v>
      </c>
      <c r="B173" s="90" t="s">
        <v>175</v>
      </c>
      <c r="C173" s="82" t="str">
        <f>IF($B173&lt;&gt;"",_xlfn.IFNA(VLOOKUP($B173,'Node Details'!$B:$U,C$1,0),"Check"),"")</f>
        <v>00001GF16-1GF160107</v>
      </c>
      <c r="D173" s="82" t="str">
        <f>IF($B173&lt;&gt;"",_xlfn.IFNA(VLOOKUP($B173,'Node Details'!$B:$U,D$1,0),"Check"),"")</f>
        <v>1GF</v>
      </c>
      <c r="E173" s="82" t="str">
        <f>IF($B173&lt;&gt;"",_xlfn.IFNA(VLOOKUP($B173,'Node Details'!$B:$U,E$1,0),"Check"),"")</f>
        <v>Airtel</v>
      </c>
      <c r="F173" s="97">
        <v>45379</v>
      </c>
      <c r="G173" s="77"/>
      <c r="H173" s="92" t="s">
        <v>225</v>
      </c>
      <c r="I173" s="93">
        <v>1</v>
      </c>
      <c r="J173" s="93">
        <v>70</v>
      </c>
      <c r="K173" s="82">
        <f t="shared" si="14"/>
        <v>70</v>
      </c>
      <c r="L173" s="81"/>
      <c r="M173" s="77"/>
      <c r="N173" s="83"/>
      <c r="O173" s="79"/>
      <c r="P173" s="85">
        <f t="shared" si="15"/>
        <v>70</v>
      </c>
      <c r="Q173" s="86">
        <f t="shared" si="16"/>
        <v>70</v>
      </c>
      <c r="R173" s="76"/>
      <c r="S173" s="87" t="s">
        <v>88</v>
      </c>
      <c r="T173" s="79"/>
      <c r="U173" s="85">
        <f t="shared" si="17"/>
        <v>70</v>
      </c>
      <c r="V173" s="85">
        <f t="shared" si="18"/>
        <v>1</v>
      </c>
      <c r="W173" s="88">
        <f t="shared" si="19"/>
        <v>70</v>
      </c>
      <c r="X173" s="98" t="s">
        <v>86</v>
      </c>
      <c r="Y173" s="78" t="s">
        <v>81</v>
      </c>
    </row>
    <row r="174" spans="1:25" s="78" customFormat="1" ht="11.1" customHeight="1" x14ac:dyDescent="0.2">
      <c r="A174" s="71">
        <f t="shared" si="20"/>
        <v>172</v>
      </c>
      <c r="B174" s="90" t="s">
        <v>176</v>
      </c>
      <c r="C174" s="82" t="str">
        <f>IF($B174&lt;&gt;"",_xlfn.IFNA(VLOOKUP($B174,'Node Details'!$B:$U,C$1,0),"Check"),"")</f>
        <v>00001GF16-1GF160107</v>
      </c>
      <c r="D174" s="82" t="str">
        <f>IF($B174&lt;&gt;"",_xlfn.IFNA(VLOOKUP($B174,'Node Details'!$B:$U,D$1,0),"Check"),"")</f>
        <v>1GF</v>
      </c>
      <c r="E174" s="82" t="str">
        <f>IF($B174&lt;&gt;"",_xlfn.IFNA(VLOOKUP($B174,'Node Details'!$B:$U,E$1,0),"Check"),"")</f>
        <v>Airtel</v>
      </c>
      <c r="F174" s="97">
        <v>45379</v>
      </c>
      <c r="G174" s="77"/>
      <c r="H174" s="92" t="s">
        <v>225</v>
      </c>
      <c r="I174" s="93">
        <v>2</v>
      </c>
      <c r="J174" s="93">
        <v>70</v>
      </c>
      <c r="K174" s="82">
        <f t="shared" si="14"/>
        <v>140</v>
      </c>
      <c r="L174" s="81"/>
      <c r="M174" s="77"/>
      <c r="N174" s="83"/>
      <c r="O174" s="79"/>
      <c r="P174" s="85">
        <f t="shared" si="15"/>
        <v>70</v>
      </c>
      <c r="Q174" s="86">
        <f t="shared" si="16"/>
        <v>140</v>
      </c>
      <c r="R174" s="76"/>
      <c r="S174" s="87" t="s">
        <v>88</v>
      </c>
      <c r="T174" s="79"/>
      <c r="U174" s="85">
        <f t="shared" si="17"/>
        <v>70</v>
      </c>
      <c r="V174" s="85">
        <f t="shared" si="18"/>
        <v>2</v>
      </c>
      <c r="W174" s="88">
        <f t="shared" si="19"/>
        <v>140</v>
      </c>
      <c r="X174" s="98" t="s">
        <v>86</v>
      </c>
      <c r="Y174" s="78" t="s">
        <v>81</v>
      </c>
    </row>
    <row r="175" spans="1:25" s="78" customFormat="1" ht="11.1" customHeight="1" x14ac:dyDescent="0.2">
      <c r="A175" s="71">
        <f t="shared" si="20"/>
        <v>173</v>
      </c>
      <c r="B175" s="90" t="s">
        <v>177</v>
      </c>
      <c r="C175" s="82" t="str">
        <f>IF($B175&lt;&gt;"",_xlfn.IFNA(VLOOKUP($B175,'Node Details'!$B:$U,C$1,0),"Check"),"")</f>
        <v>00001GF16-1GF160107</v>
      </c>
      <c r="D175" s="82" t="str">
        <f>IF($B175&lt;&gt;"",_xlfn.IFNA(VLOOKUP($B175,'Node Details'!$B:$U,D$1,0),"Check"),"")</f>
        <v>1GF</v>
      </c>
      <c r="E175" s="82" t="str">
        <f>IF($B175&lt;&gt;"",_xlfn.IFNA(VLOOKUP($B175,'Node Details'!$B:$U,E$1,0),"Check"),"")</f>
        <v>Airtel</v>
      </c>
      <c r="F175" s="97">
        <v>45379</v>
      </c>
      <c r="G175" s="77"/>
      <c r="H175" s="92" t="s">
        <v>225</v>
      </c>
      <c r="I175" s="93">
        <v>1</v>
      </c>
      <c r="J175" s="93">
        <v>70</v>
      </c>
      <c r="K175" s="82">
        <f t="shared" si="14"/>
        <v>70</v>
      </c>
      <c r="L175" s="81"/>
      <c r="M175" s="77"/>
      <c r="N175" s="83"/>
      <c r="O175" s="79"/>
      <c r="P175" s="85">
        <f t="shared" si="15"/>
        <v>70</v>
      </c>
      <c r="Q175" s="86">
        <f t="shared" si="16"/>
        <v>70</v>
      </c>
      <c r="R175" s="76"/>
      <c r="S175" s="87" t="s">
        <v>88</v>
      </c>
      <c r="T175" s="79"/>
      <c r="U175" s="85">
        <f t="shared" si="17"/>
        <v>70</v>
      </c>
      <c r="V175" s="85">
        <f t="shared" si="18"/>
        <v>1</v>
      </c>
      <c r="W175" s="88">
        <f t="shared" si="19"/>
        <v>70</v>
      </c>
      <c r="X175" s="98" t="s">
        <v>86</v>
      </c>
      <c r="Y175" s="78" t="s">
        <v>81</v>
      </c>
    </row>
    <row r="176" spans="1:25" s="78" customFormat="1" ht="11.1" customHeight="1" x14ac:dyDescent="0.2">
      <c r="A176" s="71">
        <f t="shared" si="20"/>
        <v>174</v>
      </c>
      <c r="B176" s="90" t="s">
        <v>113</v>
      </c>
      <c r="C176" s="82" t="str">
        <f>IF($B176&lt;&gt;"",_xlfn.IFNA(VLOOKUP($B176,'Node Details'!$B:$U,C$1,0),"Check"),"")</f>
        <v>00001GF16-1GF160107</v>
      </c>
      <c r="D176" s="82" t="str">
        <f>IF($B176&lt;&gt;"",_xlfn.IFNA(VLOOKUP($B176,'Node Details'!$B:$U,D$1,0),"Check"),"")</f>
        <v>1GF</v>
      </c>
      <c r="E176" s="82" t="str">
        <f>IF($B176&lt;&gt;"",_xlfn.IFNA(VLOOKUP($B176,'Node Details'!$B:$U,E$1,0),"Check"),"")</f>
        <v>Airtel</v>
      </c>
      <c r="F176" s="97">
        <v>45379</v>
      </c>
      <c r="G176" s="77"/>
      <c r="H176" s="92" t="s">
        <v>225</v>
      </c>
      <c r="I176" s="93">
        <v>1</v>
      </c>
      <c r="J176" s="93">
        <v>70</v>
      </c>
      <c r="K176" s="82">
        <f t="shared" si="14"/>
        <v>70</v>
      </c>
      <c r="L176" s="81"/>
      <c r="M176" s="77"/>
      <c r="N176" s="83"/>
      <c r="O176" s="79"/>
      <c r="P176" s="85">
        <f t="shared" si="15"/>
        <v>70</v>
      </c>
      <c r="Q176" s="86">
        <f t="shared" si="16"/>
        <v>70</v>
      </c>
      <c r="R176" s="76"/>
      <c r="S176" s="87" t="s">
        <v>88</v>
      </c>
      <c r="T176" s="79"/>
      <c r="U176" s="85">
        <f t="shared" si="17"/>
        <v>70</v>
      </c>
      <c r="V176" s="85">
        <f t="shared" si="18"/>
        <v>1</v>
      </c>
      <c r="W176" s="88">
        <f t="shared" si="19"/>
        <v>70</v>
      </c>
      <c r="X176" s="98" t="s">
        <v>86</v>
      </c>
      <c r="Y176" s="78" t="s">
        <v>81</v>
      </c>
    </row>
    <row r="177" spans="1:25" s="78" customFormat="1" ht="11.1" customHeight="1" x14ac:dyDescent="0.2">
      <c r="A177" s="71">
        <f t="shared" si="20"/>
        <v>175</v>
      </c>
      <c r="B177" s="90" t="s">
        <v>178</v>
      </c>
      <c r="C177" s="82" t="str">
        <f>IF($B177&lt;&gt;"",_xlfn.IFNA(VLOOKUP($B177,'Node Details'!$B:$U,C$1,0),"Check"),"")</f>
        <v>00001GF17-1GF170104</v>
      </c>
      <c r="D177" s="82" t="str">
        <f>IF($B177&lt;&gt;"",_xlfn.IFNA(VLOOKUP($B177,'Node Details'!$B:$U,D$1,0),"Check"),"")</f>
        <v>1GF</v>
      </c>
      <c r="E177" s="82" t="str">
        <f>IF($B177&lt;&gt;"",_xlfn.IFNA(VLOOKUP($B177,'Node Details'!$B:$U,E$1,0),"Check"),"")</f>
        <v>Airtel</v>
      </c>
      <c r="F177" s="97">
        <v>45379</v>
      </c>
      <c r="G177" s="77"/>
      <c r="H177" s="92" t="s">
        <v>225</v>
      </c>
      <c r="I177" s="93">
        <v>1</v>
      </c>
      <c r="J177" s="93">
        <v>70</v>
      </c>
      <c r="K177" s="82">
        <f t="shared" si="14"/>
        <v>70</v>
      </c>
      <c r="L177" s="81"/>
      <c r="M177" s="77"/>
      <c r="N177" s="83"/>
      <c r="O177" s="79"/>
      <c r="P177" s="85">
        <f t="shared" si="15"/>
        <v>70</v>
      </c>
      <c r="Q177" s="86">
        <f t="shared" si="16"/>
        <v>70</v>
      </c>
      <c r="R177" s="76"/>
      <c r="S177" s="87" t="s">
        <v>88</v>
      </c>
      <c r="T177" s="79"/>
      <c r="U177" s="85">
        <f t="shared" si="17"/>
        <v>70</v>
      </c>
      <c r="V177" s="85">
        <f t="shared" si="18"/>
        <v>1</v>
      </c>
      <c r="W177" s="88">
        <f t="shared" si="19"/>
        <v>70</v>
      </c>
      <c r="X177" s="98" t="s">
        <v>86</v>
      </c>
      <c r="Y177" s="78" t="s">
        <v>81</v>
      </c>
    </row>
    <row r="178" spans="1:25" s="78" customFormat="1" ht="11.1" customHeight="1" x14ac:dyDescent="0.2">
      <c r="A178" s="71">
        <f t="shared" si="20"/>
        <v>176</v>
      </c>
      <c r="B178" s="90" t="s">
        <v>179</v>
      </c>
      <c r="C178" s="82" t="str">
        <f>IF($B178&lt;&gt;"",_xlfn.IFNA(VLOOKUP($B178,'Node Details'!$B:$U,C$1,0),"Check"),"")</f>
        <v>00001GF17-1GF170104</v>
      </c>
      <c r="D178" s="82" t="str">
        <f>IF($B178&lt;&gt;"",_xlfn.IFNA(VLOOKUP($B178,'Node Details'!$B:$U,D$1,0),"Check"),"")</f>
        <v>1GF</v>
      </c>
      <c r="E178" s="82" t="str">
        <f>IF($B178&lt;&gt;"",_xlfn.IFNA(VLOOKUP($B178,'Node Details'!$B:$U,E$1,0),"Check"),"")</f>
        <v>Airtel</v>
      </c>
      <c r="F178" s="97">
        <v>45379</v>
      </c>
      <c r="G178" s="77"/>
      <c r="H178" s="92" t="s">
        <v>225</v>
      </c>
      <c r="I178" s="93">
        <v>1</v>
      </c>
      <c r="J178" s="93">
        <v>70</v>
      </c>
      <c r="K178" s="82">
        <f t="shared" si="14"/>
        <v>70</v>
      </c>
      <c r="L178" s="81"/>
      <c r="M178" s="77"/>
      <c r="N178" s="83"/>
      <c r="O178" s="79"/>
      <c r="P178" s="85">
        <f t="shared" si="15"/>
        <v>70</v>
      </c>
      <c r="Q178" s="86">
        <f t="shared" si="16"/>
        <v>70</v>
      </c>
      <c r="R178" s="76"/>
      <c r="S178" s="87" t="s">
        <v>88</v>
      </c>
      <c r="T178" s="79"/>
      <c r="U178" s="85">
        <f t="shared" si="17"/>
        <v>70</v>
      </c>
      <c r="V178" s="85">
        <f t="shared" si="18"/>
        <v>1</v>
      </c>
      <c r="W178" s="88">
        <f t="shared" si="19"/>
        <v>70</v>
      </c>
      <c r="X178" s="98" t="s">
        <v>86</v>
      </c>
      <c r="Y178" s="78" t="s">
        <v>81</v>
      </c>
    </row>
    <row r="179" spans="1:25" s="78" customFormat="1" ht="11.1" customHeight="1" x14ac:dyDescent="0.2">
      <c r="A179" s="71">
        <f t="shared" si="20"/>
        <v>177</v>
      </c>
      <c r="B179" s="90" t="s">
        <v>180</v>
      </c>
      <c r="C179" s="82" t="str">
        <f>IF($B179&lt;&gt;"",_xlfn.IFNA(VLOOKUP($B179,'Node Details'!$B:$U,C$1,0),"Check"),"")</f>
        <v>00001GF17-1GF170104</v>
      </c>
      <c r="D179" s="82" t="str">
        <f>IF($B179&lt;&gt;"",_xlfn.IFNA(VLOOKUP($B179,'Node Details'!$B:$U,D$1,0),"Check"),"")</f>
        <v>1GF</v>
      </c>
      <c r="E179" s="82" t="str">
        <f>IF($B179&lt;&gt;"",_xlfn.IFNA(VLOOKUP($B179,'Node Details'!$B:$U,E$1,0),"Check"),"")</f>
        <v>Airtel</v>
      </c>
      <c r="F179" s="97">
        <v>45379</v>
      </c>
      <c r="G179" s="77"/>
      <c r="H179" s="92" t="s">
        <v>225</v>
      </c>
      <c r="I179" s="93">
        <v>1</v>
      </c>
      <c r="J179" s="93">
        <v>70</v>
      </c>
      <c r="K179" s="82">
        <f t="shared" si="14"/>
        <v>70</v>
      </c>
      <c r="L179" s="81"/>
      <c r="M179" s="77"/>
      <c r="N179" s="83"/>
      <c r="O179" s="79"/>
      <c r="P179" s="85">
        <f t="shared" si="15"/>
        <v>70</v>
      </c>
      <c r="Q179" s="86">
        <f t="shared" si="16"/>
        <v>70</v>
      </c>
      <c r="R179" s="76"/>
      <c r="S179" s="87" t="s">
        <v>88</v>
      </c>
      <c r="T179" s="79"/>
      <c r="U179" s="85">
        <f t="shared" si="17"/>
        <v>70</v>
      </c>
      <c r="V179" s="85">
        <f t="shared" si="18"/>
        <v>1</v>
      </c>
      <c r="W179" s="88">
        <f t="shared" si="19"/>
        <v>70</v>
      </c>
      <c r="X179" s="98" t="s">
        <v>86</v>
      </c>
      <c r="Y179" s="78" t="s">
        <v>81</v>
      </c>
    </row>
    <row r="180" spans="1:25" s="78" customFormat="1" ht="11.1" customHeight="1" x14ac:dyDescent="0.2">
      <c r="A180" s="71">
        <f t="shared" si="20"/>
        <v>178</v>
      </c>
      <c r="B180" s="90" t="s">
        <v>117</v>
      </c>
      <c r="C180" s="82" t="str">
        <f>IF($B180&lt;&gt;"",_xlfn.IFNA(VLOOKUP($B180,'Node Details'!$B:$U,C$1,0),"Check"),"")</f>
        <v>00001GF17-1GF170104</v>
      </c>
      <c r="D180" s="82" t="str">
        <f>IF($B180&lt;&gt;"",_xlfn.IFNA(VLOOKUP($B180,'Node Details'!$B:$U,D$1,0),"Check"),"")</f>
        <v>1GF</v>
      </c>
      <c r="E180" s="82" t="str">
        <f>IF($B180&lt;&gt;"",_xlfn.IFNA(VLOOKUP($B180,'Node Details'!$B:$U,E$1,0),"Check"),"")</f>
        <v>Airtel</v>
      </c>
      <c r="F180" s="97">
        <v>45379</v>
      </c>
      <c r="G180" s="77"/>
      <c r="H180" s="92" t="s">
        <v>225</v>
      </c>
      <c r="I180" s="93">
        <v>1</v>
      </c>
      <c r="J180" s="93">
        <v>70</v>
      </c>
      <c r="K180" s="82">
        <f t="shared" si="14"/>
        <v>70</v>
      </c>
      <c r="L180" s="81"/>
      <c r="M180" s="77"/>
      <c r="N180" s="83"/>
      <c r="O180" s="79"/>
      <c r="P180" s="85">
        <f t="shared" si="15"/>
        <v>70</v>
      </c>
      <c r="Q180" s="86">
        <f t="shared" si="16"/>
        <v>70</v>
      </c>
      <c r="R180" s="76"/>
      <c r="S180" s="87" t="s">
        <v>88</v>
      </c>
      <c r="T180" s="79"/>
      <c r="U180" s="85">
        <f t="shared" si="17"/>
        <v>70</v>
      </c>
      <c r="V180" s="85">
        <f t="shared" si="18"/>
        <v>1</v>
      </c>
      <c r="W180" s="88">
        <f t="shared" si="19"/>
        <v>70</v>
      </c>
      <c r="X180" s="98" t="s">
        <v>86</v>
      </c>
      <c r="Y180" s="78" t="s">
        <v>81</v>
      </c>
    </row>
    <row r="181" spans="1:25" s="78" customFormat="1" ht="11.1" customHeight="1" x14ac:dyDescent="0.2">
      <c r="A181" s="71">
        <f t="shared" si="20"/>
        <v>179</v>
      </c>
      <c r="B181" s="90" t="s">
        <v>181</v>
      </c>
      <c r="C181" s="82" t="str">
        <f>IF($B181&lt;&gt;"",_xlfn.IFNA(VLOOKUP($B181,'Node Details'!$B:$U,C$1,0),"Check"),"")</f>
        <v>00001GF18-1GF180104</v>
      </c>
      <c r="D181" s="82" t="str">
        <f>IF($B181&lt;&gt;"",_xlfn.IFNA(VLOOKUP($B181,'Node Details'!$B:$U,D$1,0),"Check"),"")</f>
        <v>1GF</v>
      </c>
      <c r="E181" s="82" t="str">
        <f>IF($B181&lt;&gt;"",_xlfn.IFNA(VLOOKUP($B181,'Node Details'!$B:$U,E$1,0),"Check"),"")</f>
        <v>Airtel</v>
      </c>
      <c r="F181" s="97">
        <v>45379</v>
      </c>
      <c r="G181" s="77"/>
      <c r="H181" s="92" t="s">
        <v>225</v>
      </c>
      <c r="I181" s="93">
        <v>1</v>
      </c>
      <c r="J181" s="93">
        <v>70</v>
      </c>
      <c r="K181" s="82">
        <f t="shared" si="14"/>
        <v>70</v>
      </c>
      <c r="L181" s="81"/>
      <c r="M181" s="77"/>
      <c r="N181" s="83"/>
      <c r="O181" s="79"/>
      <c r="P181" s="85">
        <f t="shared" si="15"/>
        <v>70</v>
      </c>
      <c r="Q181" s="86">
        <f t="shared" si="16"/>
        <v>70</v>
      </c>
      <c r="R181" s="76"/>
      <c r="S181" s="87" t="s">
        <v>88</v>
      </c>
      <c r="T181" s="79"/>
      <c r="U181" s="85">
        <f t="shared" si="17"/>
        <v>70</v>
      </c>
      <c r="V181" s="85">
        <f t="shared" si="18"/>
        <v>1</v>
      </c>
      <c r="W181" s="88">
        <f t="shared" si="19"/>
        <v>70</v>
      </c>
      <c r="X181" s="98" t="s">
        <v>86</v>
      </c>
      <c r="Y181" s="78" t="s">
        <v>81</v>
      </c>
    </row>
    <row r="182" spans="1:25" s="78" customFormat="1" ht="11.1" customHeight="1" x14ac:dyDescent="0.2">
      <c r="A182" s="71">
        <f t="shared" si="20"/>
        <v>180</v>
      </c>
      <c r="B182" s="90" t="s">
        <v>182</v>
      </c>
      <c r="C182" s="82" t="str">
        <f>IF($B182&lt;&gt;"",_xlfn.IFNA(VLOOKUP($B182,'Node Details'!$B:$U,C$1,0),"Check"),"")</f>
        <v>00001GF18-1GF180104</v>
      </c>
      <c r="D182" s="82" t="str">
        <f>IF($B182&lt;&gt;"",_xlfn.IFNA(VLOOKUP($B182,'Node Details'!$B:$U,D$1,0),"Check"),"")</f>
        <v>1GF</v>
      </c>
      <c r="E182" s="82" t="str">
        <f>IF($B182&lt;&gt;"",_xlfn.IFNA(VLOOKUP($B182,'Node Details'!$B:$U,E$1,0),"Check"),"")</f>
        <v>Airtel</v>
      </c>
      <c r="F182" s="97">
        <v>45379</v>
      </c>
      <c r="G182" s="77"/>
      <c r="H182" s="92" t="s">
        <v>225</v>
      </c>
      <c r="I182" s="93">
        <v>2</v>
      </c>
      <c r="J182" s="93">
        <v>70</v>
      </c>
      <c r="K182" s="82">
        <f t="shared" si="14"/>
        <v>140</v>
      </c>
      <c r="L182" s="81"/>
      <c r="M182" s="77"/>
      <c r="N182" s="83"/>
      <c r="O182" s="79"/>
      <c r="P182" s="85">
        <f t="shared" si="15"/>
        <v>70</v>
      </c>
      <c r="Q182" s="86">
        <f t="shared" si="16"/>
        <v>140</v>
      </c>
      <c r="R182" s="76"/>
      <c r="S182" s="87" t="s">
        <v>88</v>
      </c>
      <c r="T182" s="79"/>
      <c r="U182" s="85">
        <f t="shared" si="17"/>
        <v>70</v>
      </c>
      <c r="V182" s="85">
        <f t="shared" si="18"/>
        <v>2</v>
      </c>
      <c r="W182" s="88">
        <f t="shared" si="19"/>
        <v>140</v>
      </c>
      <c r="X182" s="98" t="s">
        <v>86</v>
      </c>
      <c r="Y182" s="78" t="s">
        <v>81</v>
      </c>
    </row>
    <row r="183" spans="1:25" s="78" customFormat="1" ht="11.1" customHeight="1" x14ac:dyDescent="0.2">
      <c r="A183" s="71">
        <f t="shared" si="20"/>
        <v>181</v>
      </c>
      <c r="B183" s="90" t="s">
        <v>183</v>
      </c>
      <c r="C183" s="82" t="str">
        <f>IF($B183&lt;&gt;"",_xlfn.IFNA(VLOOKUP($B183,'Node Details'!$B:$U,C$1,0),"Check"),"")</f>
        <v>00001GF18-1GF180104</v>
      </c>
      <c r="D183" s="82" t="str">
        <f>IF($B183&lt;&gt;"",_xlfn.IFNA(VLOOKUP($B183,'Node Details'!$B:$U,D$1,0),"Check"),"")</f>
        <v>1GF</v>
      </c>
      <c r="E183" s="82" t="str">
        <f>IF($B183&lt;&gt;"",_xlfn.IFNA(VLOOKUP($B183,'Node Details'!$B:$U,E$1,0),"Check"),"")</f>
        <v>Airtel</v>
      </c>
      <c r="F183" s="97">
        <v>45379</v>
      </c>
      <c r="G183" s="77"/>
      <c r="H183" s="92" t="s">
        <v>225</v>
      </c>
      <c r="I183" s="93">
        <v>1</v>
      </c>
      <c r="J183" s="93">
        <v>70</v>
      </c>
      <c r="K183" s="82">
        <f t="shared" si="14"/>
        <v>70</v>
      </c>
      <c r="L183" s="81"/>
      <c r="M183" s="77"/>
      <c r="N183" s="83"/>
      <c r="O183" s="79"/>
      <c r="P183" s="85">
        <f t="shared" si="15"/>
        <v>70</v>
      </c>
      <c r="Q183" s="86">
        <f t="shared" si="16"/>
        <v>70</v>
      </c>
      <c r="R183" s="76"/>
      <c r="S183" s="87" t="s">
        <v>88</v>
      </c>
      <c r="T183" s="79"/>
      <c r="U183" s="85">
        <f t="shared" si="17"/>
        <v>70</v>
      </c>
      <c r="V183" s="85">
        <f t="shared" si="18"/>
        <v>1</v>
      </c>
      <c r="W183" s="88">
        <f t="shared" si="19"/>
        <v>70</v>
      </c>
      <c r="X183" s="98" t="s">
        <v>86</v>
      </c>
      <c r="Y183" s="78" t="s">
        <v>81</v>
      </c>
    </row>
    <row r="184" spans="1:25" s="78" customFormat="1" ht="11.1" customHeight="1" x14ac:dyDescent="0.2">
      <c r="A184" s="71">
        <f t="shared" si="20"/>
        <v>182</v>
      </c>
      <c r="B184" s="90" t="s">
        <v>121</v>
      </c>
      <c r="C184" s="82" t="str">
        <f>IF($B184&lt;&gt;"",_xlfn.IFNA(VLOOKUP($B184,'Node Details'!$B:$U,C$1,0),"Check"),"")</f>
        <v>00001GF18-1GF180104</v>
      </c>
      <c r="D184" s="82" t="str">
        <f>IF($B184&lt;&gt;"",_xlfn.IFNA(VLOOKUP($B184,'Node Details'!$B:$U,D$1,0),"Check"),"")</f>
        <v>1GF</v>
      </c>
      <c r="E184" s="82" t="str">
        <f>IF($B184&lt;&gt;"",_xlfn.IFNA(VLOOKUP($B184,'Node Details'!$B:$U,E$1,0),"Check"),"")</f>
        <v>Airtel</v>
      </c>
      <c r="F184" s="97">
        <v>45379</v>
      </c>
      <c r="G184" s="77"/>
      <c r="H184" s="92" t="s">
        <v>225</v>
      </c>
      <c r="I184" s="93">
        <v>1</v>
      </c>
      <c r="J184" s="93">
        <v>70</v>
      </c>
      <c r="K184" s="82">
        <f t="shared" si="14"/>
        <v>70</v>
      </c>
      <c r="L184" s="81"/>
      <c r="M184" s="77"/>
      <c r="N184" s="83"/>
      <c r="O184" s="79"/>
      <c r="P184" s="85">
        <f t="shared" si="15"/>
        <v>70</v>
      </c>
      <c r="Q184" s="86">
        <f t="shared" si="16"/>
        <v>70</v>
      </c>
      <c r="R184" s="76"/>
      <c r="S184" s="87" t="s">
        <v>88</v>
      </c>
      <c r="T184" s="79"/>
      <c r="U184" s="85">
        <f t="shared" si="17"/>
        <v>70</v>
      </c>
      <c r="V184" s="85">
        <f t="shared" si="18"/>
        <v>1</v>
      </c>
      <c r="W184" s="88">
        <f t="shared" si="19"/>
        <v>70</v>
      </c>
      <c r="X184" s="98" t="s">
        <v>86</v>
      </c>
      <c r="Y184" s="78" t="s">
        <v>81</v>
      </c>
    </row>
    <row r="185" spans="1:25" s="78" customFormat="1" ht="11.1" customHeight="1" x14ac:dyDescent="0.2">
      <c r="A185" s="71">
        <f t="shared" si="20"/>
        <v>183</v>
      </c>
      <c r="B185" s="90" t="s">
        <v>184</v>
      </c>
      <c r="C185" s="82" t="str">
        <f>IF($B185&lt;&gt;"",_xlfn.IFNA(VLOOKUP($B185,'Node Details'!$B:$U,C$1,0),"Check"),"")</f>
        <v>00001GF19-1GF190104</v>
      </c>
      <c r="D185" s="82" t="str">
        <f>IF($B185&lt;&gt;"",_xlfn.IFNA(VLOOKUP($B185,'Node Details'!$B:$U,D$1,0),"Check"),"")</f>
        <v>1GF</v>
      </c>
      <c r="E185" s="82" t="str">
        <f>IF($B185&lt;&gt;"",_xlfn.IFNA(VLOOKUP($B185,'Node Details'!$B:$U,E$1,0),"Check"),"")</f>
        <v>Airtel</v>
      </c>
      <c r="F185" s="97">
        <v>45379</v>
      </c>
      <c r="G185" s="77"/>
      <c r="H185" s="92" t="s">
        <v>225</v>
      </c>
      <c r="I185" s="93">
        <v>1</v>
      </c>
      <c r="J185" s="93">
        <v>70</v>
      </c>
      <c r="K185" s="82">
        <f t="shared" si="14"/>
        <v>70</v>
      </c>
      <c r="L185" s="81"/>
      <c r="M185" s="77"/>
      <c r="N185" s="83"/>
      <c r="O185" s="79"/>
      <c r="P185" s="85">
        <f t="shared" si="15"/>
        <v>70</v>
      </c>
      <c r="Q185" s="86">
        <f t="shared" si="16"/>
        <v>70</v>
      </c>
      <c r="R185" s="76"/>
      <c r="S185" s="87" t="s">
        <v>88</v>
      </c>
      <c r="T185" s="79"/>
      <c r="U185" s="85">
        <f t="shared" si="17"/>
        <v>70</v>
      </c>
      <c r="V185" s="85">
        <f t="shared" si="18"/>
        <v>1</v>
      </c>
      <c r="W185" s="88">
        <f t="shared" si="19"/>
        <v>70</v>
      </c>
      <c r="X185" s="98" t="s">
        <v>86</v>
      </c>
      <c r="Y185" s="78" t="s">
        <v>81</v>
      </c>
    </row>
    <row r="186" spans="1:25" s="78" customFormat="1" ht="11.1" customHeight="1" x14ac:dyDescent="0.2">
      <c r="A186" s="71">
        <f t="shared" si="20"/>
        <v>184</v>
      </c>
      <c r="B186" s="90" t="s">
        <v>185</v>
      </c>
      <c r="C186" s="82" t="str">
        <f>IF($B186&lt;&gt;"",_xlfn.IFNA(VLOOKUP($B186,'Node Details'!$B:$U,C$1,0),"Check"),"")</f>
        <v>00001GF19-1GF190104</v>
      </c>
      <c r="D186" s="82" t="str">
        <f>IF($B186&lt;&gt;"",_xlfn.IFNA(VLOOKUP($B186,'Node Details'!$B:$U,D$1,0),"Check"),"")</f>
        <v>1GF</v>
      </c>
      <c r="E186" s="82" t="str">
        <f>IF($B186&lt;&gt;"",_xlfn.IFNA(VLOOKUP($B186,'Node Details'!$B:$U,E$1,0),"Check"),"")</f>
        <v>Airtel</v>
      </c>
      <c r="F186" s="97">
        <v>45379</v>
      </c>
      <c r="G186" s="77"/>
      <c r="H186" s="92" t="s">
        <v>225</v>
      </c>
      <c r="I186" s="93">
        <v>1</v>
      </c>
      <c r="J186" s="93">
        <v>70</v>
      </c>
      <c r="K186" s="82">
        <f t="shared" si="14"/>
        <v>70</v>
      </c>
      <c r="L186" s="81"/>
      <c r="M186" s="77"/>
      <c r="N186" s="83"/>
      <c r="O186" s="79"/>
      <c r="P186" s="85">
        <f t="shared" si="15"/>
        <v>70</v>
      </c>
      <c r="Q186" s="86">
        <f t="shared" si="16"/>
        <v>70</v>
      </c>
      <c r="R186" s="76"/>
      <c r="S186" s="87" t="s">
        <v>88</v>
      </c>
      <c r="T186" s="79"/>
      <c r="U186" s="85">
        <f t="shared" si="17"/>
        <v>70</v>
      </c>
      <c r="V186" s="85">
        <f t="shared" si="18"/>
        <v>1</v>
      </c>
      <c r="W186" s="88">
        <f t="shared" si="19"/>
        <v>70</v>
      </c>
      <c r="X186" s="98" t="s">
        <v>86</v>
      </c>
      <c r="Y186" s="78" t="s">
        <v>81</v>
      </c>
    </row>
    <row r="187" spans="1:25" s="78" customFormat="1" ht="11.1" customHeight="1" x14ac:dyDescent="0.2">
      <c r="A187" s="71">
        <f t="shared" si="20"/>
        <v>185</v>
      </c>
      <c r="B187" s="90" t="s">
        <v>186</v>
      </c>
      <c r="C187" s="82" t="str">
        <f>IF($B187&lt;&gt;"",_xlfn.IFNA(VLOOKUP($B187,'Node Details'!$B:$U,C$1,0),"Check"),"")</f>
        <v>00001GF19-1GF190104</v>
      </c>
      <c r="D187" s="82" t="str">
        <f>IF($B187&lt;&gt;"",_xlfn.IFNA(VLOOKUP($B187,'Node Details'!$B:$U,D$1,0),"Check"),"")</f>
        <v>1GF</v>
      </c>
      <c r="E187" s="82" t="str">
        <f>IF($B187&lt;&gt;"",_xlfn.IFNA(VLOOKUP($B187,'Node Details'!$B:$U,E$1,0),"Check"),"")</f>
        <v>Airtel</v>
      </c>
      <c r="F187" s="97">
        <v>45379</v>
      </c>
      <c r="G187" s="77"/>
      <c r="H187" s="92" t="s">
        <v>225</v>
      </c>
      <c r="I187" s="93">
        <v>2</v>
      </c>
      <c r="J187" s="93">
        <v>70</v>
      </c>
      <c r="K187" s="82">
        <f t="shared" si="14"/>
        <v>140</v>
      </c>
      <c r="L187" s="81"/>
      <c r="M187" s="77"/>
      <c r="N187" s="83"/>
      <c r="O187" s="79"/>
      <c r="P187" s="85">
        <f t="shared" si="15"/>
        <v>70</v>
      </c>
      <c r="Q187" s="86">
        <f t="shared" si="16"/>
        <v>140</v>
      </c>
      <c r="R187" s="76"/>
      <c r="S187" s="87" t="s">
        <v>88</v>
      </c>
      <c r="T187" s="80"/>
      <c r="U187" s="85">
        <f t="shared" si="17"/>
        <v>70</v>
      </c>
      <c r="V187" s="85">
        <f t="shared" si="18"/>
        <v>2</v>
      </c>
      <c r="W187" s="88">
        <f t="shared" si="19"/>
        <v>140</v>
      </c>
      <c r="X187" s="98" t="s">
        <v>86</v>
      </c>
      <c r="Y187" s="78" t="s">
        <v>81</v>
      </c>
    </row>
    <row r="188" spans="1:25" s="78" customFormat="1" ht="11.1" customHeight="1" x14ac:dyDescent="0.2">
      <c r="A188" s="71">
        <f t="shared" si="20"/>
        <v>186</v>
      </c>
      <c r="B188" s="90" t="s">
        <v>125</v>
      </c>
      <c r="C188" s="82" t="str">
        <f>IF($B188&lt;&gt;"",_xlfn.IFNA(VLOOKUP($B188,'Node Details'!$B:$U,C$1,0),"Check"),"")</f>
        <v>00001GF19-1GF190104</v>
      </c>
      <c r="D188" s="82" t="str">
        <f>IF($B188&lt;&gt;"",_xlfn.IFNA(VLOOKUP($B188,'Node Details'!$B:$U,D$1,0),"Check"),"")</f>
        <v>1GF</v>
      </c>
      <c r="E188" s="82" t="str">
        <f>IF($B188&lt;&gt;"",_xlfn.IFNA(VLOOKUP($B188,'Node Details'!$B:$U,E$1,0),"Check"),"")</f>
        <v>Airtel</v>
      </c>
      <c r="F188" s="97">
        <v>45379</v>
      </c>
      <c r="G188" s="77"/>
      <c r="H188" s="92" t="s">
        <v>225</v>
      </c>
      <c r="I188" s="93">
        <v>1</v>
      </c>
      <c r="J188" s="93">
        <v>70</v>
      </c>
      <c r="K188" s="82">
        <f t="shared" si="14"/>
        <v>70</v>
      </c>
      <c r="L188" s="81"/>
      <c r="M188" s="77"/>
      <c r="N188" s="83"/>
      <c r="O188" s="79"/>
      <c r="P188" s="85">
        <f t="shared" si="15"/>
        <v>70</v>
      </c>
      <c r="Q188" s="86">
        <f t="shared" si="16"/>
        <v>70</v>
      </c>
      <c r="R188" s="76"/>
      <c r="S188" s="87" t="s">
        <v>88</v>
      </c>
      <c r="T188" s="80"/>
      <c r="U188" s="85">
        <f t="shared" si="17"/>
        <v>70</v>
      </c>
      <c r="V188" s="85">
        <f t="shared" si="18"/>
        <v>1</v>
      </c>
      <c r="W188" s="88">
        <f t="shared" si="19"/>
        <v>70</v>
      </c>
      <c r="X188" s="98" t="s">
        <v>86</v>
      </c>
      <c r="Y188" s="78" t="s">
        <v>81</v>
      </c>
    </row>
    <row r="189" spans="1:25" s="78" customFormat="1" ht="11.1" customHeight="1" x14ac:dyDescent="0.2">
      <c r="A189" s="71">
        <f t="shared" si="20"/>
        <v>187</v>
      </c>
      <c r="B189" s="90" t="s">
        <v>187</v>
      </c>
      <c r="C189" s="82" t="str">
        <f>IF($B189&lt;&gt;"",_xlfn.IFNA(VLOOKUP($B189,'Node Details'!$B:$U,C$1,0),"Check"),"")</f>
        <v>00001GF20-1GF200104</v>
      </c>
      <c r="D189" s="82" t="str">
        <f>IF($B189&lt;&gt;"",_xlfn.IFNA(VLOOKUP($B189,'Node Details'!$B:$U,D$1,0),"Check"),"")</f>
        <v>1GF</v>
      </c>
      <c r="E189" s="82" t="str">
        <f>IF($B189&lt;&gt;"",_xlfn.IFNA(VLOOKUP($B189,'Node Details'!$B:$U,E$1,0),"Check"),"")</f>
        <v>Airtel</v>
      </c>
      <c r="F189" s="97">
        <v>45379</v>
      </c>
      <c r="G189" s="77"/>
      <c r="H189" s="92" t="s">
        <v>225</v>
      </c>
      <c r="I189" s="93">
        <v>1</v>
      </c>
      <c r="J189" s="93">
        <v>70</v>
      </c>
      <c r="K189" s="82">
        <f t="shared" si="14"/>
        <v>70</v>
      </c>
      <c r="L189" s="81"/>
      <c r="M189" s="77"/>
      <c r="N189" s="83"/>
      <c r="O189" s="79"/>
      <c r="P189" s="85">
        <f t="shared" si="15"/>
        <v>70</v>
      </c>
      <c r="Q189" s="86">
        <f t="shared" si="16"/>
        <v>70</v>
      </c>
      <c r="R189" s="76"/>
      <c r="S189" s="87" t="s">
        <v>88</v>
      </c>
      <c r="T189" s="80"/>
      <c r="U189" s="85">
        <f t="shared" si="17"/>
        <v>70</v>
      </c>
      <c r="V189" s="85">
        <f t="shared" si="18"/>
        <v>1</v>
      </c>
      <c r="W189" s="88">
        <f t="shared" si="19"/>
        <v>70</v>
      </c>
      <c r="X189" s="98" t="s">
        <v>86</v>
      </c>
      <c r="Y189" s="78" t="s">
        <v>81</v>
      </c>
    </row>
    <row r="190" spans="1:25" s="78" customFormat="1" ht="11.1" customHeight="1" x14ac:dyDescent="0.2">
      <c r="A190" s="71">
        <f t="shared" si="20"/>
        <v>188</v>
      </c>
      <c r="B190" s="90" t="s">
        <v>188</v>
      </c>
      <c r="C190" s="82" t="str">
        <f>IF($B190&lt;&gt;"",_xlfn.IFNA(VLOOKUP($B190,'Node Details'!$B:$U,C$1,0),"Check"),"")</f>
        <v>00001GF20-1GF200104</v>
      </c>
      <c r="D190" s="82" t="str">
        <f>IF($B190&lt;&gt;"",_xlfn.IFNA(VLOOKUP($B190,'Node Details'!$B:$U,D$1,0),"Check"),"")</f>
        <v>1GF</v>
      </c>
      <c r="E190" s="82" t="str">
        <f>IF($B190&lt;&gt;"",_xlfn.IFNA(VLOOKUP($B190,'Node Details'!$B:$U,E$1,0),"Check"),"")</f>
        <v>Airtel</v>
      </c>
      <c r="F190" s="97">
        <v>45379</v>
      </c>
      <c r="G190" s="77"/>
      <c r="H190" s="92" t="s">
        <v>225</v>
      </c>
      <c r="I190" s="93">
        <v>2</v>
      </c>
      <c r="J190" s="93">
        <v>70</v>
      </c>
      <c r="K190" s="82">
        <f t="shared" si="14"/>
        <v>140</v>
      </c>
      <c r="L190" s="81"/>
      <c r="M190" s="77"/>
      <c r="N190" s="83"/>
      <c r="O190" s="79"/>
      <c r="P190" s="85">
        <f t="shared" si="15"/>
        <v>70</v>
      </c>
      <c r="Q190" s="86">
        <f t="shared" si="16"/>
        <v>140</v>
      </c>
      <c r="R190" s="76"/>
      <c r="S190" s="87" t="s">
        <v>88</v>
      </c>
      <c r="T190" s="80"/>
      <c r="U190" s="85">
        <f t="shared" si="17"/>
        <v>70</v>
      </c>
      <c r="V190" s="85">
        <f t="shared" si="18"/>
        <v>2</v>
      </c>
      <c r="W190" s="88">
        <f t="shared" si="19"/>
        <v>140</v>
      </c>
      <c r="X190" s="98" t="s">
        <v>86</v>
      </c>
      <c r="Y190" s="78" t="s">
        <v>81</v>
      </c>
    </row>
    <row r="191" spans="1:25" s="78" customFormat="1" ht="11.1" customHeight="1" x14ac:dyDescent="0.2">
      <c r="A191" s="71">
        <f t="shared" si="20"/>
        <v>189</v>
      </c>
      <c r="B191" s="90" t="s">
        <v>189</v>
      </c>
      <c r="C191" s="82" t="str">
        <f>IF($B191&lt;&gt;"",_xlfn.IFNA(VLOOKUP($B191,'Node Details'!$B:$U,C$1,0),"Check"),"")</f>
        <v>00001GF20-1GF200104</v>
      </c>
      <c r="D191" s="82" t="str">
        <f>IF($B191&lt;&gt;"",_xlfn.IFNA(VLOOKUP($B191,'Node Details'!$B:$U,D$1,0),"Check"),"")</f>
        <v>1GF</v>
      </c>
      <c r="E191" s="82" t="str">
        <f>IF($B191&lt;&gt;"",_xlfn.IFNA(VLOOKUP($B191,'Node Details'!$B:$U,E$1,0),"Check"),"")</f>
        <v>Airtel</v>
      </c>
      <c r="F191" s="97">
        <v>45379</v>
      </c>
      <c r="G191" s="77"/>
      <c r="H191" s="92" t="s">
        <v>225</v>
      </c>
      <c r="I191" s="93">
        <v>1</v>
      </c>
      <c r="J191" s="93">
        <v>70</v>
      </c>
      <c r="K191" s="82">
        <f t="shared" si="14"/>
        <v>70</v>
      </c>
      <c r="L191" s="81"/>
      <c r="M191" s="77"/>
      <c r="N191" s="83"/>
      <c r="O191" s="79"/>
      <c r="P191" s="85">
        <f t="shared" si="15"/>
        <v>70</v>
      </c>
      <c r="Q191" s="86">
        <f t="shared" si="16"/>
        <v>70</v>
      </c>
      <c r="R191" s="76"/>
      <c r="S191" s="87" t="s">
        <v>88</v>
      </c>
      <c r="T191" s="80"/>
      <c r="U191" s="85">
        <f t="shared" si="17"/>
        <v>70</v>
      </c>
      <c r="V191" s="85">
        <f t="shared" si="18"/>
        <v>1</v>
      </c>
      <c r="W191" s="88">
        <f t="shared" si="19"/>
        <v>70</v>
      </c>
      <c r="X191" s="98" t="s">
        <v>86</v>
      </c>
      <c r="Y191" s="78" t="s">
        <v>81</v>
      </c>
    </row>
    <row r="192" spans="1:25" s="78" customFormat="1" ht="11.1" customHeight="1" x14ac:dyDescent="0.2">
      <c r="A192" s="71">
        <f t="shared" si="20"/>
        <v>190</v>
      </c>
      <c r="B192" s="90" t="s">
        <v>129</v>
      </c>
      <c r="C192" s="82" t="str">
        <f>IF($B192&lt;&gt;"",_xlfn.IFNA(VLOOKUP($B192,'Node Details'!$B:$U,C$1,0),"Check"),"")</f>
        <v>00001GF20-1GF200104</v>
      </c>
      <c r="D192" s="82" t="str">
        <f>IF($B192&lt;&gt;"",_xlfn.IFNA(VLOOKUP($B192,'Node Details'!$B:$U,D$1,0),"Check"),"")</f>
        <v>1GF</v>
      </c>
      <c r="E192" s="82" t="str">
        <f>IF($B192&lt;&gt;"",_xlfn.IFNA(VLOOKUP($B192,'Node Details'!$B:$U,E$1,0),"Check"),"")</f>
        <v>Airtel</v>
      </c>
      <c r="F192" s="97">
        <v>45379</v>
      </c>
      <c r="G192" s="77"/>
      <c r="H192" s="92" t="s">
        <v>225</v>
      </c>
      <c r="I192" s="93">
        <v>1</v>
      </c>
      <c r="J192" s="93">
        <v>70</v>
      </c>
      <c r="K192" s="82">
        <f t="shared" si="14"/>
        <v>70</v>
      </c>
      <c r="L192" s="81"/>
      <c r="M192" s="77"/>
      <c r="N192" s="83"/>
      <c r="O192" s="79"/>
      <c r="P192" s="85">
        <f t="shared" si="15"/>
        <v>70</v>
      </c>
      <c r="Q192" s="86">
        <f t="shared" si="16"/>
        <v>70</v>
      </c>
      <c r="R192" s="76"/>
      <c r="S192" s="87" t="s">
        <v>88</v>
      </c>
      <c r="T192" s="80"/>
      <c r="U192" s="85">
        <f t="shared" si="17"/>
        <v>70</v>
      </c>
      <c r="V192" s="85">
        <f t="shared" si="18"/>
        <v>1</v>
      </c>
      <c r="W192" s="88">
        <f t="shared" si="19"/>
        <v>70</v>
      </c>
      <c r="X192" s="98" t="s">
        <v>86</v>
      </c>
      <c r="Y192" s="78" t="s">
        <v>81</v>
      </c>
    </row>
    <row r="193" spans="1:25" s="78" customFormat="1" ht="11.1" customHeight="1" x14ac:dyDescent="0.2">
      <c r="A193" s="71">
        <f t="shared" si="20"/>
        <v>191</v>
      </c>
      <c r="B193" s="90" t="s">
        <v>190</v>
      </c>
      <c r="C193" s="82" t="str">
        <f>IF($B193&lt;&gt;"",_xlfn.IFNA(VLOOKUP($B193,'Node Details'!$B:$U,C$1,0),"Check"),"")</f>
        <v>00001GF21-1GF210104</v>
      </c>
      <c r="D193" s="82" t="str">
        <f>IF($B193&lt;&gt;"",_xlfn.IFNA(VLOOKUP($B193,'Node Details'!$B:$U,D$1,0),"Check"),"")</f>
        <v>1GF</v>
      </c>
      <c r="E193" s="82" t="str">
        <f>IF($B193&lt;&gt;"",_xlfn.IFNA(VLOOKUP($B193,'Node Details'!$B:$U,E$1,0),"Check"),"")</f>
        <v>Airtel</v>
      </c>
      <c r="F193" s="97">
        <v>45379</v>
      </c>
      <c r="G193" s="77"/>
      <c r="H193" s="92" t="s">
        <v>225</v>
      </c>
      <c r="I193" s="93">
        <v>2</v>
      </c>
      <c r="J193" s="93">
        <v>70</v>
      </c>
      <c r="K193" s="82">
        <f t="shared" si="14"/>
        <v>140</v>
      </c>
      <c r="L193" s="81"/>
      <c r="M193" s="77"/>
      <c r="N193" s="83"/>
      <c r="O193" s="79"/>
      <c r="P193" s="85">
        <f t="shared" si="15"/>
        <v>70</v>
      </c>
      <c r="Q193" s="86">
        <f t="shared" si="16"/>
        <v>140</v>
      </c>
      <c r="R193" s="76"/>
      <c r="S193" s="87" t="s">
        <v>88</v>
      </c>
      <c r="T193" s="80"/>
      <c r="U193" s="85">
        <f t="shared" si="17"/>
        <v>70</v>
      </c>
      <c r="V193" s="85">
        <f t="shared" si="18"/>
        <v>2</v>
      </c>
      <c r="W193" s="88">
        <f t="shared" si="19"/>
        <v>140</v>
      </c>
      <c r="X193" s="98" t="s">
        <v>86</v>
      </c>
      <c r="Y193" s="78" t="s">
        <v>81</v>
      </c>
    </row>
    <row r="194" spans="1:25" s="78" customFormat="1" ht="11.1" customHeight="1" x14ac:dyDescent="0.2">
      <c r="A194" s="71">
        <f t="shared" si="20"/>
        <v>192</v>
      </c>
      <c r="B194" s="90" t="s">
        <v>136</v>
      </c>
      <c r="C194" s="82" t="str">
        <f>IF($B194&lt;&gt;"",_xlfn.IFNA(VLOOKUP($B194,'Node Details'!$B:$U,C$1,0),"Check"),"")</f>
        <v>00001GF21-1GF210104</v>
      </c>
      <c r="D194" s="82" t="str">
        <f>IF($B194&lt;&gt;"",_xlfn.IFNA(VLOOKUP($B194,'Node Details'!$B:$U,D$1,0),"Check"),"")</f>
        <v>1GF</v>
      </c>
      <c r="E194" s="82" t="str">
        <f>IF($B194&lt;&gt;"",_xlfn.IFNA(VLOOKUP($B194,'Node Details'!$B:$U,E$1,0),"Check"),"")</f>
        <v>Airtel</v>
      </c>
      <c r="F194" s="97">
        <v>45379</v>
      </c>
      <c r="G194" s="77"/>
      <c r="H194" s="92" t="s">
        <v>225</v>
      </c>
      <c r="I194" s="93">
        <v>1</v>
      </c>
      <c r="J194" s="93">
        <v>70</v>
      </c>
      <c r="K194" s="82">
        <f t="shared" si="14"/>
        <v>70</v>
      </c>
      <c r="L194" s="81"/>
      <c r="M194" s="77"/>
      <c r="N194" s="83"/>
      <c r="O194" s="79"/>
      <c r="P194" s="85">
        <f t="shared" si="15"/>
        <v>70</v>
      </c>
      <c r="Q194" s="86">
        <f t="shared" si="16"/>
        <v>70</v>
      </c>
      <c r="R194" s="76"/>
      <c r="S194" s="87" t="s">
        <v>88</v>
      </c>
      <c r="T194" s="80"/>
      <c r="U194" s="85">
        <f t="shared" si="17"/>
        <v>70</v>
      </c>
      <c r="V194" s="85">
        <f t="shared" si="18"/>
        <v>1</v>
      </c>
      <c r="W194" s="88">
        <f t="shared" si="19"/>
        <v>70</v>
      </c>
      <c r="X194" s="98" t="s">
        <v>86</v>
      </c>
      <c r="Y194" s="78" t="s">
        <v>81</v>
      </c>
    </row>
    <row r="195" spans="1:25" s="78" customFormat="1" ht="11.1" customHeight="1" x14ac:dyDescent="0.2">
      <c r="A195" s="71">
        <f t="shared" si="20"/>
        <v>193</v>
      </c>
      <c r="B195" s="90" t="s">
        <v>191</v>
      </c>
      <c r="C195" s="82" t="str">
        <f>IF($B195&lt;&gt;"",_xlfn.IFNA(VLOOKUP($B195,'Node Details'!$B:$U,C$1,0),"Check"),"")</f>
        <v>00001GF21-1GF210104</v>
      </c>
      <c r="D195" s="82" t="str">
        <f>IF($B195&lt;&gt;"",_xlfn.IFNA(VLOOKUP($B195,'Node Details'!$B:$U,D$1,0),"Check"),"")</f>
        <v>1GF</v>
      </c>
      <c r="E195" s="82" t="str">
        <f>IF($B195&lt;&gt;"",_xlfn.IFNA(VLOOKUP($B195,'Node Details'!$B:$U,E$1,0),"Check"),"")</f>
        <v>Airtel</v>
      </c>
      <c r="F195" s="97">
        <v>45379</v>
      </c>
      <c r="G195" s="77"/>
      <c r="H195" s="92" t="s">
        <v>225</v>
      </c>
      <c r="I195" s="93">
        <v>1</v>
      </c>
      <c r="J195" s="93">
        <v>70</v>
      </c>
      <c r="K195" s="82">
        <f t="shared" ref="K195:K258" si="21">IF(I195&lt;&gt;"",J195*I195,0)</f>
        <v>70</v>
      </c>
      <c r="L195" s="81"/>
      <c r="M195" s="77"/>
      <c r="N195" s="83"/>
      <c r="O195" s="79"/>
      <c r="P195" s="85">
        <f t="shared" ref="P195:P258" si="22">J195</f>
        <v>70</v>
      </c>
      <c r="Q195" s="86">
        <f t="shared" ref="Q195:Q258" si="23">P195*I195</f>
        <v>70</v>
      </c>
      <c r="R195" s="76"/>
      <c r="S195" s="87" t="s">
        <v>88</v>
      </c>
      <c r="T195" s="80"/>
      <c r="U195" s="85">
        <f t="shared" ref="U195:U258" si="24">J195</f>
        <v>70</v>
      </c>
      <c r="V195" s="85">
        <f t="shared" ref="V195:V258" si="25">I195</f>
        <v>1</v>
      </c>
      <c r="W195" s="88">
        <f t="shared" ref="W195:W258" si="26">IF(V195&lt;&gt;"",V195*U195,0)</f>
        <v>70</v>
      </c>
      <c r="X195" s="98" t="s">
        <v>86</v>
      </c>
      <c r="Y195" s="78" t="s">
        <v>81</v>
      </c>
    </row>
    <row r="196" spans="1:25" s="78" customFormat="1" ht="11.1" customHeight="1" x14ac:dyDescent="0.2">
      <c r="A196" s="71">
        <f t="shared" ref="A196:A259" si="27">A195+1</f>
        <v>194</v>
      </c>
      <c r="B196" s="90" t="s">
        <v>133</v>
      </c>
      <c r="C196" s="82" t="str">
        <f>IF($B196&lt;&gt;"",_xlfn.IFNA(VLOOKUP($B196,'Node Details'!$B:$U,C$1,0),"Check"),"")</f>
        <v>00001GF21-1GF210104</v>
      </c>
      <c r="D196" s="82" t="str">
        <f>IF($B196&lt;&gt;"",_xlfn.IFNA(VLOOKUP($B196,'Node Details'!$B:$U,D$1,0),"Check"),"")</f>
        <v>1GF</v>
      </c>
      <c r="E196" s="82" t="str">
        <f>IF($B196&lt;&gt;"",_xlfn.IFNA(VLOOKUP($B196,'Node Details'!$B:$U,E$1,0),"Check"),"")</f>
        <v>Airtel</v>
      </c>
      <c r="F196" s="97">
        <v>45379</v>
      </c>
      <c r="G196" s="77"/>
      <c r="H196" s="92" t="s">
        <v>225</v>
      </c>
      <c r="I196" s="93">
        <v>1</v>
      </c>
      <c r="J196" s="93">
        <v>70</v>
      </c>
      <c r="K196" s="82">
        <f t="shared" si="21"/>
        <v>70</v>
      </c>
      <c r="L196" s="81"/>
      <c r="M196" s="77"/>
      <c r="N196" s="83"/>
      <c r="O196" s="79"/>
      <c r="P196" s="85">
        <f t="shared" si="22"/>
        <v>70</v>
      </c>
      <c r="Q196" s="86">
        <f t="shared" si="23"/>
        <v>70</v>
      </c>
      <c r="R196" s="76"/>
      <c r="S196" s="87" t="s">
        <v>88</v>
      </c>
      <c r="T196" s="80"/>
      <c r="U196" s="85">
        <f t="shared" si="24"/>
        <v>70</v>
      </c>
      <c r="V196" s="85">
        <f t="shared" si="25"/>
        <v>1</v>
      </c>
      <c r="W196" s="88">
        <f t="shared" si="26"/>
        <v>70</v>
      </c>
      <c r="X196" s="98" t="s">
        <v>86</v>
      </c>
      <c r="Y196" s="78" t="s">
        <v>81</v>
      </c>
    </row>
    <row r="197" spans="1:25" s="78" customFormat="1" ht="11.1" customHeight="1" x14ac:dyDescent="0.2">
      <c r="A197" s="71">
        <f t="shared" si="27"/>
        <v>195</v>
      </c>
      <c r="B197" s="90" t="s">
        <v>192</v>
      </c>
      <c r="C197" s="82" t="str">
        <f>IF($B197&lt;&gt;"",_xlfn.IFNA(VLOOKUP($B197,'Node Details'!$B:$U,C$1,0),"Check"),"")</f>
        <v>00001GF22-1GF210102</v>
      </c>
      <c r="D197" s="82" t="str">
        <f>IF($B197&lt;&gt;"",_xlfn.IFNA(VLOOKUP($B197,'Node Details'!$B:$U,D$1,0),"Check"),"")</f>
        <v>1GF</v>
      </c>
      <c r="E197" s="82" t="str">
        <f>IF($B197&lt;&gt;"",_xlfn.IFNA(VLOOKUP($B197,'Node Details'!$B:$U,E$1,0),"Check"),"")</f>
        <v>Airtel</v>
      </c>
      <c r="F197" s="97">
        <v>45379</v>
      </c>
      <c r="G197" s="77"/>
      <c r="H197" s="92" t="s">
        <v>225</v>
      </c>
      <c r="I197" s="93">
        <v>1</v>
      </c>
      <c r="J197" s="93">
        <v>70</v>
      </c>
      <c r="K197" s="82">
        <f t="shared" si="21"/>
        <v>70</v>
      </c>
      <c r="L197" s="81"/>
      <c r="M197" s="77"/>
      <c r="N197" s="83"/>
      <c r="O197" s="79"/>
      <c r="P197" s="85">
        <f t="shared" si="22"/>
        <v>70</v>
      </c>
      <c r="Q197" s="86">
        <f t="shared" si="23"/>
        <v>70</v>
      </c>
      <c r="R197" s="76"/>
      <c r="S197" s="87" t="s">
        <v>88</v>
      </c>
      <c r="T197" s="80"/>
      <c r="U197" s="85">
        <f t="shared" si="24"/>
        <v>70</v>
      </c>
      <c r="V197" s="85">
        <f t="shared" si="25"/>
        <v>1</v>
      </c>
      <c r="W197" s="88">
        <f t="shared" si="26"/>
        <v>70</v>
      </c>
      <c r="X197" s="98" t="s">
        <v>86</v>
      </c>
      <c r="Y197" s="78" t="s">
        <v>81</v>
      </c>
    </row>
    <row r="198" spans="1:25" s="78" customFormat="1" ht="11.1" customHeight="1" x14ac:dyDescent="0.2">
      <c r="A198" s="71">
        <f t="shared" si="27"/>
        <v>196</v>
      </c>
      <c r="B198" s="90" t="s">
        <v>194</v>
      </c>
      <c r="C198" s="82" t="str">
        <f>IF($B198&lt;&gt;"",_xlfn.IFNA(VLOOKUP($B198,'Node Details'!$B:$U,C$1,0),"Check"),"")</f>
        <v>00001GF22-1GF210102</v>
      </c>
      <c r="D198" s="82" t="str">
        <f>IF($B198&lt;&gt;"",_xlfn.IFNA(VLOOKUP($B198,'Node Details'!$B:$U,D$1,0),"Check"),"")</f>
        <v>1GF</v>
      </c>
      <c r="E198" s="82" t="str">
        <f>IF($B198&lt;&gt;"",_xlfn.IFNA(VLOOKUP($B198,'Node Details'!$B:$U,E$1,0),"Check"),"")</f>
        <v>Airtel</v>
      </c>
      <c r="F198" s="97">
        <v>45379</v>
      </c>
      <c r="G198" s="77"/>
      <c r="H198" s="92" t="s">
        <v>225</v>
      </c>
      <c r="I198" s="93">
        <v>2</v>
      </c>
      <c r="J198" s="93">
        <v>70</v>
      </c>
      <c r="K198" s="82">
        <f t="shared" si="21"/>
        <v>140</v>
      </c>
      <c r="L198" s="81"/>
      <c r="M198" s="77"/>
      <c r="N198" s="83"/>
      <c r="O198" s="79"/>
      <c r="P198" s="85">
        <f t="shared" si="22"/>
        <v>70</v>
      </c>
      <c r="Q198" s="86">
        <f t="shared" si="23"/>
        <v>140</v>
      </c>
      <c r="R198" s="76"/>
      <c r="S198" s="87" t="s">
        <v>88</v>
      </c>
      <c r="T198" s="80"/>
      <c r="U198" s="85">
        <f t="shared" si="24"/>
        <v>70</v>
      </c>
      <c r="V198" s="85">
        <f t="shared" si="25"/>
        <v>2</v>
      </c>
      <c r="W198" s="88">
        <f t="shared" si="26"/>
        <v>140</v>
      </c>
      <c r="X198" s="98" t="s">
        <v>86</v>
      </c>
      <c r="Y198" s="78" t="s">
        <v>81</v>
      </c>
    </row>
    <row r="199" spans="1:25" s="78" customFormat="1" ht="11.1" customHeight="1" x14ac:dyDescent="0.2">
      <c r="A199" s="71">
        <f t="shared" si="27"/>
        <v>197</v>
      </c>
      <c r="B199" s="90" t="s">
        <v>195</v>
      </c>
      <c r="C199" s="82" t="str">
        <f>IF($B199&lt;&gt;"",_xlfn.IFNA(VLOOKUP($B199,'Node Details'!$B:$U,C$1,0),"Check"),"")</f>
        <v>00001GF22-1GF210102</v>
      </c>
      <c r="D199" s="82" t="str">
        <f>IF($B199&lt;&gt;"",_xlfn.IFNA(VLOOKUP($B199,'Node Details'!$B:$U,D$1,0),"Check"),"")</f>
        <v>1GF</v>
      </c>
      <c r="E199" s="82" t="str">
        <f>IF($B199&lt;&gt;"",_xlfn.IFNA(VLOOKUP($B199,'Node Details'!$B:$U,E$1,0),"Check"),"")</f>
        <v>Airtel</v>
      </c>
      <c r="F199" s="97">
        <v>45379</v>
      </c>
      <c r="G199" s="77"/>
      <c r="H199" s="92" t="s">
        <v>225</v>
      </c>
      <c r="I199" s="93">
        <v>1</v>
      </c>
      <c r="J199" s="93">
        <v>70</v>
      </c>
      <c r="K199" s="82">
        <f t="shared" si="21"/>
        <v>70</v>
      </c>
      <c r="L199" s="81"/>
      <c r="M199" s="77"/>
      <c r="N199" s="83"/>
      <c r="O199" s="79"/>
      <c r="P199" s="85">
        <f t="shared" si="22"/>
        <v>70</v>
      </c>
      <c r="Q199" s="86">
        <f t="shared" si="23"/>
        <v>70</v>
      </c>
      <c r="R199" s="76"/>
      <c r="S199" s="87" t="s">
        <v>88</v>
      </c>
      <c r="T199" s="80"/>
      <c r="U199" s="85">
        <f t="shared" si="24"/>
        <v>70</v>
      </c>
      <c r="V199" s="85">
        <f t="shared" si="25"/>
        <v>1</v>
      </c>
      <c r="W199" s="88">
        <f t="shared" si="26"/>
        <v>70</v>
      </c>
      <c r="X199" s="98" t="s">
        <v>86</v>
      </c>
      <c r="Y199" s="78" t="s">
        <v>81</v>
      </c>
    </row>
    <row r="200" spans="1:25" s="78" customFormat="1" ht="11.1" customHeight="1" x14ac:dyDescent="0.2">
      <c r="A200" s="71">
        <f t="shared" si="27"/>
        <v>198</v>
      </c>
      <c r="B200" s="90" t="s">
        <v>196</v>
      </c>
      <c r="C200" s="82" t="str">
        <f>IF($B200&lt;&gt;"",_xlfn.IFNA(VLOOKUP($B200,'Node Details'!$B:$U,C$1,0),"Check"),"")</f>
        <v>00001GF22-1GF210102</v>
      </c>
      <c r="D200" s="82" t="str">
        <f>IF($B200&lt;&gt;"",_xlfn.IFNA(VLOOKUP($B200,'Node Details'!$B:$U,D$1,0),"Check"),"")</f>
        <v>1GF</v>
      </c>
      <c r="E200" s="82" t="str">
        <f>IF($B200&lt;&gt;"",_xlfn.IFNA(VLOOKUP($B200,'Node Details'!$B:$U,E$1,0),"Check"),"")</f>
        <v>Airtel</v>
      </c>
      <c r="F200" s="97">
        <v>45379</v>
      </c>
      <c r="G200" s="77"/>
      <c r="H200" s="92" t="s">
        <v>225</v>
      </c>
      <c r="I200" s="93">
        <v>1</v>
      </c>
      <c r="J200" s="93">
        <v>70</v>
      </c>
      <c r="K200" s="82">
        <f t="shared" si="21"/>
        <v>70</v>
      </c>
      <c r="L200" s="81"/>
      <c r="M200" s="77"/>
      <c r="N200" s="83"/>
      <c r="O200" s="79"/>
      <c r="P200" s="85">
        <f t="shared" si="22"/>
        <v>70</v>
      </c>
      <c r="Q200" s="86">
        <f t="shared" si="23"/>
        <v>70</v>
      </c>
      <c r="R200" s="76"/>
      <c r="S200" s="87" t="s">
        <v>88</v>
      </c>
      <c r="T200" s="80"/>
      <c r="U200" s="85">
        <f t="shared" si="24"/>
        <v>70</v>
      </c>
      <c r="V200" s="85">
        <f t="shared" si="25"/>
        <v>1</v>
      </c>
      <c r="W200" s="88">
        <f t="shared" si="26"/>
        <v>70</v>
      </c>
      <c r="X200" s="98" t="s">
        <v>86</v>
      </c>
      <c r="Y200" s="78" t="s">
        <v>81</v>
      </c>
    </row>
    <row r="201" spans="1:25" s="78" customFormat="1" ht="11.1" customHeight="1" x14ac:dyDescent="0.2">
      <c r="A201" s="71">
        <f t="shared" si="27"/>
        <v>199</v>
      </c>
      <c r="B201" s="90" t="s">
        <v>197</v>
      </c>
      <c r="C201" s="82" t="str">
        <f>IF($B201&lt;&gt;"",_xlfn.IFNA(VLOOKUP($B201,'Node Details'!$B:$U,C$1,0),"Check"),"")</f>
        <v>00001GF22-1GF210102</v>
      </c>
      <c r="D201" s="82" t="str">
        <f>IF($B201&lt;&gt;"",_xlfn.IFNA(VLOOKUP($B201,'Node Details'!$B:$U,D$1,0),"Check"),"")</f>
        <v>1GF</v>
      </c>
      <c r="E201" s="82" t="str">
        <f>IF($B201&lt;&gt;"",_xlfn.IFNA(VLOOKUP($B201,'Node Details'!$B:$U,E$1,0),"Check"),"")</f>
        <v>Airtel</v>
      </c>
      <c r="F201" s="97">
        <v>45379</v>
      </c>
      <c r="G201" s="77"/>
      <c r="H201" s="92" t="s">
        <v>225</v>
      </c>
      <c r="I201" s="93">
        <v>2</v>
      </c>
      <c r="J201" s="93">
        <v>70</v>
      </c>
      <c r="K201" s="82">
        <f t="shared" si="21"/>
        <v>140</v>
      </c>
      <c r="L201" s="81"/>
      <c r="M201" s="77"/>
      <c r="N201" s="83"/>
      <c r="O201" s="79"/>
      <c r="P201" s="85">
        <f t="shared" si="22"/>
        <v>70</v>
      </c>
      <c r="Q201" s="86">
        <f t="shared" si="23"/>
        <v>140</v>
      </c>
      <c r="R201" s="76"/>
      <c r="S201" s="87" t="s">
        <v>88</v>
      </c>
      <c r="T201" s="80"/>
      <c r="U201" s="85">
        <f t="shared" si="24"/>
        <v>70</v>
      </c>
      <c r="V201" s="85">
        <f t="shared" si="25"/>
        <v>2</v>
      </c>
      <c r="W201" s="88">
        <f t="shared" si="26"/>
        <v>140</v>
      </c>
      <c r="X201" s="98" t="s">
        <v>86</v>
      </c>
      <c r="Y201" s="78" t="s">
        <v>81</v>
      </c>
    </row>
    <row r="202" spans="1:25" s="78" customFormat="1" ht="11.1" customHeight="1" x14ac:dyDescent="0.2">
      <c r="A202" s="71">
        <f t="shared" si="27"/>
        <v>200</v>
      </c>
      <c r="B202" s="90" t="s">
        <v>198</v>
      </c>
      <c r="C202" s="82" t="str">
        <f>IF($B202&lt;&gt;"",_xlfn.IFNA(VLOOKUP($B202,'Node Details'!$B:$U,C$1,0),"Check"),"")</f>
        <v>00001GF22-1GF210102</v>
      </c>
      <c r="D202" s="82" t="str">
        <f>IF($B202&lt;&gt;"",_xlfn.IFNA(VLOOKUP($B202,'Node Details'!$B:$U,D$1,0),"Check"),"")</f>
        <v>1GF</v>
      </c>
      <c r="E202" s="82" t="str">
        <f>IF($B202&lt;&gt;"",_xlfn.IFNA(VLOOKUP($B202,'Node Details'!$B:$U,E$1,0),"Check"),"")</f>
        <v>Airtel</v>
      </c>
      <c r="F202" s="97">
        <v>45379</v>
      </c>
      <c r="G202" s="77"/>
      <c r="H202" s="92" t="s">
        <v>225</v>
      </c>
      <c r="I202" s="93">
        <v>1</v>
      </c>
      <c r="J202" s="93">
        <v>70</v>
      </c>
      <c r="K202" s="82">
        <f t="shared" si="21"/>
        <v>70</v>
      </c>
      <c r="L202" s="81"/>
      <c r="M202" s="77"/>
      <c r="N202" s="83"/>
      <c r="O202" s="79"/>
      <c r="P202" s="85">
        <f t="shared" si="22"/>
        <v>70</v>
      </c>
      <c r="Q202" s="86">
        <f t="shared" si="23"/>
        <v>70</v>
      </c>
      <c r="R202" s="76"/>
      <c r="S202" s="87" t="s">
        <v>88</v>
      </c>
      <c r="T202" s="80"/>
      <c r="U202" s="85">
        <f t="shared" si="24"/>
        <v>70</v>
      </c>
      <c r="V202" s="85">
        <f t="shared" si="25"/>
        <v>1</v>
      </c>
      <c r="W202" s="88">
        <f t="shared" si="26"/>
        <v>70</v>
      </c>
      <c r="X202" s="98" t="s">
        <v>86</v>
      </c>
      <c r="Y202" s="78" t="s">
        <v>81</v>
      </c>
    </row>
    <row r="203" spans="1:25" s="78" customFormat="1" ht="11.1" customHeight="1" x14ac:dyDescent="0.2">
      <c r="A203" s="71">
        <f t="shared" si="27"/>
        <v>201</v>
      </c>
      <c r="B203" s="90" t="s">
        <v>78</v>
      </c>
      <c r="C203" s="82" t="str">
        <f>IF($B203&lt;&gt;"",_xlfn.IFNA(VLOOKUP($B203,'Node Details'!$B:$U,C$1,0),"Check"),"")</f>
        <v>0000001GF-00001GF12</v>
      </c>
      <c r="D203" s="82" t="str">
        <f>IF($B203&lt;&gt;"",_xlfn.IFNA(VLOOKUP($B203,'Node Details'!$B:$U,D$1,0),"Check"),"")</f>
        <v>1GF</v>
      </c>
      <c r="E203" s="82" t="str">
        <f>IF($B203&lt;&gt;"",_xlfn.IFNA(VLOOKUP($B203,'Node Details'!$B:$U,E$1,0),"Check"),"")</f>
        <v>Airtel</v>
      </c>
      <c r="F203" s="97">
        <v>45379</v>
      </c>
      <c r="G203" s="77"/>
      <c r="H203" s="92" t="s">
        <v>225</v>
      </c>
      <c r="I203" s="93">
        <v>1</v>
      </c>
      <c r="J203" s="93">
        <v>70</v>
      </c>
      <c r="K203" s="82">
        <f t="shared" si="21"/>
        <v>70</v>
      </c>
      <c r="L203" s="81"/>
      <c r="M203" s="77"/>
      <c r="N203" s="83"/>
      <c r="O203" s="79"/>
      <c r="P203" s="85">
        <f t="shared" si="22"/>
        <v>70</v>
      </c>
      <c r="Q203" s="86">
        <f t="shared" si="23"/>
        <v>70</v>
      </c>
      <c r="R203" s="76"/>
      <c r="S203" s="87" t="s">
        <v>88</v>
      </c>
      <c r="T203" s="80"/>
      <c r="U203" s="85">
        <f t="shared" si="24"/>
        <v>70</v>
      </c>
      <c r="V203" s="85">
        <f t="shared" si="25"/>
        <v>1</v>
      </c>
      <c r="W203" s="88">
        <f t="shared" si="26"/>
        <v>70</v>
      </c>
      <c r="X203" s="98" t="s">
        <v>86</v>
      </c>
      <c r="Y203" s="78" t="s">
        <v>81</v>
      </c>
    </row>
    <row r="204" spans="1:25" s="78" customFormat="1" ht="11.1" customHeight="1" x14ac:dyDescent="0.2">
      <c r="A204" s="71">
        <f t="shared" si="27"/>
        <v>202</v>
      </c>
      <c r="B204" s="90" t="s">
        <v>150</v>
      </c>
      <c r="C204" s="82" t="str">
        <f>IF($B204&lt;&gt;"",_xlfn.IFNA(VLOOKUP($B204,'Node Details'!$B:$U,C$1,0),"Check"),"")</f>
        <v>00001GF12-1GF120106</v>
      </c>
      <c r="D204" s="82" t="str">
        <f>IF($B204&lt;&gt;"",_xlfn.IFNA(VLOOKUP($B204,'Node Details'!$B:$U,D$1,0),"Check"),"")</f>
        <v>1GF</v>
      </c>
      <c r="E204" s="82" t="str">
        <f>IF($B204&lt;&gt;"",_xlfn.IFNA(VLOOKUP($B204,'Node Details'!$B:$U,E$1,0),"Check"),"")</f>
        <v>Airtel</v>
      </c>
      <c r="F204" s="97">
        <v>45379</v>
      </c>
      <c r="G204" s="77"/>
      <c r="H204" s="92" t="s">
        <v>225</v>
      </c>
      <c r="I204" s="93">
        <v>1</v>
      </c>
      <c r="J204" s="93">
        <v>70</v>
      </c>
      <c r="K204" s="82">
        <f t="shared" si="21"/>
        <v>70</v>
      </c>
      <c r="L204" s="81"/>
      <c r="M204" s="77"/>
      <c r="N204" s="83"/>
      <c r="O204" s="79"/>
      <c r="P204" s="85">
        <f t="shared" si="22"/>
        <v>70</v>
      </c>
      <c r="Q204" s="86">
        <f t="shared" si="23"/>
        <v>70</v>
      </c>
      <c r="R204" s="76"/>
      <c r="S204" s="87" t="s">
        <v>88</v>
      </c>
      <c r="T204" s="80"/>
      <c r="U204" s="85">
        <f t="shared" si="24"/>
        <v>70</v>
      </c>
      <c r="V204" s="85">
        <f t="shared" si="25"/>
        <v>1</v>
      </c>
      <c r="W204" s="88">
        <f t="shared" si="26"/>
        <v>70</v>
      </c>
      <c r="X204" s="98" t="s">
        <v>86</v>
      </c>
      <c r="Y204" s="78" t="s">
        <v>81</v>
      </c>
    </row>
    <row r="205" spans="1:25" s="78" customFormat="1" ht="11.1" customHeight="1" x14ac:dyDescent="0.2">
      <c r="A205" s="71">
        <f t="shared" si="27"/>
        <v>203</v>
      </c>
      <c r="B205" s="90" t="s">
        <v>151</v>
      </c>
      <c r="C205" s="82" t="str">
        <f>IF($B205&lt;&gt;"",_xlfn.IFNA(VLOOKUP($B205,'Node Details'!$B:$U,C$1,0),"Check"),"")</f>
        <v>00001GF12-1GF120106</v>
      </c>
      <c r="D205" s="82" t="str">
        <f>IF($B205&lt;&gt;"",_xlfn.IFNA(VLOOKUP($B205,'Node Details'!$B:$U,D$1,0),"Check"),"")</f>
        <v>1GF</v>
      </c>
      <c r="E205" s="82" t="str">
        <f>IF($B205&lt;&gt;"",_xlfn.IFNA(VLOOKUP($B205,'Node Details'!$B:$U,E$1,0),"Check"),"")</f>
        <v>Airtel</v>
      </c>
      <c r="F205" s="97">
        <v>45379</v>
      </c>
      <c r="G205" s="77"/>
      <c r="H205" s="92" t="s">
        <v>225</v>
      </c>
      <c r="I205" s="93">
        <v>1</v>
      </c>
      <c r="J205" s="93">
        <v>70</v>
      </c>
      <c r="K205" s="82">
        <f t="shared" si="21"/>
        <v>70</v>
      </c>
      <c r="L205" s="81"/>
      <c r="M205" s="77"/>
      <c r="N205" s="83"/>
      <c r="O205" s="79"/>
      <c r="P205" s="85">
        <f t="shared" si="22"/>
        <v>70</v>
      </c>
      <c r="Q205" s="86">
        <f t="shared" si="23"/>
        <v>70</v>
      </c>
      <c r="R205" s="76"/>
      <c r="S205" s="87" t="s">
        <v>88</v>
      </c>
      <c r="T205" s="79"/>
      <c r="U205" s="85">
        <f t="shared" si="24"/>
        <v>70</v>
      </c>
      <c r="V205" s="85">
        <f t="shared" si="25"/>
        <v>1</v>
      </c>
      <c r="W205" s="88">
        <f t="shared" si="26"/>
        <v>70</v>
      </c>
      <c r="X205" s="98" t="s">
        <v>86</v>
      </c>
      <c r="Y205" s="78" t="s">
        <v>81</v>
      </c>
    </row>
    <row r="206" spans="1:25" s="78" customFormat="1" ht="11.1" customHeight="1" x14ac:dyDescent="0.2">
      <c r="A206" s="71">
        <f t="shared" si="27"/>
        <v>204</v>
      </c>
      <c r="B206" s="90" t="s">
        <v>152</v>
      </c>
      <c r="C206" s="82" t="str">
        <f>IF($B206&lt;&gt;"",_xlfn.IFNA(VLOOKUP($B206,'Node Details'!$B:$U,C$1,0),"Check"),"")</f>
        <v>00001GF12-1GF120106</v>
      </c>
      <c r="D206" s="82" t="str">
        <f>IF($B206&lt;&gt;"",_xlfn.IFNA(VLOOKUP($B206,'Node Details'!$B:$U,D$1,0),"Check"),"")</f>
        <v>1GF</v>
      </c>
      <c r="E206" s="82" t="str">
        <f>IF($B206&lt;&gt;"",_xlfn.IFNA(VLOOKUP($B206,'Node Details'!$B:$U,E$1,0),"Check"),"")</f>
        <v>Airtel</v>
      </c>
      <c r="F206" s="97">
        <v>45379</v>
      </c>
      <c r="G206" s="77"/>
      <c r="H206" s="92" t="s">
        <v>225</v>
      </c>
      <c r="I206" s="93">
        <v>2</v>
      </c>
      <c r="J206" s="93">
        <v>70</v>
      </c>
      <c r="K206" s="82">
        <f t="shared" si="21"/>
        <v>140</v>
      </c>
      <c r="L206" s="81"/>
      <c r="M206" s="77"/>
      <c r="N206" s="83"/>
      <c r="O206" s="79"/>
      <c r="P206" s="85">
        <f t="shared" si="22"/>
        <v>70</v>
      </c>
      <c r="Q206" s="86">
        <f t="shared" si="23"/>
        <v>140</v>
      </c>
      <c r="R206" s="76"/>
      <c r="S206" s="87" t="s">
        <v>88</v>
      </c>
      <c r="T206" s="79"/>
      <c r="U206" s="85">
        <f t="shared" si="24"/>
        <v>70</v>
      </c>
      <c r="V206" s="85">
        <f t="shared" si="25"/>
        <v>2</v>
      </c>
      <c r="W206" s="88">
        <f t="shared" si="26"/>
        <v>140</v>
      </c>
      <c r="X206" s="98" t="s">
        <v>86</v>
      </c>
      <c r="Y206" s="78" t="s">
        <v>81</v>
      </c>
    </row>
    <row r="207" spans="1:25" s="78" customFormat="1" ht="11.1" customHeight="1" x14ac:dyDescent="0.2">
      <c r="A207" s="71">
        <f t="shared" si="27"/>
        <v>205</v>
      </c>
      <c r="B207" s="90" t="s">
        <v>153</v>
      </c>
      <c r="C207" s="82" t="str">
        <f>IF($B207&lt;&gt;"",_xlfn.IFNA(VLOOKUP($B207,'Node Details'!$B:$U,C$1,0),"Check"),"")</f>
        <v>00001GF12-1GF120106</v>
      </c>
      <c r="D207" s="82" t="str">
        <f>IF($B207&lt;&gt;"",_xlfn.IFNA(VLOOKUP($B207,'Node Details'!$B:$U,D$1,0),"Check"),"")</f>
        <v>1GF</v>
      </c>
      <c r="E207" s="82" t="str">
        <f>IF($B207&lt;&gt;"",_xlfn.IFNA(VLOOKUP($B207,'Node Details'!$B:$U,E$1,0),"Check"),"")</f>
        <v>Airtel</v>
      </c>
      <c r="F207" s="97">
        <v>45379</v>
      </c>
      <c r="G207" s="77"/>
      <c r="H207" s="92" t="s">
        <v>225</v>
      </c>
      <c r="I207" s="93">
        <v>1</v>
      </c>
      <c r="J207" s="93">
        <v>70</v>
      </c>
      <c r="K207" s="82">
        <f t="shared" si="21"/>
        <v>70</v>
      </c>
      <c r="L207" s="81"/>
      <c r="M207" s="77"/>
      <c r="N207" s="83"/>
      <c r="O207" s="79"/>
      <c r="P207" s="85">
        <f t="shared" si="22"/>
        <v>70</v>
      </c>
      <c r="Q207" s="86">
        <f t="shared" si="23"/>
        <v>70</v>
      </c>
      <c r="R207" s="76"/>
      <c r="S207" s="87" t="s">
        <v>88</v>
      </c>
      <c r="T207" s="79"/>
      <c r="U207" s="85">
        <f t="shared" si="24"/>
        <v>70</v>
      </c>
      <c r="V207" s="85">
        <f t="shared" si="25"/>
        <v>1</v>
      </c>
      <c r="W207" s="88">
        <f t="shared" si="26"/>
        <v>70</v>
      </c>
      <c r="X207" s="98" t="s">
        <v>86</v>
      </c>
      <c r="Y207" s="78" t="s">
        <v>81</v>
      </c>
    </row>
    <row r="208" spans="1:25" s="78" customFormat="1" ht="11.1" customHeight="1" x14ac:dyDescent="0.2">
      <c r="A208" s="71">
        <f t="shared" si="27"/>
        <v>206</v>
      </c>
      <c r="B208" s="90" t="s">
        <v>154</v>
      </c>
      <c r="C208" s="82" t="str">
        <f>IF($B208&lt;&gt;"",_xlfn.IFNA(VLOOKUP($B208,'Node Details'!$B:$U,C$1,0),"Check"),"")</f>
        <v>00001GF12-1GF120106</v>
      </c>
      <c r="D208" s="82" t="str">
        <f>IF($B208&lt;&gt;"",_xlfn.IFNA(VLOOKUP($B208,'Node Details'!$B:$U,D$1,0),"Check"),"")</f>
        <v>1GF</v>
      </c>
      <c r="E208" s="82" t="str">
        <f>IF($B208&lt;&gt;"",_xlfn.IFNA(VLOOKUP($B208,'Node Details'!$B:$U,E$1,0),"Check"),"")</f>
        <v>Airtel</v>
      </c>
      <c r="F208" s="97">
        <v>45379</v>
      </c>
      <c r="G208" s="77"/>
      <c r="H208" s="92" t="s">
        <v>225</v>
      </c>
      <c r="I208" s="93">
        <v>1</v>
      </c>
      <c r="J208" s="93">
        <v>70</v>
      </c>
      <c r="K208" s="82">
        <f t="shared" si="21"/>
        <v>70</v>
      </c>
      <c r="L208" s="81"/>
      <c r="M208" s="77"/>
      <c r="N208" s="83"/>
      <c r="O208" s="79"/>
      <c r="P208" s="85">
        <f t="shared" si="22"/>
        <v>70</v>
      </c>
      <c r="Q208" s="86">
        <f t="shared" si="23"/>
        <v>70</v>
      </c>
      <c r="R208" s="76"/>
      <c r="S208" s="87" t="s">
        <v>88</v>
      </c>
      <c r="T208" s="79"/>
      <c r="U208" s="85">
        <f t="shared" si="24"/>
        <v>70</v>
      </c>
      <c r="V208" s="85">
        <f t="shared" si="25"/>
        <v>1</v>
      </c>
      <c r="W208" s="88">
        <f t="shared" si="26"/>
        <v>70</v>
      </c>
      <c r="X208" s="98" t="s">
        <v>86</v>
      </c>
      <c r="Y208" s="78" t="s">
        <v>81</v>
      </c>
    </row>
    <row r="209" spans="1:25" s="78" customFormat="1" ht="11.1" customHeight="1" x14ac:dyDescent="0.2">
      <c r="A209" s="71">
        <f t="shared" si="27"/>
        <v>207</v>
      </c>
      <c r="B209" s="90" t="s">
        <v>97</v>
      </c>
      <c r="C209" s="82" t="str">
        <f>IF($B209&lt;&gt;"",_xlfn.IFNA(VLOOKUP($B209,'Node Details'!$B:$U,C$1,0),"Check"),"")</f>
        <v>00001GF12-1GF120106</v>
      </c>
      <c r="D209" s="82" t="str">
        <f>IF($B209&lt;&gt;"",_xlfn.IFNA(VLOOKUP($B209,'Node Details'!$B:$U,D$1,0),"Check"),"")</f>
        <v>1GF</v>
      </c>
      <c r="E209" s="82" t="str">
        <f>IF($B209&lt;&gt;"",_xlfn.IFNA(VLOOKUP($B209,'Node Details'!$B:$U,E$1,0),"Check"),"")</f>
        <v>Airtel</v>
      </c>
      <c r="F209" s="97">
        <v>45379</v>
      </c>
      <c r="G209" s="77"/>
      <c r="H209" s="92" t="s">
        <v>225</v>
      </c>
      <c r="I209" s="93">
        <v>1</v>
      </c>
      <c r="J209" s="93">
        <v>70</v>
      </c>
      <c r="K209" s="82">
        <f t="shared" si="21"/>
        <v>70</v>
      </c>
      <c r="L209" s="81"/>
      <c r="M209" s="77"/>
      <c r="N209" s="83"/>
      <c r="O209" s="79"/>
      <c r="P209" s="85">
        <f t="shared" si="22"/>
        <v>70</v>
      </c>
      <c r="Q209" s="86">
        <f t="shared" si="23"/>
        <v>70</v>
      </c>
      <c r="R209" s="76"/>
      <c r="S209" s="87" t="s">
        <v>88</v>
      </c>
      <c r="T209" s="79"/>
      <c r="U209" s="85">
        <f t="shared" si="24"/>
        <v>70</v>
      </c>
      <c r="V209" s="85">
        <f t="shared" si="25"/>
        <v>1</v>
      </c>
      <c r="W209" s="88">
        <f t="shared" si="26"/>
        <v>70</v>
      </c>
      <c r="X209" s="98" t="s">
        <v>86</v>
      </c>
      <c r="Y209" s="78" t="s">
        <v>81</v>
      </c>
    </row>
    <row r="210" spans="1:25" s="78" customFormat="1" ht="11.1" customHeight="1" x14ac:dyDescent="0.2">
      <c r="A210" s="71">
        <f t="shared" si="27"/>
        <v>208</v>
      </c>
      <c r="B210" s="90" t="s">
        <v>99</v>
      </c>
      <c r="C210" s="82" t="str">
        <f>IF($B210&lt;&gt;"",_xlfn.IFNA(VLOOKUP($B210,'Node Details'!$B:$U,C$1,0),"Check"),"")</f>
        <v>00001GF12-00001GF22</v>
      </c>
      <c r="D210" s="82" t="str">
        <f>IF($B210&lt;&gt;"",_xlfn.IFNA(VLOOKUP($B210,'Node Details'!$B:$U,D$1,0),"Check"),"")</f>
        <v>1GF</v>
      </c>
      <c r="E210" s="82" t="str">
        <f>IF($B210&lt;&gt;"",_xlfn.IFNA(VLOOKUP($B210,'Node Details'!$B:$U,E$1,0),"Check"),"")</f>
        <v>Airtel</v>
      </c>
      <c r="F210" s="97">
        <v>45379</v>
      </c>
      <c r="G210" s="77"/>
      <c r="H210" s="92" t="s">
        <v>225</v>
      </c>
      <c r="I210" s="93">
        <v>1</v>
      </c>
      <c r="J210" s="93">
        <v>70</v>
      </c>
      <c r="K210" s="82">
        <f t="shared" si="21"/>
        <v>70</v>
      </c>
      <c r="L210" s="81"/>
      <c r="M210" s="77"/>
      <c r="N210" s="83"/>
      <c r="O210" s="79"/>
      <c r="P210" s="85">
        <f t="shared" si="22"/>
        <v>70</v>
      </c>
      <c r="Q210" s="86">
        <f t="shared" si="23"/>
        <v>70</v>
      </c>
      <c r="R210" s="76"/>
      <c r="S210" s="87" t="s">
        <v>88</v>
      </c>
      <c r="T210" s="79"/>
      <c r="U210" s="85">
        <f t="shared" si="24"/>
        <v>70</v>
      </c>
      <c r="V210" s="85">
        <f t="shared" si="25"/>
        <v>1</v>
      </c>
      <c r="W210" s="88">
        <f t="shared" si="26"/>
        <v>70</v>
      </c>
      <c r="X210" s="98" t="s">
        <v>86</v>
      </c>
      <c r="Y210" s="78" t="s">
        <v>81</v>
      </c>
    </row>
    <row r="211" spans="1:25" s="78" customFormat="1" ht="11.1" customHeight="1" x14ac:dyDescent="0.2">
      <c r="A211" s="71">
        <f t="shared" si="27"/>
        <v>209</v>
      </c>
      <c r="B211" s="90" t="s">
        <v>155</v>
      </c>
      <c r="C211" s="82" t="str">
        <f>IF($B211&lt;&gt;"",_xlfn.IFNA(VLOOKUP($B211,'Node Details'!$B:$U,C$1,0),"Check"),"")</f>
        <v>00001GF13-1GF130106</v>
      </c>
      <c r="D211" s="82" t="str">
        <f>IF($B211&lt;&gt;"",_xlfn.IFNA(VLOOKUP($B211,'Node Details'!$B:$U,D$1,0),"Check"),"")</f>
        <v>1GF</v>
      </c>
      <c r="E211" s="82" t="str">
        <f>IF($B211&lt;&gt;"",_xlfn.IFNA(VLOOKUP($B211,'Node Details'!$B:$U,E$1,0),"Check"),"")</f>
        <v>Airtel</v>
      </c>
      <c r="F211" s="97">
        <v>45379</v>
      </c>
      <c r="G211" s="77"/>
      <c r="H211" s="92" t="s">
        <v>225</v>
      </c>
      <c r="I211" s="93">
        <v>1</v>
      </c>
      <c r="J211" s="93">
        <v>70</v>
      </c>
      <c r="K211" s="82">
        <f t="shared" si="21"/>
        <v>70</v>
      </c>
      <c r="L211" s="81"/>
      <c r="M211" s="77"/>
      <c r="N211" s="83"/>
      <c r="O211" s="79"/>
      <c r="P211" s="85">
        <f t="shared" si="22"/>
        <v>70</v>
      </c>
      <c r="Q211" s="86">
        <f t="shared" si="23"/>
        <v>70</v>
      </c>
      <c r="R211" s="76"/>
      <c r="S211" s="87" t="s">
        <v>88</v>
      </c>
      <c r="T211" s="79"/>
      <c r="U211" s="85">
        <f t="shared" si="24"/>
        <v>70</v>
      </c>
      <c r="V211" s="85">
        <f t="shared" si="25"/>
        <v>1</v>
      </c>
      <c r="W211" s="88">
        <f t="shared" si="26"/>
        <v>70</v>
      </c>
      <c r="X211" s="98" t="s">
        <v>86</v>
      </c>
      <c r="Y211" s="78" t="s">
        <v>81</v>
      </c>
    </row>
    <row r="212" spans="1:25" s="78" customFormat="1" ht="11.1" customHeight="1" x14ac:dyDescent="0.2">
      <c r="A212" s="71">
        <f t="shared" si="27"/>
        <v>210</v>
      </c>
      <c r="B212" s="90" t="s">
        <v>156</v>
      </c>
      <c r="C212" s="82" t="str">
        <f>IF($B212&lt;&gt;"",_xlfn.IFNA(VLOOKUP($B212,'Node Details'!$B:$U,C$1,0),"Check"),"")</f>
        <v>00001GF13-1GF130106</v>
      </c>
      <c r="D212" s="82" t="str">
        <f>IF($B212&lt;&gt;"",_xlfn.IFNA(VLOOKUP($B212,'Node Details'!$B:$U,D$1,0),"Check"),"")</f>
        <v>1GF</v>
      </c>
      <c r="E212" s="82" t="str">
        <f>IF($B212&lt;&gt;"",_xlfn.IFNA(VLOOKUP($B212,'Node Details'!$B:$U,E$1,0),"Check"),"")</f>
        <v>Airtel</v>
      </c>
      <c r="F212" s="97">
        <v>45379</v>
      </c>
      <c r="G212" s="77"/>
      <c r="H212" s="92" t="s">
        <v>225</v>
      </c>
      <c r="I212" s="93">
        <v>1</v>
      </c>
      <c r="J212" s="93">
        <v>70</v>
      </c>
      <c r="K212" s="82">
        <f t="shared" si="21"/>
        <v>70</v>
      </c>
      <c r="L212" s="81"/>
      <c r="M212" s="77"/>
      <c r="N212" s="83"/>
      <c r="O212" s="79"/>
      <c r="P212" s="85">
        <f t="shared" si="22"/>
        <v>70</v>
      </c>
      <c r="Q212" s="86">
        <f t="shared" si="23"/>
        <v>70</v>
      </c>
      <c r="R212" s="76"/>
      <c r="S212" s="87" t="s">
        <v>88</v>
      </c>
      <c r="T212" s="79"/>
      <c r="U212" s="85">
        <f t="shared" si="24"/>
        <v>70</v>
      </c>
      <c r="V212" s="85">
        <f t="shared" si="25"/>
        <v>1</v>
      </c>
      <c r="W212" s="88">
        <f t="shared" si="26"/>
        <v>70</v>
      </c>
      <c r="X212" s="98" t="s">
        <v>86</v>
      </c>
      <c r="Y212" s="78" t="s">
        <v>81</v>
      </c>
    </row>
    <row r="213" spans="1:25" s="78" customFormat="1" ht="11.1" customHeight="1" x14ac:dyDescent="0.2">
      <c r="A213" s="71">
        <f t="shared" si="27"/>
        <v>211</v>
      </c>
      <c r="B213" s="90" t="s">
        <v>157</v>
      </c>
      <c r="C213" s="82" t="str">
        <f>IF($B213&lt;&gt;"",_xlfn.IFNA(VLOOKUP($B213,'Node Details'!$B:$U,C$1,0),"Check"),"")</f>
        <v>00001GF13-1GF130106</v>
      </c>
      <c r="D213" s="82" t="str">
        <f>IF($B213&lt;&gt;"",_xlfn.IFNA(VLOOKUP($B213,'Node Details'!$B:$U,D$1,0),"Check"),"")</f>
        <v>1GF</v>
      </c>
      <c r="E213" s="82" t="str">
        <f>IF($B213&lt;&gt;"",_xlfn.IFNA(VLOOKUP($B213,'Node Details'!$B:$U,E$1,0),"Check"),"")</f>
        <v>Airtel</v>
      </c>
      <c r="F213" s="97">
        <v>45379</v>
      </c>
      <c r="G213" s="77"/>
      <c r="H213" s="92" t="s">
        <v>225</v>
      </c>
      <c r="I213" s="93">
        <v>2</v>
      </c>
      <c r="J213" s="93">
        <v>70</v>
      </c>
      <c r="K213" s="82">
        <f t="shared" si="21"/>
        <v>140</v>
      </c>
      <c r="L213" s="81"/>
      <c r="M213" s="77"/>
      <c r="N213" s="83"/>
      <c r="O213" s="79"/>
      <c r="P213" s="85">
        <f t="shared" si="22"/>
        <v>70</v>
      </c>
      <c r="Q213" s="86">
        <f t="shared" si="23"/>
        <v>140</v>
      </c>
      <c r="R213" s="76"/>
      <c r="S213" s="87" t="s">
        <v>88</v>
      </c>
      <c r="T213" s="79"/>
      <c r="U213" s="85">
        <f t="shared" si="24"/>
        <v>70</v>
      </c>
      <c r="V213" s="85">
        <f t="shared" si="25"/>
        <v>2</v>
      </c>
      <c r="W213" s="88">
        <f t="shared" si="26"/>
        <v>140</v>
      </c>
      <c r="X213" s="98" t="s">
        <v>86</v>
      </c>
      <c r="Y213" s="78" t="s">
        <v>81</v>
      </c>
    </row>
    <row r="214" spans="1:25" s="78" customFormat="1" ht="11.1" customHeight="1" x14ac:dyDescent="0.2">
      <c r="A214" s="71">
        <f t="shared" si="27"/>
        <v>212</v>
      </c>
      <c r="B214" s="90" t="s">
        <v>158</v>
      </c>
      <c r="C214" s="82" t="str">
        <f>IF($B214&lt;&gt;"",_xlfn.IFNA(VLOOKUP($B214,'Node Details'!$B:$U,C$1,0),"Check"),"")</f>
        <v>00001GF13-1GF130106</v>
      </c>
      <c r="D214" s="82" t="str">
        <f>IF($B214&lt;&gt;"",_xlfn.IFNA(VLOOKUP($B214,'Node Details'!$B:$U,D$1,0),"Check"),"")</f>
        <v>1GF</v>
      </c>
      <c r="E214" s="82" t="str">
        <f>IF($B214&lt;&gt;"",_xlfn.IFNA(VLOOKUP($B214,'Node Details'!$B:$U,E$1,0),"Check"),"")</f>
        <v>Airtel</v>
      </c>
      <c r="F214" s="97">
        <v>45379</v>
      </c>
      <c r="G214" s="77"/>
      <c r="H214" s="92" t="s">
        <v>225</v>
      </c>
      <c r="I214" s="93">
        <v>2</v>
      </c>
      <c r="J214" s="93">
        <v>70</v>
      </c>
      <c r="K214" s="82">
        <f t="shared" si="21"/>
        <v>140</v>
      </c>
      <c r="L214" s="81"/>
      <c r="M214" s="77"/>
      <c r="N214" s="83"/>
      <c r="O214" s="79"/>
      <c r="P214" s="85">
        <f t="shared" si="22"/>
        <v>70</v>
      </c>
      <c r="Q214" s="86">
        <f t="shared" si="23"/>
        <v>140</v>
      </c>
      <c r="R214" s="76"/>
      <c r="S214" s="87" t="s">
        <v>88</v>
      </c>
      <c r="T214" s="79"/>
      <c r="U214" s="85">
        <f t="shared" si="24"/>
        <v>70</v>
      </c>
      <c r="V214" s="85">
        <f t="shared" si="25"/>
        <v>2</v>
      </c>
      <c r="W214" s="88">
        <f t="shared" si="26"/>
        <v>140</v>
      </c>
      <c r="X214" s="98" t="s">
        <v>86</v>
      </c>
      <c r="Y214" s="78" t="s">
        <v>81</v>
      </c>
    </row>
    <row r="215" spans="1:25" s="78" customFormat="1" ht="11.1" customHeight="1" x14ac:dyDescent="0.2">
      <c r="A215" s="71">
        <f t="shared" si="27"/>
        <v>213</v>
      </c>
      <c r="B215" s="90" t="s">
        <v>159</v>
      </c>
      <c r="C215" s="82" t="str">
        <f>IF($B215&lt;&gt;"",_xlfn.IFNA(VLOOKUP($B215,'Node Details'!$B:$U,C$1,0),"Check"),"")</f>
        <v>00001GF13-1GF130106</v>
      </c>
      <c r="D215" s="82" t="str">
        <f>IF($B215&lt;&gt;"",_xlfn.IFNA(VLOOKUP($B215,'Node Details'!$B:$U,D$1,0),"Check"),"")</f>
        <v>1GF</v>
      </c>
      <c r="E215" s="82" t="str">
        <f>IF($B215&lt;&gt;"",_xlfn.IFNA(VLOOKUP($B215,'Node Details'!$B:$U,E$1,0),"Check"),"")</f>
        <v>Airtel</v>
      </c>
      <c r="F215" s="97">
        <v>45379</v>
      </c>
      <c r="G215" s="77"/>
      <c r="H215" s="92" t="s">
        <v>225</v>
      </c>
      <c r="I215" s="93">
        <v>1</v>
      </c>
      <c r="J215" s="93">
        <v>70</v>
      </c>
      <c r="K215" s="82">
        <f t="shared" si="21"/>
        <v>70</v>
      </c>
      <c r="L215" s="81"/>
      <c r="M215" s="77"/>
      <c r="N215" s="83"/>
      <c r="O215" s="79"/>
      <c r="P215" s="85">
        <f t="shared" si="22"/>
        <v>70</v>
      </c>
      <c r="Q215" s="86">
        <f t="shared" si="23"/>
        <v>70</v>
      </c>
      <c r="R215" s="76"/>
      <c r="S215" s="87" t="s">
        <v>88</v>
      </c>
      <c r="T215" s="79"/>
      <c r="U215" s="85">
        <f t="shared" si="24"/>
        <v>70</v>
      </c>
      <c r="V215" s="85">
        <f t="shared" si="25"/>
        <v>1</v>
      </c>
      <c r="W215" s="88">
        <f t="shared" si="26"/>
        <v>70</v>
      </c>
      <c r="X215" s="98" t="s">
        <v>86</v>
      </c>
      <c r="Y215" s="78" t="s">
        <v>81</v>
      </c>
    </row>
    <row r="216" spans="1:25" s="78" customFormat="1" ht="11.1" customHeight="1" x14ac:dyDescent="0.2">
      <c r="A216" s="71">
        <f t="shared" si="27"/>
        <v>214</v>
      </c>
      <c r="B216" s="90" t="s">
        <v>101</v>
      </c>
      <c r="C216" s="82" t="str">
        <f>IF($B216&lt;&gt;"",_xlfn.IFNA(VLOOKUP($B216,'Node Details'!$B:$U,C$1,0),"Check"),"")</f>
        <v>00001GF13-1GF130106</v>
      </c>
      <c r="D216" s="82" t="str">
        <f>IF($B216&lt;&gt;"",_xlfn.IFNA(VLOOKUP($B216,'Node Details'!$B:$U,D$1,0),"Check"),"")</f>
        <v>1GF</v>
      </c>
      <c r="E216" s="82" t="str">
        <f>IF($B216&lt;&gt;"",_xlfn.IFNA(VLOOKUP($B216,'Node Details'!$B:$U,E$1,0),"Check"),"")</f>
        <v>Airtel</v>
      </c>
      <c r="F216" s="97">
        <v>45379</v>
      </c>
      <c r="G216" s="77"/>
      <c r="H216" s="92" t="s">
        <v>225</v>
      </c>
      <c r="I216" s="93">
        <v>1</v>
      </c>
      <c r="J216" s="93">
        <v>70</v>
      </c>
      <c r="K216" s="82">
        <f t="shared" si="21"/>
        <v>70</v>
      </c>
      <c r="L216" s="81"/>
      <c r="M216" s="77"/>
      <c r="N216" s="83"/>
      <c r="O216" s="79"/>
      <c r="P216" s="85">
        <f t="shared" si="22"/>
        <v>70</v>
      </c>
      <c r="Q216" s="86">
        <f t="shared" si="23"/>
        <v>70</v>
      </c>
      <c r="R216" s="76"/>
      <c r="S216" s="87" t="s">
        <v>88</v>
      </c>
      <c r="T216" s="79"/>
      <c r="U216" s="85">
        <f t="shared" si="24"/>
        <v>70</v>
      </c>
      <c r="V216" s="85">
        <f t="shared" si="25"/>
        <v>1</v>
      </c>
      <c r="W216" s="88">
        <f t="shared" si="26"/>
        <v>70</v>
      </c>
      <c r="X216" s="98" t="s">
        <v>86</v>
      </c>
      <c r="Y216" s="78" t="s">
        <v>81</v>
      </c>
    </row>
    <row r="217" spans="1:25" s="78" customFormat="1" ht="11.1" customHeight="1" x14ac:dyDescent="0.2">
      <c r="A217" s="71">
        <f t="shared" si="27"/>
        <v>215</v>
      </c>
      <c r="B217" s="90" t="s">
        <v>103</v>
      </c>
      <c r="C217" s="82" t="str">
        <f>IF($B217&lt;&gt;"",_xlfn.IFNA(VLOOKUP($B217,'Node Details'!$B:$U,C$1,0),"Check"),"")</f>
        <v>00001GF12-00001GF22</v>
      </c>
      <c r="D217" s="82" t="str">
        <f>IF($B217&lt;&gt;"",_xlfn.IFNA(VLOOKUP($B217,'Node Details'!$B:$U,D$1,0),"Check"),"")</f>
        <v>1GF</v>
      </c>
      <c r="E217" s="82" t="str">
        <f>IF($B217&lt;&gt;"",_xlfn.IFNA(VLOOKUP($B217,'Node Details'!$B:$U,E$1,0),"Check"),"")</f>
        <v>Airtel</v>
      </c>
      <c r="F217" s="97">
        <v>45379</v>
      </c>
      <c r="G217" s="77"/>
      <c r="H217" s="92" t="s">
        <v>225</v>
      </c>
      <c r="I217" s="93">
        <v>1</v>
      </c>
      <c r="J217" s="93">
        <v>70</v>
      </c>
      <c r="K217" s="82">
        <f t="shared" si="21"/>
        <v>70</v>
      </c>
      <c r="L217" s="81"/>
      <c r="M217" s="77"/>
      <c r="N217" s="83"/>
      <c r="O217" s="79"/>
      <c r="P217" s="85">
        <f t="shared" si="22"/>
        <v>70</v>
      </c>
      <c r="Q217" s="86">
        <f t="shared" si="23"/>
        <v>70</v>
      </c>
      <c r="R217" s="76"/>
      <c r="S217" s="87" t="s">
        <v>88</v>
      </c>
      <c r="T217" s="79"/>
      <c r="U217" s="85">
        <f t="shared" si="24"/>
        <v>70</v>
      </c>
      <c r="V217" s="85">
        <f t="shared" si="25"/>
        <v>1</v>
      </c>
      <c r="W217" s="88">
        <f t="shared" si="26"/>
        <v>70</v>
      </c>
      <c r="X217" s="98" t="s">
        <v>86</v>
      </c>
      <c r="Y217" s="78" t="s">
        <v>81</v>
      </c>
    </row>
    <row r="218" spans="1:25" s="78" customFormat="1" ht="11.1" customHeight="1" x14ac:dyDescent="0.2">
      <c r="A218" s="71">
        <f t="shared" si="27"/>
        <v>216</v>
      </c>
      <c r="B218" s="90" t="s">
        <v>160</v>
      </c>
      <c r="C218" s="82" t="str">
        <f>IF($B218&lt;&gt;"",_xlfn.IFNA(VLOOKUP($B218,'Node Details'!$B:$U,C$1,0),"Check"),"")</f>
        <v>00001GF14-1GF140107</v>
      </c>
      <c r="D218" s="82" t="str">
        <f>IF($B218&lt;&gt;"",_xlfn.IFNA(VLOOKUP($B218,'Node Details'!$B:$U,D$1,0),"Check"),"")</f>
        <v>1GF</v>
      </c>
      <c r="E218" s="82" t="str">
        <f>IF($B218&lt;&gt;"",_xlfn.IFNA(VLOOKUP($B218,'Node Details'!$B:$U,E$1,0),"Check"),"")</f>
        <v>Airtel</v>
      </c>
      <c r="F218" s="97">
        <v>45379</v>
      </c>
      <c r="G218" s="77"/>
      <c r="H218" s="92" t="s">
        <v>225</v>
      </c>
      <c r="I218" s="93">
        <v>2</v>
      </c>
      <c r="J218" s="93">
        <v>70</v>
      </c>
      <c r="K218" s="82">
        <f t="shared" si="21"/>
        <v>140</v>
      </c>
      <c r="L218" s="81"/>
      <c r="M218" s="77"/>
      <c r="N218" s="83"/>
      <c r="O218" s="79"/>
      <c r="P218" s="85">
        <f t="shared" si="22"/>
        <v>70</v>
      </c>
      <c r="Q218" s="86">
        <f t="shared" si="23"/>
        <v>140</v>
      </c>
      <c r="R218" s="76"/>
      <c r="S218" s="87" t="s">
        <v>88</v>
      </c>
      <c r="T218" s="79"/>
      <c r="U218" s="85">
        <f t="shared" si="24"/>
        <v>70</v>
      </c>
      <c r="V218" s="85">
        <f t="shared" si="25"/>
        <v>2</v>
      </c>
      <c r="W218" s="88">
        <f t="shared" si="26"/>
        <v>140</v>
      </c>
      <c r="X218" s="98" t="s">
        <v>86</v>
      </c>
      <c r="Y218" s="78" t="s">
        <v>81</v>
      </c>
    </row>
    <row r="219" spans="1:25" s="78" customFormat="1" ht="11.1" customHeight="1" x14ac:dyDescent="0.2">
      <c r="A219" s="71">
        <f t="shared" si="27"/>
        <v>217</v>
      </c>
      <c r="B219" s="90" t="s">
        <v>161</v>
      </c>
      <c r="C219" s="82" t="str">
        <f>IF($B219&lt;&gt;"",_xlfn.IFNA(VLOOKUP($B219,'Node Details'!$B:$U,C$1,0),"Check"),"")</f>
        <v>00001GF14-1GF140107</v>
      </c>
      <c r="D219" s="82" t="str">
        <f>IF($B219&lt;&gt;"",_xlfn.IFNA(VLOOKUP($B219,'Node Details'!$B:$U,D$1,0),"Check"),"")</f>
        <v>1GF</v>
      </c>
      <c r="E219" s="82" t="str">
        <f>IF($B219&lt;&gt;"",_xlfn.IFNA(VLOOKUP($B219,'Node Details'!$B:$U,E$1,0),"Check"),"")</f>
        <v>Airtel</v>
      </c>
      <c r="F219" s="97">
        <v>45379</v>
      </c>
      <c r="G219" s="77"/>
      <c r="H219" s="92" t="s">
        <v>225</v>
      </c>
      <c r="I219" s="93">
        <v>1</v>
      </c>
      <c r="J219" s="93">
        <v>70</v>
      </c>
      <c r="K219" s="82">
        <f t="shared" si="21"/>
        <v>70</v>
      </c>
      <c r="L219" s="81"/>
      <c r="M219" s="77"/>
      <c r="N219" s="83"/>
      <c r="O219" s="79"/>
      <c r="P219" s="85">
        <f t="shared" si="22"/>
        <v>70</v>
      </c>
      <c r="Q219" s="86">
        <f t="shared" si="23"/>
        <v>70</v>
      </c>
      <c r="R219" s="76"/>
      <c r="S219" s="87" t="s">
        <v>88</v>
      </c>
      <c r="T219" s="79"/>
      <c r="U219" s="85">
        <f t="shared" si="24"/>
        <v>70</v>
      </c>
      <c r="V219" s="85">
        <f t="shared" si="25"/>
        <v>1</v>
      </c>
      <c r="W219" s="88">
        <f t="shared" si="26"/>
        <v>70</v>
      </c>
      <c r="X219" s="98" t="s">
        <v>86</v>
      </c>
      <c r="Y219" s="78" t="s">
        <v>81</v>
      </c>
    </row>
    <row r="220" spans="1:25" s="78" customFormat="1" ht="11.1" customHeight="1" x14ac:dyDescent="0.2">
      <c r="A220" s="71">
        <f t="shared" si="27"/>
        <v>218</v>
      </c>
      <c r="B220" s="90" t="s">
        <v>162</v>
      </c>
      <c r="C220" s="82" t="str">
        <f>IF($B220&lt;&gt;"",_xlfn.IFNA(VLOOKUP($B220,'Node Details'!$B:$U,C$1,0),"Check"),"")</f>
        <v>00001GF14-1GF140107</v>
      </c>
      <c r="D220" s="82" t="str">
        <f>IF($B220&lt;&gt;"",_xlfn.IFNA(VLOOKUP($B220,'Node Details'!$B:$U,D$1,0),"Check"),"")</f>
        <v>1GF</v>
      </c>
      <c r="E220" s="82" t="str">
        <f>IF($B220&lt;&gt;"",_xlfn.IFNA(VLOOKUP($B220,'Node Details'!$B:$U,E$1,0),"Check"),"")</f>
        <v>Airtel</v>
      </c>
      <c r="F220" s="97">
        <v>45379</v>
      </c>
      <c r="G220" s="77"/>
      <c r="H220" s="92" t="s">
        <v>225</v>
      </c>
      <c r="I220" s="93">
        <v>2</v>
      </c>
      <c r="J220" s="93">
        <v>70</v>
      </c>
      <c r="K220" s="82">
        <f t="shared" si="21"/>
        <v>140</v>
      </c>
      <c r="L220" s="81"/>
      <c r="M220" s="77"/>
      <c r="N220" s="83"/>
      <c r="O220" s="79"/>
      <c r="P220" s="85">
        <f t="shared" si="22"/>
        <v>70</v>
      </c>
      <c r="Q220" s="86">
        <f t="shared" si="23"/>
        <v>140</v>
      </c>
      <c r="R220" s="76"/>
      <c r="S220" s="87" t="s">
        <v>88</v>
      </c>
      <c r="T220" s="80"/>
      <c r="U220" s="85">
        <f t="shared" si="24"/>
        <v>70</v>
      </c>
      <c r="V220" s="85">
        <f t="shared" si="25"/>
        <v>2</v>
      </c>
      <c r="W220" s="88">
        <f t="shared" si="26"/>
        <v>140</v>
      </c>
      <c r="X220" s="98" t="s">
        <v>86</v>
      </c>
      <c r="Y220" s="78" t="s">
        <v>81</v>
      </c>
    </row>
    <row r="221" spans="1:25" s="78" customFormat="1" ht="11.1" customHeight="1" x14ac:dyDescent="0.2">
      <c r="A221" s="71">
        <f t="shared" si="27"/>
        <v>219</v>
      </c>
      <c r="B221" s="90" t="s">
        <v>163</v>
      </c>
      <c r="C221" s="82" t="str">
        <f>IF($B221&lt;&gt;"",_xlfn.IFNA(VLOOKUP($B221,'Node Details'!$B:$U,C$1,0),"Check"),"")</f>
        <v>00001GF14-1GF140107</v>
      </c>
      <c r="D221" s="82" t="str">
        <f>IF($B221&lt;&gt;"",_xlfn.IFNA(VLOOKUP($B221,'Node Details'!$B:$U,D$1,0),"Check"),"")</f>
        <v>1GF</v>
      </c>
      <c r="E221" s="82" t="str">
        <f>IF($B221&lt;&gt;"",_xlfn.IFNA(VLOOKUP($B221,'Node Details'!$B:$U,E$1,0),"Check"),"")</f>
        <v>Airtel</v>
      </c>
      <c r="F221" s="97">
        <v>45379</v>
      </c>
      <c r="G221" s="77"/>
      <c r="H221" s="92" t="s">
        <v>225</v>
      </c>
      <c r="I221" s="93">
        <v>1</v>
      </c>
      <c r="J221" s="93">
        <v>70</v>
      </c>
      <c r="K221" s="82">
        <f t="shared" si="21"/>
        <v>70</v>
      </c>
      <c r="L221" s="81"/>
      <c r="M221" s="77"/>
      <c r="N221" s="83"/>
      <c r="O221" s="79"/>
      <c r="P221" s="85">
        <f t="shared" si="22"/>
        <v>70</v>
      </c>
      <c r="Q221" s="86">
        <f t="shared" si="23"/>
        <v>70</v>
      </c>
      <c r="R221" s="76"/>
      <c r="S221" s="87" t="s">
        <v>88</v>
      </c>
      <c r="T221" s="80"/>
      <c r="U221" s="85">
        <f t="shared" si="24"/>
        <v>70</v>
      </c>
      <c r="V221" s="85">
        <f t="shared" si="25"/>
        <v>1</v>
      </c>
      <c r="W221" s="88">
        <f t="shared" si="26"/>
        <v>70</v>
      </c>
      <c r="X221" s="98" t="s">
        <v>86</v>
      </c>
      <c r="Y221" s="78" t="s">
        <v>81</v>
      </c>
    </row>
    <row r="222" spans="1:25" s="78" customFormat="1" ht="11.1" customHeight="1" x14ac:dyDescent="0.2">
      <c r="A222" s="71">
        <f t="shared" si="27"/>
        <v>220</v>
      </c>
      <c r="B222" s="90" t="s">
        <v>164</v>
      </c>
      <c r="C222" s="82" t="str">
        <f>IF($B222&lt;&gt;"",_xlfn.IFNA(VLOOKUP($B222,'Node Details'!$B:$U,C$1,0),"Check"),"")</f>
        <v>00001GF14-1GF140107</v>
      </c>
      <c r="D222" s="82" t="str">
        <f>IF($B222&lt;&gt;"",_xlfn.IFNA(VLOOKUP($B222,'Node Details'!$B:$U,D$1,0),"Check"),"")</f>
        <v>1GF</v>
      </c>
      <c r="E222" s="82" t="str">
        <f>IF($B222&lt;&gt;"",_xlfn.IFNA(VLOOKUP($B222,'Node Details'!$B:$U,E$1,0),"Check"),"")</f>
        <v>Airtel</v>
      </c>
      <c r="F222" s="97">
        <v>45379</v>
      </c>
      <c r="G222" s="77"/>
      <c r="H222" s="92" t="s">
        <v>225</v>
      </c>
      <c r="I222" s="93">
        <v>1</v>
      </c>
      <c r="J222" s="93">
        <v>70</v>
      </c>
      <c r="K222" s="82">
        <f t="shared" si="21"/>
        <v>70</v>
      </c>
      <c r="L222" s="81"/>
      <c r="M222" s="77"/>
      <c r="N222" s="83"/>
      <c r="O222" s="79"/>
      <c r="P222" s="85">
        <f t="shared" si="22"/>
        <v>70</v>
      </c>
      <c r="Q222" s="86">
        <f t="shared" si="23"/>
        <v>70</v>
      </c>
      <c r="R222" s="76"/>
      <c r="S222" s="87" t="s">
        <v>88</v>
      </c>
      <c r="T222" s="80"/>
      <c r="U222" s="85">
        <f t="shared" si="24"/>
        <v>70</v>
      </c>
      <c r="V222" s="85">
        <f t="shared" si="25"/>
        <v>1</v>
      </c>
      <c r="W222" s="88">
        <f t="shared" si="26"/>
        <v>70</v>
      </c>
      <c r="X222" s="98" t="s">
        <v>86</v>
      </c>
      <c r="Y222" s="78" t="s">
        <v>81</v>
      </c>
    </row>
    <row r="223" spans="1:25" s="78" customFormat="1" ht="11.1" customHeight="1" x14ac:dyDescent="0.2">
      <c r="A223" s="71">
        <f t="shared" si="27"/>
        <v>221</v>
      </c>
      <c r="B223" s="90" t="s">
        <v>165</v>
      </c>
      <c r="C223" s="82" t="str">
        <f>IF($B223&lt;&gt;"",_xlfn.IFNA(VLOOKUP($B223,'Node Details'!$B:$U,C$1,0),"Check"),"")</f>
        <v>00001GF14-1GF140107</v>
      </c>
      <c r="D223" s="82" t="str">
        <f>IF($B223&lt;&gt;"",_xlfn.IFNA(VLOOKUP($B223,'Node Details'!$B:$U,D$1,0),"Check"),"")</f>
        <v>1GF</v>
      </c>
      <c r="E223" s="82" t="str">
        <f>IF($B223&lt;&gt;"",_xlfn.IFNA(VLOOKUP($B223,'Node Details'!$B:$U,E$1,0),"Check"),"")</f>
        <v>Airtel</v>
      </c>
      <c r="F223" s="97">
        <v>45379</v>
      </c>
      <c r="G223" s="77"/>
      <c r="H223" s="92" t="s">
        <v>225</v>
      </c>
      <c r="I223" s="93">
        <v>2</v>
      </c>
      <c r="J223" s="93">
        <v>70</v>
      </c>
      <c r="K223" s="82">
        <f t="shared" si="21"/>
        <v>140</v>
      </c>
      <c r="L223" s="81"/>
      <c r="M223" s="77"/>
      <c r="N223" s="83"/>
      <c r="O223" s="79"/>
      <c r="P223" s="85">
        <f t="shared" si="22"/>
        <v>70</v>
      </c>
      <c r="Q223" s="86">
        <f t="shared" si="23"/>
        <v>140</v>
      </c>
      <c r="R223" s="76"/>
      <c r="S223" s="87" t="s">
        <v>88</v>
      </c>
      <c r="T223" s="80"/>
      <c r="U223" s="85">
        <f t="shared" si="24"/>
        <v>70</v>
      </c>
      <c r="V223" s="85">
        <f t="shared" si="25"/>
        <v>2</v>
      </c>
      <c r="W223" s="88">
        <f t="shared" si="26"/>
        <v>140</v>
      </c>
      <c r="X223" s="98" t="s">
        <v>86</v>
      </c>
      <c r="Y223" s="78" t="s">
        <v>81</v>
      </c>
    </row>
    <row r="224" spans="1:25" s="78" customFormat="1" ht="11.1" customHeight="1" x14ac:dyDescent="0.2">
      <c r="A224" s="71">
        <f t="shared" si="27"/>
        <v>222</v>
      </c>
      <c r="B224" s="90" t="s">
        <v>105</v>
      </c>
      <c r="C224" s="82" t="str">
        <f>IF($B224&lt;&gt;"",_xlfn.IFNA(VLOOKUP($B224,'Node Details'!$B:$U,C$1,0),"Check"),"")</f>
        <v>00001GF14-1GF140107</v>
      </c>
      <c r="D224" s="82" t="str">
        <f>IF($B224&lt;&gt;"",_xlfn.IFNA(VLOOKUP($B224,'Node Details'!$B:$U,D$1,0),"Check"),"")</f>
        <v>1GF</v>
      </c>
      <c r="E224" s="82" t="str">
        <f>IF($B224&lt;&gt;"",_xlfn.IFNA(VLOOKUP($B224,'Node Details'!$B:$U,E$1,0),"Check"),"")</f>
        <v>Airtel</v>
      </c>
      <c r="F224" s="97">
        <v>45379</v>
      </c>
      <c r="G224" s="77"/>
      <c r="H224" s="92" t="s">
        <v>225</v>
      </c>
      <c r="I224" s="93">
        <v>1</v>
      </c>
      <c r="J224" s="93">
        <v>70</v>
      </c>
      <c r="K224" s="82">
        <f t="shared" si="21"/>
        <v>70</v>
      </c>
      <c r="L224" s="81"/>
      <c r="M224" s="77"/>
      <c r="N224" s="83"/>
      <c r="O224" s="79"/>
      <c r="P224" s="85">
        <f t="shared" si="22"/>
        <v>70</v>
      </c>
      <c r="Q224" s="86">
        <f t="shared" si="23"/>
        <v>70</v>
      </c>
      <c r="R224" s="76"/>
      <c r="S224" s="87" t="s">
        <v>88</v>
      </c>
      <c r="T224" s="80"/>
      <c r="U224" s="85">
        <f t="shared" si="24"/>
        <v>70</v>
      </c>
      <c r="V224" s="85">
        <f t="shared" si="25"/>
        <v>1</v>
      </c>
      <c r="W224" s="88">
        <f t="shared" si="26"/>
        <v>70</v>
      </c>
      <c r="X224" s="98" t="s">
        <v>86</v>
      </c>
      <c r="Y224" s="78" t="s">
        <v>81</v>
      </c>
    </row>
    <row r="225" spans="1:25" s="78" customFormat="1" ht="11.1" customHeight="1" x14ac:dyDescent="0.2">
      <c r="A225" s="71">
        <f t="shared" si="27"/>
        <v>223</v>
      </c>
      <c r="B225" s="90" t="s">
        <v>107</v>
      </c>
      <c r="C225" s="82" t="str">
        <f>IF($B225&lt;&gt;"",_xlfn.IFNA(VLOOKUP($B225,'Node Details'!$B:$U,C$1,0),"Check"),"")</f>
        <v>00001GF12-00001GF22</v>
      </c>
      <c r="D225" s="82" t="str">
        <f>IF($B225&lt;&gt;"",_xlfn.IFNA(VLOOKUP($B225,'Node Details'!$B:$U,D$1,0),"Check"),"")</f>
        <v>1GF</v>
      </c>
      <c r="E225" s="82" t="str">
        <f>IF($B225&lt;&gt;"",_xlfn.IFNA(VLOOKUP($B225,'Node Details'!$B:$U,E$1,0),"Check"),"")</f>
        <v>Airtel</v>
      </c>
      <c r="F225" s="97">
        <v>45379</v>
      </c>
      <c r="G225" s="77"/>
      <c r="H225" s="92" t="s">
        <v>225</v>
      </c>
      <c r="I225" s="93">
        <v>1</v>
      </c>
      <c r="J225" s="93">
        <v>70</v>
      </c>
      <c r="K225" s="82">
        <f t="shared" si="21"/>
        <v>70</v>
      </c>
      <c r="L225" s="81"/>
      <c r="M225" s="77"/>
      <c r="N225" s="83"/>
      <c r="O225" s="79"/>
      <c r="P225" s="85">
        <f t="shared" si="22"/>
        <v>70</v>
      </c>
      <c r="Q225" s="86">
        <f t="shared" si="23"/>
        <v>70</v>
      </c>
      <c r="R225" s="76"/>
      <c r="S225" s="87" t="s">
        <v>88</v>
      </c>
      <c r="T225" s="80"/>
      <c r="U225" s="85">
        <f t="shared" si="24"/>
        <v>70</v>
      </c>
      <c r="V225" s="85">
        <f t="shared" si="25"/>
        <v>1</v>
      </c>
      <c r="W225" s="88">
        <f t="shared" si="26"/>
        <v>70</v>
      </c>
      <c r="X225" s="98" t="s">
        <v>86</v>
      </c>
      <c r="Y225" s="78" t="s">
        <v>81</v>
      </c>
    </row>
    <row r="226" spans="1:25" s="78" customFormat="1" ht="11.1" customHeight="1" x14ac:dyDescent="0.2">
      <c r="A226" s="71">
        <f t="shared" si="27"/>
        <v>224</v>
      </c>
      <c r="B226" s="90" t="s">
        <v>166</v>
      </c>
      <c r="C226" s="82" t="str">
        <f>IF($B226&lt;&gt;"",_xlfn.IFNA(VLOOKUP($B226,'Node Details'!$B:$U,C$1,0),"Check"),"")</f>
        <v>00001GF15-1GF150107</v>
      </c>
      <c r="D226" s="82" t="str">
        <f>IF($B226&lt;&gt;"",_xlfn.IFNA(VLOOKUP($B226,'Node Details'!$B:$U,D$1,0),"Check"),"")</f>
        <v>1GF</v>
      </c>
      <c r="E226" s="82" t="str">
        <f>IF($B226&lt;&gt;"",_xlfn.IFNA(VLOOKUP($B226,'Node Details'!$B:$U,E$1,0),"Check"),"")</f>
        <v>Airtel</v>
      </c>
      <c r="F226" s="97">
        <v>45379</v>
      </c>
      <c r="G226" s="77"/>
      <c r="H226" s="92" t="s">
        <v>225</v>
      </c>
      <c r="I226" s="93">
        <v>2</v>
      </c>
      <c r="J226" s="93">
        <v>70</v>
      </c>
      <c r="K226" s="82">
        <f t="shared" si="21"/>
        <v>140</v>
      </c>
      <c r="L226" s="81"/>
      <c r="M226" s="77"/>
      <c r="N226" s="83"/>
      <c r="O226" s="79"/>
      <c r="P226" s="85">
        <f t="shared" si="22"/>
        <v>70</v>
      </c>
      <c r="Q226" s="86">
        <f t="shared" si="23"/>
        <v>140</v>
      </c>
      <c r="R226" s="76"/>
      <c r="S226" s="87" t="s">
        <v>88</v>
      </c>
      <c r="T226" s="80"/>
      <c r="U226" s="85">
        <f t="shared" si="24"/>
        <v>70</v>
      </c>
      <c r="V226" s="85">
        <f t="shared" si="25"/>
        <v>2</v>
      </c>
      <c r="W226" s="88">
        <f t="shared" si="26"/>
        <v>140</v>
      </c>
      <c r="X226" s="98" t="s">
        <v>86</v>
      </c>
      <c r="Y226" s="78" t="s">
        <v>81</v>
      </c>
    </row>
    <row r="227" spans="1:25" s="78" customFormat="1" ht="11.1" customHeight="1" x14ac:dyDescent="0.2">
      <c r="A227" s="71">
        <f t="shared" si="27"/>
        <v>225</v>
      </c>
      <c r="B227" s="90" t="s">
        <v>167</v>
      </c>
      <c r="C227" s="82" t="str">
        <f>IF($B227&lt;&gt;"",_xlfn.IFNA(VLOOKUP($B227,'Node Details'!$B:$U,C$1,0),"Check"),"")</f>
        <v>00001GF15-1GF150107</v>
      </c>
      <c r="D227" s="82" t="str">
        <f>IF($B227&lt;&gt;"",_xlfn.IFNA(VLOOKUP($B227,'Node Details'!$B:$U,D$1,0),"Check"),"")</f>
        <v>1GF</v>
      </c>
      <c r="E227" s="82" t="str">
        <f>IF($B227&lt;&gt;"",_xlfn.IFNA(VLOOKUP($B227,'Node Details'!$B:$U,E$1,0),"Check"),"")</f>
        <v>Airtel</v>
      </c>
      <c r="F227" s="97">
        <v>45379</v>
      </c>
      <c r="G227" s="77"/>
      <c r="H227" s="92" t="s">
        <v>225</v>
      </c>
      <c r="I227" s="93">
        <v>1</v>
      </c>
      <c r="J227" s="93">
        <v>70</v>
      </c>
      <c r="K227" s="82">
        <f t="shared" si="21"/>
        <v>70</v>
      </c>
      <c r="L227" s="81"/>
      <c r="M227" s="77"/>
      <c r="N227" s="83"/>
      <c r="O227" s="79"/>
      <c r="P227" s="85">
        <f t="shared" si="22"/>
        <v>70</v>
      </c>
      <c r="Q227" s="86">
        <f t="shared" si="23"/>
        <v>70</v>
      </c>
      <c r="R227" s="76"/>
      <c r="S227" s="87" t="s">
        <v>88</v>
      </c>
      <c r="T227" s="80"/>
      <c r="U227" s="85">
        <f t="shared" si="24"/>
        <v>70</v>
      </c>
      <c r="V227" s="85">
        <f t="shared" si="25"/>
        <v>1</v>
      </c>
      <c r="W227" s="88">
        <f t="shared" si="26"/>
        <v>70</v>
      </c>
      <c r="X227" s="98" t="s">
        <v>86</v>
      </c>
      <c r="Y227" s="78" t="s">
        <v>81</v>
      </c>
    </row>
    <row r="228" spans="1:25" s="78" customFormat="1" ht="11.1" customHeight="1" x14ac:dyDescent="0.2">
      <c r="A228" s="71">
        <f t="shared" si="27"/>
        <v>226</v>
      </c>
      <c r="B228" s="90" t="s">
        <v>168</v>
      </c>
      <c r="C228" s="82" t="str">
        <f>IF($B228&lt;&gt;"",_xlfn.IFNA(VLOOKUP($B228,'Node Details'!$B:$U,C$1,0),"Check"),"")</f>
        <v>00001GF15-1GF150107</v>
      </c>
      <c r="D228" s="82" t="str">
        <f>IF($B228&lt;&gt;"",_xlfn.IFNA(VLOOKUP($B228,'Node Details'!$B:$U,D$1,0),"Check"),"")</f>
        <v>1GF</v>
      </c>
      <c r="E228" s="82" t="str">
        <f>IF($B228&lt;&gt;"",_xlfn.IFNA(VLOOKUP($B228,'Node Details'!$B:$U,E$1,0),"Check"),"")</f>
        <v>Airtel</v>
      </c>
      <c r="F228" s="97">
        <v>45379</v>
      </c>
      <c r="G228" s="77"/>
      <c r="H228" s="92" t="s">
        <v>225</v>
      </c>
      <c r="I228" s="93">
        <v>1</v>
      </c>
      <c r="J228" s="93">
        <v>70</v>
      </c>
      <c r="K228" s="82">
        <f t="shared" si="21"/>
        <v>70</v>
      </c>
      <c r="L228" s="81"/>
      <c r="M228" s="77"/>
      <c r="N228" s="83"/>
      <c r="O228" s="79"/>
      <c r="P228" s="85">
        <f t="shared" si="22"/>
        <v>70</v>
      </c>
      <c r="Q228" s="86">
        <f t="shared" si="23"/>
        <v>70</v>
      </c>
      <c r="R228" s="76"/>
      <c r="S228" s="87" t="s">
        <v>88</v>
      </c>
      <c r="T228" s="80"/>
      <c r="U228" s="85">
        <f t="shared" si="24"/>
        <v>70</v>
      </c>
      <c r="V228" s="85">
        <f t="shared" si="25"/>
        <v>1</v>
      </c>
      <c r="W228" s="88">
        <f t="shared" si="26"/>
        <v>70</v>
      </c>
      <c r="X228" s="98" t="s">
        <v>86</v>
      </c>
      <c r="Y228" s="78" t="s">
        <v>81</v>
      </c>
    </row>
    <row r="229" spans="1:25" s="78" customFormat="1" ht="11.1" customHeight="1" x14ac:dyDescent="0.2">
      <c r="A229" s="71">
        <f t="shared" si="27"/>
        <v>227</v>
      </c>
      <c r="B229" s="90" t="s">
        <v>169</v>
      </c>
      <c r="C229" s="82" t="str">
        <f>IF($B229&lt;&gt;"",_xlfn.IFNA(VLOOKUP($B229,'Node Details'!$B:$U,C$1,0),"Check"),"")</f>
        <v>00001GF15-1GF150107</v>
      </c>
      <c r="D229" s="82" t="str">
        <f>IF($B229&lt;&gt;"",_xlfn.IFNA(VLOOKUP($B229,'Node Details'!$B:$U,D$1,0),"Check"),"")</f>
        <v>1GF</v>
      </c>
      <c r="E229" s="82" t="str">
        <f>IF($B229&lt;&gt;"",_xlfn.IFNA(VLOOKUP($B229,'Node Details'!$B:$U,E$1,0),"Check"),"")</f>
        <v>Airtel</v>
      </c>
      <c r="F229" s="97">
        <v>45379</v>
      </c>
      <c r="G229" s="77"/>
      <c r="H229" s="92" t="s">
        <v>225</v>
      </c>
      <c r="I229" s="93">
        <v>1</v>
      </c>
      <c r="J229" s="93">
        <v>70</v>
      </c>
      <c r="K229" s="82">
        <f t="shared" si="21"/>
        <v>70</v>
      </c>
      <c r="L229" s="81"/>
      <c r="M229" s="77"/>
      <c r="N229" s="83"/>
      <c r="O229" s="79"/>
      <c r="P229" s="85">
        <f t="shared" si="22"/>
        <v>70</v>
      </c>
      <c r="Q229" s="86">
        <f t="shared" si="23"/>
        <v>70</v>
      </c>
      <c r="R229" s="76"/>
      <c r="S229" s="87" t="s">
        <v>88</v>
      </c>
      <c r="T229" s="80"/>
      <c r="U229" s="85">
        <f t="shared" si="24"/>
        <v>70</v>
      </c>
      <c r="V229" s="85">
        <f t="shared" si="25"/>
        <v>1</v>
      </c>
      <c r="W229" s="88">
        <f t="shared" si="26"/>
        <v>70</v>
      </c>
      <c r="X229" s="98" t="s">
        <v>86</v>
      </c>
      <c r="Y229" s="78" t="s">
        <v>81</v>
      </c>
    </row>
    <row r="230" spans="1:25" s="78" customFormat="1" ht="11.1" customHeight="1" x14ac:dyDescent="0.2">
      <c r="A230" s="71">
        <f t="shared" si="27"/>
        <v>228</v>
      </c>
      <c r="B230" s="90" t="s">
        <v>170</v>
      </c>
      <c r="C230" s="82" t="str">
        <f>IF($B230&lt;&gt;"",_xlfn.IFNA(VLOOKUP($B230,'Node Details'!$B:$U,C$1,0),"Check"),"")</f>
        <v>00001GF15-1GF150107</v>
      </c>
      <c r="D230" s="82" t="str">
        <f>IF($B230&lt;&gt;"",_xlfn.IFNA(VLOOKUP($B230,'Node Details'!$B:$U,D$1,0),"Check"),"")</f>
        <v>1GF</v>
      </c>
      <c r="E230" s="82" t="str">
        <f>IF($B230&lt;&gt;"",_xlfn.IFNA(VLOOKUP($B230,'Node Details'!$B:$U,E$1,0),"Check"),"")</f>
        <v>Airtel</v>
      </c>
      <c r="F230" s="97">
        <v>45379</v>
      </c>
      <c r="G230" s="77"/>
      <c r="H230" s="92" t="s">
        <v>225</v>
      </c>
      <c r="I230" s="93">
        <v>2</v>
      </c>
      <c r="J230" s="93">
        <v>70</v>
      </c>
      <c r="K230" s="82">
        <f t="shared" si="21"/>
        <v>140</v>
      </c>
      <c r="L230" s="81"/>
      <c r="M230" s="77"/>
      <c r="N230" s="83"/>
      <c r="O230" s="79"/>
      <c r="P230" s="85">
        <f t="shared" si="22"/>
        <v>70</v>
      </c>
      <c r="Q230" s="86">
        <f t="shared" si="23"/>
        <v>140</v>
      </c>
      <c r="R230" s="76"/>
      <c r="S230" s="87" t="s">
        <v>88</v>
      </c>
      <c r="T230" s="80"/>
      <c r="U230" s="85">
        <f t="shared" si="24"/>
        <v>70</v>
      </c>
      <c r="V230" s="85">
        <f t="shared" si="25"/>
        <v>2</v>
      </c>
      <c r="W230" s="88">
        <f t="shared" si="26"/>
        <v>140</v>
      </c>
      <c r="X230" s="98" t="s">
        <v>86</v>
      </c>
      <c r="Y230" s="78" t="s">
        <v>81</v>
      </c>
    </row>
    <row r="231" spans="1:25" s="78" customFormat="1" ht="11.1" customHeight="1" x14ac:dyDescent="0.2">
      <c r="A231" s="71">
        <f t="shared" si="27"/>
        <v>229</v>
      </c>
      <c r="B231" s="90" t="s">
        <v>171</v>
      </c>
      <c r="C231" s="82" t="str">
        <f>IF($B231&lt;&gt;"",_xlfn.IFNA(VLOOKUP($B231,'Node Details'!$B:$U,C$1,0),"Check"),"")</f>
        <v>00001GF15-1GF150107</v>
      </c>
      <c r="D231" s="82" t="str">
        <f>IF($B231&lt;&gt;"",_xlfn.IFNA(VLOOKUP($B231,'Node Details'!$B:$U,D$1,0),"Check"),"")</f>
        <v>1GF</v>
      </c>
      <c r="E231" s="82" t="str">
        <f>IF($B231&lt;&gt;"",_xlfn.IFNA(VLOOKUP($B231,'Node Details'!$B:$U,E$1,0),"Check"),"")</f>
        <v>Airtel</v>
      </c>
      <c r="F231" s="97">
        <v>45379</v>
      </c>
      <c r="G231" s="77"/>
      <c r="H231" s="92" t="s">
        <v>225</v>
      </c>
      <c r="I231" s="93">
        <v>1</v>
      </c>
      <c r="J231" s="93">
        <v>70</v>
      </c>
      <c r="K231" s="82">
        <f t="shared" si="21"/>
        <v>70</v>
      </c>
      <c r="L231" s="81"/>
      <c r="M231" s="77"/>
      <c r="N231" s="83"/>
      <c r="O231" s="79"/>
      <c r="P231" s="85">
        <f t="shared" si="22"/>
        <v>70</v>
      </c>
      <c r="Q231" s="86">
        <f t="shared" si="23"/>
        <v>70</v>
      </c>
      <c r="R231" s="76"/>
      <c r="S231" s="87" t="s">
        <v>88</v>
      </c>
      <c r="T231" s="80"/>
      <c r="U231" s="85">
        <f t="shared" si="24"/>
        <v>70</v>
      </c>
      <c r="V231" s="85">
        <f t="shared" si="25"/>
        <v>1</v>
      </c>
      <c r="W231" s="88">
        <f t="shared" si="26"/>
        <v>70</v>
      </c>
      <c r="X231" s="98" t="s">
        <v>86</v>
      </c>
      <c r="Y231" s="78" t="s">
        <v>81</v>
      </c>
    </row>
    <row r="232" spans="1:25" s="78" customFormat="1" ht="11.1" customHeight="1" x14ac:dyDescent="0.2">
      <c r="A232" s="71">
        <f t="shared" si="27"/>
        <v>230</v>
      </c>
      <c r="B232" s="90" t="s">
        <v>109</v>
      </c>
      <c r="C232" s="82" t="str">
        <f>IF($B232&lt;&gt;"",_xlfn.IFNA(VLOOKUP($B232,'Node Details'!$B:$U,C$1,0),"Check"),"")</f>
        <v>00001GF15-1GF150107</v>
      </c>
      <c r="D232" s="82" t="str">
        <f>IF($B232&lt;&gt;"",_xlfn.IFNA(VLOOKUP($B232,'Node Details'!$B:$U,D$1,0),"Check"),"")</f>
        <v>1GF</v>
      </c>
      <c r="E232" s="82" t="str">
        <f>IF($B232&lt;&gt;"",_xlfn.IFNA(VLOOKUP($B232,'Node Details'!$B:$U,E$1,0),"Check"),"")</f>
        <v>Airtel</v>
      </c>
      <c r="F232" s="97">
        <v>45379</v>
      </c>
      <c r="G232" s="77"/>
      <c r="H232" s="92" t="s">
        <v>225</v>
      </c>
      <c r="I232" s="93">
        <v>2</v>
      </c>
      <c r="J232" s="93">
        <v>70</v>
      </c>
      <c r="K232" s="82">
        <f t="shared" si="21"/>
        <v>140</v>
      </c>
      <c r="L232" s="81"/>
      <c r="M232" s="77"/>
      <c r="N232" s="83"/>
      <c r="O232" s="79"/>
      <c r="P232" s="85">
        <f t="shared" si="22"/>
        <v>70</v>
      </c>
      <c r="Q232" s="86">
        <f t="shared" si="23"/>
        <v>140</v>
      </c>
      <c r="R232" s="76"/>
      <c r="S232" s="87" t="s">
        <v>88</v>
      </c>
      <c r="T232" s="80"/>
      <c r="U232" s="85">
        <f t="shared" si="24"/>
        <v>70</v>
      </c>
      <c r="V232" s="85">
        <f t="shared" si="25"/>
        <v>2</v>
      </c>
      <c r="W232" s="88">
        <f t="shared" si="26"/>
        <v>140</v>
      </c>
      <c r="X232" s="98" t="s">
        <v>86</v>
      </c>
      <c r="Y232" s="78" t="s">
        <v>81</v>
      </c>
    </row>
    <row r="233" spans="1:25" s="78" customFormat="1" ht="11.1" customHeight="1" x14ac:dyDescent="0.2">
      <c r="A233" s="71">
        <f t="shared" si="27"/>
        <v>231</v>
      </c>
      <c r="B233" s="90" t="s">
        <v>111</v>
      </c>
      <c r="C233" s="82" t="str">
        <f>IF($B233&lt;&gt;"",_xlfn.IFNA(VLOOKUP($B233,'Node Details'!$B:$U,C$1,0),"Check"),"")</f>
        <v>00001GF12-00001GF22</v>
      </c>
      <c r="D233" s="82" t="str">
        <f>IF($B233&lt;&gt;"",_xlfn.IFNA(VLOOKUP($B233,'Node Details'!$B:$U,D$1,0),"Check"),"")</f>
        <v>1GF</v>
      </c>
      <c r="E233" s="82" t="str">
        <f>IF($B233&lt;&gt;"",_xlfn.IFNA(VLOOKUP($B233,'Node Details'!$B:$U,E$1,0),"Check"),"")</f>
        <v>Airtel</v>
      </c>
      <c r="F233" s="97">
        <v>45379</v>
      </c>
      <c r="G233" s="77"/>
      <c r="H233" s="92" t="s">
        <v>225</v>
      </c>
      <c r="I233" s="93">
        <v>1</v>
      </c>
      <c r="J233" s="93">
        <v>70</v>
      </c>
      <c r="K233" s="82">
        <f t="shared" si="21"/>
        <v>70</v>
      </c>
      <c r="L233" s="81"/>
      <c r="M233" s="77"/>
      <c r="N233" s="83"/>
      <c r="O233" s="79"/>
      <c r="P233" s="85">
        <f t="shared" si="22"/>
        <v>70</v>
      </c>
      <c r="Q233" s="86">
        <f t="shared" si="23"/>
        <v>70</v>
      </c>
      <c r="R233" s="76"/>
      <c r="S233" s="87" t="s">
        <v>88</v>
      </c>
      <c r="T233" s="80"/>
      <c r="U233" s="85">
        <f t="shared" si="24"/>
        <v>70</v>
      </c>
      <c r="V233" s="85">
        <f t="shared" si="25"/>
        <v>1</v>
      </c>
      <c r="W233" s="88">
        <f t="shared" si="26"/>
        <v>70</v>
      </c>
      <c r="X233" s="98" t="s">
        <v>86</v>
      </c>
      <c r="Y233" s="78" t="s">
        <v>81</v>
      </c>
    </row>
    <row r="234" spans="1:25" s="78" customFormat="1" ht="11.1" customHeight="1" x14ac:dyDescent="0.2">
      <c r="A234" s="71">
        <f t="shared" si="27"/>
        <v>232</v>
      </c>
      <c r="B234" s="90" t="s">
        <v>172</v>
      </c>
      <c r="C234" s="82" t="str">
        <f>IF($B234&lt;&gt;"",_xlfn.IFNA(VLOOKUP($B234,'Node Details'!$B:$U,C$1,0),"Check"),"")</f>
        <v>00001GF16-1GF160107</v>
      </c>
      <c r="D234" s="82" t="str">
        <f>IF($B234&lt;&gt;"",_xlfn.IFNA(VLOOKUP($B234,'Node Details'!$B:$U,D$1,0),"Check"),"")</f>
        <v>1GF</v>
      </c>
      <c r="E234" s="82" t="str">
        <f>IF($B234&lt;&gt;"",_xlfn.IFNA(VLOOKUP($B234,'Node Details'!$B:$U,E$1,0),"Check"),"")</f>
        <v>Airtel</v>
      </c>
      <c r="F234" s="97">
        <v>45379</v>
      </c>
      <c r="G234" s="77"/>
      <c r="H234" s="92" t="s">
        <v>225</v>
      </c>
      <c r="I234" s="93">
        <v>1</v>
      </c>
      <c r="J234" s="93">
        <v>70</v>
      </c>
      <c r="K234" s="82">
        <f t="shared" si="21"/>
        <v>70</v>
      </c>
      <c r="L234" s="81"/>
      <c r="M234" s="77"/>
      <c r="N234" s="83"/>
      <c r="O234" s="79"/>
      <c r="P234" s="85">
        <f t="shared" si="22"/>
        <v>70</v>
      </c>
      <c r="Q234" s="86">
        <f t="shared" si="23"/>
        <v>70</v>
      </c>
      <c r="R234" s="76"/>
      <c r="S234" s="87" t="s">
        <v>88</v>
      </c>
      <c r="T234" s="80"/>
      <c r="U234" s="85">
        <f t="shared" si="24"/>
        <v>70</v>
      </c>
      <c r="V234" s="85">
        <f t="shared" si="25"/>
        <v>1</v>
      </c>
      <c r="W234" s="88">
        <f t="shared" si="26"/>
        <v>70</v>
      </c>
      <c r="X234" s="98" t="s">
        <v>86</v>
      </c>
      <c r="Y234" s="78" t="s">
        <v>81</v>
      </c>
    </row>
    <row r="235" spans="1:25" s="78" customFormat="1" ht="11.1" customHeight="1" x14ac:dyDescent="0.2">
      <c r="A235" s="71">
        <f t="shared" si="27"/>
        <v>233</v>
      </c>
      <c r="B235" s="90" t="s">
        <v>173</v>
      </c>
      <c r="C235" s="82" t="str">
        <f>IF($B235&lt;&gt;"",_xlfn.IFNA(VLOOKUP($B235,'Node Details'!$B:$U,C$1,0),"Check"),"")</f>
        <v>00001GF16-1GF160107</v>
      </c>
      <c r="D235" s="82" t="str">
        <f>IF($B235&lt;&gt;"",_xlfn.IFNA(VLOOKUP($B235,'Node Details'!$B:$U,D$1,0),"Check"),"")</f>
        <v>1GF</v>
      </c>
      <c r="E235" s="82" t="str">
        <f>IF($B235&lt;&gt;"",_xlfn.IFNA(VLOOKUP($B235,'Node Details'!$B:$U,E$1,0),"Check"),"")</f>
        <v>Airtel</v>
      </c>
      <c r="F235" s="97">
        <v>45379</v>
      </c>
      <c r="G235" s="77"/>
      <c r="H235" s="92" t="s">
        <v>225</v>
      </c>
      <c r="I235" s="93">
        <v>2</v>
      </c>
      <c r="J235" s="93">
        <v>70</v>
      </c>
      <c r="K235" s="82">
        <f t="shared" si="21"/>
        <v>140</v>
      </c>
      <c r="L235" s="81"/>
      <c r="M235" s="77"/>
      <c r="N235" s="83"/>
      <c r="O235" s="79"/>
      <c r="P235" s="85">
        <f t="shared" si="22"/>
        <v>70</v>
      </c>
      <c r="Q235" s="86">
        <f t="shared" si="23"/>
        <v>140</v>
      </c>
      <c r="R235" s="76"/>
      <c r="S235" s="87" t="s">
        <v>88</v>
      </c>
      <c r="T235" s="80"/>
      <c r="U235" s="85">
        <f t="shared" si="24"/>
        <v>70</v>
      </c>
      <c r="V235" s="85">
        <f t="shared" si="25"/>
        <v>2</v>
      </c>
      <c r="W235" s="88">
        <f t="shared" si="26"/>
        <v>140</v>
      </c>
      <c r="X235" s="98" t="s">
        <v>86</v>
      </c>
      <c r="Y235" s="78" t="s">
        <v>81</v>
      </c>
    </row>
    <row r="236" spans="1:25" s="78" customFormat="1" ht="11.1" customHeight="1" x14ac:dyDescent="0.2">
      <c r="A236" s="71">
        <f t="shared" si="27"/>
        <v>234</v>
      </c>
      <c r="B236" s="90" t="s">
        <v>174</v>
      </c>
      <c r="C236" s="82" t="str">
        <f>IF($B236&lt;&gt;"",_xlfn.IFNA(VLOOKUP($B236,'Node Details'!$B:$U,C$1,0),"Check"),"")</f>
        <v>00001GF16-1GF160107</v>
      </c>
      <c r="D236" s="82" t="str">
        <f>IF($B236&lt;&gt;"",_xlfn.IFNA(VLOOKUP($B236,'Node Details'!$B:$U,D$1,0),"Check"),"")</f>
        <v>1GF</v>
      </c>
      <c r="E236" s="82" t="str">
        <f>IF($B236&lt;&gt;"",_xlfn.IFNA(VLOOKUP($B236,'Node Details'!$B:$U,E$1,0),"Check"),"")</f>
        <v>Airtel</v>
      </c>
      <c r="F236" s="97">
        <v>45379</v>
      </c>
      <c r="G236" s="77"/>
      <c r="H236" s="92" t="s">
        <v>225</v>
      </c>
      <c r="I236" s="93">
        <v>1</v>
      </c>
      <c r="J236" s="93">
        <v>70</v>
      </c>
      <c r="K236" s="82">
        <f t="shared" si="21"/>
        <v>70</v>
      </c>
      <c r="L236" s="81"/>
      <c r="M236" s="77"/>
      <c r="N236" s="83"/>
      <c r="O236" s="79"/>
      <c r="P236" s="85">
        <f t="shared" si="22"/>
        <v>70</v>
      </c>
      <c r="Q236" s="86">
        <f t="shared" si="23"/>
        <v>70</v>
      </c>
      <c r="R236" s="76"/>
      <c r="S236" s="87" t="s">
        <v>88</v>
      </c>
      <c r="T236" s="80"/>
      <c r="U236" s="85">
        <f t="shared" si="24"/>
        <v>70</v>
      </c>
      <c r="V236" s="85">
        <f t="shared" si="25"/>
        <v>1</v>
      </c>
      <c r="W236" s="88">
        <f t="shared" si="26"/>
        <v>70</v>
      </c>
      <c r="X236" s="98" t="s">
        <v>86</v>
      </c>
      <c r="Y236" s="78" t="s">
        <v>81</v>
      </c>
    </row>
    <row r="237" spans="1:25" s="78" customFormat="1" ht="11.1" customHeight="1" x14ac:dyDescent="0.2">
      <c r="A237" s="71">
        <f t="shared" si="27"/>
        <v>235</v>
      </c>
      <c r="B237" s="90" t="s">
        <v>175</v>
      </c>
      <c r="C237" s="82" t="str">
        <f>IF($B237&lt;&gt;"",_xlfn.IFNA(VLOOKUP($B237,'Node Details'!$B:$U,C$1,0),"Check"),"")</f>
        <v>00001GF16-1GF160107</v>
      </c>
      <c r="D237" s="82" t="str">
        <f>IF($B237&lt;&gt;"",_xlfn.IFNA(VLOOKUP($B237,'Node Details'!$B:$U,D$1,0),"Check"),"")</f>
        <v>1GF</v>
      </c>
      <c r="E237" s="82" t="str">
        <f>IF($B237&lt;&gt;"",_xlfn.IFNA(VLOOKUP($B237,'Node Details'!$B:$U,E$1,0),"Check"),"")</f>
        <v>Airtel</v>
      </c>
      <c r="F237" s="97">
        <v>45379</v>
      </c>
      <c r="G237" s="77"/>
      <c r="H237" s="92" t="s">
        <v>225</v>
      </c>
      <c r="I237" s="93">
        <v>1</v>
      </c>
      <c r="J237" s="93">
        <v>70</v>
      </c>
      <c r="K237" s="82">
        <f t="shared" si="21"/>
        <v>70</v>
      </c>
      <c r="L237" s="81"/>
      <c r="M237" s="77"/>
      <c r="N237" s="83"/>
      <c r="O237" s="79"/>
      <c r="P237" s="85">
        <f t="shared" si="22"/>
        <v>70</v>
      </c>
      <c r="Q237" s="86">
        <f t="shared" si="23"/>
        <v>70</v>
      </c>
      <c r="R237" s="76"/>
      <c r="S237" s="87" t="s">
        <v>88</v>
      </c>
      <c r="T237" s="80"/>
      <c r="U237" s="85">
        <f t="shared" si="24"/>
        <v>70</v>
      </c>
      <c r="V237" s="85">
        <f t="shared" si="25"/>
        <v>1</v>
      </c>
      <c r="W237" s="88">
        <f t="shared" si="26"/>
        <v>70</v>
      </c>
      <c r="X237" s="98" t="s">
        <v>86</v>
      </c>
      <c r="Y237" s="78" t="s">
        <v>81</v>
      </c>
    </row>
    <row r="238" spans="1:25" s="78" customFormat="1" ht="11.1" customHeight="1" x14ac:dyDescent="0.2">
      <c r="A238" s="71">
        <f t="shared" si="27"/>
        <v>236</v>
      </c>
      <c r="B238" s="90" t="s">
        <v>176</v>
      </c>
      <c r="C238" s="82" t="str">
        <f>IF($B238&lt;&gt;"",_xlfn.IFNA(VLOOKUP($B238,'Node Details'!$B:$U,C$1,0),"Check"),"")</f>
        <v>00001GF16-1GF160107</v>
      </c>
      <c r="D238" s="82" t="str">
        <f>IF($B238&lt;&gt;"",_xlfn.IFNA(VLOOKUP($B238,'Node Details'!$B:$U,D$1,0),"Check"),"")</f>
        <v>1GF</v>
      </c>
      <c r="E238" s="82" t="str">
        <f>IF($B238&lt;&gt;"",_xlfn.IFNA(VLOOKUP($B238,'Node Details'!$B:$U,E$1,0),"Check"),"")</f>
        <v>Airtel</v>
      </c>
      <c r="F238" s="97">
        <v>45379</v>
      </c>
      <c r="G238" s="77"/>
      <c r="H238" s="92" t="s">
        <v>225</v>
      </c>
      <c r="I238" s="93">
        <v>2</v>
      </c>
      <c r="J238" s="93">
        <v>70</v>
      </c>
      <c r="K238" s="82">
        <f t="shared" si="21"/>
        <v>140</v>
      </c>
      <c r="L238" s="81"/>
      <c r="M238" s="77"/>
      <c r="N238" s="83"/>
      <c r="O238" s="79"/>
      <c r="P238" s="85">
        <f t="shared" si="22"/>
        <v>70</v>
      </c>
      <c r="Q238" s="86">
        <f t="shared" si="23"/>
        <v>140</v>
      </c>
      <c r="R238" s="76"/>
      <c r="S238" s="87" t="s">
        <v>88</v>
      </c>
      <c r="T238" s="80"/>
      <c r="U238" s="85">
        <f t="shared" si="24"/>
        <v>70</v>
      </c>
      <c r="V238" s="85">
        <f t="shared" si="25"/>
        <v>2</v>
      </c>
      <c r="W238" s="88">
        <f t="shared" si="26"/>
        <v>140</v>
      </c>
      <c r="X238" s="98" t="s">
        <v>86</v>
      </c>
      <c r="Y238" s="78" t="s">
        <v>81</v>
      </c>
    </row>
    <row r="239" spans="1:25" s="78" customFormat="1" ht="11.1" customHeight="1" x14ac:dyDescent="0.2">
      <c r="A239" s="71">
        <f t="shared" si="27"/>
        <v>237</v>
      </c>
      <c r="B239" s="90" t="s">
        <v>177</v>
      </c>
      <c r="C239" s="82" t="str">
        <f>IF($B239&lt;&gt;"",_xlfn.IFNA(VLOOKUP($B239,'Node Details'!$B:$U,C$1,0),"Check"),"")</f>
        <v>00001GF16-1GF160107</v>
      </c>
      <c r="D239" s="82" t="str">
        <f>IF($B239&lt;&gt;"",_xlfn.IFNA(VLOOKUP($B239,'Node Details'!$B:$U,D$1,0),"Check"),"")</f>
        <v>1GF</v>
      </c>
      <c r="E239" s="82" t="str">
        <f>IF($B239&lt;&gt;"",_xlfn.IFNA(VLOOKUP($B239,'Node Details'!$B:$U,E$1,0),"Check"),"")</f>
        <v>Airtel</v>
      </c>
      <c r="F239" s="97">
        <v>45379</v>
      </c>
      <c r="G239" s="77"/>
      <c r="H239" s="92" t="s">
        <v>225</v>
      </c>
      <c r="I239" s="93">
        <v>1</v>
      </c>
      <c r="J239" s="93">
        <v>70</v>
      </c>
      <c r="K239" s="82">
        <f t="shared" si="21"/>
        <v>70</v>
      </c>
      <c r="L239" s="81"/>
      <c r="M239" s="77"/>
      <c r="N239" s="83"/>
      <c r="O239" s="79"/>
      <c r="P239" s="85">
        <f t="shared" si="22"/>
        <v>70</v>
      </c>
      <c r="Q239" s="86">
        <f t="shared" si="23"/>
        <v>70</v>
      </c>
      <c r="R239" s="76"/>
      <c r="S239" s="87" t="s">
        <v>88</v>
      </c>
      <c r="T239" s="80"/>
      <c r="U239" s="85">
        <f t="shared" si="24"/>
        <v>70</v>
      </c>
      <c r="V239" s="85">
        <f t="shared" si="25"/>
        <v>1</v>
      </c>
      <c r="W239" s="88">
        <f t="shared" si="26"/>
        <v>70</v>
      </c>
      <c r="X239" s="98" t="s">
        <v>86</v>
      </c>
      <c r="Y239" s="78" t="s">
        <v>81</v>
      </c>
    </row>
    <row r="240" spans="1:25" s="78" customFormat="1" ht="11.1" customHeight="1" x14ac:dyDescent="0.2">
      <c r="A240" s="71">
        <f t="shared" si="27"/>
        <v>238</v>
      </c>
      <c r="B240" s="90" t="s">
        <v>113</v>
      </c>
      <c r="C240" s="82" t="str">
        <f>IF($B240&lt;&gt;"",_xlfn.IFNA(VLOOKUP($B240,'Node Details'!$B:$U,C$1,0),"Check"),"")</f>
        <v>00001GF16-1GF160107</v>
      </c>
      <c r="D240" s="82" t="str">
        <f>IF($B240&lt;&gt;"",_xlfn.IFNA(VLOOKUP($B240,'Node Details'!$B:$U,D$1,0),"Check"),"")</f>
        <v>1GF</v>
      </c>
      <c r="E240" s="82" t="str">
        <f>IF($B240&lt;&gt;"",_xlfn.IFNA(VLOOKUP($B240,'Node Details'!$B:$U,E$1,0),"Check"),"")</f>
        <v>Airtel</v>
      </c>
      <c r="F240" s="97">
        <v>45379</v>
      </c>
      <c r="G240" s="77"/>
      <c r="H240" s="92" t="s">
        <v>225</v>
      </c>
      <c r="I240" s="93">
        <v>1</v>
      </c>
      <c r="J240" s="93">
        <v>70</v>
      </c>
      <c r="K240" s="82">
        <f t="shared" si="21"/>
        <v>70</v>
      </c>
      <c r="L240" s="81"/>
      <c r="M240" s="77"/>
      <c r="N240" s="83"/>
      <c r="O240" s="79"/>
      <c r="P240" s="85">
        <f t="shared" si="22"/>
        <v>70</v>
      </c>
      <c r="Q240" s="86">
        <f t="shared" si="23"/>
        <v>70</v>
      </c>
      <c r="R240" s="76"/>
      <c r="S240" s="87" t="s">
        <v>88</v>
      </c>
      <c r="T240" s="80"/>
      <c r="U240" s="85">
        <f t="shared" si="24"/>
        <v>70</v>
      </c>
      <c r="V240" s="85">
        <f t="shared" si="25"/>
        <v>1</v>
      </c>
      <c r="W240" s="88">
        <f t="shared" si="26"/>
        <v>70</v>
      </c>
      <c r="X240" s="98" t="s">
        <v>86</v>
      </c>
      <c r="Y240" s="78" t="s">
        <v>81</v>
      </c>
    </row>
    <row r="241" spans="1:25" s="78" customFormat="1" ht="11.1" customHeight="1" x14ac:dyDescent="0.2">
      <c r="A241" s="71">
        <f t="shared" si="27"/>
        <v>239</v>
      </c>
      <c r="B241" s="90" t="s">
        <v>115</v>
      </c>
      <c r="C241" s="82" t="str">
        <f>IF($B241&lt;&gt;"",_xlfn.IFNA(VLOOKUP($B241,'Node Details'!$B:$U,C$1,0),"Check"),"")</f>
        <v>00001GF12-00001GF22</v>
      </c>
      <c r="D241" s="82" t="str">
        <f>IF($B241&lt;&gt;"",_xlfn.IFNA(VLOOKUP($B241,'Node Details'!$B:$U,D$1,0),"Check"),"")</f>
        <v>1GF</v>
      </c>
      <c r="E241" s="82" t="str">
        <f>IF($B241&lt;&gt;"",_xlfn.IFNA(VLOOKUP($B241,'Node Details'!$B:$U,E$1,0),"Check"),"")</f>
        <v>Airtel</v>
      </c>
      <c r="F241" s="97">
        <v>45379</v>
      </c>
      <c r="G241" s="77"/>
      <c r="H241" s="92" t="s">
        <v>225</v>
      </c>
      <c r="I241" s="93">
        <v>1</v>
      </c>
      <c r="J241" s="93">
        <v>70</v>
      </c>
      <c r="K241" s="82">
        <f t="shared" si="21"/>
        <v>70</v>
      </c>
      <c r="L241" s="81"/>
      <c r="M241" s="77"/>
      <c r="N241" s="83"/>
      <c r="O241" s="79"/>
      <c r="P241" s="85">
        <f t="shared" si="22"/>
        <v>70</v>
      </c>
      <c r="Q241" s="86">
        <f t="shared" si="23"/>
        <v>70</v>
      </c>
      <c r="R241" s="76"/>
      <c r="S241" s="87" t="s">
        <v>88</v>
      </c>
      <c r="T241" s="80"/>
      <c r="U241" s="85">
        <f t="shared" si="24"/>
        <v>70</v>
      </c>
      <c r="V241" s="85">
        <f t="shared" si="25"/>
        <v>1</v>
      </c>
      <c r="W241" s="88">
        <f t="shared" si="26"/>
        <v>70</v>
      </c>
      <c r="X241" s="98" t="s">
        <v>86</v>
      </c>
      <c r="Y241" s="78" t="s">
        <v>81</v>
      </c>
    </row>
    <row r="242" spans="1:25" s="78" customFormat="1" ht="11.1" customHeight="1" x14ac:dyDescent="0.2">
      <c r="A242" s="71">
        <f t="shared" si="27"/>
        <v>240</v>
      </c>
      <c r="B242" s="90" t="s">
        <v>178</v>
      </c>
      <c r="C242" s="82" t="str">
        <f>IF($B242&lt;&gt;"",_xlfn.IFNA(VLOOKUP($B242,'Node Details'!$B:$U,C$1,0),"Check"),"")</f>
        <v>00001GF17-1GF170104</v>
      </c>
      <c r="D242" s="82" t="str">
        <f>IF($B242&lt;&gt;"",_xlfn.IFNA(VLOOKUP($B242,'Node Details'!$B:$U,D$1,0),"Check"),"")</f>
        <v>1GF</v>
      </c>
      <c r="E242" s="82" t="str">
        <f>IF($B242&lt;&gt;"",_xlfn.IFNA(VLOOKUP($B242,'Node Details'!$B:$U,E$1,0),"Check"),"")</f>
        <v>Airtel</v>
      </c>
      <c r="F242" s="97">
        <v>45379</v>
      </c>
      <c r="G242" s="77"/>
      <c r="H242" s="92" t="s">
        <v>225</v>
      </c>
      <c r="I242" s="93">
        <v>1</v>
      </c>
      <c r="J242" s="93">
        <v>70</v>
      </c>
      <c r="K242" s="82">
        <f t="shared" si="21"/>
        <v>70</v>
      </c>
      <c r="L242" s="81"/>
      <c r="M242" s="77"/>
      <c r="N242" s="83"/>
      <c r="O242" s="79"/>
      <c r="P242" s="85">
        <f t="shared" si="22"/>
        <v>70</v>
      </c>
      <c r="Q242" s="86">
        <f t="shared" si="23"/>
        <v>70</v>
      </c>
      <c r="R242" s="76"/>
      <c r="S242" s="87" t="s">
        <v>88</v>
      </c>
      <c r="T242" s="80"/>
      <c r="U242" s="85">
        <f t="shared" si="24"/>
        <v>70</v>
      </c>
      <c r="V242" s="85">
        <f t="shared" si="25"/>
        <v>1</v>
      </c>
      <c r="W242" s="88">
        <f t="shared" si="26"/>
        <v>70</v>
      </c>
      <c r="X242" s="98" t="s">
        <v>86</v>
      </c>
      <c r="Y242" s="78" t="s">
        <v>81</v>
      </c>
    </row>
    <row r="243" spans="1:25" s="78" customFormat="1" ht="11.1" customHeight="1" x14ac:dyDescent="0.2">
      <c r="A243" s="71">
        <f t="shared" si="27"/>
        <v>241</v>
      </c>
      <c r="B243" s="90" t="s">
        <v>179</v>
      </c>
      <c r="C243" s="82" t="str">
        <f>IF($B243&lt;&gt;"",_xlfn.IFNA(VLOOKUP($B243,'Node Details'!$B:$U,C$1,0),"Check"),"")</f>
        <v>00001GF17-1GF170104</v>
      </c>
      <c r="D243" s="82" t="str">
        <f>IF($B243&lt;&gt;"",_xlfn.IFNA(VLOOKUP($B243,'Node Details'!$B:$U,D$1,0),"Check"),"")</f>
        <v>1GF</v>
      </c>
      <c r="E243" s="82" t="str">
        <f>IF($B243&lt;&gt;"",_xlfn.IFNA(VLOOKUP($B243,'Node Details'!$B:$U,E$1,0),"Check"),"")</f>
        <v>Airtel</v>
      </c>
      <c r="F243" s="97">
        <v>45379</v>
      </c>
      <c r="G243" s="77"/>
      <c r="H243" s="92" t="s">
        <v>225</v>
      </c>
      <c r="I243" s="93">
        <v>2</v>
      </c>
      <c r="J243" s="93">
        <v>70</v>
      </c>
      <c r="K243" s="82">
        <f t="shared" si="21"/>
        <v>140</v>
      </c>
      <c r="L243" s="81"/>
      <c r="M243" s="77"/>
      <c r="N243" s="83"/>
      <c r="O243" s="79"/>
      <c r="P243" s="85">
        <f t="shared" si="22"/>
        <v>70</v>
      </c>
      <c r="Q243" s="86">
        <f t="shared" si="23"/>
        <v>140</v>
      </c>
      <c r="R243" s="76"/>
      <c r="S243" s="87" t="s">
        <v>88</v>
      </c>
      <c r="T243" s="80"/>
      <c r="U243" s="85">
        <f t="shared" si="24"/>
        <v>70</v>
      </c>
      <c r="V243" s="85">
        <f t="shared" si="25"/>
        <v>2</v>
      </c>
      <c r="W243" s="88">
        <f t="shared" si="26"/>
        <v>140</v>
      </c>
      <c r="X243" s="98" t="s">
        <v>86</v>
      </c>
      <c r="Y243" s="78" t="s">
        <v>81</v>
      </c>
    </row>
    <row r="244" spans="1:25" s="78" customFormat="1" ht="11.1" customHeight="1" x14ac:dyDescent="0.2">
      <c r="A244" s="71">
        <f t="shared" si="27"/>
        <v>242</v>
      </c>
      <c r="B244" s="90" t="s">
        <v>180</v>
      </c>
      <c r="C244" s="82" t="str">
        <f>IF($B244&lt;&gt;"",_xlfn.IFNA(VLOOKUP($B244,'Node Details'!$B:$U,C$1,0),"Check"),"")</f>
        <v>00001GF17-1GF170104</v>
      </c>
      <c r="D244" s="82" t="str">
        <f>IF($B244&lt;&gt;"",_xlfn.IFNA(VLOOKUP($B244,'Node Details'!$B:$U,D$1,0),"Check"),"")</f>
        <v>1GF</v>
      </c>
      <c r="E244" s="82" t="str">
        <f>IF($B244&lt;&gt;"",_xlfn.IFNA(VLOOKUP($B244,'Node Details'!$B:$U,E$1,0),"Check"),"")</f>
        <v>Airtel</v>
      </c>
      <c r="F244" s="97">
        <v>45379</v>
      </c>
      <c r="G244" s="77"/>
      <c r="H244" s="92" t="s">
        <v>225</v>
      </c>
      <c r="I244" s="93">
        <v>1</v>
      </c>
      <c r="J244" s="93">
        <v>70</v>
      </c>
      <c r="K244" s="82">
        <f t="shared" si="21"/>
        <v>70</v>
      </c>
      <c r="L244" s="81"/>
      <c r="M244" s="77"/>
      <c r="N244" s="83"/>
      <c r="O244" s="79"/>
      <c r="P244" s="85">
        <f t="shared" si="22"/>
        <v>70</v>
      </c>
      <c r="Q244" s="86">
        <f t="shared" si="23"/>
        <v>70</v>
      </c>
      <c r="R244" s="76"/>
      <c r="S244" s="87" t="s">
        <v>88</v>
      </c>
      <c r="T244" s="80"/>
      <c r="U244" s="85">
        <f t="shared" si="24"/>
        <v>70</v>
      </c>
      <c r="V244" s="85">
        <f t="shared" si="25"/>
        <v>1</v>
      </c>
      <c r="W244" s="88">
        <f t="shared" si="26"/>
        <v>70</v>
      </c>
      <c r="X244" s="98" t="s">
        <v>86</v>
      </c>
      <c r="Y244" s="78" t="s">
        <v>81</v>
      </c>
    </row>
    <row r="245" spans="1:25" s="78" customFormat="1" ht="11.1" customHeight="1" x14ac:dyDescent="0.2">
      <c r="A245" s="71">
        <f t="shared" si="27"/>
        <v>243</v>
      </c>
      <c r="B245" s="90" t="s">
        <v>117</v>
      </c>
      <c r="C245" s="82" t="str">
        <f>IF($B245&lt;&gt;"",_xlfn.IFNA(VLOOKUP($B245,'Node Details'!$B:$U,C$1,0),"Check"),"")</f>
        <v>00001GF17-1GF170104</v>
      </c>
      <c r="D245" s="82" t="str">
        <f>IF($B245&lt;&gt;"",_xlfn.IFNA(VLOOKUP($B245,'Node Details'!$B:$U,D$1,0),"Check"),"")</f>
        <v>1GF</v>
      </c>
      <c r="E245" s="82" t="str">
        <f>IF($B245&lt;&gt;"",_xlfn.IFNA(VLOOKUP($B245,'Node Details'!$B:$U,E$1,0),"Check"),"")</f>
        <v>Airtel</v>
      </c>
      <c r="F245" s="97">
        <v>45379</v>
      </c>
      <c r="G245" s="77"/>
      <c r="H245" s="92" t="s">
        <v>225</v>
      </c>
      <c r="I245" s="93">
        <v>1</v>
      </c>
      <c r="J245" s="93">
        <v>70</v>
      </c>
      <c r="K245" s="82">
        <f t="shared" si="21"/>
        <v>70</v>
      </c>
      <c r="L245" s="81"/>
      <c r="M245" s="77"/>
      <c r="N245" s="83"/>
      <c r="O245" s="79"/>
      <c r="P245" s="85">
        <f t="shared" si="22"/>
        <v>70</v>
      </c>
      <c r="Q245" s="86">
        <f t="shared" si="23"/>
        <v>70</v>
      </c>
      <c r="R245" s="76"/>
      <c r="S245" s="87" t="s">
        <v>88</v>
      </c>
      <c r="T245" s="80"/>
      <c r="U245" s="85">
        <f t="shared" si="24"/>
        <v>70</v>
      </c>
      <c r="V245" s="85">
        <f t="shared" si="25"/>
        <v>1</v>
      </c>
      <c r="W245" s="88">
        <f t="shared" si="26"/>
        <v>70</v>
      </c>
      <c r="X245" s="98" t="s">
        <v>86</v>
      </c>
      <c r="Y245" s="78" t="s">
        <v>81</v>
      </c>
    </row>
    <row r="246" spans="1:25" s="78" customFormat="1" ht="11.1" customHeight="1" x14ac:dyDescent="0.2">
      <c r="A246" s="71">
        <f t="shared" si="27"/>
        <v>244</v>
      </c>
      <c r="B246" s="90" t="s">
        <v>119</v>
      </c>
      <c r="C246" s="82" t="str">
        <f>IF($B246&lt;&gt;"",_xlfn.IFNA(VLOOKUP($B246,'Node Details'!$B:$U,C$1,0),"Check"),"")</f>
        <v>00001GF12-00001GF22</v>
      </c>
      <c r="D246" s="82" t="str">
        <f>IF($B246&lt;&gt;"",_xlfn.IFNA(VLOOKUP($B246,'Node Details'!$B:$U,D$1,0),"Check"),"")</f>
        <v>1GF</v>
      </c>
      <c r="E246" s="82" t="str">
        <f>IF($B246&lt;&gt;"",_xlfn.IFNA(VLOOKUP($B246,'Node Details'!$B:$U,E$1,0),"Check"),"")</f>
        <v>Airtel</v>
      </c>
      <c r="F246" s="97">
        <v>45379</v>
      </c>
      <c r="G246" s="77"/>
      <c r="H246" s="92" t="s">
        <v>225</v>
      </c>
      <c r="I246" s="93">
        <v>1</v>
      </c>
      <c r="J246" s="93">
        <v>70</v>
      </c>
      <c r="K246" s="82">
        <f t="shared" si="21"/>
        <v>70</v>
      </c>
      <c r="L246" s="81"/>
      <c r="M246" s="77"/>
      <c r="N246" s="83"/>
      <c r="O246" s="79"/>
      <c r="P246" s="85">
        <f t="shared" si="22"/>
        <v>70</v>
      </c>
      <c r="Q246" s="86">
        <f t="shared" si="23"/>
        <v>70</v>
      </c>
      <c r="R246" s="76"/>
      <c r="S246" s="87" t="s">
        <v>88</v>
      </c>
      <c r="T246" s="80"/>
      <c r="U246" s="85">
        <f t="shared" si="24"/>
        <v>70</v>
      </c>
      <c r="V246" s="85">
        <f t="shared" si="25"/>
        <v>1</v>
      </c>
      <c r="W246" s="88">
        <f t="shared" si="26"/>
        <v>70</v>
      </c>
      <c r="X246" s="98" t="s">
        <v>86</v>
      </c>
      <c r="Y246" s="78" t="s">
        <v>81</v>
      </c>
    </row>
    <row r="247" spans="1:25" s="78" customFormat="1" ht="11.1" customHeight="1" x14ac:dyDescent="0.2">
      <c r="A247" s="71">
        <f t="shared" si="27"/>
        <v>245</v>
      </c>
      <c r="B247" s="90" t="s">
        <v>181</v>
      </c>
      <c r="C247" s="82" t="str">
        <f>IF($B247&lt;&gt;"",_xlfn.IFNA(VLOOKUP($B247,'Node Details'!$B:$U,C$1,0),"Check"),"")</f>
        <v>00001GF18-1GF180104</v>
      </c>
      <c r="D247" s="82" t="str">
        <f>IF($B247&lt;&gt;"",_xlfn.IFNA(VLOOKUP($B247,'Node Details'!$B:$U,D$1,0),"Check"),"")</f>
        <v>1GF</v>
      </c>
      <c r="E247" s="82" t="str">
        <f>IF($B247&lt;&gt;"",_xlfn.IFNA(VLOOKUP($B247,'Node Details'!$B:$U,E$1,0),"Check"),"")</f>
        <v>Airtel</v>
      </c>
      <c r="F247" s="97">
        <v>45379</v>
      </c>
      <c r="G247" s="77"/>
      <c r="H247" s="92" t="s">
        <v>225</v>
      </c>
      <c r="I247" s="93">
        <v>1</v>
      </c>
      <c r="J247" s="93">
        <v>70</v>
      </c>
      <c r="K247" s="82">
        <f t="shared" si="21"/>
        <v>70</v>
      </c>
      <c r="L247" s="81"/>
      <c r="M247" s="77"/>
      <c r="N247" s="83"/>
      <c r="O247" s="79"/>
      <c r="P247" s="85">
        <f t="shared" si="22"/>
        <v>70</v>
      </c>
      <c r="Q247" s="86">
        <f t="shared" si="23"/>
        <v>70</v>
      </c>
      <c r="R247" s="76"/>
      <c r="S247" s="87" t="s">
        <v>88</v>
      </c>
      <c r="T247" s="80"/>
      <c r="U247" s="85">
        <f t="shared" si="24"/>
        <v>70</v>
      </c>
      <c r="V247" s="85">
        <f t="shared" si="25"/>
        <v>1</v>
      </c>
      <c r="W247" s="88">
        <f t="shared" si="26"/>
        <v>70</v>
      </c>
      <c r="X247" s="98" t="s">
        <v>86</v>
      </c>
      <c r="Y247" s="78" t="s">
        <v>81</v>
      </c>
    </row>
    <row r="248" spans="1:25" s="78" customFormat="1" ht="11.1" customHeight="1" x14ac:dyDescent="0.2">
      <c r="A248" s="71">
        <f t="shared" si="27"/>
        <v>246</v>
      </c>
      <c r="B248" s="90" t="s">
        <v>182</v>
      </c>
      <c r="C248" s="82" t="str">
        <f>IF($B248&lt;&gt;"",_xlfn.IFNA(VLOOKUP($B248,'Node Details'!$B:$U,C$1,0),"Check"),"")</f>
        <v>00001GF18-1GF180104</v>
      </c>
      <c r="D248" s="82" t="str">
        <f>IF($B248&lt;&gt;"",_xlfn.IFNA(VLOOKUP($B248,'Node Details'!$B:$U,D$1,0),"Check"),"")</f>
        <v>1GF</v>
      </c>
      <c r="E248" s="82" t="str">
        <f>IF($B248&lt;&gt;"",_xlfn.IFNA(VLOOKUP($B248,'Node Details'!$B:$U,E$1,0),"Check"),"")</f>
        <v>Airtel</v>
      </c>
      <c r="F248" s="97">
        <v>45379</v>
      </c>
      <c r="G248" s="77"/>
      <c r="H248" s="92" t="s">
        <v>225</v>
      </c>
      <c r="I248" s="93">
        <v>2</v>
      </c>
      <c r="J248" s="93">
        <v>70</v>
      </c>
      <c r="K248" s="82">
        <f t="shared" si="21"/>
        <v>140</v>
      </c>
      <c r="L248" s="81"/>
      <c r="M248" s="77"/>
      <c r="N248" s="83"/>
      <c r="O248" s="79"/>
      <c r="P248" s="85">
        <f t="shared" si="22"/>
        <v>70</v>
      </c>
      <c r="Q248" s="86">
        <f t="shared" si="23"/>
        <v>140</v>
      </c>
      <c r="R248" s="76"/>
      <c r="S248" s="87" t="s">
        <v>88</v>
      </c>
      <c r="T248" s="80"/>
      <c r="U248" s="85">
        <f t="shared" si="24"/>
        <v>70</v>
      </c>
      <c r="V248" s="85">
        <f t="shared" si="25"/>
        <v>2</v>
      </c>
      <c r="W248" s="88">
        <f t="shared" si="26"/>
        <v>140</v>
      </c>
      <c r="X248" s="98" t="s">
        <v>86</v>
      </c>
      <c r="Y248" s="78" t="s">
        <v>81</v>
      </c>
    </row>
    <row r="249" spans="1:25" s="78" customFormat="1" ht="11.1" customHeight="1" x14ac:dyDescent="0.2">
      <c r="A249" s="71">
        <f t="shared" si="27"/>
        <v>247</v>
      </c>
      <c r="B249" s="90" t="s">
        <v>183</v>
      </c>
      <c r="C249" s="82" t="str">
        <f>IF($B249&lt;&gt;"",_xlfn.IFNA(VLOOKUP($B249,'Node Details'!$B:$U,C$1,0),"Check"),"")</f>
        <v>00001GF18-1GF180104</v>
      </c>
      <c r="D249" s="82" t="str">
        <f>IF($B249&lt;&gt;"",_xlfn.IFNA(VLOOKUP($B249,'Node Details'!$B:$U,D$1,0),"Check"),"")</f>
        <v>1GF</v>
      </c>
      <c r="E249" s="82" t="str">
        <f>IF($B249&lt;&gt;"",_xlfn.IFNA(VLOOKUP($B249,'Node Details'!$B:$U,E$1,0),"Check"),"")</f>
        <v>Airtel</v>
      </c>
      <c r="F249" s="97">
        <v>45379</v>
      </c>
      <c r="G249" s="77"/>
      <c r="H249" s="92" t="s">
        <v>225</v>
      </c>
      <c r="I249" s="93">
        <v>1</v>
      </c>
      <c r="J249" s="93">
        <v>70</v>
      </c>
      <c r="K249" s="82">
        <f t="shared" si="21"/>
        <v>70</v>
      </c>
      <c r="L249" s="81"/>
      <c r="M249" s="77"/>
      <c r="N249" s="83"/>
      <c r="O249" s="79"/>
      <c r="P249" s="85">
        <f t="shared" si="22"/>
        <v>70</v>
      </c>
      <c r="Q249" s="86">
        <f t="shared" si="23"/>
        <v>70</v>
      </c>
      <c r="R249" s="76"/>
      <c r="S249" s="87" t="s">
        <v>88</v>
      </c>
      <c r="T249" s="80"/>
      <c r="U249" s="85">
        <f t="shared" si="24"/>
        <v>70</v>
      </c>
      <c r="V249" s="85">
        <f t="shared" si="25"/>
        <v>1</v>
      </c>
      <c r="W249" s="88">
        <f t="shared" si="26"/>
        <v>70</v>
      </c>
      <c r="X249" s="98" t="s">
        <v>86</v>
      </c>
      <c r="Y249" s="78" t="s">
        <v>81</v>
      </c>
    </row>
    <row r="250" spans="1:25" s="78" customFormat="1" ht="11.1" customHeight="1" x14ac:dyDescent="0.2">
      <c r="A250" s="71">
        <f t="shared" si="27"/>
        <v>248</v>
      </c>
      <c r="B250" s="90" t="s">
        <v>121</v>
      </c>
      <c r="C250" s="82" t="str">
        <f>IF($B250&lt;&gt;"",_xlfn.IFNA(VLOOKUP($B250,'Node Details'!$B:$U,C$1,0),"Check"),"")</f>
        <v>00001GF18-1GF180104</v>
      </c>
      <c r="D250" s="82" t="str">
        <f>IF($B250&lt;&gt;"",_xlfn.IFNA(VLOOKUP($B250,'Node Details'!$B:$U,D$1,0),"Check"),"")</f>
        <v>1GF</v>
      </c>
      <c r="E250" s="82" t="str">
        <f>IF($B250&lt;&gt;"",_xlfn.IFNA(VLOOKUP($B250,'Node Details'!$B:$U,E$1,0),"Check"),"")</f>
        <v>Airtel</v>
      </c>
      <c r="F250" s="97">
        <v>45379</v>
      </c>
      <c r="G250" s="77"/>
      <c r="H250" s="92" t="s">
        <v>225</v>
      </c>
      <c r="I250" s="93">
        <v>1</v>
      </c>
      <c r="J250" s="93">
        <v>70</v>
      </c>
      <c r="K250" s="82">
        <f t="shared" si="21"/>
        <v>70</v>
      </c>
      <c r="L250" s="81"/>
      <c r="M250" s="77"/>
      <c r="N250" s="83"/>
      <c r="O250" s="79"/>
      <c r="P250" s="85">
        <f t="shared" si="22"/>
        <v>70</v>
      </c>
      <c r="Q250" s="86">
        <f t="shared" si="23"/>
        <v>70</v>
      </c>
      <c r="R250" s="76"/>
      <c r="S250" s="87" t="s">
        <v>88</v>
      </c>
      <c r="T250" s="80"/>
      <c r="U250" s="85">
        <f t="shared" si="24"/>
        <v>70</v>
      </c>
      <c r="V250" s="85">
        <f t="shared" si="25"/>
        <v>1</v>
      </c>
      <c r="W250" s="88">
        <f t="shared" si="26"/>
        <v>70</v>
      </c>
      <c r="X250" s="98" t="s">
        <v>86</v>
      </c>
      <c r="Y250" s="78" t="s">
        <v>81</v>
      </c>
    </row>
    <row r="251" spans="1:25" s="78" customFormat="1" ht="11.1" customHeight="1" x14ac:dyDescent="0.2">
      <c r="A251" s="71">
        <f t="shared" si="27"/>
        <v>249</v>
      </c>
      <c r="B251" s="90" t="s">
        <v>123</v>
      </c>
      <c r="C251" s="82" t="str">
        <f>IF($B251&lt;&gt;"",_xlfn.IFNA(VLOOKUP($B251,'Node Details'!$B:$U,C$1,0),"Check"),"")</f>
        <v>00001GF12-00001GF22</v>
      </c>
      <c r="D251" s="82" t="str">
        <f>IF($B251&lt;&gt;"",_xlfn.IFNA(VLOOKUP($B251,'Node Details'!$B:$U,D$1,0),"Check"),"")</f>
        <v>1GF</v>
      </c>
      <c r="E251" s="82" t="str">
        <f>IF($B251&lt;&gt;"",_xlfn.IFNA(VLOOKUP($B251,'Node Details'!$B:$U,E$1,0),"Check"),"")</f>
        <v>Airtel</v>
      </c>
      <c r="F251" s="97">
        <v>45379</v>
      </c>
      <c r="G251" s="77"/>
      <c r="H251" s="92" t="s">
        <v>225</v>
      </c>
      <c r="I251" s="93">
        <v>1</v>
      </c>
      <c r="J251" s="93">
        <v>70</v>
      </c>
      <c r="K251" s="82">
        <f t="shared" si="21"/>
        <v>70</v>
      </c>
      <c r="L251" s="81"/>
      <c r="M251" s="77"/>
      <c r="N251" s="83"/>
      <c r="O251" s="79"/>
      <c r="P251" s="85">
        <f t="shared" si="22"/>
        <v>70</v>
      </c>
      <c r="Q251" s="86">
        <f t="shared" si="23"/>
        <v>70</v>
      </c>
      <c r="R251" s="76"/>
      <c r="S251" s="87" t="s">
        <v>88</v>
      </c>
      <c r="T251" s="80"/>
      <c r="U251" s="85">
        <f t="shared" si="24"/>
        <v>70</v>
      </c>
      <c r="V251" s="85">
        <f t="shared" si="25"/>
        <v>1</v>
      </c>
      <c r="W251" s="88">
        <f t="shared" si="26"/>
        <v>70</v>
      </c>
      <c r="X251" s="98" t="s">
        <v>86</v>
      </c>
      <c r="Y251" s="78" t="s">
        <v>81</v>
      </c>
    </row>
    <row r="252" spans="1:25" s="78" customFormat="1" ht="11.1" customHeight="1" x14ac:dyDescent="0.2">
      <c r="A252" s="71">
        <f t="shared" si="27"/>
        <v>250</v>
      </c>
      <c r="B252" s="90" t="s">
        <v>184</v>
      </c>
      <c r="C252" s="82" t="str">
        <f>IF($B252&lt;&gt;"",_xlfn.IFNA(VLOOKUP($B252,'Node Details'!$B:$U,C$1,0),"Check"),"")</f>
        <v>00001GF19-1GF190104</v>
      </c>
      <c r="D252" s="82" t="str">
        <f>IF($B252&lt;&gt;"",_xlfn.IFNA(VLOOKUP($B252,'Node Details'!$B:$U,D$1,0),"Check"),"")</f>
        <v>1GF</v>
      </c>
      <c r="E252" s="82" t="str">
        <f>IF($B252&lt;&gt;"",_xlfn.IFNA(VLOOKUP($B252,'Node Details'!$B:$U,E$1,0),"Check"),"")</f>
        <v>Airtel</v>
      </c>
      <c r="F252" s="97">
        <v>45379</v>
      </c>
      <c r="G252" s="77"/>
      <c r="H252" s="92" t="s">
        <v>225</v>
      </c>
      <c r="I252" s="93">
        <v>2</v>
      </c>
      <c r="J252" s="93">
        <v>70</v>
      </c>
      <c r="K252" s="82">
        <f t="shared" si="21"/>
        <v>140</v>
      </c>
      <c r="L252" s="81"/>
      <c r="M252" s="77"/>
      <c r="N252" s="83"/>
      <c r="O252" s="79"/>
      <c r="P252" s="85">
        <f t="shared" si="22"/>
        <v>70</v>
      </c>
      <c r="Q252" s="86">
        <f t="shared" si="23"/>
        <v>140</v>
      </c>
      <c r="R252" s="76"/>
      <c r="S252" s="87" t="s">
        <v>88</v>
      </c>
      <c r="T252" s="80"/>
      <c r="U252" s="85">
        <f t="shared" si="24"/>
        <v>70</v>
      </c>
      <c r="V252" s="85">
        <f t="shared" si="25"/>
        <v>2</v>
      </c>
      <c r="W252" s="88">
        <f t="shared" si="26"/>
        <v>140</v>
      </c>
      <c r="X252" s="98" t="s">
        <v>86</v>
      </c>
      <c r="Y252" s="78" t="s">
        <v>81</v>
      </c>
    </row>
    <row r="253" spans="1:25" s="78" customFormat="1" ht="11.1" customHeight="1" x14ac:dyDescent="0.2">
      <c r="A253" s="71">
        <f t="shared" si="27"/>
        <v>251</v>
      </c>
      <c r="B253" s="90" t="s">
        <v>185</v>
      </c>
      <c r="C253" s="82" t="str">
        <f>IF($B253&lt;&gt;"",_xlfn.IFNA(VLOOKUP($B253,'Node Details'!$B:$U,C$1,0),"Check"),"")</f>
        <v>00001GF19-1GF190104</v>
      </c>
      <c r="D253" s="82" t="str">
        <f>IF($B253&lt;&gt;"",_xlfn.IFNA(VLOOKUP($B253,'Node Details'!$B:$U,D$1,0),"Check"),"")</f>
        <v>1GF</v>
      </c>
      <c r="E253" s="82" t="str">
        <f>IF($B253&lt;&gt;"",_xlfn.IFNA(VLOOKUP($B253,'Node Details'!$B:$U,E$1,0),"Check"),"")</f>
        <v>Airtel</v>
      </c>
      <c r="F253" s="97">
        <v>45379</v>
      </c>
      <c r="G253" s="77"/>
      <c r="H253" s="92" t="s">
        <v>225</v>
      </c>
      <c r="I253" s="93">
        <v>1</v>
      </c>
      <c r="J253" s="93">
        <v>70</v>
      </c>
      <c r="K253" s="82">
        <f t="shared" si="21"/>
        <v>70</v>
      </c>
      <c r="L253" s="81"/>
      <c r="M253" s="77"/>
      <c r="N253" s="83"/>
      <c r="O253" s="79"/>
      <c r="P253" s="85">
        <f t="shared" si="22"/>
        <v>70</v>
      </c>
      <c r="Q253" s="86">
        <f t="shared" si="23"/>
        <v>70</v>
      </c>
      <c r="R253" s="76"/>
      <c r="S253" s="87" t="s">
        <v>88</v>
      </c>
      <c r="T253" s="80"/>
      <c r="U253" s="85">
        <f t="shared" si="24"/>
        <v>70</v>
      </c>
      <c r="V253" s="85">
        <f t="shared" si="25"/>
        <v>1</v>
      </c>
      <c r="W253" s="88">
        <f t="shared" si="26"/>
        <v>70</v>
      </c>
      <c r="X253" s="98" t="s">
        <v>86</v>
      </c>
      <c r="Y253" s="78" t="s">
        <v>81</v>
      </c>
    </row>
    <row r="254" spans="1:25" s="78" customFormat="1" ht="11.1" customHeight="1" x14ac:dyDescent="0.2">
      <c r="A254" s="71">
        <f t="shared" si="27"/>
        <v>252</v>
      </c>
      <c r="B254" s="90" t="s">
        <v>186</v>
      </c>
      <c r="C254" s="82" t="str">
        <f>IF($B254&lt;&gt;"",_xlfn.IFNA(VLOOKUP($B254,'Node Details'!$B:$U,C$1,0),"Check"),"")</f>
        <v>00001GF19-1GF190104</v>
      </c>
      <c r="D254" s="82" t="str">
        <f>IF($B254&lt;&gt;"",_xlfn.IFNA(VLOOKUP($B254,'Node Details'!$B:$U,D$1,0),"Check"),"")</f>
        <v>1GF</v>
      </c>
      <c r="E254" s="82" t="str">
        <f>IF($B254&lt;&gt;"",_xlfn.IFNA(VLOOKUP($B254,'Node Details'!$B:$U,E$1,0),"Check"),"")</f>
        <v>Airtel</v>
      </c>
      <c r="F254" s="97">
        <v>45379</v>
      </c>
      <c r="G254" s="77"/>
      <c r="H254" s="92" t="s">
        <v>225</v>
      </c>
      <c r="I254" s="93">
        <v>1</v>
      </c>
      <c r="J254" s="93">
        <v>70</v>
      </c>
      <c r="K254" s="82">
        <f t="shared" si="21"/>
        <v>70</v>
      </c>
      <c r="L254" s="81"/>
      <c r="M254" s="77"/>
      <c r="N254" s="83"/>
      <c r="O254" s="79"/>
      <c r="P254" s="85">
        <f t="shared" si="22"/>
        <v>70</v>
      </c>
      <c r="Q254" s="86">
        <f t="shared" si="23"/>
        <v>70</v>
      </c>
      <c r="R254" s="76"/>
      <c r="S254" s="87" t="s">
        <v>88</v>
      </c>
      <c r="T254" s="80"/>
      <c r="U254" s="85">
        <f t="shared" si="24"/>
        <v>70</v>
      </c>
      <c r="V254" s="85">
        <f t="shared" si="25"/>
        <v>1</v>
      </c>
      <c r="W254" s="88">
        <f t="shared" si="26"/>
        <v>70</v>
      </c>
      <c r="X254" s="98" t="s">
        <v>86</v>
      </c>
      <c r="Y254" s="78" t="s">
        <v>81</v>
      </c>
    </row>
    <row r="255" spans="1:25" s="78" customFormat="1" ht="11.1" customHeight="1" x14ac:dyDescent="0.2">
      <c r="A255" s="71">
        <f t="shared" si="27"/>
        <v>253</v>
      </c>
      <c r="B255" s="90" t="s">
        <v>125</v>
      </c>
      <c r="C255" s="82" t="str">
        <f>IF($B255&lt;&gt;"",_xlfn.IFNA(VLOOKUP($B255,'Node Details'!$B:$U,C$1,0),"Check"),"")</f>
        <v>00001GF19-1GF190104</v>
      </c>
      <c r="D255" s="82" t="str">
        <f>IF($B255&lt;&gt;"",_xlfn.IFNA(VLOOKUP($B255,'Node Details'!$B:$U,D$1,0),"Check"),"")</f>
        <v>1GF</v>
      </c>
      <c r="E255" s="82" t="str">
        <f>IF($B255&lt;&gt;"",_xlfn.IFNA(VLOOKUP($B255,'Node Details'!$B:$U,E$1,0),"Check"),"")</f>
        <v>Airtel</v>
      </c>
      <c r="F255" s="97">
        <v>45379</v>
      </c>
      <c r="G255" s="77"/>
      <c r="H255" s="92" t="s">
        <v>225</v>
      </c>
      <c r="I255" s="93">
        <v>1</v>
      </c>
      <c r="J255" s="93">
        <v>70</v>
      </c>
      <c r="K255" s="82">
        <f t="shared" si="21"/>
        <v>70</v>
      </c>
      <c r="L255" s="81"/>
      <c r="M255" s="77"/>
      <c r="N255" s="83"/>
      <c r="O255" s="79"/>
      <c r="P255" s="85">
        <f t="shared" si="22"/>
        <v>70</v>
      </c>
      <c r="Q255" s="86">
        <f t="shared" si="23"/>
        <v>70</v>
      </c>
      <c r="R255" s="76"/>
      <c r="S255" s="87" t="s">
        <v>88</v>
      </c>
      <c r="T255" s="80"/>
      <c r="U255" s="85">
        <f t="shared" si="24"/>
        <v>70</v>
      </c>
      <c r="V255" s="85">
        <f t="shared" si="25"/>
        <v>1</v>
      </c>
      <c r="W255" s="88">
        <f t="shared" si="26"/>
        <v>70</v>
      </c>
      <c r="X255" s="98" t="s">
        <v>86</v>
      </c>
      <c r="Y255" s="78" t="s">
        <v>81</v>
      </c>
    </row>
    <row r="256" spans="1:25" s="78" customFormat="1" ht="11.1" customHeight="1" x14ac:dyDescent="0.2">
      <c r="A256" s="71">
        <f t="shared" si="27"/>
        <v>254</v>
      </c>
      <c r="B256" s="90" t="s">
        <v>127</v>
      </c>
      <c r="C256" s="82" t="str">
        <f>IF($B256&lt;&gt;"",_xlfn.IFNA(VLOOKUP($B256,'Node Details'!$B:$U,C$1,0),"Check"),"")</f>
        <v>00001GF12-00001GF22</v>
      </c>
      <c r="D256" s="82" t="str">
        <f>IF($B256&lt;&gt;"",_xlfn.IFNA(VLOOKUP($B256,'Node Details'!$B:$U,D$1,0),"Check"),"")</f>
        <v>1GF</v>
      </c>
      <c r="E256" s="82" t="str">
        <f>IF($B256&lt;&gt;"",_xlfn.IFNA(VLOOKUP($B256,'Node Details'!$B:$U,E$1,0),"Check"),"")</f>
        <v>Airtel</v>
      </c>
      <c r="F256" s="97">
        <v>45379</v>
      </c>
      <c r="G256" s="77"/>
      <c r="H256" s="92" t="s">
        <v>225</v>
      </c>
      <c r="I256" s="93">
        <v>1</v>
      </c>
      <c r="J256" s="93">
        <v>70</v>
      </c>
      <c r="K256" s="82">
        <f t="shared" si="21"/>
        <v>70</v>
      </c>
      <c r="L256" s="81"/>
      <c r="M256" s="77"/>
      <c r="N256" s="83"/>
      <c r="O256" s="79"/>
      <c r="P256" s="85">
        <f t="shared" si="22"/>
        <v>70</v>
      </c>
      <c r="Q256" s="86">
        <f t="shared" si="23"/>
        <v>70</v>
      </c>
      <c r="R256" s="76"/>
      <c r="S256" s="87" t="s">
        <v>88</v>
      </c>
      <c r="T256" s="80"/>
      <c r="U256" s="85">
        <f t="shared" si="24"/>
        <v>70</v>
      </c>
      <c r="V256" s="85">
        <f t="shared" si="25"/>
        <v>1</v>
      </c>
      <c r="W256" s="88">
        <f t="shared" si="26"/>
        <v>70</v>
      </c>
      <c r="X256" s="98" t="s">
        <v>86</v>
      </c>
      <c r="Y256" s="78" t="s">
        <v>81</v>
      </c>
    </row>
    <row r="257" spans="1:25" s="78" customFormat="1" ht="11.1" customHeight="1" x14ac:dyDescent="0.2">
      <c r="A257" s="71">
        <f t="shared" si="27"/>
        <v>255</v>
      </c>
      <c r="B257" s="90" t="s">
        <v>187</v>
      </c>
      <c r="C257" s="82" t="str">
        <f>IF($B257&lt;&gt;"",_xlfn.IFNA(VLOOKUP($B257,'Node Details'!$B:$U,C$1,0),"Check"),"")</f>
        <v>00001GF20-1GF200104</v>
      </c>
      <c r="D257" s="82" t="str">
        <f>IF($B257&lt;&gt;"",_xlfn.IFNA(VLOOKUP($B257,'Node Details'!$B:$U,D$1,0),"Check"),"")</f>
        <v>1GF</v>
      </c>
      <c r="E257" s="82" t="str">
        <f>IF($B257&lt;&gt;"",_xlfn.IFNA(VLOOKUP($B257,'Node Details'!$B:$U,E$1,0),"Check"),"")</f>
        <v>Airtel</v>
      </c>
      <c r="F257" s="97">
        <v>45379</v>
      </c>
      <c r="G257" s="77"/>
      <c r="H257" s="92" t="s">
        <v>225</v>
      </c>
      <c r="I257" s="93">
        <v>1</v>
      </c>
      <c r="J257" s="93">
        <v>70</v>
      </c>
      <c r="K257" s="82">
        <f t="shared" si="21"/>
        <v>70</v>
      </c>
      <c r="L257" s="81"/>
      <c r="M257" s="77"/>
      <c r="N257" s="83"/>
      <c r="O257" s="79"/>
      <c r="P257" s="85">
        <f t="shared" si="22"/>
        <v>70</v>
      </c>
      <c r="Q257" s="86">
        <f t="shared" si="23"/>
        <v>70</v>
      </c>
      <c r="R257" s="76"/>
      <c r="S257" s="87" t="s">
        <v>88</v>
      </c>
      <c r="T257" s="80"/>
      <c r="U257" s="85">
        <f t="shared" si="24"/>
        <v>70</v>
      </c>
      <c r="V257" s="85">
        <f t="shared" si="25"/>
        <v>1</v>
      </c>
      <c r="W257" s="88">
        <f t="shared" si="26"/>
        <v>70</v>
      </c>
      <c r="X257" s="98" t="s">
        <v>86</v>
      </c>
      <c r="Y257" s="78" t="s">
        <v>81</v>
      </c>
    </row>
    <row r="258" spans="1:25" s="78" customFormat="1" ht="11.1" customHeight="1" x14ac:dyDescent="0.2">
      <c r="A258" s="71">
        <f t="shared" si="27"/>
        <v>256</v>
      </c>
      <c r="B258" s="90" t="s">
        <v>188</v>
      </c>
      <c r="C258" s="82" t="str">
        <f>IF($B258&lt;&gt;"",_xlfn.IFNA(VLOOKUP($B258,'Node Details'!$B:$U,C$1,0),"Check"),"")</f>
        <v>00001GF20-1GF200104</v>
      </c>
      <c r="D258" s="82" t="str">
        <f>IF($B258&lt;&gt;"",_xlfn.IFNA(VLOOKUP($B258,'Node Details'!$B:$U,D$1,0),"Check"),"")</f>
        <v>1GF</v>
      </c>
      <c r="E258" s="82" t="str">
        <f>IF($B258&lt;&gt;"",_xlfn.IFNA(VLOOKUP($B258,'Node Details'!$B:$U,E$1,0),"Check"),"")</f>
        <v>Airtel</v>
      </c>
      <c r="F258" s="97">
        <v>45379</v>
      </c>
      <c r="G258" s="77"/>
      <c r="H258" s="92" t="s">
        <v>225</v>
      </c>
      <c r="I258" s="93">
        <v>2</v>
      </c>
      <c r="J258" s="93">
        <v>70</v>
      </c>
      <c r="K258" s="82">
        <f t="shared" si="21"/>
        <v>140</v>
      </c>
      <c r="L258" s="81"/>
      <c r="M258" s="77"/>
      <c r="N258" s="83"/>
      <c r="O258" s="79"/>
      <c r="P258" s="85">
        <f t="shared" si="22"/>
        <v>70</v>
      </c>
      <c r="Q258" s="86">
        <f t="shared" si="23"/>
        <v>140</v>
      </c>
      <c r="R258" s="76"/>
      <c r="S258" s="87" t="s">
        <v>88</v>
      </c>
      <c r="T258" s="80"/>
      <c r="U258" s="85">
        <f t="shared" si="24"/>
        <v>70</v>
      </c>
      <c r="V258" s="85">
        <f t="shared" si="25"/>
        <v>2</v>
      </c>
      <c r="W258" s="88">
        <f t="shared" si="26"/>
        <v>140</v>
      </c>
      <c r="X258" s="98" t="s">
        <v>86</v>
      </c>
      <c r="Y258" s="78" t="s">
        <v>81</v>
      </c>
    </row>
    <row r="259" spans="1:25" s="78" customFormat="1" ht="11.1" customHeight="1" x14ac:dyDescent="0.2">
      <c r="A259" s="71">
        <f t="shared" si="27"/>
        <v>257</v>
      </c>
      <c r="B259" s="90" t="s">
        <v>189</v>
      </c>
      <c r="C259" s="82" t="str">
        <f>IF($B259&lt;&gt;"",_xlfn.IFNA(VLOOKUP($B259,'Node Details'!$B:$U,C$1,0),"Check"),"")</f>
        <v>00001GF20-1GF200104</v>
      </c>
      <c r="D259" s="82" t="str">
        <f>IF($B259&lt;&gt;"",_xlfn.IFNA(VLOOKUP($B259,'Node Details'!$B:$U,D$1,0),"Check"),"")</f>
        <v>1GF</v>
      </c>
      <c r="E259" s="82" t="str">
        <f>IF($B259&lt;&gt;"",_xlfn.IFNA(VLOOKUP($B259,'Node Details'!$B:$U,E$1,0),"Check"),"")</f>
        <v>Airtel</v>
      </c>
      <c r="F259" s="97">
        <v>45379</v>
      </c>
      <c r="G259" s="77"/>
      <c r="H259" s="92" t="s">
        <v>225</v>
      </c>
      <c r="I259" s="93">
        <v>2</v>
      </c>
      <c r="J259" s="93">
        <v>70</v>
      </c>
      <c r="K259" s="82">
        <f t="shared" ref="K259:K284" si="28">IF(I259&lt;&gt;"",J259*I259,0)</f>
        <v>140</v>
      </c>
      <c r="L259" s="81"/>
      <c r="M259" s="77"/>
      <c r="N259" s="83"/>
      <c r="O259" s="79"/>
      <c r="P259" s="85">
        <f t="shared" ref="P259:P284" si="29">J259</f>
        <v>70</v>
      </c>
      <c r="Q259" s="86">
        <f t="shared" ref="Q259:Q284" si="30">P259*I259</f>
        <v>140</v>
      </c>
      <c r="R259" s="76"/>
      <c r="S259" s="87" t="s">
        <v>88</v>
      </c>
      <c r="T259" s="80"/>
      <c r="U259" s="85">
        <f t="shared" ref="U259:U284" si="31">J259</f>
        <v>70</v>
      </c>
      <c r="V259" s="85">
        <f t="shared" ref="V259:V284" si="32">I259</f>
        <v>2</v>
      </c>
      <c r="W259" s="88">
        <f t="shared" ref="W259:W284" si="33">IF(V259&lt;&gt;"",V259*U259,0)</f>
        <v>140</v>
      </c>
      <c r="X259" s="98" t="s">
        <v>86</v>
      </c>
      <c r="Y259" s="78" t="s">
        <v>81</v>
      </c>
    </row>
    <row r="260" spans="1:25" s="78" customFormat="1" ht="11.1" customHeight="1" x14ac:dyDescent="0.2">
      <c r="A260" s="71">
        <f t="shared" ref="A260:A284" si="34">A259+1</f>
        <v>258</v>
      </c>
      <c r="B260" s="90" t="s">
        <v>129</v>
      </c>
      <c r="C260" s="82" t="str">
        <f>IF($B260&lt;&gt;"",_xlfn.IFNA(VLOOKUP($B260,'Node Details'!$B:$U,C$1,0),"Check"),"")</f>
        <v>00001GF20-1GF200104</v>
      </c>
      <c r="D260" s="82" t="str">
        <f>IF($B260&lt;&gt;"",_xlfn.IFNA(VLOOKUP($B260,'Node Details'!$B:$U,D$1,0),"Check"),"")</f>
        <v>1GF</v>
      </c>
      <c r="E260" s="82" t="str">
        <f>IF($B260&lt;&gt;"",_xlfn.IFNA(VLOOKUP($B260,'Node Details'!$B:$U,E$1,0),"Check"),"")</f>
        <v>Airtel</v>
      </c>
      <c r="F260" s="97">
        <v>45379</v>
      </c>
      <c r="G260" s="77"/>
      <c r="H260" s="92" t="s">
        <v>225</v>
      </c>
      <c r="I260" s="93">
        <v>1</v>
      </c>
      <c r="J260" s="93">
        <v>70</v>
      </c>
      <c r="K260" s="82">
        <f t="shared" si="28"/>
        <v>70</v>
      </c>
      <c r="L260" s="81"/>
      <c r="M260" s="77"/>
      <c r="N260" s="83"/>
      <c r="O260" s="79"/>
      <c r="P260" s="85">
        <f t="shared" si="29"/>
        <v>70</v>
      </c>
      <c r="Q260" s="86">
        <f t="shared" si="30"/>
        <v>70</v>
      </c>
      <c r="R260" s="76"/>
      <c r="S260" s="87" t="s">
        <v>88</v>
      </c>
      <c r="T260" s="80"/>
      <c r="U260" s="85">
        <f t="shared" si="31"/>
        <v>70</v>
      </c>
      <c r="V260" s="85">
        <f t="shared" si="32"/>
        <v>1</v>
      </c>
      <c r="W260" s="88">
        <f t="shared" si="33"/>
        <v>70</v>
      </c>
      <c r="X260" s="98" t="s">
        <v>86</v>
      </c>
      <c r="Y260" s="78" t="s">
        <v>81</v>
      </c>
    </row>
    <row r="261" spans="1:25" s="78" customFormat="1" ht="11.1" customHeight="1" x14ac:dyDescent="0.2">
      <c r="A261" s="71">
        <f t="shared" si="34"/>
        <v>259</v>
      </c>
      <c r="B261" s="90" t="s">
        <v>131</v>
      </c>
      <c r="C261" s="82" t="str">
        <f>IF($B261&lt;&gt;"",_xlfn.IFNA(VLOOKUP($B261,'Node Details'!$B:$U,C$1,0),"Check"),"")</f>
        <v>00001GF12-00001GF22</v>
      </c>
      <c r="D261" s="82" t="str">
        <f>IF($B261&lt;&gt;"",_xlfn.IFNA(VLOOKUP($B261,'Node Details'!$B:$U,D$1,0),"Check"),"")</f>
        <v>1GF</v>
      </c>
      <c r="E261" s="82" t="str">
        <f>IF($B261&lt;&gt;"",_xlfn.IFNA(VLOOKUP($B261,'Node Details'!$B:$U,E$1,0),"Check"),"")</f>
        <v>Airtel</v>
      </c>
      <c r="F261" s="97">
        <v>45379</v>
      </c>
      <c r="G261" s="77"/>
      <c r="H261" s="92" t="s">
        <v>225</v>
      </c>
      <c r="I261" s="93">
        <v>1</v>
      </c>
      <c r="J261" s="93">
        <v>70</v>
      </c>
      <c r="K261" s="82">
        <f t="shared" si="28"/>
        <v>70</v>
      </c>
      <c r="L261" s="81"/>
      <c r="M261" s="77"/>
      <c r="N261" s="83"/>
      <c r="O261" s="79"/>
      <c r="P261" s="85">
        <f t="shared" si="29"/>
        <v>70</v>
      </c>
      <c r="Q261" s="86">
        <f t="shared" si="30"/>
        <v>70</v>
      </c>
      <c r="R261" s="76"/>
      <c r="S261" s="87" t="s">
        <v>88</v>
      </c>
      <c r="T261" s="80"/>
      <c r="U261" s="85">
        <f t="shared" si="31"/>
        <v>70</v>
      </c>
      <c r="V261" s="85">
        <f t="shared" si="32"/>
        <v>1</v>
      </c>
      <c r="W261" s="88">
        <f t="shared" si="33"/>
        <v>70</v>
      </c>
      <c r="X261" s="98" t="s">
        <v>86</v>
      </c>
      <c r="Y261" s="78" t="s">
        <v>81</v>
      </c>
    </row>
    <row r="262" spans="1:25" s="78" customFormat="1" ht="11.1" customHeight="1" x14ac:dyDescent="0.2">
      <c r="A262" s="71">
        <f t="shared" si="34"/>
        <v>260</v>
      </c>
      <c r="B262" s="90" t="s">
        <v>190</v>
      </c>
      <c r="C262" s="82" t="str">
        <f>IF($B262&lt;&gt;"",_xlfn.IFNA(VLOOKUP($B262,'Node Details'!$B:$U,C$1,0),"Check"),"")</f>
        <v>00001GF21-1GF210104</v>
      </c>
      <c r="D262" s="82" t="str">
        <f>IF($B262&lt;&gt;"",_xlfn.IFNA(VLOOKUP($B262,'Node Details'!$B:$U,D$1,0),"Check"),"")</f>
        <v>1GF</v>
      </c>
      <c r="E262" s="82" t="str">
        <f>IF($B262&lt;&gt;"",_xlfn.IFNA(VLOOKUP($B262,'Node Details'!$B:$U,E$1,0),"Check"),"")</f>
        <v>Airtel</v>
      </c>
      <c r="F262" s="97">
        <v>45379</v>
      </c>
      <c r="G262" s="77"/>
      <c r="H262" s="92" t="s">
        <v>225</v>
      </c>
      <c r="I262" s="93">
        <v>2</v>
      </c>
      <c r="J262" s="93">
        <v>70</v>
      </c>
      <c r="K262" s="82">
        <f t="shared" si="28"/>
        <v>140</v>
      </c>
      <c r="L262" s="81"/>
      <c r="M262" s="77"/>
      <c r="N262" s="83"/>
      <c r="O262" s="79"/>
      <c r="P262" s="85">
        <f t="shared" si="29"/>
        <v>70</v>
      </c>
      <c r="Q262" s="86">
        <f t="shared" si="30"/>
        <v>140</v>
      </c>
      <c r="R262" s="76"/>
      <c r="S262" s="87" t="s">
        <v>88</v>
      </c>
      <c r="T262" s="80"/>
      <c r="U262" s="85">
        <f t="shared" si="31"/>
        <v>70</v>
      </c>
      <c r="V262" s="85">
        <f t="shared" si="32"/>
        <v>2</v>
      </c>
      <c r="W262" s="88">
        <f t="shared" si="33"/>
        <v>140</v>
      </c>
      <c r="X262" s="98" t="s">
        <v>86</v>
      </c>
      <c r="Y262" s="78" t="s">
        <v>81</v>
      </c>
    </row>
    <row r="263" spans="1:25" s="78" customFormat="1" ht="11.1" customHeight="1" x14ac:dyDescent="0.2">
      <c r="A263" s="71">
        <f t="shared" si="34"/>
        <v>261</v>
      </c>
      <c r="B263" s="90" t="s">
        <v>136</v>
      </c>
      <c r="C263" s="82" t="str">
        <f>IF($B263&lt;&gt;"",_xlfn.IFNA(VLOOKUP($B263,'Node Details'!$B:$U,C$1,0),"Check"),"")</f>
        <v>00001GF21-1GF210104</v>
      </c>
      <c r="D263" s="82" t="str">
        <f>IF($B263&lt;&gt;"",_xlfn.IFNA(VLOOKUP($B263,'Node Details'!$B:$U,D$1,0),"Check"),"")</f>
        <v>1GF</v>
      </c>
      <c r="E263" s="82" t="str">
        <f>IF($B263&lt;&gt;"",_xlfn.IFNA(VLOOKUP($B263,'Node Details'!$B:$U,E$1,0),"Check"),"")</f>
        <v>Airtel</v>
      </c>
      <c r="F263" s="97">
        <v>45379</v>
      </c>
      <c r="G263" s="77"/>
      <c r="H263" s="92" t="s">
        <v>225</v>
      </c>
      <c r="I263" s="93">
        <v>1</v>
      </c>
      <c r="J263" s="93">
        <v>70</v>
      </c>
      <c r="K263" s="82">
        <f t="shared" si="28"/>
        <v>70</v>
      </c>
      <c r="L263" s="81"/>
      <c r="M263" s="77"/>
      <c r="N263" s="83"/>
      <c r="O263" s="79"/>
      <c r="P263" s="85">
        <f t="shared" si="29"/>
        <v>70</v>
      </c>
      <c r="Q263" s="86">
        <f t="shared" si="30"/>
        <v>70</v>
      </c>
      <c r="R263" s="76"/>
      <c r="S263" s="87" t="s">
        <v>88</v>
      </c>
      <c r="T263" s="80"/>
      <c r="U263" s="85">
        <f t="shared" si="31"/>
        <v>70</v>
      </c>
      <c r="V263" s="85">
        <f t="shared" si="32"/>
        <v>1</v>
      </c>
      <c r="W263" s="88">
        <f t="shared" si="33"/>
        <v>70</v>
      </c>
      <c r="X263" s="98" t="s">
        <v>86</v>
      </c>
      <c r="Y263" s="78" t="s">
        <v>81</v>
      </c>
    </row>
    <row r="264" spans="1:25" s="78" customFormat="1" ht="11.1" customHeight="1" x14ac:dyDescent="0.2">
      <c r="A264" s="71">
        <f t="shared" si="34"/>
        <v>262</v>
      </c>
      <c r="B264" s="90" t="s">
        <v>191</v>
      </c>
      <c r="C264" s="82" t="str">
        <f>IF($B264&lt;&gt;"",_xlfn.IFNA(VLOOKUP($B264,'Node Details'!$B:$U,C$1,0),"Check"),"")</f>
        <v>00001GF21-1GF210104</v>
      </c>
      <c r="D264" s="82" t="str">
        <f>IF($B264&lt;&gt;"",_xlfn.IFNA(VLOOKUP($B264,'Node Details'!$B:$U,D$1,0),"Check"),"")</f>
        <v>1GF</v>
      </c>
      <c r="E264" s="82" t="str">
        <f>IF($B264&lt;&gt;"",_xlfn.IFNA(VLOOKUP($B264,'Node Details'!$B:$U,E$1,0),"Check"),"")</f>
        <v>Airtel</v>
      </c>
      <c r="F264" s="97">
        <v>45379</v>
      </c>
      <c r="G264" s="77"/>
      <c r="H264" s="92" t="s">
        <v>225</v>
      </c>
      <c r="I264" s="93">
        <v>1</v>
      </c>
      <c r="J264" s="93">
        <v>70</v>
      </c>
      <c r="K264" s="82">
        <f t="shared" si="28"/>
        <v>70</v>
      </c>
      <c r="L264" s="81"/>
      <c r="M264" s="77"/>
      <c r="N264" s="83"/>
      <c r="O264" s="79"/>
      <c r="P264" s="85">
        <f t="shared" si="29"/>
        <v>70</v>
      </c>
      <c r="Q264" s="86">
        <f t="shared" si="30"/>
        <v>70</v>
      </c>
      <c r="R264" s="76"/>
      <c r="S264" s="87" t="s">
        <v>88</v>
      </c>
      <c r="T264" s="80"/>
      <c r="U264" s="85">
        <f t="shared" si="31"/>
        <v>70</v>
      </c>
      <c r="V264" s="85">
        <f t="shared" si="32"/>
        <v>1</v>
      </c>
      <c r="W264" s="88">
        <f t="shared" si="33"/>
        <v>70</v>
      </c>
      <c r="X264" s="98" t="s">
        <v>86</v>
      </c>
      <c r="Y264" s="78" t="s">
        <v>81</v>
      </c>
    </row>
    <row r="265" spans="1:25" s="78" customFormat="1" ht="11.1" customHeight="1" x14ac:dyDescent="0.2">
      <c r="A265" s="71">
        <f t="shared" si="34"/>
        <v>263</v>
      </c>
      <c r="B265" s="90" t="s">
        <v>133</v>
      </c>
      <c r="C265" s="82" t="str">
        <f>IF($B265&lt;&gt;"",_xlfn.IFNA(VLOOKUP($B265,'Node Details'!$B:$U,C$1,0),"Check"),"")</f>
        <v>00001GF21-1GF210104</v>
      </c>
      <c r="D265" s="82" t="str">
        <f>IF($B265&lt;&gt;"",_xlfn.IFNA(VLOOKUP($B265,'Node Details'!$B:$U,D$1,0),"Check"),"")</f>
        <v>1GF</v>
      </c>
      <c r="E265" s="82" t="str">
        <f>IF($B265&lt;&gt;"",_xlfn.IFNA(VLOOKUP($B265,'Node Details'!$B:$U,E$1,0),"Check"),"")</f>
        <v>Airtel</v>
      </c>
      <c r="F265" s="97">
        <v>45379</v>
      </c>
      <c r="G265" s="77"/>
      <c r="H265" s="92" t="s">
        <v>225</v>
      </c>
      <c r="I265" s="93">
        <v>1</v>
      </c>
      <c r="J265" s="93">
        <v>70</v>
      </c>
      <c r="K265" s="82">
        <f t="shared" si="28"/>
        <v>70</v>
      </c>
      <c r="L265" s="81"/>
      <c r="M265" s="77"/>
      <c r="N265" s="83"/>
      <c r="O265" s="79"/>
      <c r="P265" s="85">
        <f t="shared" si="29"/>
        <v>70</v>
      </c>
      <c r="Q265" s="86">
        <f t="shared" si="30"/>
        <v>70</v>
      </c>
      <c r="R265" s="76"/>
      <c r="S265" s="87" t="s">
        <v>88</v>
      </c>
      <c r="T265" s="80"/>
      <c r="U265" s="85">
        <f t="shared" si="31"/>
        <v>70</v>
      </c>
      <c r="V265" s="85">
        <f t="shared" si="32"/>
        <v>1</v>
      </c>
      <c r="W265" s="88">
        <f t="shared" si="33"/>
        <v>70</v>
      </c>
      <c r="X265" s="98" t="s">
        <v>86</v>
      </c>
      <c r="Y265" s="78" t="s">
        <v>81</v>
      </c>
    </row>
    <row r="266" spans="1:25" s="78" customFormat="1" ht="11.1" customHeight="1" x14ac:dyDescent="0.2">
      <c r="A266" s="71">
        <f t="shared" si="34"/>
        <v>264</v>
      </c>
      <c r="B266" s="90" t="s">
        <v>90</v>
      </c>
      <c r="C266" s="82" t="str">
        <f>IF($B266&lt;&gt;"",_xlfn.IFNA(VLOOKUP($B266,'Node Details'!$B:$U,C$1,0),"Check"),"")</f>
        <v>00001GF12-00001GF22</v>
      </c>
      <c r="D266" s="82" t="str">
        <f>IF($B266&lt;&gt;"",_xlfn.IFNA(VLOOKUP($B266,'Node Details'!$B:$U,D$1,0),"Check"),"")</f>
        <v>1GF</v>
      </c>
      <c r="E266" s="82" t="str">
        <f>IF($B266&lt;&gt;"",_xlfn.IFNA(VLOOKUP($B266,'Node Details'!$B:$U,E$1,0),"Check"),"")</f>
        <v>Airtel</v>
      </c>
      <c r="F266" s="97">
        <v>45379</v>
      </c>
      <c r="G266" s="77"/>
      <c r="H266" s="92" t="s">
        <v>225</v>
      </c>
      <c r="I266" s="93">
        <v>2</v>
      </c>
      <c r="J266" s="93">
        <v>70</v>
      </c>
      <c r="K266" s="82">
        <f t="shared" si="28"/>
        <v>140</v>
      </c>
      <c r="L266" s="81"/>
      <c r="M266" s="77"/>
      <c r="N266" s="83"/>
      <c r="O266" s="79"/>
      <c r="P266" s="85">
        <f t="shared" si="29"/>
        <v>70</v>
      </c>
      <c r="Q266" s="86">
        <f t="shared" si="30"/>
        <v>140</v>
      </c>
      <c r="R266" s="76"/>
      <c r="S266" s="87" t="s">
        <v>88</v>
      </c>
      <c r="T266" s="80"/>
      <c r="U266" s="85">
        <f t="shared" si="31"/>
        <v>70</v>
      </c>
      <c r="V266" s="85">
        <f t="shared" si="32"/>
        <v>2</v>
      </c>
      <c r="W266" s="88">
        <f t="shared" si="33"/>
        <v>140</v>
      </c>
      <c r="X266" s="98" t="s">
        <v>86</v>
      </c>
      <c r="Y266" s="78" t="s">
        <v>81</v>
      </c>
    </row>
    <row r="267" spans="1:25" s="78" customFormat="1" ht="11.1" customHeight="1" x14ac:dyDescent="0.2">
      <c r="A267" s="71">
        <f t="shared" si="34"/>
        <v>265</v>
      </c>
      <c r="B267" s="90" t="s">
        <v>192</v>
      </c>
      <c r="C267" s="82" t="str">
        <f>IF($B267&lt;&gt;"",_xlfn.IFNA(VLOOKUP($B267,'Node Details'!$B:$U,C$1,0),"Check"),"")</f>
        <v>00001GF22-1GF210102</v>
      </c>
      <c r="D267" s="82" t="str">
        <f>IF($B267&lt;&gt;"",_xlfn.IFNA(VLOOKUP($B267,'Node Details'!$B:$U,D$1,0),"Check"),"")</f>
        <v>1GF</v>
      </c>
      <c r="E267" s="82" t="str">
        <f>IF($B267&lt;&gt;"",_xlfn.IFNA(VLOOKUP($B267,'Node Details'!$B:$U,E$1,0),"Check"),"")</f>
        <v>Airtel</v>
      </c>
      <c r="F267" s="97">
        <v>45379</v>
      </c>
      <c r="G267" s="77"/>
      <c r="H267" s="92" t="s">
        <v>225</v>
      </c>
      <c r="I267" s="93">
        <v>2</v>
      </c>
      <c r="J267" s="93">
        <v>70</v>
      </c>
      <c r="K267" s="82">
        <f t="shared" si="28"/>
        <v>140</v>
      </c>
      <c r="L267" s="81"/>
      <c r="M267" s="77"/>
      <c r="N267" s="83"/>
      <c r="O267" s="79"/>
      <c r="P267" s="85">
        <f t="shared" si="29"/>
        <v>70</v>
      </c>
      <c r="Q267" s="86">
        <f t="shared" si="30"/>
        <v>140</v>
      </c>
      <c r="R267" s="76"/>
      <c r="S267" s="87" t="s">
        <v>88</v>
      </c>
      <c r="T267" s="80"/>
      <c r="U267" s="85">
        <f t="shared" si="31"/>
        <v>70</v>
      </c>
      <c r="V267" s="85">
        <f t="shared" si="32"/>
        <v>2</v>
      </c>
      <c r="W267" s="88">
        <f t="shared" si="33"/>
        <v>140</v>
      </c>
      <c r="X267" s="98" t="s">
        <v>86</v>
      </c>
      <c r="Y267" s="78" t="s">
        <v>81</v>
      </c>
    </row>
    <row r="268" spans="1:25" s="78" customFormat="1" ht="11.1" customHeight="1" x14ac:dyDescent="0.2">
      <c r="A268" s="71">
        <f t="shared" si="34"/>
        <v>266</v>
      </c>
      <c r="B268" s="90" t="s">
        <v>194</v>
      </c>
      <c r="C268" s="82" t="str">
        <f>IF($B268&lt;&gt;"",_xlfn.IFNA(VLOOKUP($B268,'Node Details'!$B:$U,C$1,0),"Check"),"")</f>
        <v>00001GF22-1GF210102</v>
      </c>
      <c r="D268" s="82" t="str">
        <f>IF($B268&lt;&gt;"",_xlfn.IFNA(VLOOKUP($B268,'Node Details'!$B:$U,D$1,0),"Check"),"")</f>
        <v>1GF</v>
      </c>
      <c r="E268" s="82" t="str">
        <f>IF($B268&lt;&gt;"",_xlfn.IFNA(VLOOKUP($B268,'Node Details'!$B:$U,E$1,0),"Check"),"")</f>
        <v>Airtel</v>
      </c>
      <c r="F268" s="97">
        <v>45379</v>
      </c>
      <c r="G268" s="77"/>
      <c r="H268" s="92" t="s">
        <v>225</v>
      </c>
      <c r="I268" s="93">
        <v>1</v>
      </c>
      <c r="J268" s="93">
        <v>70</v>
      </c>
      <c r="K268" s="82">
        <f t="shared" si="28"/>
        <v>70</v>
      </c>
      <c r="L268" s="81"/>
      <c r="M268" s="77"/>
      <c r="N268" s="83"/>
      <c r="O268" s="79"/>
      <c r="P268" s="85">
        <f t="shared" si="29"/>
        <v>70</v>
      </c>
      <c r="Q268" s="86">
        <f t="shared" si="30"/>
        <v>70</v>
      </c>
      <c r="R268" s="76"/>
      <c r="S268" s="87" t="s">
        <v>88</v>
      </c>
      <c r="T268" s="80"/>
      <c r="U268" s="85">
        <f t="shared" si="31"/>
        <v>70</v>
      </c>
      <c r="V268" s="85">
        <f t="shared" si="32"/>
        <v>1</v>
      </c>
      <c r="W268" s="88">
        <f t="shared" si="33"/>
        <v>70</v>
      </c>
      <c r="X268" s="98" t="s">
        <v>86</v>
      </c>
      <c r="Y268" s="78" t="s">
        <v>81</v>
      </c>
    </row>
    <row r="269" spans="1:25" s="78" customFormat="1" ht="11.1" customHeight="1" x14ac:dyDescent="0.2">
      <c r="A269" s="71">
        <f t="shared" si="34"/>
        <v>267</v>
      </c>
      <c r="B269" s="90" t="s">
        <v>199</v>
      </c>
      <c r="C269" s="82" t="str">
        <f>IF($B269&lt;&gt;"",_xlfn.IFNA(VLOOKUP($B269,'Node Details'!$B:$U,C$1,0),"Check"),"")</f>
        <v>00001GF12-1GF120106</v>
      </c>
      <c r="D269" s="82" t="str">
        <f>IF($B269&lt;&gt;"",_xlfn.IFNA(VLOOKUP($B269,'Node Details'!$B:$U,D$1,0),"Check"),"")</f>
        <v>1GF</v>
      </c>
      <c r="E269" s="82" t="str">
        <f>IF($B269&lt;&gt;"",_xlfn.IFNA(VLOOKUP($B269,'Node Details'!$B:$U,E$1,0),"Check"),"")</f>
        <v>Airtel</v>
      </c>
      <c r="F269" s="97">
        <v>45092</v>
      </c>
      <c r="G269" s="77"/>
      <c r="H269" s="92" t="s">
        <v>221</v>
      </c>
      <c r="I269" s="93">
        <v>1</v>
      </c>
      <c r="J269" s="93">
        <v>500</v>
      </c>
      <c r="K269" s="82">
        <f t="shared" si="28"/>
        <v>500</v>
      </c>
      <c r="L269" s="81"/>
      <c r="M269" s="77"/>
      <c r="N269" s="98" t="s">
        <v>141</v>
      </c>
      <c r="O269" s="112">
        <v>45461</v>
      </c>
      <c r="P269" s="85">
        <f t="shared" si="29"/>
        <v>500</v>
      </c>
      <c r="Q269" s="86">
        <f t="shared" si="30"/>
        <v>500</v>
      </c>
      <c r="R269" s="76"/>
      <c r="S269" s="98" t="s">
        <v>142</v>
      </c>
      <c r="T269" s="99">
        <v>45461</v>
      </c>
      <c r="U269" s="85">
        <f t="shared" si="31"/>
        <v>500</v>
      </c>
      <c r="V269" s="85">
        <f t="shared" si="32"/>
        <v>1</v>
      </c>
      <c r="W269" s="88">
        <f t="shared" si="33"/>
        <v>500</v>
      </c>
      <c r="X269" s="98" t="s">
        <v>86</v>
      </c>
      <c r="Y269" s="78" t="s">
        <v>81</v>
      </c>
    </row>
    <row r="270" spans="1:25" s="78" customFormat="1" ht="11.1" customHeight="1" x14ac:dyDescent="0.2">
      <c r="A270" s="71">
        <f t="shared" si="34"/>
        <v>268</v>
      </c>
      <c r="B270" s="90" t="s">
        <v>200</v>
      </c>
      <c r="C270" s="82" t="str">
        <f>IF($B270&lt;&gt;"",_xlfn.IFNA(VLOOKUP($B270,'Node Details'!$B:$U,C$1,0),"Check"),"")</f>
        <v>00001GF12-1GF120106</v>
      </c>
      <c r="D270" s="82" t="str">
        <f>IF($B270&lt;&gt;"",_xlfn.IFNA(VLOOKUP($B270,'Node Details'!$B:$U,D$1,0),"Check"),"")</f>
        <v>1GF</v>
      </c>
      <c r="E270" s="82" t="str">
        <f>IF($B270&lt;&gt;"",_xlfn.IFNA(VLOOKUP($B270,'Node Details'!$B:$U,E$1,0),"Check"),"")</f>
        <v>Airtel</v>
      </c>
      <c r="F270" s="97">
        <v>45092</v>
      </c>
      <c r="G270" s="77"/>
      <c r="H270" s="92" t="s">
        <v>221</v>
      </c>
      <c r="I270" s="93">
        <v>1</v>
      </c>
      <c r="J270" s="93">
        <v>500</v>
      </c>
      <c r="K270" s="82">
        <f t="shared" si="28"/>
        <v>500</v>
      </c>
      <c r="L270" s="81"/>
      <c r="M270" s="77"/>
      <c r="N270" s="98" t="s">
        <v>141</v>
      </c>
      <c r="O270" s="112">
        <v>45461</v>
      </c>
      <c r="P270" s="85">
        <f t="shared" si="29"/>
        <v>500</v>
      </c>
      <c r="Q270" s="86">
        <f t="shared" si="30"/>
        <v>500</v>
      </c>
      <c r="R270" s="76"/>
      <c r="S270" s="98" t="s">
        <v>142</v>
      </c>
      <c r="T270" s="99">
        <v>45461</v>
      </c>
      <c r="U270" s="85">
        <f t="shared" si="31"/>
        <v>500</v>
      </c>
      <c r="V270" s="85">
        <f t="shared" si="32"/>
        <v>1</v>
      </c>
      <c r="W270" s="88">
        <f t="shared" si="33"/>
        <v>500</v>
      </c>
      <c r="X270" s="98" t="s">
        <v>86</v>
      </c>
      <c r="Y270" s="78" t="s">
        <v>81</v>
      </c>
    </row>
    <row r="271" spans="1:25" s="78" customFormat="1" ht="11.1" customHeight="1" x14ac:dyDescent="0.2">
      <c r="A271" s="71">
        <f t="shared" si="34"/>
        <v>269</v>
      </c>
      <c r="B271" s="90" t="s">
        <v>199</v>
      </c>
      <c r="C271" s="82" t="str">
        <f>IF($B271&lt;&gt;"",_xlfn.IFNA(VLOOKUP($B271,'Node Details'!$B:$U,C$1,0),"Check"),"")</f>
        <v>00001GF12-1GF120106</v>
      </c>
      <c r="D271" s="82" t="str">
        <f>IF($B271&lt;&gt;"",_xlfn.IFNA(VLOOKUP($B271,'Node Details'!$B:$U,D$1,0),"Check"),"")</f>
        <v>1GF</v>
      </c>
      <c r="E271" s="82" t="str">
        <f>IF($B271&lt;&gt;"",_xlfn.IFNA(VLOOKUP($B271,'Node Details'!$B:$U,E$1,0),"Check"),"")</f>
        <v>Airtel</v>
      </c>
      <c r="F271" s="97">
        <v>45092</v>
      </c>
      <c r="G271" s="77"/>
      <c r="H271" s="92" t="s">
        <v>225</v>
      </c>
      <c r="I271" s="93">
        <v>12</v>
      </c>
      <c r="J271" s="93">
        <v>70</v>
      </c>
      <c r="K271" s="82">
        <f t="shared" si="28"/>
        <v>840</v>
      </c>
      <c r="L271" s="81"/>
      <c r="M271" s="77"/>
      <c r="N271" s="98" t="s">
        <v>141</v>
      </c>
      <c r="O271" s="112">
        <v>45461</v>
      </c>
      <c r="P271" s="85">
        <f t="shared" si="29"/>
        <v>70</v>
      </c>
      <c r="Q271" s="86">
        <f t="shared" si="30"/>
        <v>840</v>
      </c>
      <c r="R271" s="76"/>
      <c r="S271" s="98" t="s">
        <v>142</v>
      </c>
      <c r="T271" s="99">
        <v>45461</v>
      </c>
      <c r="U271" s="85">
        <f t="shared" si="31"/>
        <v>70</v>
      </c>
      <c r="V271" s="85">
        <f t="shared" si="32"/>
        <v>12</v>
      </c>
      <c r="W271" s="88">
        <f t="shared" si="33"/>
        <v>840</v>
      </c>
      <c r="X271" s="98" t="s">
        <v>86</v>
      </c>
      <c r="Y271" s="78" t="s">
        <v>81</v>
      </c>
    </row>
    <row r="272" spans="1:25" s="78" customFormat="1" ht="11.1" customHeight="1" x14ac:dyDescent="0.2">
      <c r="A272" s="71">
        <f t="shared" si="34"/>
        <v>270</v>
      </c>
      <c r="B272" s="90" t="s">
        <v>200</v>
      </c>
      <c r="C272" s="82" t="str">
        <f>IF($B272&lt;&gt;"",_xlfn.IFNA(VLOOKUP($B272,'Node Details'!$B:$U,C$1,0),"Check"),"")</f>
        <v>00001GF12-1GF120106</v>
      </c>
      <c r="D272" s="82" t="str">
        <f>IF($B272&lt;&gt;"",_xlfn.IFNA(VLOOKUP($B272,'Node Details'!$B:$U,D$1,0),"Check"),"")</f>
        <v>1GF</v>
      </c>
      <c r="E272" s="82" t="str">
        <f>IF($B272&lt;&gt;"",_xlfn.IFNA(VLOOKUP($B272,'Node Details'!$B:$U,E$1,0),"Check"),"")</f>
        <v>Airtel</v>
      </c>
      <c r="F272" s="97">
        <v>45092</v>
      </c>
      <c r="G272" s="77"/>
      <c r="H272" s="92" t="s">
        <v>225</v>
      </c>
      <c r="I272" s="93">
        <v>12</v>
      </c>
      <c r="J272" s="93">
        <v>70</v>
      </c>
      <c r="K272" s="82">
        <f t="shared" si="28"/>
        <v>840</v>
      </c>
      <c r="L272" s="81"/>
      <c r="M272" s="77"/>
      <c r="N272" s="98" t="s">
        <v>141</v>
      </c>
      <c r="O272" s="112">
        <v>45461</v>
      </c>
      <c r="P272" s="85">
        <f t="shared" si="29"/>
        <v>70</v>
      </c>
      <c r="Q272" s="86">
        <f t="shared" si="30"/>
        <v>840</v>
      </c>
      <c r="R272" s="76"/>
      <c r="S272" s="98" t="s">
        <v>142</v>
      </c>
      <c r="T272" s="99">
        <v>45461</v>
      </c>
      <c r="U272" s="85">
        <f t="shared" si="31"/>
        <v>70</v>
      </c>
      <c r="V272" s="85">
        <f t="shared" si="32"/>
        <v>12</v>
      </c>
      <c r="W272" s="88">
        <f t="shared" si="33"/>
        <v>840</v>
      </c>
      <c r="X272" s="98" t="s">
        <v>86</v>
      </c>
      <c r="Y272" s="78" t="s">
        <v>81</v>
      </c>
    </row>
    <row r="273" spans="1:25" s="78" customFormat="1" ht="11.1" customHeight="1" x14ac:dyDescent="0.2">
      <c r="A273" s="71">
        <f t="shared" si="34"/>
        <v>271</v>
      </c>
      <c r="B273" s="90" t="s">
        <v>138</v>
      </c>
      <c r="C273" s="82" t="str">
        <f>IF($B273&lt;&gt;"",_xlfn.IFNA(VLOOKUP($B273,'Node Details'!$B:$U,C$1,0),"Check"),"")</f>
        <v>00001GF12-1GF120106</v>
      </c>
      <c r="D273" s="82" t="str">
        <f>IF($B273&lt;&gt;"",_xlfn.IFNA(VLOOKUP($B273,'Node Details'!$B:$U,D$1,0),"Check"),"")</f>
        <v>1GF</v>
      </c>
      <c r="E273" s="82" t="str">
        <f>IF($B273&lt;&gt;"",_xlfn.IFNA(VLOOKUP($B273,'Node Details'!$B:$U,E$1,0),"Check"),"")</f>
        <v>Airtel</v>
      </c>
      <c r="F273" s="97">
        <v>45092</v>
      </c>
      <c r="G273" s="77"/>
      <c r="H273" s="92" t="s">
        <v>221</v>
      </c>
      <c r="I273" s="93">
        <v>1</v>
      </c>
      <c r="J273" s="93">
        <v>500</v>
      </c>
      <c r="K273" s="82">
        <f t="shared" si="28"/>
        <v>500</v>
      </c>
      <c r="L273" s="81"/>
      <c r="M273" s="77"/>
      <c r="N273" s="98" t="s">
        <v>141</v>
      </c>
      <c r="O273" s="112">
        <v>45461</v>
      </c>
      <c r="P273" s="85">
        <f t="shared" si="29"/>
        <v>500</v>
      </c>
      <c r="Q273" s="86">
        <f t="shared" si="30"/>
        <v>500</v>
      </c>
      <c r="R273" s="76"/>
      <c r="S273" s="98" t="s">
        <v>142</v>
      </c>
      <c r="T273" s="99">
        <v>45461</v>
      </c>
      <c r="U273" s="85">
        <f t="shared" si="31"/>
        <v>500</v>
      </c>
      <c r="V273" s="85">
        <f t="shared" si="32"/>
        <v>1</v>
      </c>
      <c r="W273" s="88">
        <f t="shared" si="33"/>
        <v>500</v>
      </c>
      <c r="X273" s="98" t="s">
        <v>86</v>
      </c>
      <c r="Y273" s="78" t="s">
        <v>81</v>
      </c>
    </row>
    <row r="274" spans="1:25" s="78" customFormat="1" ht="11.1" customHeight="1" x14ac:dyDescent="0.2">
      <c r="A274" s="71">
        <f t="shared" si="34"/>
        <v>272</v>
      </c>
      <c r="B274" s="90" t="s">
        <v>201</v>
      </c>
      <c r="C274" s="82" t="str">
        <f>IF($B274&lt;&gt;"",_xlfn.IFNA(VLOOKUP($B274,'Node Details'!$B:$U,C$1,0),"Check"),"")</f>
        <v>00001GF12-1GF120106</v>
      </c>
      <c r="D274" s="82" t="str">
        <f>IF($B274&lt;&gt;"",_xlfn.IFNA(VLOOKUP($B274,'Node Details'!$B:$U,D$1,0),"Check"),"")</f>
        <v>1GF</v>
      </c>
      <c r="E274" s="82" t="str">
        <f>IF($B274&lt;&gt;"",_xlfn.IFNA(VLOOKUP($B274,'Node Details'!$B:$U,E$1,0),"Check"),"")</f>
        <v>Airtel</v>
      </c>
      <c r="F274" s="97">
        <v>45092</v>
      </c>
      <c r="G274" s="77"/>
      <c r="H274" s="92" t="s">
        <v>221</v>
      </c>
      <c r="I274" s="93">
        <v>1</v>
      </c>
      <c r="J274" s="93">
        <v>500</v>
      </c>
      <c r="K274" s="82">
        <f t="shared" si="28"/>
        <v>500</v>
      </c>
      <c r="L274" s="81"/>
      <c r="M274" s="77"/>
      <c r="N274" s="98" t="s">
        <v>141</v>
      </c>
      <c r="O274" s="112">
        <v>45461</v>
      </c>
      <c r="P274" s="85">
        <f t="shared" si="29"/>
        <v>500</v>
      </c>
      <c r="Q274" s="86">
        <f t="shared" si="30"/>
        <v>500</v>
      </c>
      <c r="R274" s="76"/>
      <c r="S274" s="98" t="s">
        <v>142</v>
      </c>
      <c r="T274" s="99">
        <v>45461</v>
      </c>
      <c r="U274" s="85">
        <f t="shared" si="31"/>
        <v>500</v>
      </c>
      <c r="V274" s="85">
        <f t="shared" si="32"/>
        <v>1</v>
      </c>
      <c r="W274" s="88">
        <f t="shared" si="33"/>
        <v>500</v>
      </c>
      <c r="X274" s="98" t="s">
        <v>86</v>
      </c>
      <c r="Y274" s="78" t="s">
        <v>81</v>
      </c>
    </row>
    <row r="275" spans="1:25" s="78" customFormat="1" ht="11.1" customHeight="1" x14ac:dyDescent="0.2">
      <c r="A275" s="71">
        <f t="shared" si="34"/>
        <v>273</v>
      </c>
      <c r="B275" s="90" t="s">
        <v>140</v>
      </c>
      <c r="C275" s="82" t="str">
        <f>IF($B275&lt;&gt;"",_xlfn.IFNA(VLOOKUP($B275,'Node Details'!$B:$U,C$1,0),"Check"),"")</f>
        <v>00001GF12-1GF120106</v>
      </c>
      <c r="D275" s="82" t="str">
        <f>IF($B275&lt;&gt;"",_xlfn.IFNA(VLOOKUP($B275,'Node Details'!$B:$U,D$1,0),"Check"),"")</f>
        <v>1GF</v>
      </c>
      <c r="E275" s="82" t="str">
        <f>IF($B275&lt;&gt;"",_xlfn.IFNA(VLOOKUP($B275,'Node Details'!$B:$U,E$1,0),"Check"),"")</f>
        <v>Airtel</v>
      </c>
      <c r="F275" s="97">
        <v>45092</v>
      </c>
      <c r="G275" s="77"/>
      <c r="H275" s="92" t="s">
        <v>221</v>
      </c>
      <c r="I275" s="93">
        <v>1</v>
      </c>
      <c r="J275" s="93">
        <v>500</v>
      </c>
      <c r="K275" s="82">
        <f t="shared" si="28"/>
        <v>500</v>
      </c>
      <c r="L275" s="81"/>
      <c r="M275" s="77"/>
      <c r="N275" s="98" t="s">
        <v>141</v>
      </c>
      <c r="O275" s="112">
        <v>45461</v>
      </c>
      <c r="P275" s="85">
        <f t="shared" si="29"/>
        <v>500</v>
      </c>
      <c r="Q275" s="86">
        <f t="shared" si="30"/>
        <v>500</v>
      </c>
      <c r="R275" s="76"/>
      <c r="S275" s="98" t="s">
        <v>142</v>
      </c>
      <c r="T275" s="99">
        <v>45461</v>
      </c>
      <c r="U275" s="85">
        <f t="shared" si="31"/>
        <v>500</v>
      </c>
      <c r="V275" s="85">
        <f t="shared" si="32"/>
        <v>1</v>
      </c>
      <c r="W275" s="88">
        <f t="shared" si="33"/>
        <v>500</v>
      </c>
      <c r="X275" s="98" t="s">
        <v>86</v>
      </c>
      <c r="Y275" s="78" t="s">
        <v>81</v>
      </c>
    </row>
    <row r="276" spans="1:25" s="78" customFormat="1" ht="11.1" customHeight="1" x14ac:dyDescent="0.2">
      <c r="A276" s="71">
        <f t="shared" si="34"/>
        <v>274</v>
      </c>
      <c r="B276" s="90" t="s">
        <v>144</v>
      </c>
      <c r="C276" s="82" t="str">
        <f>IF($B276&lt;&gt;"",_xlfn.IFNA(VLOOKUP($B276,'Node Details'!$B:$U,C$1,0),"Check"),"")</f>
        <v>00001GF12-1GF120106</v>
      </c>
      <c r="D276" s="82" t="str">
        <f>IF($B276&lt;&gt;"",_xlfn.IFNA(VLOOKUP($B276,'Node Details'!$B:$U,D$1,0),"Check"),"")</f>
        <v>1GF</v>
      </c>
      <c r="E276" s="82" t="str">
        <f>IF($B276&lt;&gt;"",_xlfn.IFNA(VLOOKUP($B276,'Node Details'!$B:$U,E$1,0),"Check"),"")</f>
        <v>Airtel</v>
      </c>
      <c r="F276" s="97">
        <v>45092</v>
      </c>
      <c r="G276" s="77"/>
      <c r="H276" s="92" t="s">
        <v>221</v>
      </c>
      <c r="I276" s="93">
        <v>1</v>
      </c>
      <c r="J276" s="93">
        <v>500</v>
      </c>
      <c r="K276" s="82">
        <f t="shared" si="28"/>
        <v>500</v>
      </c>
      <c r="L276" s="81"/>
      <c r="M276" s="77"/>
      <c r="N276" s="98" t="s">
        <v>141</v>
      </c>
      <c r="O276" s="112">
        <v>45461</v>
      </c>
      <c r="P276" s="85">
        <f t="shared" si="29"/>
        <v>500</v>
      </c>
      <c r="Q276" s="86">
        <f t="shared" si="30"/>
        <v>500</v>
      </c>
      <c r="R276" s="76"/>
      <c r="S276" s="98" t="s">
        <v>142</v>
      </c>
      <c r="T276" s="99">
        <v>45461</v>
      </c>
      <c r="U276" s="85">
        <f t="shared" si="31"/>
        <v>500</v>
      </c>
      <c r="V276" s="85">
        <f t="shared" si="32"/>
        <v>1</v>
      </c>
      <c r="W276" s="88">
        <f t="shared" si="33"/>
        <v>500</v>
      </c>
      <c r="X276" s="98" t="s">
        <v>86</v>
      </c>
      <c r="Y276" s="78" t="s">
        <v>81</v>
      </c>
    </row>
    <row r="277" spans="1:25" s="78" customFormat="1" ht="11.1" customHeight="1" x14ac:dyDescent="0.2">
      <c r="A277" s="71">
        <f t="shared" si="34"/>
        <v>275</v>
      </c>
      <c r="B277" s="90" t="s">
        <v>202</v>
      </c>
      <c r="C277" s="82" t="str">
        <f>IF($B277&lt;&gt;"",_xlfn.IFNA(VLOOKUP($B277,'Node Details'!$B:$U,C$1,0),"Check"),"")</f>
        <v>00001GF12-1GF120106</v>
      </c>
      <c r="D277" s="82" t="str">
        <f>IF($B277&lt;&gt;"",_xlfn.IFNA(VLOOKUP($B277,'Node Details'!$B:$U,D$1,0),"Check"),"")</f>
        <v>1GF</v>
      </c>
      <c r="E277" s="82" t="str">
        <f>IF($B277&lt;&gt;"",_xlfn.IFNA(VLOOKUP($B277,'Node Details'!$B:$U,E$1,0),"Check"),"")</f>
        <v>Airtel</v>
      </c>
      <c r="F277" s="97">
        <v>45092</v>
      </c>
      <c r="G277" s="77"/>
      <c r="H277" s="92" t="s">
        <v>221</v>
      </c>
      <c r="I277" s="93">
        <v>1</v>
      </c>
      <c r="J277" s="93">
        <v>500</v>
      </c>
      <c r="K277" s="82">
        <f t="shared" si="28"/>
        <v>500</v>
      </c>
      <c r="L277" s="81"/>
      <c r="M277" s="77"/>
      <c r="N277" s="98" t="s">
        <v>141</v>
      </c>
      <c r="O277" s="112">
        <v>45461</v>
      </c>
      <c r="P277" s="85">
        <f t="shared" si="29"/>
        <v>500</v>
      </c>
      <c r="Q277" s="86">
        <f t="shared" si="30"/>
        <v>500</v>
      </c>
      <c r="R277" s="76"/>
      <c r="S277" s="98" t="s">
        <v>142</v>
      </c>
      <c r="T277" s="99">
        <v>45461</v>
      </c>
      <c r="U277" s="85">
        <f t="shared" si="31"/>
        <v>500</v>
      </c>
      <c r="V277" s="85">
        <f t="shared" si="32"/>
        <v>1</v>
      </c>
      <c r="W277" s="88">
        <f t="shared" si="33"/>
        <v>500</v>
      </c>
      <c r="X277" s="98" t="s">
        <v>86</v>
      </c>
      <c r="Y277" s="78" t="s">
        <v>81</v>
      </c>
    </row>
    <row r="278" spans="1:25" s="78" customFormat="1" ht="11.1" customHeight="1" x14ac:dyDescent="0.2">
      <c r="A278" s="71">
        <f t="shared" si="34"/>
        <v>276</v>
      </c>
      <c r="B278" s="90" t="s">
        <v>203</v>
      </c>
      <c r="C278" s="82" t="str">
        <f>IF($B278&lt;&gt;"",_xlfn.IFNA(VLOOKUP($B278,'Node Details'!$B:$U,C$1,0),"Check"),"")</f>
        <v>00001GF12-1GF120106</v>
      </c>
      <c r="D278" s="82" t="str">
        <f>IF($B278&lt;&gt;"",_xlfn.IFNA(VLOOKUP($B278,'Node Details'!$B:$U,D$1,0),"Check"),"")</f>
        <v>1GF</v>
      </c>
      <c r="E278" s="82" t="str">
        <f>IF($B278&lt;&gt;"",_xlfn.IFNA(VLOOKUP($B278,'Node Details'!$B:$U,E$1,0),"Check"),"")</f>
        <v>Airtel</v>
      </c>
      <c r="F278" s="97">
        <v>45092</v>
      </c>
      <c r="G278" s="77"/>
      <c r="H278" s="92" t="s">
        <v>221</v>
      </c>
      <c r="I278" s="93">
        <v>1</v>
      </c>
      <c r="J278" s="93">
        <v>500</v>
      </c>
      <c r="K278" s="82">
        <f t="shared" si="28"/>
        <v>500</v>
      </c>
      <c r="L278" s="81"/>
      <c r="M278" s="77"/>
      <c r="N278" s="98" t="s">
        <v>141</v>
      </c>
      <c r="O278" s="112">
        <v>45461</v>
      </c>
      <c r="P278" s="85">
        <f t="shared" si="29"/>
        <v>500</v>
      </c>
      <c r="Q278" s="86">
        <f t="shared" si="30"/>
        <v>500</v>
      </c>
      <c r="R278" s="76"/>
      <c r="S278" s="98" t="s">
        <v>142</v>
      </c>
      <c r="T278" s="99">
        <v>45461</v>
      </c>
      <c r="U278" s="85">
        <f t="shared" si="31"/>
        <v>500</v>
      </c>
      <c r="V278" s="85">
        <f t="shared" si="32"/>
        <v>1</v>
      </c>
      <c r="W278" s="88">
        <f t="shared" si="33"/>
        <v>500</v>
      </c>
      <c r="X278" s="98" t="s">
        <v>86</v>
      </c>
      <c r="Y278" s="78" t="s">
        <v>81</v>
      </c>
    </row>
    <row r="279" spans="1:25" s="78" customFormat="1" ht="11.1" customHeight="1" x14ac:dyDescent="0.2">
      <c r="A279" s="71">
        <f t="shared" si="34"/>
        <v>277</v>
      </c>
      <c r="B279" s="79" t="s">
        <v>138</v>
      </c>
      <c r="C279" s="82" t="str">
        <f>IF($B279&lt;&gt;"",_xlfn.IFNA(VLOOKUP($B279,'Node Details'!$B:$U,C$1,0),"Check"),"")</f>
        <v>00001GF12-1GF120106</v>
      </c>
      <c r="D279" s="82" t="str">
        <f>IF($B279&lt;&gt;"",_xlfn.IFNA(VLOOKUP($B279,'Node Details'!$B:$U,D$1,0),"Check"),"")</f>
        <v>1GF</v>
      </c>
      <c r="E279" s="82" t="str">
        <f>IF($B279&lt;&gt;"",_xlfn.IFNA(VLOOKUP($B279,'Node Details'!$B:$U,E$1,0),"Check"),"")</f>
        <v>Airtel</v>
      </c>
      <c r="F279" s="97">
        <v>45092</v>
      </c>
      <c r="G279" s="77"/>
      <c r="H279" s="92" t="s">
        <v>225</v>
      </c>
      <c r="I279" s="93">
        <v>8</v>
      </c>
      <c r="J279" s="93">
        <v>70</v>
      </c>
      <c r="K279" s="82">
        <f t="shared" si="28"/>
        <v>560</v>
      </c>
      <c r="L279" s="81"/>
      <c r="M279" s="77"/>
      <c r="N279" s="98" t="s">
        <v>141</v>
      </c>
      <c r="O279" s="112">
        <v>45461</v>
      </c>
      <c r="P279" s="85">
        <f t="shared" si="29"/>
        <v>70</v>
      </c>
      <c r="Q279" s="86">
        <f t="shared" si="30"/>
        <v>560</v>
      </c>
      <c r="R279" s="76"/>
      <c r="S279" s="98" t="s">
        <v>142</v>
      </c>
      <c r="T279" s="99">
        <v>45461</v>
      </c>
      <c r="U279" s="85">
        <f t="shared" si="31"/>
        <v>70</v>
      </c>
      <c r="V279" s="85">
        <f t="shared" si="32"/>
        <v>8</v>
      </c>
      <c r="W279" s="88">
        <f t="shared" si="33"/>
        <v>560</v>
      </c>
      <c r="X279" s="98" t="s">
        <v>86</v>
      </c>
      <c r="Y279" s="78" t="s">
        <v>81</v>
      </c>
    </row>
    <row r="280" spans="1:25" s="78" customFormat="1" ht="11.1" customHeight="1" x14ac:dyDescent="0.2">
      <c r="A280" s="71">
        <f t="shared" si="34"/>
        <v>278</v>
      </c>
      <c r="B280" s="79" t="s">
        <v>201</v>
      </c>
      <c r="C280" s="82" t="str">
        <f>IF($B280&lt;&gt;"",_xlfn.IFNA(VLOOKUP($B280,'Node Details'!$B:$U,C$1,0),"Check"),"")</f>
        <v>00001GF12-1GF120106</v>
      </c>
      <c r="D280" s="82" t="str">
        <f>IF($B280&lt;&gt;"",_xlfn.IFNA(VLOOKUP($B280,'Node Details'!$B:$U,D$1,0),"Check"),"")</f>
        <v>1GF</v>
      </c>
      <c r="E280" s="82" t="str">
        <f>IF($B280&lt;&gt;"",_xlfn.IFNA(VLOOKUP($B280,'Node Details'!$B:$U,E$1,0),"Check"),"")</f>
        <v>Airtel</v>
      </c>
      <c r="F280" s="97">
        <v>45092</v>
      </c>
      <c r="G280" s="77"/>
      <c r="H280" s="92" t="s">
        <v>225</v>
      </c>
      <c r="I280" s="93">
        <v>8</v>
      </c>
      <c r="J280" s="93">
        <v>70</v>
      </c>
      <c r="K280" s="82">
        <f t="shared" si="28"/>
        <v>560</v>
      </c>
      <c r="L280" s="81"/>
      <c r="M280" s="77"/>
      <c r="N280" s="98" t="s">
        <v>141</v>
      </c>
      <c r="O280" s="112">
        <v>45461</v>
      </c>
      <c r="P280" s="85">
        <f t="shared" si="29"/>
        <v>70</v>
      </c>
      <c r="Q280" s="86">
        <f t="shared" si="30"/>
        <v>560</v>
      </c>
      <c r="R280" s="76"/>
      <c r="S280" s="98" t="s">
        <v>142</v>
      </c>
      <c r="T280" s="99">
        <v>45461</v>
      </c>
      <c r="U280" s="85">
        <f t="shared" si="31"/>
        <v>70</v>
      </c>
      <c r="V280" s="85">
        <f t="shared" si="32"/>
        <v>8</v>
      </c>
      <c r="W280" s="88">
        <f t="shared" si="33"/>
        <v>560</v>
      </c>
      <c r="X280" s="98" t="s">
        <v>86</v>
      </c>
      <c r="Y280" s="78" t="s">
        <v>81</v>
      </c>
    </row>
    <row r="281" spans="1:25" s="78" customFormat="1" ht="11.1" customHeight="1" x14ac:dyDescent="0.2">
      <c r="A281" s="71">
        <f t="shared" si="34"/>
        <v>279</v>
      </c>
      <c r="B281" s="79" t="s">
        <v>140</v>
      </c>
      <c r="C281" s="82" t="str">
        <f>IF($B281&lt;&gt;"",_xlfn.IFNA(VLOOKUP($B281,'Node Details'!$B:$U,C$1,0),"Check"),"")</f>
        <v>00001GF12-1GF120106</v>
      </c>
      <c r="D281" s="82" t="str">
        <f>IF($B281&lt;&gt;"",_xlfn.IFNA(VLOOKUP($B281,'Node Details'!$B:$U,D$1,0),"Check"),"")</f>
        <v>1GF</v>
      </c>
      <c r="E281" s="82" t="str">
        <f>IF($B281&lt;&gt;"",_xlfn.IFNA(VLOOKUP($B281,'Node Details'!$B:$U,E$1,0),"Check"),"")</f>
        <v>Airtel</v>
      </c>
      <c r="F281" s="97">
        <v>45092</v>
      </c>
      <c r="G281" s="77"/>
      <c r="H281" s="92" t="s">
        <v>225</v>
      </c>
      <c r="I281" s="93">
        <v>8</v>
      </c>
      <c r="J281" s="93">
        <v>70</v>
      </c>
      <c r="K281" s="82">
        <f t="shared" si="28"/>
        <v>560</v>
      </c>
      <c r="L281" s="81"/>
      <c r="M281" s="77"/>
      <c r="N281" s="98" t="s">
        <v>141</v>
      </c>
      <c r="O281" s="112">
        <v>45461</v>
      </c>
      <c r="P281" s="85">
        <f t="shared" si="29"/>
        <v>70</v>
      </c>
      <c r="Q281" s="86">
        <f t="shared" si="30"/>
        <v>560</v>
      </c>
      <c r="R281" s="76"/>
      <c r="S281" s="98" t="s">
        <v>142</v>
      </c>
      <c r="T281" s="99">
        <v>45461</v>
      </c>
      <c r="U281" s="85">
        <f t="shared" si="31"/>
        <v>70</v>
      </c>
      <c r="V281" s="85">
        <f t="shared" si="32"/>
        <v>8</v>
      </c>
      <c r="W281" s="88">
        <f t="shared" si="33"/>
        <v>560</v>
      </c>
      <c r="X281" s="98" t="s">
        <v>86</v>
      </c>
      <c r="Y281" s="78" t="s">
        <v>81</v>
      </c>
    </row>
    <row r="282" spans="1:25" s="78" customFormat="1" ht="11.1" customHeight="1" x14ac:dyDescent="0.2">
      <c r="A282" s="71">
        <f t="shared" si="34"/>
        <v>280</v>
      </c>
      <c r="B282" s="79" t="s">
        <v>144</v>
      </c>
      <c r="C282" s="82" t="str">
        <f>IF($B282&lt;&gt;"",_xlfn.IFNA(VLOOKUP($B282,'Node Details'!$B:$U,C$1,0),"Check"),"")</f>
        <v>00001GF12-1GF120106</v>
      </c>
      <c r="D282" s="82" t="str">
        <f>IF($B282&lt;&gt;"",_xlfn.IFNA(VLOOKUP($B282,'Node Details'!$B:$U,D$1,0),"Check"),"")</f>
        <v>1GF</v>
      </c>
      <c r="E282" s="82" t="str">
        <f>IF($B282&lt;&gt;"",_xlfn.IFNA(VLOOKUP($B282,'Node Details'!$B:$U,E$1,0),"Check"),"")</f>
        <v>Airtel</v>
      </c>
      <c r="F282" s="97">
        <v>45092</v>
      </c>
      <c r="G282" s="77"/>
      <c r="H282" s="92" t="s">
        <v>225</v>
      </c>
      <c r="I282" s="93">
        <v>2</v>
      </c>
      <c r="J282" s="93">
        <v>70</v>
      </c>
      <c r="K282" s="82">
        <f t="shared" si="28"/>
        <v>140</v>
      </c>
      <c r="L282" s="81"/>
      <c r="M282" s="77"/>
      <c r="N282" s="98" t="s">
        <v>141</v>
      </c>
      <c r="O282" s="112">
        <v>45461</v>
      </c>
      <c r="P282" s="85">
        <f t="shared" si="29"/>
        <v>70</v>
      </c>
      <c r="Q282" s="86">
        <f t="shared" si="30"/>
        <v>140</v>
      </c>
      <c r="R282" s="76"/>
      <c r="S282" s="98" t="s">
        <v>142</v>
      </c>
      <c r="T282" s="99">
        <v>45461</v>
      </c>
      <c r="U282" s="85">
        <f t="shared" si="31"/>
        <v>70</v>
      </c>
      <c r="V282" s="85">
        <f t="shared" si="32"/>
        <v>2</v>
      </c>
      <c r="W282" s="88">
        <f t="shared" si="33"/>
        <v>140</v>
      </c>
      <c r="X282" s="98" t="s">
        <v>86</v>
      </c>
      <c r="Y282" s="78" t="s">
        <v>81</v>
      </c>
    </row>
    <row r="283" spans="1:25" s="78" customFormat="1" ht="11.1" customHeight="1" x14ac:dyDescent="0.2">
      <c r="A283" s="71">
        <f t="shared" si="34"/>
        <v>281</v>
      </c>
      <c r="B283" s="79" t="s">
        <v>202</v>
      </c>
      <c r="C283" s="82" t="str">
        <f>IF($B283&lt;&gt;"",_xlfn.IFNA(VLOOKUP($B283,'Node Details'!$B:$U,C$1,0),"Check"),"")</f>
        <v>00001GF12-1GF120106</v>
      </c>
      <c r="D283" s="82" t="str">
        <f>IF($B283&lt;&gt;"",_xlfn.IFNA(VLOOKUP($B283,'Node Details'!$B:$U,D$1,0),"Check"),"")</f>
        <v>1GF</v>
      </c>
      <c r="E283" s="82" t="str">
        <f>IF($B283&lt;&gt;"",_xlfn.IFNA(VLOOKUP($B283,'Node Details'!$B:$U,E$1,0),"Check"),"")</f>
        <v>Airtel</v>
      </c>
      <c r="F283" s="97">
        <v>45092</v>
      </c>
      <c r="G283" s="77"/>
      <c r="H283" s="92" t="s">
        <v>225</v>
      </c>
      <c r="I283" s="93">
        <v>2</v>
      </c>
      <c r="J283" s="93">
        <v>70</v>
      </c>
      <c r="K283" s="82">
        <f t="shared" si="28"/>
        <v>140</v>
      </c>
      <c r="L283" s="81"/>
      <c r="M283" s="77"/>
      <c r="N283" s="98" t="s">
        <v>141</v>
      </c>
      <c r="O283" s="112">
        <v>45461</v>
      </c>
      <c r="P283" s="85">
        <f t="shared" si="29"/>
        <v>70</v>
      </c>
      <c r="Q283" s="86">
        <f t="shared" si="30"/>
        <v>140</v>
      </c>
      <c r="R283" s="76"/>
      <c r="S283" s="98" t="s">
        <v>142</v>
      </c>
      <c r="T283" s="99">
        <v>45461</v>
      </c>
      <c r="U283" s="85">
        <f t="shared" si="31"/>
        <v>70</v>
      </c>
      <c r="V283" s="85">
        <f t="shared" si="32"/>
        <v>2</v>
      </c>
      <c r="W283" s="88">
        <f t="shared" si="33"/>
        <v>140</v>
      </c>
      <c r="X283" s="98" t="s">
        <v>86</v>
      </c>
      <c r="Y283" s="78" t="s">
        <v>81</v>
      </c>
    </row>
    <row r="284" spans="1:25" s="78" customFormat="1" ht="11.1" customHeight="1" x14ac:dyDescent="0.2">
      <c r="A284" s="71">
        <f t="shared" si="34"/>
        <v>282</v>
      </c>
      <c r="B284" s="79" t="s">
        <v>203</v>
      </c>
      <c r="C284" s="82" t="str">
        <f>IF($B284&lt;&gt;"",_xlfn.IFNA(VLOOKUP($B284,'Node Details'!$B:$U,C$1,0),"Check"),"")</f>
        <v>00001GF12-1GF120106</v>
      </c>
      <c r="D284" s="82" t="str">
        <f>IF($B284&lt;&gt;"",_xlfn.IFNA(VLOOKUP($B284,'Node Details'!$B:$U,D$1,0),"Check"),"")</f>
        <v>1GF</v>
      </c>
      <c r="E284" s="82" t="str">
        <f>IF($B284&lt;&gt;"",_xlfn.IFNA(VLOOKUP($B284,'Node Details'!$B:$U,E$1,0),"Check"),"")</f>
        <v>Airtel</v>
      </c>
      <c r="F284" s="97">
        <v>45092</v>
      </c>
      <c r="G284" s="77"/>
      <c r="H284" s="92" t="s">
        <v>225</v>
      </c>
      <c r="I284" s="93">
        <v>2</v>
      </c>
      <c r="J284" s="93">
        <v>70</v>
      </c>
      <c r="K284" s="82">
        <f t="shared" si="28"/>
        <v>140</v>
      </c>
      <c r="L284" s="81"/>
      <c r="M284" s="77"/>
      <c r="N284" s="98" t="s">
        <v>141</v>
      </c>
      <c r="O284" s="112">
        <v>45461</v>
      </c>
      <c r="P284" s="85">
        <f t="shared" si="29"/>
        <v>70</v>
      </c>
      <c r="Q284" s="86">
        <f t="shared" si="30"/>
        <v>140</v>
      </c>
      <c r="R284" s="76"/>
      <c r="S284" s="98" t="s">
        <v>142</v>
      </c>
      <c r="T284" s="99">
        <v>45461</v>
      </c>
      <c r="U284" s="85">
        <f t="shared" si="31"/>
        <v>70</v>
      </c>
      <c r="V284" s="85">
        <f t="shared" si="32"/>
        <v>2</v>
      </c>
      <c r="W284" s="88">
        <f t="shared" si="33"/>
        <v>140</v>
      </c>
      <c r="X284" s="98" t="s">
        <v>86</v>
      </c>
      <c r="Y284" s="78" t="s">
        <v>81</v>
      </c>
    </row>
  </sheetData>
  <conditionalFormatting sqref="B3:B61">
    <cfRule type="duplicateValues" dxfId="7" priority="7"/>
  </conditionalFormatting>
  <conditionalFormatting sqref="B73:B131">
    <cfRule type="duplicateValues" dxfId="6" priority="6"/>
  </conditionalFormatting>
  <conditionalFormatting sqref="B132:B142">
    <cfRule type="duplicateValues" dxfId="5" priority="629"/>
    <cfRule type="duplicateValues" dxfId="4" priority="630"/>
  </conditionalFormatting>
  <conditionalFormatting sqref="B144:B202">
    <cfRule type="duplicateValues" dxfId="3" priority="3"/>
  </conditionalFormatting>
  <conditionalFormatting sqref="B203:B270">
    <cfRule type="duplicateValues" dxfId="2" priority="8"/>
    <cfRule type="duplicateValues" dxfId="1" priority="9"/>
  </conditionalFormatting>
  <conditionalFormatting sqref="B271:B278">
    <cfRule type="duplicateValues" dxfId="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134C-5592-4D19-989A-3C9B6F971A3F}">
  <dimension ref="A1:V9"/>
  <sheetViews>
    <sheetView workbookViewId="0">
      <pane xSplit="4" ySplit="1" topLeftCell="E2" activePane="bottomRight" state="frozen"/>
      <selection pane="topRight" activeCell="J1" sqref="J1:K1048576"/>
      <selection pane="bottomLeft" activeCell="J1" sqref="J1:K1048576"/>
      <selection pane="bottomRight" activeCell="O2" sqref="O2:O9"/>
    </sheetView>
  </sheetViews>
  <sheetFormatPr defaultRowHeight="15" x14ac:dyDescent="0.25"/>
  <cols>
    <col min="8" max="8" width="10.28515625" bestFit="1" customWidth="1"/>
    <col min="9" max="13" width="10.28515625" customWidth="1"/>
    <col min="15" max="15" width="11.7109375" bestFit="1" customWidth="1"/>
  </cols>
  <sheetData>
    <row r="1" spans="1:22" ht="36" x14ac:dyDescent="0.25">
      <c r="A1" s="128" t="s">
        <v>226</v>
      </c>
      <c r="B1" s="128" t="s">
        <v>227</v>
      </c>
      <c r="C1" s="128" t="s">
        <v>52</v>
      </c>
      <c r="D1" s="128" t="s">
        <v>228</v>
      </c>
      <c r="E1" s="128" t="s">
        <v>229</v>
      </c>
      <c r="F1" s="128" t="s">
        <v>230</v>
      </c>
      <c r="G1" s="128" t="s">
        <v>231</v>
      </c>
      <c r="H1" s="128" t="s">
        <v>55</v>
      </c>
      <c r="I1" s="128" t="s">
        <v>232</v>
      </c>
      <c r="J1" s="128" t="s">
        <v>233</v>
      </c>
      <c r="K1" s="128" t="s">
        <v>234</v>
      </c>
      <c r="L1" s="128" t="s">
        <v>235</v>
      </c>
      <c r="M1" s="128" t="s">
        <v>236</v>
      </c>
      <c r="N1" s="128" t="s">
        <v>237</v>
      </c>
      <c r="O1" s="128" t="s">
        <v>238</v>
      </c>
      <c r="P1" s="128" t="s">
        <v>239</v>
      </c>
      <c r="Q1" s="128" t="s">
        <v>240</v>
      </c>
      <c r="R1" s="128" t="s">
        <v>241</v>
      </c>
      <c r="S1" s="128" t="s">
        <v>242</v>
      </c>
      <c r="T1" s="128" t="s">
        <v>243</v>
      </c>
      <c r="U1" s="128" t="s">
        <v>244</v>
      </c>
      <c r="V1" s="128" t="s">
        <v>245</v>
      </c>
    </row>
    <row r="2" spans="1:22" x14ac:dyDescent="0.25">
      <c r="A2" s="129">
        <v>1</v>
      </c>
      <c r="B2" s="130">
        <v>1</v>
      </c>
      <c r="C2" s="131">
        <v>45658</v>
      </c>
      <c r="D2" s="131"/>
      <c r="E2" s="132"/>
      <c r="F2" s="132"/>
      <c r="G2" s="132"/>
      <c r="H2" s="133" t="s">
        <v>246</v>
      </c>
      <c r="I2" s="132"/>
      <c r="J2" s="132"/>
      <c r="K2" s="132"/>
      <c r="L2" s="132"/>
      <c r="M2" s="132"/>
      <c r="N2" s="132"/>
      <c r="O2" s="132">
        <f>SUMIFS('Route-Details'!X:X,'Route-Details'!Z:Z,'PO Details'!B2,'Route-Details'!AA:AA,'PO Details'!C2,'Route-Details'!V:V,'PO Details'!H2)</f>
        <v>0</v>
      </c>
      <c r="P2" s="132"/>
      <c r="Q2" s="132"/>
      <c r="R2" s="132"/>
      <c r="S2" s="132"/>
      <c r="T2" s="132"/>
      <c r="U2" s="133"/>
      <c r="V2" s="133"/>
    </row>
    <row r="3" spans="1:22" x14ac:dyDescent="0.25">
      <c r="A3" s="129">
        <f>A2+1</f>
        <v>2</v>
      </c>
      <c r="B3" s="130">
        <v>1</v>
      </c>
      <c r="C3" s="131">
        <v>45658</v>
      </c>
      <c r="D3" s="131"/>
      <c r="E3" s="132"/>
      <c r="F3" s="132"/>
      <c r="G3" s="132"/>
      <c r="H3" s="133" t="s">
        <v>94</v>
      </c>
      <c r="I3" s="132"/>
      <c r="J3" s="132"/>
      <c r="K3" s="132"/>
      <c r="L3" s="132"/>
      <c r="M3" s="132"/>
      <c r="N3" s="132"/>
      <c r="O3" s="132">
        <f>SUMIFS('Route-Details'!X:X,'Route-Details'!Z:Z,'PO Details'!B3,'Route-Details'!AA:AA,'PO Details'!C3,'Route-Details'!V:V,'PO Details'!H3)</f>
        <v>0</v>
      </c>
      <c r="P3" s="132"/>
      <c r="Q3" s="132"/>
      <c r="R3" s="132"/>
      <c r="S3" s="132"/>
      <c r="T3" s="132"/>
      <c r="U3" s="133"/>
      <c r="V3" s="133"/>
    </row>
    <row r="4" spans="1:22" x14ac:dyDescent="0.25">
      <c r="A4" s="129">
        <f t="shared" ref="A4:A9" si="0">A3+1</f>
        <v>3</v>
      </c>
      <c r="B4" s="130">
        <v>1</v>
      </c>
      <c r="C4" s="131">
        <v>45658</v>
      </c>
      <c r="D4" s="131"/>
      <c r="E4" s="132"/>
      <c r="F4" s="132"/>
      <c r="G4" s="132"/>
      <c r="H4" s="133" t="s">
        <v>83</v>
      </c>
      <c r="I4" s="132"/>
      <c r="J4" s="132"/>
      <c r="K4" s="132"/>
      <c r="L4" s="132"/>
      <c r="M4" s="132"/>
      <c r="N4" s="132"/>
      <c r="O4" s="132">
        <f>SUMIFS('Route-Details'!X:X,'Route-Details'!Z:Z,'PO Details'!B4,'Route-Details'!AA:AA,'PO Details'!C4,'Route-Details'!V:V,'PO Details'!H4)</f>
        <v>0</v>
      </c>
      <c r="P4" s="132"/>
      <c r="Q4" s="132"/>
      <c r="R4" s="132"/>
      <c r="S4" s="132"/>
      <c r="T4" s="132"/>
      <c r="U4" s="133"/>
      <c r="V4" s="133"/>
    </row>
    <row r="5" spans="1:22" x14ac:dyDescent="0.25">
      <c r="A5" s="129">
        <f t="shared" si="0"/>
        <v>4</v>
      </c>
      <c r="B5" s="130">
        <v>1</v>
      </c>
      <c r="C5" s="131">
        <v>45658</v>
      </c>
      <c r="D5" s="131"/>
      <c r="E5" s="132"/>
      <c r="F5" s="132"/>
      <c r="G5" s="132"/>
      <c r="H5" s="133" t="s">
        <v>247</v>
      </c>
      <c r="I5" s="132"/>
      <c r="J5" s="132"/>
      <c r="K5" s="132"/>
      <c r="L5" s="132"/>
      <c r="M5" s="132"/>
      <c r="N5" s="132"/>
      <c r="O5" s="132">
        <f>SUMIFS('Route-Details'!X:X,'Route-Details'!Z:Z,'PO Details'!B5,'Route-Details'!AA:AA,'PO Details'!C5,'Route-Details'!V:V,'PO Details'!H5)</f>
        <v>0</v>
      </c>
      <c r="P5" s="132"/>
      <c r="Q5" s="132"/>
      <c r="R5" s="132"/>
      <c r="S5" s="132"/>
      <c r="T5" s="132"/>
      <c r="U5" s="133"/>
      <c r="V5" s="133"/>
    </row>
    <row r="6" spans="1:22" x14ac:dyDescent="0.25">
      <c r="A6" s="129">
        <f t="shared" si="0"/>
        <v>5</v>
      </c>
      <c r="B6" s="130">
        <v>2</v>
      </c>
      <c r="C6" s="131">
        <v>45690</v>
      </c>
      <c r="D6" s="131"/>
      <c r="E6" s="132"/>
      <c r="F6" s="132"/>
      <c r="G6" s="132"/>
      <c r="H6" s="133" t="s">
        <v>246</v>
      </c>
      <c r="I6" s="132"/>
      <c r="J6" s="132"/>
      <c r="K6" s="132"/>
      <c r="L6" s="132"/>
      <c r="M6" s="132"/>
      <c r="N6" s="132"/>
      <c r="O6" s="132">
        <f>SUMIFS('Route-Details'!X:X,'Route-Details'!Z:Z,'PO Details'!B6,'Route-Details'!AA:AA,'PO Details'!C6,'Route-Details'!V:V,'PO Details'!H6)</f>
        <v>0</v>
      </c>
      <c r="P6" s="132"/>
      <c r="Q6" s="132"/>
      <c r="R6" s="132"/>
      <c r="S6" s="132"/>
      <c r="T6" s="132"/>
      <c r="U6" s="133"/>
      <c r="V6" s="133"/>
    </row>
    <row r="7" spans="1:22" x14ac:dyDescent="0.25">
      <c r="A7" s="129">
        <f t="shared" si="0"/>
        <v>6</v>
      </c>
      <c r="B7" s="130">
        <v>2</v>
      </c>
      <c r="C7" s="131">
        <v>45690</v>
      </c>
      <c r="D7" s="131"/>
      <c r="E7" s="132"/>
      <c r="F7" s="132"/>
      <c r="G7" s="132"/>
      <c r="H7" s="133" t="s">
        <v>94</v>
      </c>
      <c r="I7" s="132"/>
      <c r="J7" s="132"/>
      <c r="K7" s="132"/>
      <c r="L7" s="132"/>
      <c r="M7" s="132"/>
      <c r="N7" s="132"/>
      <c r="O7" s="132">
        <f>SUMIFS('Route-Details'!X:X,'Route-Details'!Z:Z,'PO Details'!B7,'Route-Details'!AA:AA,'PO Details'!C7,'Route-Details'!V:V,'PO Details'!H7)</f>
        <v>0</v>
      </c>
      <c r="P7" s="132"/>
      <c r="Q7" s="132"/>
      <c r="R7" s="132"/>
      <c r="S7" s="132"/>
      <c r="T7" s="132"/>
      <c r="U7" s="133"/>
      <c r="V7" s="133"/>
    </row>
    <row r="8" spans="1:22" x14ac:dyDescent="0.25">
      <c r="A8" s="129">
        <f t="shared" si="0"/>
        <v>7</v>
      </c>
      <c r="B8" s="130">
        <v>2</v>
      </c>
      <c r="C8" s="131">
        <v>45690</v>
      </c>
      <c r="D8" s="131"/>
      <c r="E8" s="132"/>
      <c r="F8" s="132"/>
      <c r="G8" s="132"/>
      <c r="H8" s="133" t="s">
        <v>83</v>
      </c>
      <c r="I8" s="132"/>
      <c r="J8" s="132"/>
      <c r="K8" s="132"/>
      <c r="L8" s="132"/>
      <c r="M8" s="132"/>
      <c r="N8" s="132"/>
      <c r="O8" s="132">
        <f>SUMIFS('Route-Details'!X:X,'Route-Details'!Z:Z,'PO Details'!B8,'Route-Details'!AA:AA,'PO Details'!C8,'Route-Details'!V:V,'PO Details'!H8)</f>
        <v>0</v>
      </c>
      <c r="P8" s="132"/>
      <c r="Q8" s="132"/>
      <c r="R8" s="132"/>
      <c r="S8" s="132"/>
      <c r="T8" s="132"/>
      <c r="U8" s="133"/>
      <c r="V8" s="133"/>
    </row>
    <row r="9" spans="1:22" x14ac:dyDescent="0.25">
      <c r="A9" s="129">
        <f t="shared" si="0"/>
        <v>8</v>
      </c>
      <c r="B9" s="130">
        <v>2</v>
      </c>
      <c r="C9" s="131">
        <v>45690</v>
      </c>
      <c r="D9" s="131"/>
      <c r="E9" s="132"/>
      <c r="F9" s="132"/>
      <c r="G9" s="132"/>
      <c r="H9" s="133" t="s">
        <v>247</v>
      </c>
      <c r="I9" s="132"/>
      <c r="J9" s="132"/>
      <c r="K9" s="132"/>
      <c r="L9" s="132"/>
      <c r="M9" s="132"/>
      <c r="N9" s="132"/>
      <c r="O9" s="132">
        <f>SUMIFS('Route-Details'!X:X,'Route-Details'!Z:Z,'PO Details'!B9,'Route-Details'!AA:AA,'PO Details'!C9,'Route-Details'!V:V,'PO Details'!H9)</f>
        <v>0</v>
      </c>
      <c r="P9" s="132"/>
      <c r="Q9" s="132"/>
      <c r="R9" s="132"/>
      <c r="S9" s="132"/>
      <c r="T9" s="132"/>
      <c r="U9" s="133"/>
      <c r="V9" s="133"/>
    </row>
  </sheetData>
  <dataValidations disablePrompts="1" count="3">
    <dataValidation type="list" allowBlank="1" showInputMessage="1" showErrorMessage="1" sqref="D2:D9" xr:uid="{9B9DE9DE-B3C6-43AF-91D8-572280FC6F0B}">
      <formula1>"Fresh, Renewal"</formula1>
    </dataValidation>
    <dataValidation type="list" allowBlank="1" showInputMessage="1" showErrorMessage="1" sqref="G2:G9" xr:uid="{ECDF4BBF-8D15-42BB-BC3F-26B6D6C71455}">
      <formula1>"1,2,3,5"</formula1>
    </dataValidation>
    <dataValidation type="list" allowBlank="1" showInputMessage="1" showErrorMessage="1" sqref="H2:H9" xr:uid="{18458188-6F1B-4F15-9B5C-8353A3617F39}">
      <formula1>"6F,12F,24F,48F"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F832-C178-4AF7-ADFB-42F21AE2FE6A}">
  <dimension ref="A1:K9"/>
  <sheetViews>
    <sheetView workbookViewId="0">
      <selection activeCell="A16" sqref="A16"/>
    </sheetView>
  </sheetViews>
  <sheetFormatPr defaultRowHeight="15" x14ac:dyDescent="0.25"/>
  <sheetData>
    <row r="1" spans="1:11" ht="24" x14ac:dyDescent="0.25">
      <c r="A1" s="128" t="s">
        <v>226</v>
      </c>
      <c r="B1" s="128" t="s">
        <v>209</v>
      </c>
      <c r="C1" s="128" t="s">
        <v>229</v>
      </c>
      <c r="D1" s="128" t="s">
        <v>41</v>
      </c>
      <c r="E1" s="128" t="s">
        <v>248</v>
      </c>
      <c r="F1" s="128" t="s">
        <v>9</v>
      </c>
      <c r="G1" s="128" t="s">
        <v>249</v>
      </c>
      <c r="H1" s="128" t="s">
        <v>250</v>
      </c>
      <c r="I1" s="128" t="s">
        <v>243</v>
      </c>
      <c r="J1" s="128" t="s">
        <v>244</v>
      </c>
      <c r="K1" s="128" t="s">
        <v>245</v>
      </c>
    </row>
    <row r="2" spans="1:11" x14ac:dyDescent="0.25">
      <c r="A2" s="129">
        <v>1</v>
      </c>
      <c r="B2" s="129"/>
      <c r="C2" s="130"/>
      <c r="D2" s="131"/>
      <c r="E2" s="131"/>
      <c r="F2" s="133"/>
      <c r="G2" s="133"/>
      <c r="H2" s="133"/>
      <c r="I2" s="133"/>
      <c r="J2" s="133"/>
      <c r="K2" s="133"/>
    </row>
    <row r="3" spans="1:11" x14ac:dyDescent="0.25">
      <c r="A3" s="129">
        <f>A2+1</f>
        <v>2</v>
      </c>
      <c r="B3" s="129"/>
      <c r="C3" s="130"/>
      <c r="D3" s="131"/>
      <c r="E3" s="131"/>
      <c r="F3" s="133"/>
      <c r="G3" s="133"/>
      <c r="H3" s="133"/>
      <c r="I3" s="133"/>
      <c r="J3" s="133"/>
      <c r="K3" s="133"/>
    </row>
    <row r="4" spans="1:11" x14ac:dyDescent="0.25">
      <c r="A4" s="129">
        <f t="shared" ref="A4:A9" si="0">A3+1</f>
        <v>3</v>
      </c>
      <c r="B4" s="129"/>
      <c r="C4" s="130"/>
      <c r="D4" s="131"/>
      <c r="E4" s="131"/>
      <c r="F4" s="133"/>
      <c r="G4" s="133"/>
      <c r="H4" s="133"/>
      <c r="I4" s="133"/>
      <c r="J4" s="133"/>
      <c r="K4" s="133"/>
    </row>
    <row r="5" spans="1:11" x14ac:dyDescent="0.25">
      <c r="A5" s="129">
        <f t="shared" si="0"/>
        <v>4</v>
      </c>
      <c r="B5" s="129"/>
      <c r="C5" s="130"/>
      <c r="D5" s="131"/>
      <c r="E5" s="131"/>
      <c r="F5" s="133"/>
      <c r="G5" s="133"/>
      <c r="H5" s="133"/>
      <c r="I5" s="133"/>
      <c r="J5" s="133"/>
      <c r="K5" s="133"/>
    </row>
    <row r="6" spans="1:11" x14ac:dyDescent="0.25">
      <c r="A6" s="129">
        <f t="shared" si="0"/>
        <v>5</v>
      </c>
      <c r="B6" s="129"/>
      <c r="C6" s="130"/>
      <c r="D6" s="131"/>
      <c r="E6" s="131"/>
      <c r="F6" s="133"/>
      <c r="G6" s="133"/>
      <c r="H6" s="133"/>
      <c r="I6" s="133"/>
      <c r="J6" s="133"/>
      <c r="K6" s="133"/>
    </row>
    <row r="7" spans="1:11" x14ac:dyDescent="0.25">
      <c r="A7" s="129">
        <f t="shared" si="0"/>
        <v>6</v>
      </c>
      <c r="B7" s="129"/>
      <c r="C7" s="130"/>
      <c r="D7" s="131"/>
      <c r="E7" s="131"/>
      <c r="F7" s="133"/>
      <c r="G7" s="133"/>
      <c r="H7" s="133"/>
      <c r="I7" s="133"/>
      <c r="J7" s="133"/>
      <c r="K7" s="133"/>
    </row>
    <row r="8" spans="1:11" x14ac:dyDescent="0.25">
      <c r="A8" s="129">
        <f t="shared" si="0"/>
        <v>7</v>
      </c>
      <c r="B8" s="129"/>
      <c r="C8" s="130"/>
      <c r="D8" s="131"/>
      <c r="E8" s="131"/>
      <c r="F8" s="133"/>
      <c r="G8" s="133"/>
      <c r="H8" s="133"/>
      <c r="I8" s="133"/>
      <c r="J8" s="133"/>
      <c r="K8" s="133"/>
    </row>
    <row r="9" spans="1:11" x14ac:dyDescent="0.25">
      <c r="A9" s="129">
        <f t="shared" si="0"/>
        <v>8</v>
      </c>
      <c r="B9" s="129"/>
      <c r="C9" s="130"/>
      <c r="D9" s="131"/>
      <c r="E9" s="131"/>
      <c r="F9" s="133"/>
      <c r="G9" s="133"/>
      <c r="H9" s="133"/>
      <c r="I9" s="133"/>
      <c r="J9" s="133"/>
      <c r="K9" s="1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D299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2" sqref="A2:P2"/>
    </sheetView>
  </sheetViews>
  <sheetFormatPr defaultRowHeight="15" x14ac:dyDescent="0.25"/>
  <cols>
    <col min="3" max="3" width="9.5703125" bestFit="1" customWidth="1"/>
    <col min="4" max="4" width="10.28515625" bestFit="1" customWidth="1"/>
    <col min="6" max="6" width="12" bestFit="1" customWidth="1"/>
    <col min="7" max="8" width="12" customWidth="1"/>
    <col min="9" max="9" width="10.5703125" customWidth="1"/>
    <col min="10" max="10" width="12" customWidth="1"/>
    <col min="11" max="11" width="8.85546875" customWidth="1"/>
    <col min="12" max="12" width="10.5703125" customWidth="1"/>
    <col min="13" max="14" width="14.140625" customWidth="1"/>
    <col min="15" max="15" width="7.85546875" bestFit="1" customWidth="1"/>
    <col min="16" max="16" width="9" bestFit="1" customWidth="1"/>
    <col min="17" max="17" width="1.7109375" customWidth="1"/>
    <col min="18" max="18" width="15" customWidth="1"/>
    <col min="30" max="30" width="1.7109375" customWidth="1"/>
    <col min="31" max="31" width="12" customWidth="1"/>
    <col min="43" max="43" width="1.7109375" customWidth="1"/>
    <col min="44" max="44" width="12" customWidth="1"/>
    <col min="56" max="56" width="1.7109375" customWidth="1"/>
    <col min="57" max="57" width="12" customWidth="1"/>
    <col min="69" max="69" width="1.7109375" customWidth="1"/>
    <col min="70" max="70" width="12" customWidth="1"/>
    <col min="82" max="82" width="1.7109375" customWidth="1"/>
  </cols>
  <sheetData>
    <row r="1" spans="1:82" x14ac:dyDescent="0.25">
      <c r="C1" s="134" t="s">
        <v>251</v>
      </c>
      <c r="D1" s="135"/>
      <c r="E1" s="138"/>
      <c r="F1" s="135"/>
      <c r="G1" s="135"/>
      <c r="H1" s="135"/>
      <c r="I1" s="139"/>
      <c r="J1" s="135"/>
      <c r="K1" s="135"/>
      <c r="L1" s="139"/>
      <c r="M1" s="135"/>
      <c r="N1" s="135"/>
      <c r="O1" s="135"/>
      <c r="P1" s="135"/>
      <c r="R1" s="134" t="s">
        <v>252</v>
      </c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E1" s="134" t="s">
        <v>253</v>
      </c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R1" s="134" t="s">
        <v>254</v>
      </c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E1" s="134" t="s">
        <v>255</v>
      </c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R1" s="134" t="s">
        <v>256</v>
      </c>
      <c r="BS1" s="135"/>
      <c r="BT1" s="135"/>
      <c r="BU1" s="135"/>
      <c r="BV1" s="135"/>
      <c r="BW1" s="135"/>
      <c r="BX1" s="135"/>
      <c r="BY1" s="135"/>
      <c r="BZ1" s="135"/>
      <c r="CA1" s="135"/>
      <c r="CB1" s="135"/>
      <c r="CC1" s="135"/>
    </row>
    <row r="2" spans="1:82" s="118" customFormat="1" ht="24" customHeight="1" x14ac:dyDescent="0.25">
      <c r="A2" s="114" t="s">
        <v>226</v>
      </c>
      <c r="B2" s="114" t="s">
        <v>209</v>
      </c>
      <c r="C2" s="116" t="s">
        <v>270</v>
      </c>
      <c r="D2" s="116" t="s">
        <v>271</v>
      </c>
      <c r="E2" s="115" t="s">
        <v>41</v>
      </c>
      <c r="F2" s="116" t="s">
        <v>257</v>
      </c>
      <c r="G2" s="115" t="s">
        <v>258</v>
      </c>
      <c r="H2" s="116" t="s">
        <v>259</v>
      </c>
      <c r="I2" s="117" t="s">
        <v>260</v>
      </c>
      <c r="J2" s="115" t="s">
        <v>261</v>
      </c>
      <c r="K2" s="116" t="s">
        <v>262</v>
      </c>
      <c r="L2" s="117" t="s">
        <v>263</v>
      </c>
      <c r="M2" s="117" t="s">
        <v>264</v>
      </c>
      <c r="N2" s="117" t="s">
        <v>265</v>
      </c>
      <c r="O2" s="115" t="s">
        <v>38</v>
      </c>
      <c r="P2" s="141" t="s">
        <v>266</v>
      </c>
      <c r="Q2" s="136"/>
      <c r="R2" s="116" t="s">
        <v>267</v>
      </c>
      <c r="S2" s="116" t="s">
        <v>55</v>
      </c>
      <c r="T2" s="137" t="s">
        <v>268</v>
      </c>
      <c r="U2" s="116" t="s">
        <v>257</v>
      </c>
      <c r="V2" s="116" t="s">
        <v>258</v>
      </c>
      <c r="W2" s="116" t="s">
        <v>259</v>
      </c>
      <c r="X2" s="117" t="s">
        <v>260</v>
      </c>
      <c r="Y2" s="116" t="s">
        <v>261</v>
      </c>
      <c r="Z2" s="116" t="s">
        <v>262</v>
      </c>
      <c r="AA2" s="117" t="s">
        <v>263</v>
      </c>
      <c r="AB2" s="117" t="s">
        <v>264</v>
      </c>
      <c r="AC2" s="117" t="s">
        <v>265</v>
      </c>
      <c r="AD2" s="136"/>
      <c r="AE2" s="116" t="s">
        <v>269</v>
      </c>
      <c r="AF2" s="116" t="s">
        <v>55</v>
      </c>
      <c r="AG2" s="137" t="s">
        <v>268</v>
      </c>
      <c r="AH2" s="116" t="s">
        <v>257</v>
      </c>
      <c r="AI2" s="116" t="s">
        <v>258</v>
      </c>
      <c r="AJ2" s="116" t="s">
        <v>259</v>
      </c>
      <c r="AK2" s="117" t="s">
        <v>260</v>
      </c>
      <c r="AL2" s="116" t="s">
        <v>261</v>
      </c>
      <c r="AM2" s="116" t="s">
        <v>262</v>
      </c>
      <c r="AN2" s="117" t="s">
        <v>263</v>
      </c>
      <c r="AO2" s="117" t="s">
        <v>264</v>
      </c>
      <c r="AP2" s="117" t="s">
        <v>265</v>
      </c>
      <c r="AQ2" s="136"/>
      <c r="AR2" s="116" t="s">
        <v>269</v>
      </c>
      <c r="AS2" s="116" t="s">
        <v>55</v>
      </c>
      <c r="AT2" s="137" t="s">
        <v>268</v>
      </c>
      <c r="AU2" s="116" t="s">
        <v>257</v>
      </c>
      <c r="AV2" s="116" t="s">
        <v>258</v>
      </c>
      <c r="AW2" s="116" t="s">
        <v>259</v>
      </c>
      <c r="AX2" s="117" t="s">
        <v>260</v>
      </c>
      <c r="AY2" s="116" t="s">
        <v>261</v>
      </c>
      <c r="AZ2" s="116" t="s">
        <v>262</v>
      </c>
      <c r="BA2" s="117" t="s">
        <v>263</v>
      </c>
      <c r="BB2" s="117" t="s">
        <v>264</v>
      </c>
      <c r="BC2" s="117" t="s">
        <v>265</v>
      </c>
      <c r="BD2" s="136"/>
      <c r="BE2" s="116" t="s">
        <v>269</v>
      </c>
      <c r="BF2" s="116" t="s">
        <v>55</v>
      </c>
      <c r="BG2" s="137" t="s">
        <v>268</v>
      </c>
      <c r="BH2" s="116" t="s">
        <v>257</v>
      </c>
      <c r="BI2" s="116" t="s">
        <v>258</v>
      </c>
      <c r="BJ2" s="116" t="s">
        <v>259</v>
      </c>
      <c r="BK2" s="117" t="s">
        <v>260</v>
      </c>
      <c r="BL2" s="116" t="s">
        <v>261</v>
      </c>
      <c r="BM2" s="116" t="s">
        <v>262</v>
      </c>
      <c r="BN2" s="117" t="s">
        <v>263</v>
      </c>
      <c r="BO2" s="117" t="s">
        <v>264</v>
      </c>
      <c r="BP2" s="117" t="s">
        <v>265</v>
      </c>
      <c r="BQ2" s="136"/>
      <c r="BR2" s="116" t="s">
        <v>269</v>
      </c>
      <c r="BS2" s="116" t="s">
        <v>55</v>
      </c>
      <c r="BT2" s="137" t="s">
        <v>268</v>
      </c>
      <c r="BU2" s="116" t="s">
        <v>257</v>
      </c>
      <c r="BV2" s="116" t="s">
        <v>258</v>
      </c>
      <c r="BW2" s="116" t="s">
        <v>259</v>
      </c>
      <c r="BX2" s="117" t="s">
        <v>260</v>
      </c>
      <c r="BY2" s="116" t="s">
        <v>261</v>
      </c>
      <c r="BZ2" s="116" t="s">
        <v>262</v>
      </c>
      <c r="CA2" s="117" t="s">
        <v>263</v>
      </c>
      <c r="CB2" s="117" t="s">
        <v>264</v>
      </c>
      <c r="CC2" s="117" t="s">
        <v>265</v>
      </c>
      <c r="CD2" s="136"/>
    </row>
    <row r="3" spans="1:82" x14ac:dyDescent="0.25">
      <c r="A3" s="119">
        <v>1</v>
      </c>
      <c r="B3" s="119"/>
      <c r="C3" s="91"/>
      <c r="D3" s="91"/>
      <c r="E3" s="91"/>
      <c r="F3" s="91"/>
      <c r="G3" s="91"/>
      <c r="H3" s="91"/>
      <c r="I3" s="120" t="str">
        <f t="shared" ref="I3:I66" si="0">IF(H3&lt;&gt;"",H3/G3,"")</f>
        <v/>
      </c>
      <c r="J3" s="91"/>
      <c r="K3" s="91"/>
      <c r="L3" s="120" t="str">
        <f t="shared" ref="L3:L66" si="1">IF(K3&lt;&gt;"",K3/J3,"")</f>
        <v/>
      </c>
      <c r="M3" s="121" t="str">
        <f t="shared" ref="M3:M66" si="2">IF(L3&lt;&gt;"",MAX(I3,L3),"")</f>
        <v/>
      </c>
      <c r="N3" s="121" t="str">
        <f t="shared" ref="N3:N66" si="3">IF($M3&lt;&gt;"",IF($M3&lt;50%,0%,IF($M3&lt;80%,$M3,100%)),"")</f>
        <v/>
      </c>
      <c r="O3" s="140"/>
      <c r="P3" s="140"/>
    </row>
    <row r="4" spans="1:82" x14ac:dyDescent="0.25">
      <c r="A4" s="122" t="str">
        <f t="shared" ref="A4:A67" si="4">IF(C4&lt;&gt;"",A3+1,"")</f>
        <v/>
      </c>
      <c r="B4" s="122"/>
      <c r="C4" s="91"/>
      <c r="D4" s="91"/>
      <c r="E4" s="91"/>
      <c r="F4" s="91"/>
      <c r="G4" s="91"/>
      <c r="H4" s="91"/>
      <c r="I4" s="120" t="str">
        <f t="shared" si="0"/>
        <v/>
      </c>
      <c r="J4" s="91"/>
      <c r="K4" s="91"/>
      <c r="L4" s="120" t="str">
        <f t="shared" si="1"/>
        <v/>
      </c>
      <c r="M4" s="121" t="str">
        <f t="shared" si="2"/>
        <v/>
      </c>
      <c r="N4" s="121" t="str">
        <f t="shared" si="3"/>
        <v/>
      </c>
      <c r="O4" s="140"/>
      <c r="P4" s="140"/>
    </row>
    <row r="5" spans="1:82" x14ac:dyDescent="0.25">
      <c r="A5" s="122" t="str">
        <f t="shared" si="4"/>
        <v/>
      </c>
      <c r="B5" s="122"/>
      <c r="C5" s="91"/>
      <c r="D5" s="91"/>
      <c r="E5" s="91"/>
      <c r="F5" s="91"/>
      <c r="G5" s="91"/>
      <c r="H5" s="91"/>
      <c r="I5" s="120" t="str">
        <f t="shared" si="0"/>
        <v/>
      </c>
      <c r="J5" s="91"/>
      <c r="K5" s="91"/>
      <c r="L5" s="120" t="str">
        <f t="shared" si="1"/>
        <v/>
      </c>
      <c r="M5" s="121" t="str">
        <f t="shared" si="2"/>
        <v/>
      </c>
      <c r="N5" s="121" t="str">
        <f t="shared" si="3"/>
        <v/>
      </c>
      <c r="O5" s="140"/>
      <c r="P5" s="140"/>
    </row>
    <row r="6" spans="1:82" x14ac:dyDescent="0.25">
      <c r="A6" s="122" t="str">
        <f t="shared" si="4"/>
        <v/>
      </c>
      <c r="B6" s="122"/>
      <c r="C6" s="91"/>
      <c r="D6" s="91"/>
      <c r="E6" s="91"/>
      <c r="F6" s="91"/>
      <c r="G6" s="91"/>
      <c r="H6" s="91"/>
      <c r="I6" s="120" t="str">
        <f t="shared" si="0"/>
        <v/>
      </c>
      <c r="J6" s="91"/>
      <c r="K6" s="91"/>
      <c r="L6" s="120" t="str">
        <f t="shared" si="1"/>
        <v/>
      </c>
      <c r="M6" s="121" t="str">
        <f t="shared" si="2"/>
        <v/>
      </c>
      <c r="N6" s="121" t="str">
        <f t="shared" si="3"/>
        <v/>
      </c>
      <c r="O6" s="140"/>
      <c r="P6" s="140"/>
    </row>
    <row r="7" spans="1:82" x14ac:dyDescent="0.25">
      <c r="A7" s="122" t="str">
        <f t="shared" si="4"/>
        <v/>
      </c>
      <c r="B7" s="122"/>
      <c r="C7" s="91"/>
      <c r="D7" s="91"/>
      <c r="E7" s="91"/>
      <c r="F7" s="91"/>
      <c r="G7" s="91"/>
      <c r="H7" s="91"/>
      <c r="I7" s="120" t="str">
        <f t="shared" si="0"/>
        <v/>
      </c>
      <c r="J7" s="91"/>
      <c r="K7" s="91"/>
      <c r="L7" s="120" t="str">
        <f t="shared" si="1"/>
        <v/>
      </c>
      <c r="M7" s="121" t="str">
        <f t="shared" si="2"/>
        <v/>
      </c>
      <c r="N7" s="121" t="str">
        <f t="shared" si="3"/>
        <v/>
      </c>
      <c r="O7" s="140"/>
      <c r="P7" s="140"/>
    </row>
    <row r="8" spans="1:82" x14ac:dyDescent="0.25">
      <c r="A8" s="122" t="str">
        <f t="shared" si="4"/>
        <v/>
      </c>
      <c r="B8" s="122"/>
      <c r="C8" s="91"/>
      <c r="D8" s="91"/>
      <c r="E8" s="91"/>
      <c r="F8" s="91"/>
      <c r="G8" s="91"/>
      <c r="H8" s="91"/>
      <c r="I8" s="120" t="str">
        <f t="shared" si="0"/>
        <v/>
      </c>
      <c r="J8" s="91"/>
      <c r="K8" s="91"/>
      <c r="L8" s="120" t="str">
        <f t="shared" si="1"/>
        <v/>
      </c>
      <c r="M8" s="121" t="str">
        <f t="shared" si="2"/>
        <v/>
      </c>
      <c r="N8" s="121" t="str">
        <f t="shared" si="3"/>
        <v/>
      </c>
      <c r="O8" s="140"/>
      <c r="P8" s="140"/>
    </row>
    <row r="9" spans="1:82" x14ac:dyDescent="0.25">
      <c r="A9" s="122" t="str">
        <f t="shared" si="4"/>
        <v/>
      </c>
      <c r="B9" s="122"/>
      <c r="C9" s="91"/>
      <c r="D9" s="91"/>
      <c r="E9" s="91"/>
      <c r="F9" s="91"/>
      <c r="G9" s="91"/>
      <c r="H9" s="91"/>
      <c r="I9" s="120" t="str">
        <f t="shared" si="0"/>
        <v/>
      </c>
      <c r="J9" s="91"/>
      <c r="K9" s="91"/>
      <c r="L9" s="120" t="str">
        <f t="shared" si="1"/>
        <v/>
      </c>
      <c r="M9" s="121" t="str">
        <f t="shared" si="2"/>
        <v/>
      </c>
      <c r="N9" s="121" t="str">
        <f t="shared" si="3"/>
        <v/>
      </c>
      <c r="O9" s="140"/>
      <c r="P9" s="140"/>
    </row>
    <row r="10" spans="1:82" x14ac:dyDescent="0.25">
      <c r="A10" s="122" t="str">
        <f t="shared" si="4"/>
        <v/>
      </c>
      <c r="B10" s="122"/>
      <c r="C10" s="91"/>
      <c r="D10" s="91"/>
      <c r="E10" s="91"/>
      <c r="F10" s="91"/>
      <c r="G10" s="91"/>
      <c r="H10" s="91"/>
      <c r="I10" s="120" t="str">
        <f t="shared" si="0"/>
        <v/>
      </c>
      <c r="J10" s="91"/>
      <c r="K10" s="91"/>
      <c r="L10" s="120" t="str">
        <f t="shared" si="1"/>
        <v/>
      </c>
      <c r="M10" s="121" t="str">
        <f t="shared" si="2"/>
        <v/>
      </c>
      <c r="N10" s="121" t="str">
        <f t="shared" si="3"/>
        <v/>
      </c>
      <c r="O10" s="140"/>
      <c r="P10" s="140"/>
    </row>
    <row r="11" spans="1:82" x14ac:dyDescent="0.25">
      <c r="A11" s="122" t="str">
        <f t="shared" si="4"/>
        <v/>
      </c>
      <c r="B11" s="122"/>
      <c r="C11" s="91"/>
      <c r="D11" s="91"/>
      <c r="E11" s="91"/>
      <c r="F11" s="91"/>
      <c r="G11" s="91"/>
      <c r="H11" s="91"/>
      <c r="I11" s="120" t="str">
        <f t="shared" si="0"/>
        <v/>
      </c>
      <c r="J11" s="91"/>
      <c r="K11" s="91"/>
      <c r="L11" s="120" t="str">
        <f t="shared" si="1"/>
        <v/>
      </c>
      <c r="M11" s="121" t="str">
        <f t="shared" si="2"/>
        <v/>
      </c>
      <c r="N11" s="121" t="str">
        <f t="shared" si="3"/>
        <v/>
      </c>
      <c r="O11" s="140"/>
      <c r="P11" s="140"/>
    </row>
    <row r="12" spans="1:82" x14ac:dyDescent="0.25">
      <c r="A12" s="122" t="str">
        <f t="shared" si="4"/>
        <v/>
      </c>
      <c r="B12" s="122"/>
      <c r="C12" s="91"/>
      <c r="D12" s="91"/>
      <c r="E12" s="91"/>
      <c r="F12" s="91"/>
      <c r="G12" s="91"/>
      <c r="H12" s="91"/>
      <c r="I12" s="120" t="str">
        <f t="shared" si="0"/>
        <v/>
      </c>
      <c r="J12" s="91"/>
      <c r="K12" s="91"/>
      <c r="L12" s="120" t="str">
        <f t="shared" si="1"/>
        <v/>
      </c>
      <c r="M12" s="121" t="str">
        <f t="shared" si="2"/>
        <v/>
      </c>
      <c r="N12" s="121" t="str">
        <f t="shared" si="3"/>
        <v/>
      </c>
      <c r="O12" s="140"/>
      <c r="P12" s="140"/>
    </row>
    <row r="13" spans="1:82" x14ac:dyDescent="0.25">
      <c r="A13" s="122" t="str">
        <f t="shared" si="4"/>
        <v/>
      </c>
      <c r="B13" s="122"/>
      <c r="C13" s="91"/>
      <c r="D13" s="91"/>
      <c r="E13" s="91"/>
      <c r="F13" s="91"/>
      <c r="G13" s="91"/>
      <c r="H13" s="91"/>
      <c r="I13" s="120" t="str">
        <f t="shared" si="0"/>
        <v/>
      </c>
      <c r="J13" s="91"/>
      <c r="K13" s="91"/>
      <c r="L13" s="120" t="str">
        <f t="shared" si="1"/>
        <v/>
      </c>
      <c r="M13" s="121" t="str">
        <f t="shared" si="2"/>
        <v/>
      </c>
      <c r="N13" s="121" t="str">
        <f t="shared" si="3"/>
        <v/>
      </c>
      <c r="O13" s="140"/>
      <c r="P13" s="140"/>
    </row>
    <row r="14" spans="1:82" x14ac:dyDescent="0.25">
      <c r="A14" s="122" t="str">
        <f t="shared" si="4"/>
        <v/>
      </c>
      <c r="B14" s="122"/>
      <c r="C14" s="91"/>
      <c r="D14" s="91"/>
      <c r="E14" s="91"/>
      <c r="F14" s="91"/>
      <c r="G14" s="91"/>
      <c r="H14" s="91"/>
      <c r="I14" s="120" t="str">
        <f t="shared" si="0"/>
        <v/>
      </c>
      <c r="J14" s="91"/>
      <c r="K14" s="91"/>
      <c r="L14" s="120" t="str">
        <f t="shared" si="1"/>
        <v/>
      </c>
      <c r="M14" s="121" t="str">
        <f t="shared" si="2"/>
        <v/>
      </c>
      <c r="N14" s="121" t="str">
        <f t="shared" si="3"/>
        <v/>
      </c>
      <c r="O14" s="140"/>
      <c r="P14" s="140"/>
    </row>
    <row r="15" spans="1:82" x14ac:dyDescent="0.25">
      <c r="A15" s="122" t="str">
        <f t="shared" si="4"/>
        <v/>
      </c>
      <c r="B15" s="122"/>
      <c r="C15" s="91"/>
      <c r="D15" s="91"/>
      <c r="E15" s="91"/>
      <c r="F15" s="91"/>
      <c r="G15" s="91"/>
      <c r="H15" s="91"/>
      <c r="I15" s="120" t="str">
        <f t="shared" si="0"/>
        <v/>
      </c>
      <c r="J15" s="91"/>
      <c r="K15" s="91"/>
      <c r="L15" s="120" t="str">
        <f t="shared" si="1"/>
        <v/>
      </c>
      <c r="M15" s="121" t="str">
        <f t="shared" si="2"/>
        <v/>
      </c>
      <c r="N15" s="121" t="str">
        <f t="shared" si="3"/>
        <v/>
      </c>
      <c r="O15" s="140"/>
      <c r="P15" s="140"/>
    </row>
    <row r="16" spans="1:82" x14ac:dyDescent="0.25">
      <c r="A16" s="122" t="str">
        <f t="shared" si="4"/>
        <v/>
      </c>
      <c r="B16" s="122"/>
      <c r="C16" s="91"/>
      <c r="D16" s="91"/>
      <c r="E16" s="91"/>
      <c r="F16" s="91"/>
      <c r="G16" s="91"/>
      <c r="H16" s="91"/>
      <c r="I16" s="120" t="str">
        <f t="shared" si="0"/>
        <v/>
      </c>
      <c r="J16" s="91"/>
      <c r="K16" s="91"/>
      <c r="L16" s="120" t="str">
        <f t="shared" si="1"/>
        <v/>
      </c>
      <c r="M16" s="121" t="str">
        <f t="shared" si="2"/>
        <v/>
      </c>
      <c r="N16" s="121" t="str">
        <f t="shared" si="3"/>
        <v/>
      </c>
      <c r="O16" s="140"/>
      <c r="P16" s="140"/>
    </row>
    <row r="17" spans="1:16" x14ac:dyDescent="0.25">
      <c r="A17" s="122" t="str">
        <f t="shared" si="4"/>
        <v/>
      </c>
      <c r="B17" s="122"/>
      <c r="C17" s="91"/>
      <c r="D17" s="91"/>
      <c r="E17" s="91"/>
      <c r="F17" s="91"/>
      <c r="G17" s="91"/>
      <c r="H17" s="91"/>
      <c r="I17" s="120" t="str">
        <f t="shared" si="0"/>
        <v/>
      </c>
      <c r="J17" s="91"/>
      <c r="K17" s="91"/>
      <c r="L17" s="120" t="str">
        <f t="shared" si="1"/>
        <v/>
      </c>
      <c r="M17" s="121" t="str">
        <f t="shared" si="2"/>
        <v/>
      </c>
      <c r="N17" s="121" t="str">
        <f t="shared" si="3"/>
        <v/>
      </c>
      <c r="O17" s="140"/>
      <c r="P17" s="140"/>
    </row>
    <row r="18" spans="1:16" x14ac:dyDescent="0.25">
      <c r="A18" s="122" t="str">
        <f t="shared" si="4"/>
        <v/>
      </c>
      <c r="B18" s="122"/>
      <c r="C18" s="91"/>
      <c r="D18" s="91"/>
      <c r="E18" s="91"/>
      <c r="F18" s="91"/>
      <c r="G18" s="91"/>
      <c r="H18" s="91"/>
      <c r="I18" s="120" t="str">
        <f t="shared" si="0"/>
        <v/>
      </c>
      <c r="J18" s="91"/>
      <c r="K18" s="91"/>
      <c r="L18" s="120" t="str">
        <f t="shared" si="1"/>
        <v/>
      </c>
      <c r="M18" s="121" t="str">
        <f t="shared" si="2"/>
        <v/>
      </c>
      <c r="N18" s="121" t="str">
        <f t="shared" si="3"/>
        <v/>
      </c>
      <c r="O18" s="140"/>
      <c r="P18" s="140"/>
    </row>
    <row r="19" spans="1:16" x14ac:dyDescent="0.25">
      <c r="A19" s="122" t="str">
        <f t="shared" si="4"/>
        <v/>
      </c>
      <c r="B19" s="122"/>
      <c r="C19" s="91"/>
      <c r="D19" s="91"/>
      <c r="E19" s="91"/>
      <c r="F19" s="91"/>
      <c r="G19" s="91"/>
      <c r="H19" s="91"/>
      <c r="I19" s="120" t="str">
        <f t="shared" si="0"/>
        <v/>
      </c>
      <c r="J19" s="91"/>
      <c r="K19" s="91"/>
      <c r="L19" s="120" t="str">
        <f t="shared" si="1"/>
        <v/>
      </c>
      <c r="M19" s="121" t="str">
        <f t="shared" si="2"/>
        <v/>
      </c>
      <c r="N19" s="121" t="str">
        <f t="shared" si="3"/>
        <v/>
      </c>
      <c r="O19" s="140"/>
      <c r="P19" s="140"/>
    </row>
    <row r="20" spans="1:16" x14ac:dyDescent="0.25">
      <c r="A20" s="122" t="str">
        <f t="shared" si="4"/>
        <v/>
      </c>
      <c r="B20" s="122"/>
      <c r="C20" s="91"/>
      <c r="D20" s="91"/>
      <c r="E20" s="91"/>
      <c r="F20" s="91"/>
      <c r="G20" s="91"/>
      <c r="H20" s="91"/>
      <c r="I20" s="120" t="str">
        <f t="shared" si="0"/>
        <v/>
      </c>
      <c r="J20" s="91"/>
      <c r="K20" s="91"/>
      <c r="L20" s="120" t="str">
        <f t="shared" si="1"/>
        <v/>
      </c>
      <c r="M20" s="121" t="str">
        <f t="shared" si="2"/>
        <v/>
      </c>
      <c r="N20" s="121" t="str">
        <f t="shared" si="3"/>
        <v/>
      </c>
      <c r="O20" s="140"/>
      <c r="P20" s="140"/>
    </row>
    <row r="21" spans="1:16" x14ac:dyDescent="0.25">
      <c r="A21" s="122" t="str">
        <f t="shared" si="4"/>
        <v/>
      </c>
      <c r="B21" s="122"/>
      <c r="C21" s="91"/>
      <c r="D21" s="91"/>
      <c r="E21" s="91"/>
      <c r="F21" s="91"/>
      <c r="G21" s="91"/>
      <c r="H21" s="91"/>
      <c r="I21" s="120" t="str">
        <f t="shared" si="0"/>
        <v/>
      </c>
      <c r="J21" s="91"/>
      <c r="K21" s="91"/>
      <c r="L21" s="120" t="str">
        <f t="shared" si="1"/>
        <v/>
      </c>
      <c r="M21" s="121" t="str">
        <f t="shared" si="2"/>
        <v/>
      </c>
      <c r="N21" s="121" t="str">
        <f t="shared" si="3"/>
        <v/>
      </c>
      <c r="O21" s="140"/>
      <c r="P21" s="140"/>
    </row>
    <row r="22" spans="1:16" x14ac:dyDescent="0.25">
      <c r="A22" s="122" t="str">
        <f t="shared" si="4"/>
        <v/>
      </c>
      <c r="B22" s="122"/>
      <c r="C22" s="91"/>
      <c r="D22" s="91"/>
      <c r="E22" s="91"/>
      <c r="F22" s="91"/>
      <c r="G22" s="91"/>
      <c r="H22" s="91"/>
      <c r="I22" s="120" t="str">
        <f t="shared" si="0"/>
        <v/>
      </c>
      <c r="J22" s="91"/>
      <c r="K22" s="91"/>
      <c r="L22" s="120" t="str">
        <f t="shared" si="1"/>
        <v/>
      </c>
      <c r="M22" s="121" t="str">
        <f t="shared" si="2"/>
        <v/>
      </c>
      <c r="N22" s="121" t="str">
        <f t="shared" si="3"/>
        <v/>
      </c>
      <c r="O22" s="140"/>
      <c r="P22" s="140"/>
    </row>
    <row r="23" spans="1:16" x14ac:dyDescent="0.25">
      <c r="A23" s="122" t="str">
        <f t="shared" si="4"/>
        <v/>
      </c>
      <c r="B23" s="122"/>
      <c r="C23" s="91"/>
      <c r="D23" s="91"/>
      <c r="E23" s="91"/>
      <c r="F23" s="91"/>
      <c r="G23" s="91"/>
      <c r="H23" s="91"/>
      <c r="I23" s="120" t="str">
        <f t="shared" si="0"/>
        <v/>
      </c>
      <c r="J23" s="91"/>
      <c r="K23" s="91"/>
      <c r="L23" s="120" t="str">
        <f t="shared" si="1"/>
        <v/>
      </c>
      <c r="M23" s="121" t="str">
        <f t="shared" si="2"/>
        <v/>
      </c>
      <c r="N23" s="121" t="str">
        <f t="shared" si="3"/>
        <v/>
      </c>
      <c r="O23" s="140"/>
      <c r="P23" s="140"/>
    </row>
    <row r="24" spans="1:16" x14ac:dyDescent="0.25">
      <c r="A24" s="122" t="str">
        <f t="shared" si="4"/>
        <v/>
      </c>
      <c r="B24" s="122"/>
      <c r="C24" s="91"/>
      <c r="D24" s="91"/>
      <c r="E24" s="91"/>
      <c r="F24" s="91"/>
      <c r="G24" s="91"/>
      <c r="H24" s="91"/>
      <c r="I24" s="120" t="str">
        <f t="shared" si="0"/>
        <v/>
      </c>
      <c r="J24" s="91"/>
      <c r="K24" s="91"/>
      <c r="L24" s="120" t="str">
        <f t="shared" si="1"/>
        <v/>
      </c>
      <c r="M24" s="121" t="str">
        <f t="shared" si="2"/>
        <v/>
      </c>
      <c r="N24" s="121" t="str">
        <f t="shared" si="3"/>
        <v/>
      </c>
      <c r="O24" s="140"/>
      <c r="P24" s="140"/>
    </row>
    <row r="25" spans="1:16" x14ac:dyDescent="0.25">
      <c r="A25" s="122" t="str">
        <f t="shared" si="4"/>
        <v/>
      </c>
      <c r="B25" s="122"/>
      <c r="C25" s="91"/>
      <c r="D25" s="91"/>
      <c r="E25" s="91"/>
      <c r="F25" s="91"/>
      <c r="G25" s="91"/>
      <c r="H25" s="91"/>
      <c r="I25" s="120" t="str">
        <f t="shared" si="0"/>
        <v/>
      </c>
      <c r="J25" s="91"/>
      <c r="K25" s="91"/>
      <c r="L25" s="120" t="str">
        <f t="shared" si="1"/>
        <v/>
      </c>
      <c r="M25" s="121" t="str">
        <f t="shared" si="2"/>
        <v/>
      </c>
      <c r="N25" s="121" t="str">
        <f t="shared" si="3"/>
        <v/>
      </c>
      <c r="O25" s="140"/>
      <c r="P25" s="140"/>
    </row>
    <row r="26" spans="1:16" x14ac:dyDescent="0.25">
      <c r="A26" s="122" t="str">
        <f t="shared" si="4"/>
        <v/>
      </c>
      <c r="B26" s="122"/>
      <c r="C26" s="91"/>
      <c r="D26" s="91"/>
      <c r="E26" s="91"/>
      <c r="F26" s="91"/>
      <c r="G26" s="91"/>
      <c r="H26" s="91"/>
      <c r="I26" s="120" t="str">
        <f t="shared" si="0"/>
        <v/>
      </c>
      <c r="J26" s="91"/>
      <c r="K26" s="91"/>
      <c r="L26" s="120" t="str">
        <f t="shared" si="1"/>
        <v/>
      </c>
      <c r="M26" s="121" t="str">
        <f t="shared" si="2"/>
        <v/>
      </c>
      <c r="N26" s="121" t="str">
        <f t="shared" si="3"/>
        <v/>
      </c>
      <c r="O26" s="140"/>
      <c r="P26" s="140"/>
    </row>
    <row r="27" spans="1:16" x14ac:dyDescent="0.25">
      <c r="A27" s="122" t="str">
        <f t="shared" si="4"/>
        <v/>
      </c>
      <c r="B27" s="122"/>
      <c r="C27" s="91"/>
      <c r="D27" s="91"/>
      <c r="E27" s="91"/>
      <c r="F27" s="91"/>
      <c r="G27" s="91"/>
      <c r="H27" s="91"/>
      <c r="I27" s="120" t="str">
        <f t="shared" si="0"/>
        <v/>
      </c>
      <c r="J27" s="91"/>
      <c r="K27" s="91"/>
      <c r="L27" s="120" t="str">
        <f t="shared" si="1"/>
        <v/>
      </c>
      <c r="M27" s="121" t="str">
        <f t="shared" si="2"/>
        <v/>
      </c>
      <c r="N27" s="121" t="str">
        <f t="shared" si="3"/>
        <v/>
      </c>
      <c r="O27" s="140"/>
      <c r="P27" s="140"/>
    </row>
    <row r="28" spans="1:16" x14ac:dyDescent="0.25">
      <c r="A28" s="122" t="str">
        <f t="shared" si="4"/>
        <v/>
      </c>
      <c r="B28" s="122"/>
      <c r="C28" s="91"/>
      <c r="D28" s="91"/>
      <c r="E28" s="91"/>
      <c r="F28" s="91"/>
      <c r="G28" s="91"/>
      <c r="H28" s="91"/>
      <c r="I28" s="120" t="str">
        <f t="shared" si="0"/>
        <v/>
      </c>
      <c r="J28" s="91"/>
      <c r="K28" s="91"/>
      <c r="L28" s="120" t="str">
        <f t="shared" si="1"/>
        <v/>
      </c>
      <c r="M28" s="121" t="str">
        <f t="shared" si="2"/>
        <v/>
      </c>
      <c r="N28" s="121" t="str">
        <f t="shared" si="3"/>
        <v/>
      </c>
      <c r="O28" s="140"/>
      <c r="P28" s="140"/>
    </row>
    <row r="29" spans="1:16" x14ac:dyDescent="0.25">
      <c r="A29" s="122" t="str">
        <f t="shared" si="4"/>
        <v/>
      </c>
      <c r="B29" s="122"/>
      <c r="C29" s="91"/>
      <c r="D29" s="91"/>
      <c r="E29" s="91"/>
      <c r="F29" s="91"/>
      <c r="G29" s="91"/>
      <c r="H29" s="91"/>
      <c r="I29" s="120" t="str">
        <f t="shared" si="0"/>
        <v/>
      </c>
      <c r="J29" s="91"/>
      <c r="K29" s="91"/>
      <c r="L29" s="120" t="str">
        <f t="shared" si="1"/>
        <v/>
      </c>
      <c r="M29" s="121" t="str">
        <f t="shared" si="2"/>
        <v/>
      </c>
      <c r="N29" s="121" t="str">
        <f t="shared" si="3"/>
        <v/>
      </c>
      <c r="O29" s="140"/>
      <c r="P29" s="140"/>
    </row>
    <row r="30" spans="1:16" x14ac:dyDescent="0.25">
      <c r="A30" s="122" t="str">
        <f t="shared" si="4"/>
        <v/>
      </c>
      <c r="B30" s="122"/>
      <c r="C30" s="91"/>
      <c r="D30" s="91"/>
      <c r="E30" s="91"/>
      <c r="F30" s="91"/>
      <c r="G30" s="91"/>
      <c r="H30" s="91"/>
      <c r="I30" s="120" t="str">
        <f t="shared" si="0"/>
        <v/>
      </c>
      <c r="J30" s="91"/>
      <c r="K30" s="91"/>
      <c r="L30" s="120" t="str">
        <f t="shared" si="1"/>
        <v/>
      </c>
      <c r="M30" s="121" t="str">
        <f t="shared" si="2"/>
        <v/>
      </c>
      <c r="N30" s="121" t="str">
        <f t="shared" si="3"/>
        <v/>
      </c>
      <c r="O30" s="140"/>
      <c r="P30" s="140"/>
    </row>
    <row r="31" spans="1:16" x14ac:dyDescent="0.25">
      <c r="A31" s="122" t="str">
        <f t="shared" si="4"/>
        <v/>
      </c>
      <c r="B31" s="122"/>
      <c r="C31" s="91"/>
      <c r="D31" s="91"/>
      <c r="E31" s="91"/>
      <c r="F31" s="91"/>
      <c r="G31" s="91"/>
      <c r="H31" s="91"/>
      <c r="I31" s="120" t="str">
        <f t="shared" si="0"/>
        <v/>
      </c>
      <c r="J31" s="91"/>
      <c r="K31" s="91"/>
      <c r="L31" s="120" t="str">
        <f t="shared" si="1"/>
        <v/>
      </c>
      <c r="M31" s="121" t="str">
        <f t="shared" si="2"/>
        <v/>
      </c>
      <c r="N31" s="121" t="str">
        <f t="shared" si="3"/>
        <v/>
      </c>
      <c r="O31" s="140"/>
      <c r="P31" s="140"/>
    </row>
    <row r="32" spans="1:16" x14ac:dyDescent="0.25">
      <c r="A32" s="122" t="str">
        <f t="shared" si="4"/>
        <v/>
      </c>
      <c r="B32" s="122"/>
      <c r="C32" s="91"/>
      <c r="D32" s="91"/>
      <c r="E32" s="91"/>
      <c r="F32" s="91"/>
      <c r="G32" s="91"/>
      <c r="H32" s="91"/>
      <c r="I32" s="120" t="str">
        <f t="shared" si="0"/>
        <v/>
      </c>
      <c r="J32" s="91"/>
      <c r="K32" s="91"/>
      <c r="L32" s="120" t="str">
        <f t="shared" si="1"/>
        <v/>
      </c>
      <c r="M32" s="121" t="str">
        <f t="shared" si="2"/>
        <v/>
      </c>
      <c r="N32" s="121" t="str">
        <f t="shared" si="3"/>
        <v/>
      </c>
      <c r="O32" s="140"/>
      <c r="P32" s="140"/>
    </row>
    <row r="33" spans="1:16" x14ac:dyDescent="0.25">
      <c r="A33" s="122" t="str">
        <f t="shared" si="4"/>
        <v/>
      </c>
      <c r="B33" s="122"/>
      <c r="C33" s="91"/>
      <c r="D33" s="91"/>
      <c r="E33" s="91"/>
      <c r="F33" s="91"/>
      <c r="G33" s="91"/>
      <c r="H33" s="91"/>
      <c r="I33" s="120" t="str">
        <f t="shared" si="0"/>
        <v/>
      </c>
      <c r="J33" s="91"/>
      <c r="K33" s="91"/>
      <c r="L33" s="120" t="str">
        <f t="shared" si="1"/>
        <v/>
      </c>
      <c r="M33" s="121" t="str">
        <f t="shared" si="2"/>
        <v/>
      </c>
      <c r="N33" s="121" t="str">
        <f t="shared" si="3"/>
        <v/>
      </c>
      <c r="O33" s="140"/>
      <c r="P33" s="140"/>
    </row>
    <row r="34" spans="1:16" x14ac:dyDescent="0.25">
      <c r="A34" s="122" t="str">
        <f t="shared" si="4"/>
        <v/>
      </c>
      <c r="B34" s="122"/>
      <c r="C34" s="91"/>
      <c r="D34" s="91"/>
      <c r="E34" s="91"/>
      <c r="F34" s="91"/>
      <c r="G34" s="91"/>
      <c r="H34" s="91"/>
      <c r="I34" s="120" t="str">
        <f t="shared" si="0"/>
        <v/>
      </c>
      <c r="J34" s="91"/>
      <c r="K34" s="91"/>
      <c r="L34" s="120" t="str">
        <f t="shared" si="1"/>
        <v/>
      </c>
      <c r="M34" s="121" t="str">
        <f t="shared" si="2"/>
        <v/>
      </c>
      <c r="N34" s="121" t="str">
        <f t="shared" si="3"/>
        <v/>
      </c>
      <c r="O34" s="140"/>
      <c r="P34" s="140"/>
    </row>
    <row r="35" spans="1:16" x14ac:dyDescent="0.25">
      <c r="A35" s="122" t="str">
        <f t="shared" si="4"/>
        <v/>
      </c>
      <c r="B35" s="122"/>
      <c r="C35" s="91"/>
      <c r="D35" s="91"/>
      <c r="E35" s="91"/>
      <c r="F35" s="91"/>
      <c r="G35" s="91"/>
      <c r="H35" s="91"/>
      <c r="I35" s="120" t="str">
        <f t="shared" si="0"/>
        <v/>
      </c>
      <c r="J35" s="91"/>
      <c r="K35" s="91"/>
      <c r="L35" s="120" t="str">
        <f t="shared" si="1"/>
        <v/>
      </c>
      <c r="M35" s="121" t="str">
        <f t="shared" si="2"/>
        <v/>
      </c>
      <c r="N35" s="121" t="str">
        <f t="shared" si="3"/>
        <v/>
      </c>
      <c r="O35" s="140"/>
      <c r="P35" s="140"/>
    </row>
    <row r="36" spans="1:16" x14ac:dyDescent="0.25">
      <c r="A36" s="122" t="str">
        <f t="shared" si="4"/>
        <v/>
      </c>
      <c r="B36" s="122"/>
      <c r="C36" s="91"/>
      <c r="D36" s="91"/>
      <c r="E36" s="91"/>
      <c r="F36" s="91"/>
      <c r="G36" s="91"/>
      <c r="H36" s="91"/>
      <c r="I36" s="120" t="str">
        <f t="shared" si="0"/>
        <v/>
      </c>
      <c r="J36" s="91"/>
      <c r="K36" s="91"/>
      <c r="L36" s="120" t="str">
        <f t="shared" si="1"/>
        <v/>
      </c>
      <c r="M36" s="121" t="str">
        <f t="shared" si="2"/>
        <v/>
      </c>
      <c r="N36" s="121" t="str">
        <f t="shared" si="3"/>
        <v/>
      </c>
      <c r="O36" s="140"/>
      <c r="P36" s="140"/>
    </row>
    <row r="37" spans="1:16" x14ac:dyDescent="0.25">
      <c r="A37" s="122" t="str">
        <f t="shared" si="4"/>
        <v/>
      </c>
      <c r="B37" s="122"/>
      <c r="C37" s="91"/>
      <c r="D37" s="91"/>
      <c r="E37" s="91"/>
      <c r="F37" s="91"/>
      <c r="G37" s="91"/>
      <c r="H37" s="91"/>
      <c r="I37" s="120" t="str">
        <f t="shared" si="0"/>
        <v/>
      </c>
      <c r="J37" s="91"/>
      <c r="K37" s="91"/>
      <c r="L37" s="120" t="str">
        <f t="shared" si="1"/>
        <v/>
      </c>
      <c r="M37" s="121" t="str">
        <f t="shared" si="2"/>
        <v/>
      </c>
      <c r="N37" s="121" t="str">
        <f t="shared" si="3"/>
        <v/>
      </c>
      <c r="O37" s="140"/>
      <c r="P37" s="140"/>
    </row>
    <row r="38" spans="1:16" x14ac:dyDescent="0.25">
      <c r="A38" s="122" t="str">
        <f t="shared" si="4"/>
        <v/>
      </c>
      <c r="B38" s="122"/>
      <c r="C38" s="91"/>
      <c r="D38" s="91"/>
      <c r="E38" s="91"/>
      <c r="F38" s="91"/>
      <c r="G38" s="91"/>
      <c r="H38" s="91"/>
      <c r="I38" s="120" t="str">
        <f t="shared" si="0"/>
        <v/>
      </c>
      <c r="J38" s="91"/>
      <c r="K38" s="91"/>
      <c r="L38" s="120" t="str">
        <f t="shared" si="1"/>
        <v/>
      </c>
      <c r="M38" s="121" t="str">
        <f t="shared" si="2"/>
        <v/>
      </c>
      <c r="N38" s="121" t="str">
        <f t="shared" si="3"/>
        <v/>
      </c>
      <c r="O38" s="140"/>
      <c r="P38" s="140"/>
    </row>
    <row r="39" spans="1:16" x14ac:dyDescent="0.25">
      <c r="A39" s="122" t="str">
        <f t="shared" si="4"/>
        <v/>
      </c>
      <c r="B39" s="122"/>
      <c r="C39" s="91"/>
      <c r="D39" s="91"/>
      <c r="E39" s="91"/>
      <c r="F39" s="91"/>
      <c r="G39" s="91"/>
      <c r="H39" s="91"/>
      <c r="I39" s="120" t="str">
        <f t="shared" si="0"/>
        <v/>
      </c>
      <c r="J39" s="91"/>
      <c r="K39" s="91"/>
      <c r="L39" s="120" t="str">
        <f t="shared" si="1"/>
        <v/>
      </c>
      <c r="M39" s="121" t="str">
        <f t="shared" si="2"/>
        <v/>
      </c>
      <c r="N39" s="121" t="str">
        <f t="shared" si="3"/>
        <v/>
      </c>
      <c r="O39" s="140"/>
      <c r="P39" s="140"/>
    </row>
    <row r="40" spans="1:16" x14ac:dyDescent="0.25">
      <c r="A40" s="122" t="str">
        <f t="shared" si="4"/>
        <v/>
      </c>
      <c r="B40" s="122"/>
      <c r="C40" s="91"/>
      <c r="D40" s="91"/>
      <c r="E40" s="91"/>
      <c r="F40" s="91"/>
      <c r="G40" s="91"/>
      <c r="H40" s="91"/>
      <c r="I40" s="120" t="str">
        <f t="shared" si="0"/>
        <v/>
      </c>
      <c r="J40" s="91"/>
      <c r="K40" s="91"/>
      <c r="L40" s="120" t="str">
        <f t="shared" si="1"/>
        <v/>
      </c>
      <c r="M40" s="121" t="str">
        <f t="shared" si="2"/>
        <v/>
      </c>
      <c r="N40" s="121" t="str">
        <f t="shared" si="3"/>
        <v/>
      </c>
      <c r="O40" s="140"/>
      <c r="P40" s="140"/>
    </row>
    <row r="41" spans="1:16" x14ac:dyDescent="0.25">
      <c r="A41" s="122" t="str">
        <f t="shared" si="4"/>
        <v/>
      </c>
      <c r="B41" s="122"/>
      <c r="C41" s="91"/>
      <c r="D41" s="91"/>
      <c r="E41" s="91"/>
      <c r="F41" s="91"/>
      <c r="G41" s="91"/>
      <c r="H41" s="91"/>
      <c r="I41" s="120" t="str">
        <f t="shared" si="0"/>
        <v/>
      </c>
      <c r="J41" s="91"/>
      <c r="K41" s="91"/>
      <c r="L41" s="120" t="str">
        <f t="shared" si="1"/>
        <v/>
      </c>
      <c r="M41" s="121" t="str">
        <f t="shared" si="2"/>
        <v/>
      </c>
      <c r="N41" s="121" t="str">
        <f t="shared" si="3"/>
        <v/>
      </c>
      <c r="O41" s="140"/>
      <c r="P41" s="140"/>
    </row>
    <row r="42" spans="1:16" x14ac:dyDescent="0.25">
      <c r="A42" s="122" t="str">
        <f t="shared" si="4"/>
        <v/>
      </c>
      <c r="B42" s="122"/>
      <c r="C42" s="91"/>
      <c r="D42" s="91"/>
      <c r="E42" s="91"/>
      <c r="F42" s="91"/>
      <c r="G42" s="91"/>
      <c r="H42" s="91"/>
      <c r="I42" s="120" t="str">
        <f t="shared" si="0"/>
        <v/>
      </c>
      <c r="J42" s="91"/>
      <c r="K42" s="91"/>
      <c r="L42" s="120" t="str">
        <f t="shared" si="1"/>
        <v/>
      </c>
      <c r="M42" s="121" t="str">
        <f t="shared" si="2"/>
        <v/>
      </c>
      <c r="N42" s="121" t="str">
        <f t="shared" si="3"/>
        <v/>
      </c>
      <c r="O42" s="140"/>
      <c r="P42" s="140"/>
    </row>
    <row r="43" spans="1:16" x14ac:dyDescent="0.25">
      <c r="A43" s="122" t="str">
        <f t="shared" si="4"/>
        <v/>
      </c>
      <c r="B43" s="122"/>
      <c r="C43" s="91"/>
      <c r="D43" s="91"/>
      <c r="E43" s="91"/>
      <c r="F43" s="91"/>
      <c r="G43" s="91"/>
      <c r="H43" s="91"/>
      <c r="I43" s="120" t="str">
        <f t="shared" si="0"/>
        <v/>
      </c>
      <c r="J43" s="91"/>
      <c r="K43" s="91"/>
      <c r="L43" s="120" t="str">
        <f t="shared" si="1"/>
        <v/>
      </c>
      <c r="M43" s="121" t="str">
        <f t="shared" si="2"/>
        <v/>
      </c>
      <c r="N43" s="121" t="str">
        <f t="shared" si="3"/>
        <v/>
      </c>
      <c r="O43" s="140"/>
      <c r="P43" s="140"/>
    </row>
    <row r="44" spans="1:16" x14ac:dyDescent="0.25">
      <c r="A44" s="122" t="str">
        <f t="shared" si="4"/>
        <v/>
      </c>
      <c r="B44" s="122"/>
      <c r="C44" s="91"/>
      <c r="D44" s="91"/>
      <c r="E44" s="91"/>
      <c r="F44" s="91"/>
      <c r="G44" s="91"/>
      <c r="H44" s="91"/>
      <c r="I44" s="120" t="str">
        <f t="shared" si="0"/>
        <v/>
      </c>
      <c r="J44" s="91"/>
      <c r="K44" s="91"/>
      <c r="L44" s="120" t="str">
        <f t="shared" si="1"/>
        <v/>
      </c>
      <c r="M44" s="121" t="str">
        <f t="shared" si="2"/>
        <v/>
      </c>
      <c r="N44" s="121" t="str">
        <f t="shared" si="3"/>
        <v/>
      </c>
      <c r="O44" s="140"/>
      <c r="P44" s="140"/>
    </row>
    <row r="45" spans="1:16" x14ac:dyDescent="0.25">
      <c r="A45" s="122" t="str">
        <f t="shared" si="4"/>
        <v/>
      </c>
      <c r="B45" s="122"/>
      <c r="C45" s="91"/>
      <c r="D45" s="91"/>
      <c r="E45" s="91"/>
      <c r="F45" s="91"/>
      <c r="G45" s="91"/>
      <c r="H45" s="91"/>
      <c r="I45" s="120" t="str">
        <f t="shared" si="0"/>
        <v/>
      </c>
      <c r="J45" s="91"/>
      <c r="K45" s="91"/>
      <c r="L45" s="120" t="str">
        <f t="shared" si="1"/>
        <v/>
      </c>
      <c r="M45" s="121" t="str">
        <f t="shared" si="2"/>
        <v/>
      </c>
      <c r="N45" s="121" t="str">
        <f t="shared" si="3"/>
        <v/>
      </c>
      <c r="O45" s="140"/>
      <c r="P45" s="140"/>
    </row>
    <row r="46" spans="1:16" x14ac:dyDescent="0.25">
      <c r="A46" s="122" t="str">
        <f t="shared" si="4"/>
        <v/>
      </c>
      <c r="B46" s="122"/>
      <c r="C46" s="91"/>
      <c r="D46" s="91"/>
      <c r="E46" s="91"/>
      <c r="F46" s="91"/>
      <c r="G46" s="91"/>
      <c r="H46" s="91"/>
      <c r="I46" s="120" t="str">
        <f t="shared" si="0"/>
        <v/>
      </c>
      <c r="J46" s="91"/>
      <c r="K46" s="91"/>
      <c r="L46" s="120" t="str">
        <f t="shared" si="1"/>
        <v/>
      </c>
      <c r="M46" s="121" t="str">
        <f t="shared" si="2"/>
        <v/>
      </c>
      <c r="N46" s="121" t="str">
        <f t="shared" si="3"/>
        <v/>
      </c>
      <c r="O46" s="140"/>
      <c r="P46" s="140"/>
    </row>
    <row r="47" spans="1:16" x14ac:dyDescent="0.25">
      <c r="A47" s="122" t="str">
        <f t="shared" si="4"/>
        <v/>
      </c>
      <c r="B47" s="122"/>
      <c r="C47" s="91"/>
      <c r="D47" s="91"/>
      <c r="E47" s="91"/>
      <c r="F47" s="91"/>
      <c r="G47" s="91"/>
      <c r="H47" s="91"/>
      <c r="I47" s="120" t="str">
        <f t="shared" si="0"/>
        <v/>
      </c>
      <c r="J47" s="91"/>
      <c r="K47" s="91"/>
      <c r="L47" s="120" t="str">
        <f t="shared" si="1"/>
        <v/>
      </c>
      <c r="M47" s="121" t="str">
        <f t="shared" si="2"/>
        <v/>
      </c>
      <c r="N47" s="121" t="str">
        <f t="shared" si="3"/>
        <v/>
      </c>
      <c r="O47" s="140"/>
      <c r="P47" s="140"/>
    </row>
    <row r="48" spans="1:16" x14ac:dyDescent="0.25">
      <c r="A48" s="122" t="str">
        <f t="shared" si="4"/>
        <v/>
      </c>
      <c r="B48" s="122"/>
      <c r="C48" s="91"/>
      <c r="D48" s="91"/>
      <c r="E48" s="91"/>
      <c r="F48" s="91"/>
      <c r="G48" s="91"/>
      <c r="H48" s="91"/>
      <c r="I48" s="120" t="str">
        <f t="shared" si="0"/>
        <v/>
      </c>
      <c r="J48" s="91"/>
      <c r="K48" s="91"/>
      <c r="L48" s="120" t="str">
        <f t="shared" si="1"/>
        <v/>
      </c>
      <c r="M48" s="121" t="str">
        <f t="shared" si="2"/>
        <v/>
      </c>
      <c r="N48" s="121" t="str">
        <f t="shared" si="3"/>
        <v/>
      </c>
      <c r="O48" s="140"/>
      <c r="P48" s="140"/>
    </row>
    <row r="49" spans="1:16" x14ac:dyDescent="0.25">
      <c r="A49" s="122" t="str">
        <f t="shared" si="4"/>
        <v/>
      </c>
      <c r="B49" s="122"/>
      <c r="C49" s="91"/>
      <c r="D49" s="91"/>
      <c r="E49" s="91"/>
      <c r="F49" s="91"/>
      <c r="G49" s="91"/>
      <c r="H49" s="91"/>
      <c r="I49" s="120" t="str">
        <f t="shared" si="0"/>
        <v/>
      </c>
      <c r="J49" s="91"/>
      <c r="K49" s="91"/>
      <c r="L49" s="120" t="str">
        <f t="shared" si="1"/>
        <v/>
      </c>
      <c r="M49" s="121" t="str">
        <f t="shared" si="2"/>
        <v/>
      </c>
      <c r="N49" s="121" t="str">
        <f t="shared" si="3"/>
        <v/>
      </c>
      <c r="O49" s="140"/>
      <c r="P49" s="140"/>
    </row>
    <row r="50" spans="1:16" x14ac:dyDescent="0.25">
      <c r="A50" s="122" t="str">
        <f t="shared" si="4"/>
        <v/>
      </c>
      <c r="B50" s="122"/>
      <c r="C50" s="91"/>
      <c r="D50" s="91"/>
      <c r="E50" s="91"/>
      <c r="F50" s="91"/>
      <c r="G50" s="91"/>
      <c r="H50" s="91"/>
      <c r="I50" s="120" t="str">
        <f t="shared" si="0"/>
        <v/>
      </c>
      <c r="J50" s="91"/>
      <c r="K50" s="91"/>
      <c r="L50" s="120" t="str">
        <f t="shared" si="1"/>
        <v/>
      </c>
      <c r="M50" s="121" t="str">
        <f t="shared" si="2"/>
        <v/>
      </c>
      <c r="N50" s="121" t="str">
        <f t="shared" si="3"/>
        <v/>
      </c>
      <c r="O50" s="140"/>
      <c r="P50" s="140"/>
    </row>
    <row r="51" spans="1:16" x14ac:dyDescent="0.25">
      <c r="A51" s="122" t="str">
        <f t="shared" si="4"/>
        <v/>
      </c>
      <c r="B51" s="122"/>
      <c r="C51" s="91"/>
      <c r="D51" s="91"/>
      <c r="E51" s="91"/>
      <c r="F51" s="91"/>
      <c r="G51" s="91"/>
      <c r="H51" s="91"/>
      <c r="I51" s="120" t="str">
        <f t="shared" si="0"/>
        <v/>
      </c>
      <c r="J51" s="91"/>
      <c r="K51" s="91"/>
      <c r="L51" s="120" t="str">
        <f t="shared" si="1"/>
        <v/>
      </c>
      <c r="M51" s="121" t="str">
        <f t="shared" si="2"/>
        <v/>
      </c>
      <c r="N51" s="121" t="str">
        <f t="shared" si="3"/>
        <v/>
      </c>
      <c r="O51" s="140"/>
      <c r="P51" s="140"/>
    </row>
    <row r="52" spans="1:16" x14ac:dyDescent="0.25">
      <c r="A52" s="122" t="str">
        <f t="shared" si="4"/>
        <v/>
      </c>
      <c r="B52" s="122"/>
      <c r="C52" s="91"/>
      <c r="D52" s="91"/>
      <c r="E52" s="91"/>
      <c r="F52" s="91"/>
      <c r="G52" s="91"/>
      <c r="H52" s="91"/>
      <c r="I52" s="120" t="str">
        <f t="shared" si="0"/>
        <v/>
      </c>
      <c r="J52" s="91"/>
      <c r="K52" s="91"/>
      <c r="L52" s="120" t="str">
        <f t="shared" si="1"/>
        <v/>
      </c>
      <c r="M52" s="121" t="str">
        <f t="shared" si="2"/>
        <v/>
      </c>
      <c r="N52" s="121" t="str">
        <f t="shared" si="3"/>
        <v/>
      </c>
      <c r="O52" s="140"/>
      <c r="P52" s="140"/>
    </row>
    <row r="53" spans="1:16" x14ac:dyDescent="0.25">
      <c r="A53" s="122" t="str">
        <f t="shared" si="4"/>
        <v/>
      </c>
      <c r="B53" s="122"/>
      <c r="C53" s="91"/>
      <c r="D53" s="91"/>
      <c r="E53" s="91"/>
      <c r="F53" s="91"/>
      <c r="G53" s="91"/>
      <c r="H53" s="91"/>
      <c r="I53" s="120" t="str">
        <f t="shared" si="0"/>
        <v/>
      </c>
      <c r="J53" s="91"/>
      <c r="K53" s="91"/>
      <c r="L53" s="120" t="str">
        <f t="shared" si="1"/>
        <v/>
      </c>
      <c r="M53" s="121" t="str">
        <f t="shared" si="2"/>
        <v/>
      </c>
      <c r="N53" s="121" t="str">
        <f t="shared" si="3"/>
        <v/>
      </c>
      <c r="O53" s="140"/>
      <c r="P53" s="140"/>
    </row>
    <row r="54" spans="1:16" x14ac:dyDescent="0.25">
      <c r="A54" s="122" t="str">
        <f t="shared" si="4"/>
        <v/>
      </c>
      <c r="B54" s="122"/>
      <c r="C54" s="91"/>
      <c r="D54" s="91"/>
      <c r="E54" s="91"/>
      <c r="F54" s="91"/>
      <c r="G54" s="91"/>
      <c r="H54" s="91"/>
      <c r="I54" s="120" t="str">
        <f t="shared" si="0"/>
        <v/>
      </c>
      <c r="J54" s="91"/>
      <c r="K54" s="91"/>
      <c r="L54" s="120" t="str">
        <f t="shared" si="1"/>
        <v/>
      </c>
      <c r="M54" s="121" t="str">
        <f t="shared" si="2"/>
        <v/>
      </c>
      <c r="N54" s="121" t="str">
        <f t="shared" si="3"/>
        <v/>
      </c>
      <c r="O54" s="140"/>
      <c r="P54" s="140"/>
    </row>
    <row r="55" spans="1:16" x14ac:dyDescent="0.25">
      <c r="A55" s="122" t="str">
        <f t="shared" si="4"/>
        <v/>
      </c>
      <c r="B55" s="122"/>
      <c r="C55" s="91"/>
      <c r="D55" s="91"/>
      <c r="E55" s="91"/>
      <c r="F55" s="91"/>
      <c r="G55" s="91"/>
      <c r="H55" s="91"/>
      <c r="I55" s="120" t="str">
        <f t="shared" si="0"/>
        <v/>
      </c>
      <c r="J55" s="91"/>
      <c r="K55" s="91"/>
      <c r="L55" s="120" t="str">
        <f t="shared" si="1"/>
        <v/>
      </c>
      <c r="M55" s="121" t="str">
        <f t="shared" si="2"/>
        <v/>
      </c>
      <c r="N55" s="121" t="str">
        <f t="shared" si="3"/>
        <v/>
      </c>
      <c r="O55" s="140"/>
      <c r="P55" s="140"/>
    </row>
    <row r="56" spans="1:16" x14ac:dyDescent="0.25">
      <c r="A56" s="122" t="str">
        <f t="shared" si="4"/>
        <v/>
      </c>
      <c r="B56" s="122"/>
      <c r="C56" s="91"/>
      <c r="D56" s="91"/>
      <c r="E56" s="91"/>
      <c r="F56" s="91"/>
      <c r="G56" s="91"/>
      <c r="H56" s="91"/>
      <c r="I56" s="120" t="str">
        <f t="shared" si="0"/>
        <v/>
      </c>
      <c r="J56" s="91"/>
      <c r="K56" s="91"/>
      <c r="L56" s="120" t="str">
        <f t="shared" si="1"/>
        <v/>
      </c>
      <c r="M56" s="121" t="str">
        <f t="shared" si="2"/>
        <v/>
      </c>
      <c r="N56" s="121" t="str">
        <f t="shared" si="3"/>
        <v/>
      </c>
      <c r="O56" s="140"/>
      <c r="P56" s="140"/>
    </row>
    <row r="57" spans="1:16" x14ac:dyDescent="0.25">
      <c r="A57" s="122" t="str">
        <f t="shared" si="4"/>
        <v/>
      </c>
      <c r="B57" s="122"/>
      <c r="C57" s="91"/>
      <c r="D57" s="91"/>
      <c r="E57" s="91"/>
      <c r="F57" s="91"/>
      <c r="G57" s="91"/>
      <c r="H57" s="91"/>
      <c r="I57" s="120" t="str">
        <f t="shared" si="0"/>
        <v/>
      </c>
      <c r="J57" s="91"/>
      <c r="K57" s="91"/>
      <c r="L57" s="120" t="str">
        <f t="shared" si="1"/>
        <v/>
      </c>
      <c r="M57" s="121" t="str">
        <f t="shared" si="2"/>
        <v/>
      </c>
      <c r="N57" s="121" t="str">
        <f t="shared" si="3"/>
        <v/>
      </c>
      <c r="O57" s="140"/>
      <c r="P57" s="140"/>
    </row>
    <row r="58" spans="1:16" x14ac:dyDescent="0.25">
      <c r="A58" s="122" t="str">
        <f t="shared" si="4"/>
        <v/>
      </c>
      <c r="B58" s="122"/>
      <c r="C58" s="91"/>
      <c r="D58" s="91"/>
      <c r="E58" s="91"/>
      <c r="F58" s="91"/>
      <c r="G58" s="91"/>
      <c r="H58" s="91"/>
      <c r="I58" s="120" t="str">
        <f t="shared" si="0"/>
        <v/>
      </c>
      <c r="J58" s="91"/>
      <c r="K58" s="91"/>
      <c r="L58" s="120" t="str">
        <f t="shared" si="1"/>
        <v/>
      </c>
      <c r="M58" s="121" t="str">
        <f t="shared" si="2"/>
        <v/>
      </c>
      <c r="N58" s="121" t="str">
        <f t="shared" si="3"/>
        <v/>
      </c>
      <c r="O58" s="140"/>
      <c r="P58" s="140"/>
    </row>
    <row r="59" spans="1:16" x14ac:dyDescent="0.25">
      <c r="A59" s="122" t="str">
        <f t="shared" si="4"/>
        <v/>
      </c>
      <c r="B59" s="122"/>
      <c r="C59" s="91"/>
      <c r="D59" s="91"/>
      <c r="E59" s="91"/>
      <c r="F59" s="91"/>
      <c r="G59" s="91"/>
      <c r="H59" s="91"/>
      <c r="I59" s="120" t="str">
        <f t="shared" si="0"/>
        <v/>
      </c>
      <c r="J59" s="91"/>
      <c r="K59" s="91"/>
      <c r="L59" s="120" t="str">
        <f t="shared" si="1"/>
        <v/>
      </c>
      <c r="M59" s="121" t="str">
        <f t="shared" si="2"/>
        <v/>
      </c>
      <c r="N59" s="121" t="str">
        <f t="shared" si="3"/>
        <v/>
      </c>
      <c r="O59" s="140"/>
      <c r="P59" s="140"/>
    </row>
    <row r="60" spans="1:16" x14ac:dyDescent="0.25">
      <c r="A60" s="122" t="str">
        <f t="shared" si="4"/>
        <v/>
      </c>
      <c r="B60" s="122"/>
      <c r="C60" s="91"/>
      <c r="D60" s="91"/>
      <c r="E60" s="91"/>
      <c r="F60" s="91"/>
      <c r="G60" s="91"/>
      <c r="H60" s="91"/>
      <c r="I60" s="120" t="str">
        <f t="shared" si="0"/>
        <v/>
      </c>
      <c r="J60" s="91"/>
      <c r="K60" s="91"/>
      <c r="L60" s="120" t="str">
        <f t="shared" si="1"/>
        <v/>
      </c>
      <c r="M60" s="121" t="str">
        <f t="shared" si="2"/>
        <v/>
      </c>
      <c r="N60" s="121" t="str">
        <f t="shared" si="3"/>
        <v/>
      </c>
      <c r="O60" s="140"/>
      <c r="P60" s="140"/>
    </row>
    <row r="61" spans="1:16" x14ac:dyDescent="0.25">
      <c r="A61" s="122" t="str">
        <f t="shared" si="4"/>
        <v/>
      </c>
      <c r="B61" s="122"/>
      <c r="C61" s="91"/>
      <c r="D61" s="91"/>
      <c r="E61" s="91"/>
      <c r="F61" s="91"/>
      <c r="G61" s="91"/>
      <c r="H61" s="91"/>
      <c r="I61" s="120" t="str">
        <f t="shared" si="0"/>
        <v/>
      </c>
      <c r="J61" s="91"/>
      <c r="K61" s="91"/>
      <c r="L61" s="120" t="str">
        <f t="shared" si="1"/>
        <v/>
      </c>
      <c r="M61" s="121" t="str">
        <f t="shared" si="2"/>
        <v/>
      </c>
      <c r="N61" s="121" t="str">
        <f t="shared" si="3"/>
        <v/>
      </c>
      <c r="O61" s="140"/>
      <c r="P61" s="140"/>
    </row>
    <row r="62" spans="1:16" x14ac:dyDescent="0.25">
      <c r="A62" s="122" t="str">
        <f t="shared" si="4"/>
        <v/>
      </c>
      <c r="B62" s="122"/>
      <c r="C62" s="91"/>
      <c r="D62" s="91"/>
      <c r="E62" s="91"/>
      <c r="F62" s="91"/>
      <c r="G62" s="91"/>
      <c r="H62" s="91"/>
      <c r="I62" s="120" t="str">
        <f t="shared" si="0"/>
        <v/>
      </c>
      <c r="J62" s="91"/>
      <c r="K62" s="91"/>
      <c r="L62" s="120" t="str">
        <f t="shared" si="1"/>
        <v/>
      </c>
      <c r="M62" s="121" t="str">
        <f t="shared" si="2"/>
        <v/>
      </c>
      <c r="N62" s="121" t="str">
        <f t="shared" si="3"/>
        <v/>
      </c>
      <c r="O62" s="140"/>
      <c r="P62" s="140"/>
    </row>
    <row r="63" spans="1:16" x14ac:dyDescent="0.25">
      <c r="A63" s="122" t="str">
        <f t="shared" si="4"/>
        <v/>
      </c>
      <c r="B63" s="122"/>
      <c r="C63" s="91"/>
      <c r="D63" s="91"/>
      <c r="E63" s="91"/>
      <c r="F63" s="91"/>
      <c r="G63" s="91"/>
      <c r="H63" s="91"/>
      <c r="I63" s="120" t="str">
        <f t="shared" si="0"/>
        <v/>
      </c>
      <c r="J63" s="91"/>
      <c r="K63" s="91"/>
      <c r="L63" s="120" t="str">
        <f t="shared" si="1"/>
        <v/>
      </c>
      <c r="M63" s="121" t="str">
        <f t="shared" si="2"/>
        <v/>
      </c>
      <c r="N63" s="121" t="str">
        <f t="shared" si="3"/>
        <v/>
      </c>
      <c r="O63" s="140"/>
      <c r="P63" s="140"/>
    </row>
    <row r="64" spans="1:16" x14ac:dyDescent="0.25">
      <c r="A64" s="122" t="str">
        <f t="shared" si="4"/>
        <v/>
      </c>
      <c r="B64" s="122"/>
      <c r="C64" s="91"/>
      <c r="D64" s="91"/>
      <c r="E64" s="91"/>
      <c r="F64" s="91"/>
      <c r="G64" s="91"/>
      <c r="H64" s="91"/>
      <c r="I64" s="120" t="str">
        <f t="shared" si="0"/>
        <v/>
      </c>
      <c r="J64" s="91"/>
      <c r="K64" s="91"/>
      <c r="L64" s="120" t="str">
        <f t="shared" si="1"/>
        <v/>
      </c>
      <c r="M64" s="121" t="str">
        <f t="shared" si="2"/>
        <v/>
      </c>
      <c r="N64" s="121" t="str">
        <f t="shared" si="3"/>
        <v/>
      </c>
      <c r="O64" s="140"/>
      <c r="P64" s="140"/>
    </row>
    <row r="65" spans="1:16" x14ac:dyDescent="0.25">
      <c r="A65" s="122" t="str">
        <f t="shared" si="4"/>
        <v/>
      </c>
      <c r="B65" s="122"/>
      <c r="C65" s="91"/>
      <c r="D65" s="91"/>
      <c r="E65" s="91"/>
      <c r="F65" s="91"/>
      <c r="G65" s="91"/>
      <c r="H65" s="91"/>
      <c r="I65" s="120" t="str">
        <f t="shared" si="0"/>
        <v/>
      </c>
      <c r="J65" s="91"/>
      <c r="K65" s="91"/>
      <c r="L65" s="120" t="str">
        <f t="shared" si="1"/>
        <v/>
      </c>
      <c r="M65" s="121" t="str">
        <f t="shared" si="2"/>
        <v/>
      </c>
      <c r="N65" s="121" t="str">
        <f t="shared" si="3"/>
        <v/>
      </c>
      <c r="O65" s="140"/>
      <c r="P65" s="140"/>
    </row>
    <row r="66" spans="1:16" x14ac:dyDescent="0.25">
      <c r="A66" s="122" t="str">
        <f t="shared" si="4"/>
        <v/>
      </c>
      <c r="B66" s="122"/>
      <c r="C66" s="91"/>
      <c r="D66" s="91"/>
      <c r="E66" s="91"/>
      <c r="F66" s="91"/>
      <c r="G66" s="91"/>
      <c r="H66" s="91"/>
      <c r="I66" s="120" t="str">
        <f t="shared" si="0"/>
        <v/>
      </c>
      <c r="J66" s="91"/>
      <c r="K66" s="91"/>
      <c r="L66" s="120" t="str">
        <f t="shared" si="1"/>
        <v/>
      </c>
      <c r="M66" s="121" t="str">
        <f t="shared" si="2"/>
        <v/>
      </c>
      <c r="N66" s="121" t="str">
        <f t="shared" si="3"/>
        <v/>
      </c>
      <c r="O66" s="140"/>
      <c r="P66" s="140"/>
    </row>
    <row r="67" spans="1:16" x14ac:dyDescent="0.25">
      <c r="A67" s="122" t="str">
        <f t="shared" si="4"/>
        <v/>
      </c>
      <c r="B67" s="122"/>
      <c r="C67" s="91"/>
      <c r="D67" s="91"/>
      <c r="E67" s="91"/>
      <c r="F67" s="91"/>
      <c r="G67" s="91"/>
      <c r="H67" s="91"/>
      <c r="I67" s="120" t="str">
        <f t="shared" ref="I67:I130" si="5">IF(H67&lt;&gt;"",H67/G67,"")</f>
        <v/>
      </c>
      <c r="J67" s="91"/>
      <c r="K67" s="91"/>
      <c r="L67" s="120" t="str">
        <f t="shared" ref="L67:L130" si="6">IF(K67&lt;&gt;"",K67/J67,"")</f>
        <v/>
      </c>
      <c r="M67" s="121" t="str">
        <f t="shared" ref="M67:M130" si="7">IF(L67&lt;&gt;"",MAX(I67,L67),"")</f>
        <v/>
      </c>
      <c r="N67" s="121" t="str">
        <f t="shared" ref="N67:N130" si="8">IF($M67&lt;&gt;"",IF($M67&lt;50%,0%,IF($M67&lt;80%,$M67,100%)),"")</f>
        <v/>
      </c>
      <c r="O67" s="140"/>
      <c r="P67" s="140"/>
    </row>
    <row r="68" spans="1:16" x14ac:dyDescent="0.25">
      <c r="A68" s="122" t="str">
        <f t="shared" ref="A68:A131" si="9">IF(C68&lt;&gt;"",A67+1,"")</f>
        <v/>
      </c>
      <c r="B68" s="122"/>
      <c r="C68" s="91"/>
      <c r="D68" s="91"/>
      <c r="E68" s="91"/>
      <c r="F68" s="91"/>
      <c r="G68" s="91"/>
      <c r="H68" s="91"/>
      <c r="I68" s="120" t="str">
        <f t="shared" si="5"/>
        <v/>
      </c>
      <c r="J68" s="91"/>
      <c r="K68" s="91"/>
      <c r="L68" s="120" t="str">
        <f t="shared" si="6"/>
        <v/>
      </c>
      <c r="M68" s="121" t="str">
        <f t="shared" si="7"/>
        <v/>
      </c>
      <c r="N68" s="121" t="str">
        <f t="shared" si="8"/>
        <v/>
      </c>
      <c r="O68" s="140"/>
      <c r="P68" s="140"/>
    </row>
    <row r="69" spans="1:16" x14ac:dyDescent="0.25">
      <c r="A69" s="122" t="str">
        <f t="shared" si="9"/>
        <v/>
      </c>
      <c r="B69" s="122"/>
      <c r="C69" s="91"/>
      <c r="D69" s="91"/>
      <c r="E69" s="91"/>
      <c r="F69" s="91"/>
      <c r="G69" s="91"/>
      <c r="H69" s="91"/>
      <c r="I69" s="120" t="str">
        <f t="shared" si="5"/>
        <v/>
      </c>
      <c r="J69" s="91"/>
      <c r="K69" s="91"/>
      <c r="L69" s="120" t="str">
        <f t="shared" si="6"/>
        <v/>
      </c>
      <c r="M69" s="121" t="str">
        <f t="shared" si="7"/>
        <v/>
      </c>
      <c r="N69" s="121" t="str">
        <f t="shared" si="8"/>
        <v/>
      </c>
      <c r="O69" s="140"/>
      <c r="P69" s="140"/>
    </row>
    <row r="70" spans="1:16" x14ac:dyDescent="0.25">
      <c r="A70" s="122" t="str">
        <f t="shared" si="9"/>
        <v/>
      </c>
      <c r="B70" s="122"/>
      <c r="C70" s="91"/>
      <c r="D70" s="91"/>
      <c r="E70" s="91"/>
      <c r="F70" s="91"/>
      <c r="G70" s="91"/>
      <c r="H70" s="91"/>
      <c r="I70" s="120" t="str">
        <f t="shared" si="5"/>
        <v/>
      </c>
      <c r="J70" s="91"/>
      <c r="K70" s="91"/>
      <c r="L70" s="120" t="str">
        <f t="shared" si="6"/>
        <v/>
      </c>
      <c r="M70" s="121" t="str">
        <f t="shared" si="7"/>
        <v/>
      </c>
      <c r="N70" s="121" t="str">
        <f t="shared" si="8"/>
        <v/>
      </c>
      <c r="O70" s="140"/>
      <c r="P70" s="140"/>
    </row>
    <row r="71" spans="1:16" x14ac:dyDescent="0.25">
      <c r="A71" s="122" t="str">
        <f t="shared" si="9"/>
        <v/>
      </c>
      <c r="B71" s="122"/>
      <c r="C71" s="91"/>
      <c r="D71" s="91"/>
      <c r="E71" s="91"/>
      <c r="F71" s="91"/>
      <c r="G71" s="91"/>
      <c r="H71" s="91"/>
      <c r="I71" s="120" t="str">
        <f t="shared" si="5"/>
        <v/>
      </c>
      <c r="J71" s="91"/>
      <c r="K71" s="91"/>
      <c r="L71" s="120" t="str">
        <f t="shared" si="6"/>
        <v/>
      </c>
      <c r="M71" s="121" t="str">
        <f t="shared" si="7"/>
        <v/>
      </c>
      <c r="N71" s="121" t="str">
        <f t="shared" si="8"/>
        <v/>
      </c>
      <c r="O71" s="140"/>
      <c r="P71" s="140"/>
    </row>
    <row r="72" spans="1:16" x14ac:dyDescent="0.25">
      <c r="A72" s="122" t="str">
        <f t="shared" si="9"/>
        <v/>
      </c>
      <c r="B72" s="122"/>
      <c r="C72" s="91"/>
      <c r="D72" s="91"/>
      <c r="E72" s="91"/>
      <c r="F72" s="91"/>
      <c r="G72" s="91"/>
      <c r="H72" s="91"/>
      <c r="I72" s="120" t="str">
        <f t="shared" si="5"/>
        <v/>
      </c>
      <c r="J72" s="91"/>
      <c r="K72" s="91"/>
      <c r="L72" s="120" t="str">
        <f t="shared" si="6"/>
        <v/>
      </c>
      <c r="M72" s="121" t="str">
        <f t="shared" si="7"/>
        <v/>
      </c>
      <c r="N72" s="121" t="str">
        <f t="shared" si="8"/>
        <v/>
      </c>
      <c r="O72" s="140"/>
      <c r="P72" s="140"/>
    </row>
    <row r="73" spans="1:16" x14ac:dyDescent="0.25">
      <c r="A73" s="122" t="str">
        <f t="shared" si="9"/>
        <v/>
      </c>
      <c r="B73" s="122"/>
      <c r="C73" s="91"/>
      <c r="D73" s="91"/>
      <c r="E73" s="91"/>
      <c r="F73" s="91"/>
      <c r="G73" s="91"/>
      <c r="H73" s="91"/>
      <c r="I73" s="120" t="str">
        <f t="shared" si="5"/>
        <v/>
      </c>
      <c r="J73" s="91"/>
      <c r="K73" s="91"/>
      <c r="L73" s="120" t="str">
        <f t="shared" si="6"/>
        <v/>
      </c>
      <c r="M73" s="121" t="str">
        <f t="shared" si="7"/>
        <v/>
      </c>
      <c r="N73" s="121" t="str">
        <f t="shared" si="8"/>
        <v/>
      </c>
      <c r="O73" s="140"/>
      <c r="P73" s="140"/>
    </row>
    <row r="74" spans="1:16" x14ac:dyDescent="0.25">
      <c r="A74" s="122" t="str">
        <f t="shared" si="9"/>
        <v/>
      </c>
      <c r="B74" s="122"/>
      <c r="C74" s="91"/>
      <c r="D74" s="91"/>
      <c r="E74" s="91"/>
      <c r="F74" s="91"/>
      <c r="G74" s="91"/>
      <c r="H74" s="91"/>
      <c r="I74" s="120" t="str">
        <f t="shared" si="5"/>
        <v/>
      </c>
      <c r="J74" s="91"/>
      <c r="K74" s="91"/>
      <c r="L74" s="120" t="str">
        <f t="shared" si="6"/>
        <v/>
      </c>
      <c r="M74" s="121" t="str">
        <f t="shared" si="7"/>
        <v/>
      </c>
      <c r="N74" s="121" t="str">
        <f t="shared" si="8"/>
        <v/>
      </c>
      <c r="O74" s="140"/>
      <c r="P74" s="140"/>
    </row>
    <row r="75" spans="1:16" x14ac:dyDescent="0.25">
      <c r="A75" s="122" t="str">
        <f t="shared" si="9"/>
        <v/>
      </c>
      <c r="B75" s="122"/>
      <c r="C75" s="91"/>
      <c r="D75" s="91"/>
      <c r="E75" s="91"/>
      <c r="F75" s="91"/>
      <c r="G75" s="91"/>
      <c r="H75" s="91"/>
      <c r="I75" s="120" t="str">
        <f t="shared" si="5"/>
        <v/>
      </c>
      <c r="J75" s="91"/>
      <c r="K75" s="91"/>
      <c r="L75" s="120" t="str">
        <f t="shared" si="6"/>
        <v/>
      </c>
      <c r="M75" s="121" t="str">
        <f t="shared" si="7"/>
        <v/>
      </c>
      <c r="N75" s="121" t="str">
        <f t="shared" si="8"/>
        <v/>
      </c>
      <c r="O75" s="140"/>
      <c r="P75" s="140"/>
    </row>
    <row r="76" spans="1:16" x14ac:dyDescent="0.25">
      <c r="A76" s="122" t="str">
        <f t="shared" si="9"/>
        <v/>
      </c>
      <c r="B76" s="122"/>
      <c r="C76" s="91"/>
      <c r="D76" s="91"/>
      <c r="E76" s="91"/>
      <c r="F76" s="91"/>
      <c r="G76" s="91"/>
      <c r="H76" s="91"/>
      <c r="I76" s="120" t="str">
        <f t="shared" si="5"/>
        <v/>
      </c>
      <c r="J76" s="91"/>
      <c r="K76" s="91"/>
      <c r="L76" s="120" t="str">
        <f t="shared" si="6"/>
        <v/>
      </c>
      <c r="M76" s="121" t="str">
        <f t="shared" si="7"/>
        <v/>
      </c>
      <c r="N76" s="121" t="str">
        <f t="shared" si="8"/>
        <v/>
      </c>
      <c r="O76" s="140"/>
      <c r="P76" s="140"/>
    </row>
    <row r="77" spans="1:16" x14ac:dyDescent="0.25">
      <c r="A77" s="122" t="str">
        <f t="shared" si="9"/>
        <v/>
      </c>
      <c r="B77" s="122"/>
      <c r="C77" s="91"/>
      <c r="D77" s="91"/>
      <c r="E77" s="91"/>
      <c r="F77" s="91"/>
      <c r="G77" s="91"/>
      <c r="H77" s="91"/>
      <c r="I77" s="120" t="str">
        <f t="shared" si="5"/>
        <v/>
      </c>
      <c r="J77" s="91"/>
      <c r="K77" s="91"/>
      <c r="L77" s="120" t="str">
        <f t="shared" si="6"/>
        <v/>
      </c>
      <c r="M77" s="121" t="str">
        <f t="shared" si="7"/>
        <v/>
      </c>
      <c r="N77" s="121" t="str">
        <f t="shared" si="8"/>
        <v/>
      </c>
      <c r="O77" s="140"/>
      <c r="P77" s="140"/>
    </row>
    <row r="78" spans="1:16" x14ac:dyDescent="0.25">
      <c r="A78" s="122" t="str">
        <f t="shared" si="9"/>
        <v/>
      </c>
      <c r="B78" s="122"/>
      <c r="C78" s="91"/>
      <c r="D78" s="91"/>
      <c r="E78" s="91"/>
      <c r="F78" s="91"/>
      <c r="G78" s="91"/>
      <c r="H78" s="91"/>
      <c r="I78" s="120" t="str">
        <f t="shared" si="5"/>
        <v/>
      </c>
      <c r="J78" s="91"/>
      <c r="K78" s="91"/>
      <c r="L78" s="120" t="str">
        <f t="shared" si="6"/>
        <v/>
      </c>
      <c r="M78" s="121" t="str">
        <f t="shared" si="7"/>
        <v/>
      </c>
      <c r="N78" s="121" t="str">
        <f t="shared" si="8"/>
        <v/>
      </c>
      <c r="O78" s="140"/>
      <c r="P78" s="140"/>
    </row>
    <row r="79" spans="1:16" x14ac:dyDescent="0.25">
      <c r="A79" s="122" t="str">
        <f t="shared" si="9"/>
        <v/>
      </c>
      <c r="B79" s="122"/>
      <c r="C79" s="91"/>
      <c r="D79" s="91"/>
      <c r="E79" s="91"/>
      <c r="F79" s="91"/>
      <c r="G79" s="91"/>
      <c r="H79" s="91"/>
      <c r="I79" s="120" t="str">
        <f t="shared" si="5"/>
        <v/>
      </c>
      <c r="J79" s="91"/>
      <c r="K79" s="91"/>
      <c r="L79" s="120" t="str">
        <f t="shared" si="6"/>
        <v/>
      </c>
      <c r="M79" s="121" t="str">
        <f t="shared" si="7"/>
        <v/>
      </c>
      <c r="N79" s="121" t="str">
        <f t="shared" si="8"/>
        <v/>
      </c>
      <c r="O79" s="140"/>
      <c r="P79" s="140"/>
    </row>
    <row r="80" spans="1:16" x14ac:dyDescent="0.25">
      <c r="A80" s="122" t="str">
        <f t="shared" si="9"/>
        <v/>
      </c>
      <c r="B80" s="122"/>
      <c r="C80" s="91"/>
      <c r="D80" s="91"/>
      <c r="E80" s="91"/>
      <c r="F80" s="91"/>
      <c r="G80" s="91"/>
      <c r="H80" s="91"/>
      <c r="I80" s="120" t="str">
        <f t="shared" si="5"/>
        <v/>
      </c>
      <c r="J80" s="91"/>
      <c r="K80" s="91"/>
      <c r="L80" s="120" t="str">
        <f t="shared" si="6"/>
        <v/>
      </c>
      <c r="M80" s="121" t="str">
        <f t="shared" si="7"/>
        <v/>
      </c>
      <c r="N80" s="121" t="str">
        <f t="shared" si="8"/>
        <v/>
      </c>
      <c r="O80" s="140"/>
      <c r="P80" s="140"/>
    </row>
    <row r="81" spans="1:16" x14ac:dyDescent="0.25">
      <c r="A81" s="122" t="str">
        <f t="shared" si="9"/>
        <v/>
      </c>
      <c r="B81" s="122"/>
      <c r="C81" s="91"/>
      <c r="D81" s="91"/>
      <c r="E81" s="91"/>
      <c r="F81" s="91"/>
      <c r="G81" s="91"/>
      <c r="H81" s="91"/>
      <c r="I81" s="120" t="str">
        <f t="shared" si="5"/>
        <v/>
      </c>
      <c r="J81" s="91"/>
      <c r="K81" s="91"/>
      <c r="L81" s="120" t="str">
        <f t="shared" si="6"/>
        <v/>
      </c>
      <c r="M81" s="121" t="str">
        <f t="shared" si="7"/>
        <v/>
      </c>
      <c r="N81" s="121" t="str">
        <f t="shared" si="8"/>
        <v/>
      </c>
      <c r="O81" s="140"/>
      <c r="P81" s="140"/>
    </row>
    <row r="82" spans="1:16" x14ac:dyDescent="0.25">
      <c r="A82" s="122" t="str">
        <f t="shared" si="9"/>
        <v/>
      </c>
      <c r="B82" s="122"/>
      <c r="C82" s="91"/>
      <c r="D82" s="91"/>
      <c r="E82" s="91"/>
      <c r="F82" s="91"/>
      <c r="G82" s="91"/>
      <c r="H82" s="91"/>
      <c r="I82" s="120" t="str">
        <f t="shared" si="5"/>
        <v/>
      </c>
      <c r="J82" s="91"/>
      <c r="K82" s="91"/>
      <c r="L82" s="120" t="str">
        <f t="shared" si="6"/>
        <v/>
      </c>
      <c r="M82" s="121" t="str">
        <f t="shared" si="7"/>
        <v/>
      </c>
      <c r="N82" s="121" t="str">
        <f t="shared" si="8"/>
        <v/>
      </c>
      <c r="O82" s="140"/>
      <c r="P82" s="140"/>
    </row>
    <row r="83" spans="1:16" x14ac:dyDescent="0.25">
      <c r="A83" s="122" t="str">
        <f t="shared" si="9"/>
        <v/>
      </c>
      <c r="B83" s="122"/>
      <c r="C83" s="91"/>
      <c r="D83" s="91"/>
      <c r="E83" s="91"/>
      <c r="F83" s="91"/>
      <c r="G83" s="91"/>
      <c r="H83" s="91"/>
      <c r="I83" s="120" t="str">
        <f t="shared" si="5"/>
        <v/>
      </c>
      <c r="J83" s="91"/>
      <c r="K83" s="91"/>
      <c r="L83" s="120" t="str">
        <f t="shared" si="6"/>
        <v/>
      </c>
      <c r="M83" s="121" t="str">
        <f t="shared" si="7"/>
        <v/>
      </c>
      <c r="N83" s="121" t="str">
        <f t="shared" si="8"/>
        <v/>
      </c>
      <c r="O83" s="140"/>
      <c r="P83" s="140"/>
    </row>
    <row r="84" spans="1:16" x14ac:dyDescent="0.25">
      <c r="A84" s="122" t="str">
        <f t="shared" si="9"/>
        <v/>
      </c>
      <c r="B84" s="122"/>
      <c r="C84" s="91"/>
      <c r="D84" s="91"/>
      <c r="E84" s="91"/>
      <c r="F84" s="91"/>
      <c r="G84" s="91"/>
      <c r="H84" s="91"/>
      <c r="I84" s="120" t="str">
        <f t="shared" si="5"/>
        <v/>
      </c>
      <c r="J84" s="91"/>
      <c r="K84" s="91"/>
      <c r="L84" s="120" t="str">
        <f t="shared" si="6"/>
        <v/>
      </c>
      <c r="M84" s="121" t="str">
        <f t="shared" si="7"/>
        <v/>
      </c>
      <c r="N84" s="121" t="str">
        <f t="shared" si="8"/>
        <v/>
      </c>
      <c r="O84" s="140"/>
      <c r="P84" s="140"/>
    </row>
    <row r="85" spans="1:16" x14ac:dyDescent="0.25">
      <c r="A85" s="122" t="str">
        <f t="shared" si="9"/>
        <v/>
      </c>
      <c r="B85" s="122"/>
      <c r="C85" s="91"/>
      <c r="D85" s="91"/>
      <c r="E85" s="91"/>
      <c r="F85" s="91"/>
      <c r="G85" s="91"/>
      <c r="H85" s="91"/>
      <c r="I85" s="120" t="str">
        <f t="shared" si="5"/>
        <v/>
      </c>
      <c r="J85" s="91"/>
      <c r="K85" s="91"/>
      <c r="L85" s="120" t="str">
        <f t="shared" si="6"/>
        <v/>
      </c>
      <c r="M85" s="121" t="str">
        <f t="shared" si="7"/>
        <v/>
      </c>
      <c r="N85" s="121" t="str">
        <f t="shared" si="8"/>
        <v/>
      </c>
      <c r="O85" s="140"/>
      <c r="P85" s="140"/>
    </row>
    <row r="86" spans="1:16" x14ac:dyDescent="0.25">
      <c r="A86" s="122" t="str">
        <f t="shared" si="9"/>
        <v/>
      </c>
      <c r="B86" s="122"/>
      <c r="C86" s="91"/>
      <c r="D86" s="91"/>
      <c r="E86" s="91"/>
      <c r="F86" s="91"/>
      <c r="G86" s="91"/>
      <c r="H86" s="91"/>
      <c r="I86" s="120" t="str">
        <f t="shared" si="5"/>
        <v/>
      </c>
      <c r="J86" s="91"/>
      <c r="K86" s="91"/>
      <c r="L86" s="120" t="str">
        <f t="shared" si="6"/>
        <v/>
      </c>
      <c r="M86" s="121" t="str">
        <f t="shared" si="7"/>
        <v/>
      </c>
      <c r="N86" s="121" t="str">
        <f t="shared" si="8"/>
        <v/>
      </c>
      <c r="O86" s="140"/>
      <c r="P86" s="140"/>
    </row>
    <row r="87" spans="1:16" x14ac:dyDescent="0.25">
      <c r="A87" s="122" t="str">
        <f t="shared" si="9"/>
        <v/>
      </c>
      <c r="B87" s="122"/>
      <c r="C87" s="91"/>
      <c r="D87" s="91"/>
      <c r="E87" s="91"/>
      <c r="F87" s="91"/>
      <c r="G87" s="91"/>
      <c r="H87" s="91"/>
      <c r="I87" s="120" t="str">
        <f t="shared" si="5"/>
        <v/>
      </c>
      <c r="J87" s="91"/>
      <c r="K87" s="91"/>
      <c r="L87" s="120" t="str">
        <f t="shared" si="6"/>
        <v/>
      </c>
      <c r="M87" s="121" t="str">
        <f t="shared" si="7"/>
        <v/>
      </c>
      <c r="N87" s="121" t="str">
        <f t="shared" si="8"/>
        <v/>
      </c>
      <c r="O87" s="140"/>
      <c r="P87" s="140"/>
    </row>
    <row r="88" spans="1:16" x14ac:dyDescent="0.25">
      <c r="A88" s="122" t="str">
        <f t="shared" si="9"/>
        <v/>
      </c>
      <c r="B88" s="122"/>
      <c r="C88" s="91"/>
      <c r="D88" s="91"/>
      <c r="E88" s="91"/>
      <c r="F88" s="91"/>
      <c r="G88" s="91"/>
      <c r="H88" s="91"/>
      <c r="I88" s="120" t="str">
        <f t="shared" si="5"/>
        <v/>
      </c>
      <c r="J88" s="91"/>
      <c r="K88" s="91"/>
      <c r="L88" s="120" t="str">
        <f t="shared" si="6"/>
        <v/>
      </c>
      <c r="M88" s="121" t="str">
        <f t="shared" si="7"/>
        <v/>
      </c>
      <c r="N88" s="121" t="str">
        <f t="shared" si="8"/>
        <v/>
      </c>
      <c r="O88" s="140"/>
      <c r="P88" s="140"/>
    </row>
    <row r="89" spans="1:16" x14ac:dyDescent="0.25">
      <c r="A89" s="122" t="str">
        <f t="shared" si="9"/>
        <v/>
      </c>
      <c r="B89" s="122"/>
      <c r="C89" s="91"/>
      <c r="D89" s="91"/>
      <c r="E89" s="91"/>
      <c r="F89" s="91"/>
      <c r="G89" s="91"/>
      <c r="H89" s="91"/>
      <c r="I89" s="120" t="str">
        <f t="shared" si="5"/>
        <v/>
      </c>
      <c r="J89" s="91"/>
      <c r="K89" s="91"/>
      <c r="L89" s="120" t="str">
        <f t="shared" si="6"/>
        <v/>
      </c>
      <c r="M89" s="121" t="str">
        <f t="shared" si="7"/>
        <v/>
      </c>
      <c r="N89" s="121" t="str">
        <f t="shared" si="8"/>
        <v/>
      </c>
      <c r="O89" s="140"/>
      <c r="P89" s="140"/>
    </row>
    <row r="90" spans="1:16" x14ac:dyDescent="0.25">
      <c r="A90" s="122" t="str">
        <f t="shared" si="9"/>
        <v/>
      </c>
      <c r="B90" s="122"/>
      <c r="C90" s="91"/>
      <c r="D90" s="91"/>
      <c r="E90" s="91"/>
      <c r="F90" s="91"/>
      <c r="G90" s="91"/>
      <c r="H90" s="91"/>
      <c r="I90" s="120" t="str">
        <f t="shared" si="5"/>
        <v/>
      </c>
      <c r="J90" s="91"/>
      <c r="K90" s="91"/>
      <c r="L90" s="120" t="str">
        <f t="shared" si="6"/>
        <v/>
      </c>
      <c r="M90" s="121" t="str">
        <f t="shared" si="7"/>
        <v/>
      </c>
      <c r="N90" s="121" t="str">
        <f t="shared" si="8"/>
        <v/>
      </c>
      <c r="O90" s="140"/>
      <c r="P90" s="140"/>
    </row>
    <row r="91" spans="1:16" x14ac:dyDescent="0.25">
      <c r="A91" s="122" t="str">
        <f t="shared" si="9"/>
        <v/>
      </c>
      <c r="B91" s="122"/>
      <c r="C91" s="91"/>
      <c r="D91" s="91"/>
      <c r="E91" s="91"/>
      <c r="F91" s="91"/>
      <c r="G91" s="91"/>
      <c r="H91" s="91"/>
      <c r="I91" s="120" t="str">
        <f t="shared" si="5"/>
        <v/>
      </c>
      <c r="J91" s="91"/>
      <c r="K91" s="91"/>
      <c r="L91" s="120" t="str">
        <f t="shared" si="6"/>
        <v/>
      </c>
      <c r="M91" s="121" t="str">
        <f t="shared" si="7"/>
        <v/>
      </c>
      <c r="N91" s="121" t="str">
        <f t="shared" si="8"/>
        <v/>
      </c>
      <c r="O91" s="140"/>
      <c r="P91" s="140"/>
    </row>
    <row r="92" spans="1:16" x14ac:dyDescent="0.25">
      <c r="A92" s="122" t="str">
        <f t="shared" si="9"/>
        <v/>
      </c>
      <c r="B92" s="122"/>
      <c r="C92" s="91"/>
      <c r="D92" s="91"/>
      <c r="E92" s="91"/>
      <c r="F92" s="91"/>
      <c r="G92" s="91"/>
      <c r="H92" s="91"/>
      <c r="I92" s="120" t="str">
        <f t="shared" si="5"/>
        <v/>
      </c>
      <c r="J92" s="91"/>
      <c r="K92" s="91"/>
      <c r="L92" s="120" t="str">
        <f t="shared" si="6"/>
        <v/>
      </c>
      <c r="M92" s="121" t="str">
        <f t="shared" si="7"/>
        <v/>
      </c>
      <c r="N92" s="121" t="str">
        <f t="shared" si="8"/>
        <v/>
      </c>
      <c r="O92" s="140"/>
      <c r="P92" s="140"/>
    </row>
    <row r="93" spans="1:16" x14ac:dyDescent="0.25">
      <c r="A93" s="122" t="str">
        <f t="shared" si="9"/>
        <v/>
      </c>
      <c r="B93" s="122"/>
      <c r="C93" s="91"/>
      <c r="D93" s="91"/>
      <c r="E93" s="91"/>
      <c r="F93" s="91"/>
      <c r="G93" s="91"/>
      <c r="H93" s="91"/>
      <c r="I93" s="120" t="str">
        <f t="shared" si="5"/>
        <v/>
      </c>
      <c r="J93" s="91"/>
      <c r="K93" s="91"/>
      <c r="L93" s="120" t="str">
        <f t="shared" si="6"/>
        <v/>
      </c>
      <c r="M93" s="121" t="str">
        <f t="shared" si="7"/>
        <v/>
      </c>
      <c r="N93" s="121" t="str">
        <f t="shared" si="8"/>
        <v/>
      </c>
      <c r="O93" s="140"/>
      <c r="P93" s="140"/>
    </row>
    <row r="94" spans="1:16" x14ac:dyDescent="0.25">
      <c r="A94" s="122" t="str">
        <f t="shared" si="9"/>
        <v/>
      </c>
      <c r="B94" s="122"/>
      <c r="C94" s="91"/>
      <c r="D94" s="91"/>
      <c r="E94" s="91"/>
      <c r="F94" s="91"/>
      <c r="G94" s="91"/>
      <c r="H94" s="91"/>
      <c r="I94" s="120" t="str">
        <f t="shared" si="5"/>
        <v/>
      </c>
      <c r="J94" s="91"/>
      <c r="K94" s="91"/>
      <c r="L94" s="120" t="str">
        <f t="shared" si="6"/>
        <v/>
      </c>
      <c r="M94" s="121" t="str">
        <f t="shared" si="7"/>
        <v/>
      </c>
      <c r="N94" s="121" t="str">
        <f t="shared" si="8"/>
        <v/>
      </c>
      <c r="O94" s="140"/>
      <c r="P94" s="140"/>
    </row>
    <row r="95" spans="1:16" x14ac:dyDescent="0.25">
      <c r="A95" s="122" t="str">
        <f t="shared" si="9"/>
        <v/>
      </c>
      <c r="B95" s="122"/>
      <c r="C95" s="91"/>
      <c r="D95" s="91"/>
      <c r="E95" s="91"/>
      <c r="F95" s="91"/>
      <c r="G95" s="91"/>
      <c r="H95" s="91"/>
      <c r="I95" s="120" t="str">
        <f t="shared" si="5"/>
        <v/>
      </c>
      <c r="J95" s="91"/>
      <c r="K95" s="91"/>
      <c r="L95" s="120" t="str">
        <f t="shared" si="6"/>
        <v/>
      </c>
      <c r="M95" s="121" t="str">
        <f t="shared" si="7"/>
        <v/>
      </c>
      <c r="N95" s="121" t="str">
        <f t="shared" si="8"/>
        <v/>
      </c>
      <c r="O95" s="140"/>
      <c r="P95" s="140"/>
    </row>
    <row r="96" spans="1:16" x14ac:dyDescent="0.25">
      <c r="A96" s="122" t="str">
        <f t="shared" si="9"/>
        <v/>
      </c>
      <c r="B96" s="122"/>
      <c r="C96" s="91"/>
      <c r="D96" s="91"/>
      <c r="E96" s="91"/>
      <c r="F96" s="91"/>
      <c r="G96" s="91"/>
      <c r="H96" s="91"/>
      <c r="I96" s="120" t="str">
        <f t="shared" si="5"/>
        <v/>
      </c>
      <c r="J96" s="91"/>
      <c r="K96" s="91"/>
      <c r="L96" s="120" t="str">
        <f t="shared" si="6"/>
        <v/>
      </c>
      <c r="M96" s="121" t="str">
        <f t="shared" si="7"/>
        <v/>
      </c>
      <c r="N96" s="121" t="str">
        <f t="shared" si="8"/>
        <v/>
      </c>
      <c r="O96" s="140"/>
      <c r="P96" s="140"/>
    </row>
    <row r="97" spans="1:16" x14ac:dyDescent="0.25">
      <c r="A97" s="122" t="str">
        <f t="shared" si="9"/>
        <v/>
      </c>
      <c r="B97" s="122"/>
      <c r="C97" s="91"/>
      <c r="D97" s="91"/>
      <c r="E97" s="91"/>
      <c r="F97" s="91"/>
      <c r="G97" s="91"/>
      <c r="H97" s="91"/>
      <c r="I97" s="120" t="str">
        <f t="shared" si="5"/>
        <v/>
      </c>
      <c r="J97" s="91"/>
      <c r="K97" s="91"/>
      <c r="L97" s="120" t="str">
        <f t="shared" si="6"/>
        <v/>
      </c>
      <c r="M97" s="121" t="str">
        <f t="shared" si="7"/>
        <v/>
      </c>
      <c r="N97" s="121" t="str">
        <f t="shared" si="8"/>
        <v/>
      </c>
      <c r="O97" s="140"/>
      <c r="P97" s="140"/>
    </row>
    <row r="98" spans="1:16" x14ac:dyDescent="0.25">
      <c r="A98" s="122" t="str">
        <f t="shared" si="9"/>
        <v/>
      </c>
      <c r="B98" s="122"/>
      <c r="C98" s="91"/>
      <c r="D98" s="91"/>
      <c r="E98" s="91"/>
      <c r="F98" s="91"/>
      <c r="G98" s="91"/>
      <c r="H98" s="91"/>
      <c r="I98" s="120" t="str">
        <f t="shared" si="5"/>
        <v/>
      </c>
      <c r="J98" s="91"/>
      <c r="K98" s="91"/>
      <c r="L98" s="120" t="str">
        <f t="shared" si="6"/>
        <v/>
      </c>
      <c r="M98" s="121" t="str">
        <f t="shared" si="7"/>
        <v/>
      </c>
      <c r="N98" s="121" t="str">
        <f t="shared" si="8"/>
        <v/>
      </c>
      <c r="O98" s="140"/>
      <c r="P98" s="140"/>
    </row>
    <row r="99" spans="1:16" x14ac:dyDescent="0.25">
      <c r="A99" s="122" t="str">
        <f t="shared" si="9"/>
        <v/>
      </c>
      <c r="B99" s="122"/>
      <c r="C99" s="91"/>
      <c r="D99" s="91"/>
      <c r="E99" s="91"/>
      <c r="F99" s="91"/>
      <c r="G99" s="91"/>
      <c r="H99" s="91"/>
      <c r="I99" s="120" t="str">
        <f t="shared" si="5"/>
        <v/>
      </c>
      <c r="J99" s="91"/>
      <c r="K99" s="91"/>
      <c r="L99" s="120" t="str">
        <f t="shared" si="6"/>
        <v/>
      </c>
      <c r="M99" s="121" t="str">
        <f t="shared" si="7"/>
        <v/>
      </c>
      <c r="N99" s="121" t="str">
        <f t="shared" si="8"/>
        <v/>
      </c>
      <c r="O99" s="140"/>
      <c r="P99" s="140"/>
    </row>
    <row r="100" spans="1:16" x14ac:dyDescent="0.25">
      <c r="A100" s="122" t="str">
        <f t="shared" si="9"/>
        <v/>
      </c>
      <c r="B100" s="122"/>
      <c r="C100" s="91"/>
      <c r="D100" s="91"/>
      <c r="E100" s="91"/>
      <c r="F100" s="91"/>
      <c r="G100" s="91"/>
      <c r="H100" s="91"/>
      <c r="I100" s="120" t="str">
        <f t="shared" si="5"/>
        <v/>
      </c>
      <c r="J100" s="91"/>
      <c r="K100" s="91"/>
      <c r="L100" s="120" t="str">
        <f t="shared" si="6"/>
        <v/>
      </c>
      <c r="M100" s="121" t="str">
        <f t="shared" si="7"/>
        <v/>
      </c>
      <c r="N100" s="121" t="str">
        <f t="shared" si="8"/>
        <v/>
      </c>
      <c r="O100" s="140"/>
      <c r="P100" s="140"/>
    </row>
    <row r="101" spans="1:16" x14ac:dyDescent="0.25">
      <c r="A101" s="122" t="str">
        <f t="shared" si="9"/>
        <v/>
      </c>
      <c r="B101" s="122"/>
      <c r="C101" s="91"/>
      <c r="D101" s="91"/>
      <c r="E101" s="91"/>
      <c r="F101" s="91"/>
      <c r="G101" s="91"/>
      <c r="H101" s="91"/>
      <c r="I101" s="120" t="str">
        <f t="shared" si="5"/>
        <v/>
      </c>
      <c r="J101" s="91"/>
      <c r="K101" s="91"/>
      <c r="L101" s="120" t="str">
        <f t="shared" si="6"/>
        <v/>
      </c>
      <c r="M101" s="121" t="str">
        <f t="shared" si="7"/>
        <v/>
      </c>
      <c r="N101" s="121" t="str">
        <f t="shared" si="8"/>
        <v/>
      </c>
      <c r="O101" s="140"/>
      <c r="P101" s="140"/>
    </row>
    <row r="102" spans="1:16" x14ac:dyDescent="0.25">
      <c r="A102" s="122" t="str">
        <f t="shared" si="9"/>
        <v/>
      </c>
      <c r="B102" s="122"/>
      <c r="C102" s="91"/>
      <c r="D102" s="91"/>
      <c r="E102" s="91"/>
      <c r="F102" s="91"/>
      <c r="G102" s="91"/>
      <c r="H102" s="91"/>
      <c r="I102" s="120" t="str">
        <f t="shared" si="5"/>
        <v/>
      </c>
      <c r="J102" s="91"/>
      <c r="K102" s="91"/>
      <c r="L102" s="120" t="str">
        <f t="shared" si="6"/>
        <v/>
      </c>
      <c r="M102" s="121" t="str">
        <f t="shared" si="7"/>
        <v/>
      </c>
      <c r="N102" s="121" t="str">
        <f t="shared" si="8"/>
        <v/>
      </c>
      <c r="O102" s="140"/>
      <c r="P102" s="140"/>
    </row>
    <row r="103" spans="1:16" x14ac:dyDescent="0.25">
      <c r="A103" s="122" t="str">
        <f t="shared" si="9"/>
        <v/>
      </c>
      <c r="B103" s="122"/>
      <c r="C103" s="91"/>
      <c r="D103" s="91"/>
      <c r="E103" s="91"/>
      <c r="F103" s="91"/>
      <c r="G103" s="91"/>
      <c r="H103" s="91"/>
      <c r="I103" s="120" t="str">
        <f t="shared" si="5"/>
        <v/>
      </c>
      <c r="J103" s="91"/>
      <c r="K103" s="91"/>
      <c r="L103" s="120" t="str">
        <f t="shared" si="6"/>
        <v/>
      </c>
      <c r="M103" s="121" t="str">
        <f t="shared" si="7"/>
        <v/>
      </c>
      <c r="N103" s="121" t="str">
        <f t="shared" si="8"/>
        <v/>
      </c>
      <c r="O103" s="140"/>
      <c r="P103" s="140"/>
    </row>
    <row r="104" spans="1:16" x14ac:dyDescent="0.25">
      <c r="A104" s="122" t="str">
        <f t="shared" si="9"/>
        <v/>
      </c>
      <c r="B104" s="122"/>
      <c r="C104" s="91"/>
      <c r="D104" s="91"/>
      <c r="E104" s="91"/>
      <c r="F104" s="91"/>
      <c r="G104" s="91"/>
      <c r="H104" s="91"/>
      <c r="I104" s="120" t="str">
        <f t="shared" si="5"/>
        <v/>
      </c>
      <c r="J104" s="91"/>
      <c r="K104" s="91"/>
      <c r="L104" s="120" t="str">
        <f t="shared" si="6"/>
        <v/>
      </c>
      <c r="M104" s="121" t="str">
        <f t="shared" si="7"/>
        <v/>
      </c>
      <c r="N104" s="121" t="str">
        <f t="shared" si="8"/>
        <v/>
      </c>
      <c r="O104" s="140"/>
      <c r="P104" s="140"/>
    </row>
    <row r="105" spans="1:16" x14ac:dyDescent="0.25">
      <c r="A105" s="122" t="str">
        <f t="shared" si="9"/>
        <v/>
      </c>
      <c r="B105" s="122"/>
      <c r="C105" s="91"/>
      <c r="D105" s="91"/>
      <c r="E105" s="91"/>
      <c r="F105" s="91"/>
      <c r="G105" s="91"/>
      <c r="H105" s="91"/>
      <c r="I105" s="120" t="str">
        <f t="shared" si="5"/>
        <v/>
      </c>
      <c r="J105" s="91"/>
      <c r="K105" s="91"/>
      <c r="L105" s="120" t="str">
        <f t="shared" si="6"/>
        <v/>
      </c>
      <c r="M105" s="121" t="str">
        <f t="shared" si="7"/>
        <v/>
      </c>
      <c r="N105" s="121" t="str">
        <f t="shared" si="8"/>
        <v/>
      </c>
      <c r="O105" s="140"/>
      <c r="P105" s="140"/>
    </row>
    <row r="106" spans="1:16" x14ac:dyDescent="0.25">
      <c r="A106" s="122" t="str">
        <f t="shared" si="9"/>
        <v/>
      </c>
      <c r="B106" s="122"/>
      <c r="C106" s="91"/>
      <c r="D106" s="91"/>
      <c r="E106" s="91"/>
      <c r="F106" s="91"/>
      <c r="G106" s="91"/>
      <c r="H106" s="91"/>
      <c r="I106" s="120" t="str">
        <f t="shared" si="5"/>
        <v/>
      </c>
      <c r="J106" s="91"/>
      <c r="K106" s="91"/>
      <c r="L106" s="120" t="str">
        <f t="shared" si="6"/>
        <v/>
      </c>
      <c r="M106" s="121" t="str">
        <f t="shared" si="7"/>
        <v/>
      </c>
      <c r="N106" s="121" t="str">
        <f t="shared" si="8"/>
        <v/>
      </c>
      <c r="O106" s="140"/>
      <c r="P106" s="140"/>
    </row>
    <row r="107" spans="1:16" x14ac:dyDescent="0.25">
      <c r="A107" s="122" t="str">
        <f t="shared" si="9"/>
        <v/>
      </c>
      <c r="B107" s="122"/>
      <c r="C107" s="91"/>
      <c r="D107" s="91"/>
      <c r="E107" s="91"/>
      <c r="F107" s="91"/>
      <c r="G107" s="91"/>
      <c r="H107" s="91"/>
      <c r="I107" s="120" t="str">
        <f t="shared" si="5"/>
        <v/>
      </c>
      <c r="J107" s="91"/>
      <c r="K107" s="91"/>
      <c r="L107" s="120" t="str">
        <f t="shared" si="6"/>
        <v/>
      </c>
      <c r="M107" s="121" t="str">
        <f t="shared" si="7"/>
        <v/>
      </c>
      <c r="N107" s="121" t="str">
        <f t="shared" si="8"/>
        <v/>
      </c>
      <c r="O107" s="140"/>
      <c r="P107" s="140"/>
    </row>
    <row r="108" spans="1:16" x14ac:dyDescent="0.25">
      <c r="A108" s="122" t="str">
        <f t="shared" si="9"/>
        <v/>
      </c>
      <c r="B108" s="122"/>
      <c r="C108" s="91"/>
      <c r="D108" s="91"/>
      <c r="E108" s="91"/>
      <c r="F108" s="91"/>
      <c r="G108" s="91"/>
      <c r="H108" s="91"/>
      <c r="I108" s="120" t="str">
        <f t="shared" si="5"/>
        <v/>
      </c>
      <c r="J108" s="91"/>
      <c r="K108" s="91"/>
      <c r="L108" s="120" t="str">
        <f t="shared" si="6"/>
        <v/>
      </c>
      <c r="M108" s="121" t="str">
        <f t="shared" si="7"/>
        <v/>
      </c>
      <c r="N108" s="121" t="str">
        <f t="shared" si="8"/>
        <v/>
      </c>
      <c r="O108" s="140"/>
      <c r="P108" s="140"/>
    </row>
    <row r="109" spans="1:16" x14ac:dyDescent="0.25">
      <c r="A109" s="122" t="str">
        <f t="shared" si="9"/>
        <v/>
      </c>
      <c r="B109" s="122"/>
      <c r="C109" s="91"/>
      <c r="D109" s="91"/>
      <c r="E109" s="91"/>
      <c r="F109" s="91"/>
      <c r="G109" s="91"/>
      <c r="H109" s="91"/>
      <c r="I109" s="120" t="str">
        <f t="shared" si="5"/>
        <v/>
      </c>
      <c r="J109" s="91"/>
      <c r="K109" s="91"/>
      <c r="L109" s="120" t="str">
        <f t="shared" si="6"/>
        <v/>
      </c>
      <c r="M109" s="121" t="str">
        <f t="shared" si="7"/>
        <v/>
      </c>
      <c r="N109" s="121" t="str">
        <f t="shared" si="8"/>
        <v/>
      </c>
      <c r="O109" s="140"/>
      <c r="P109" s="140"/>
    </row>
    <row r="110" spans="1:16" x14ac:dyDescent="0.25">
      <c r="A110" s="122" t="str">
        <f t="shared" si="9"/>
        <v/>
      </c>
      <c r="B110" s="122"/>
      <c r="C110" s="91"/>
      <c r="D110" s="91"/>
      <c r="E110" s="91"/>
      <c r="F110" s="91"/>
      <c r="G110" s="91"/>
      <c r="H110" s="91"/>
      <c r="I110" s="120" t="str">
        <f t="shared" si="5"/>
        <v/>
      </c>
      <c r="J110" s="91"/>
      <c r="K110" s="91"/>
      <c r="L110" s="120" t="str">
        <f t="shared" si="6"/>
        <v/>
      </c>
      <c r="M110" s="121" t="str">
        <f t="shared" si="7"/>
        <v/>
      </c>
      <c r="N110" s="121" t="str">
        <f t="shared" si="8"/>
        <v/>
      </c>
      <c r="O110" s="140"/>
      <c r="P110" s="140"/>
    </row>
    <row r="111" spans="1:16" x14ac:dyDescent="0.25">
      <c r="A111" s="122" t="str">
        <f t="shared" si="9"/>
        <v/>
      </c>
      <c r="B111" s="122"/>
      <c r="C111" s="91"/>
      <c r="D111" s="91"/>
      <c r="E111" s="91"/>
      <c r="F111" s="91"/>
      <c r="G111" s="91"/>
      <c r="H111" s="91"/>
      <c r="I111" s="120" t="str">
        <f t="shared" si="5"/>
        <v/>
      </c>
      <c r="J111" s="91"/>
      <c r="K111" s="91"/>
      <c r="L111" s="120" t="str">
        <f t="shared" si="6"/>
        <v/>
      </c>
      <c r="M111" s="121" t="str">
        <f t="shared" si="7"/>
        <v/>
      </c>
      <c r="N111" s="121" t="str">
        <f t="shared" si="8"/>
        <v/>
      </c>
      <c r="O111" s="140"/>
      <c r="P111" s="140"/>
    </row>
    <row r="112" spans="1:16" x14ac:dyDescent="0.25">
      <c r="A112" s="122" t="str">
        <f t="shared" si="9"/>
        <v/>
      </c>
      <c r="B112" s="122"/>
      <c r="C112" s="91"/>
      <c r="D112" s="91"/>
      <c r="E112" s="91"/>
      <c r="F112" s="91"/>
      <c r="G112" s="91"/>
      <c r="H112" s="91"/>
      <c r="I112" s="120" t="str">
        <f t="shared" si="5"/>
        <v/>
      </c>
      <c r="J112" s="91"/>
      <c r="K112" s="91"/>
      <c r="L112" s="120" t="str">
        <f t="shared" si="6"/>
        <v/>
      </c>
      <c r="M112" s="121" t="str">
        <f t="shared" si="7"/>
        <v/>
      </c>
      <c r="N112" s="121" t="str">
        <f t="shared" si="8"/>
        <v/>
      </c>
      <c r="O112" s="140"/>
      <c r="P112" s="140"/>
    </row>
    <row r="113" spans="1:16" x14ac:dyDescent="0.25">
      <c r="A113" s="122" t="str">
        <f t="shared" si="9"/>
        <v/>
      </c>
      <c r="B113" s="122"/>
      <c r="C113" s="91"/>
      <c r="D113" s="91"/>
      <c r="E113" s="91"/>
      <c r="F113" s="91"/>
      <c r="G113" s="91"/>
      <c r="H113" s="91"/>
      <c r="I113" s="120" t="str">
        <f t="shared" si="5"/>
        <v/>
      </c>
      <c r="J113" s="91"/>
      <c r="K113" s="91"/>
      <c r="L113" s="120" t="str">
        <f t="shared" si="6"/>
        <v/>
      </c>
      <c r="M113" s="121" t="str">
        <f t="shared" si="7"/>
        <v/>
      </c>
      <c r="N113" s="121" t="str">
        <f t="shared" si="8"/>
        <v/>
      </c>
      <c r="O113" s="140"/>
      <c r="P113" s="140"/>
    </row>
    <row r="114" spans="1:16" x14ac:dyDescent="0.25">
      <c r="A114" s="122" t="str">
        <f t="shared" si="9"/>
        <v/>
      </c>
      <c r="B114" s="122"/>
      <c r="C114" s="91"/>
      <c r="D114" s="91"/>
      <c r="E114" s="91"/>
      <c r="F114" s="91"/>
      <c r="G114" s="91"/>
      <c r="H114" s="91"/>
      <c r="I114" s="120" t="str">
        <f t="shared" si="5"/>
        <v/>
      </c>
      <c r="J114" s="91"/>
      <c r="K114" s="91"/>
      <c r="L114" s="120" t="str">
        <f t="shared" si="6"/>
        <v/>
      </c>
      <c r="M114" s="121" t="str">
        <f t="shared" si="7"/>
        <v/>
      </c>
      <c r="N114" s="121" t="str">
        <f t="shared" si="8"/>
        <v/>
      </c>
      <c r="O114" s="140"/>
      <c r="P114" s="140"/>
    </row>
    <row r="115" spans="1:16" x14ac:dyDescent="0.25">
      <c r="A115" s="122" t="str">
        <f t="shared" si="9"/>
        <v/>
      </c>
      <c r="B115" s="122"/>
      <c r="C115" s="91"/>
      <c r="D115" s="91"/>
      <c r="E115" s="91"/>
      <c r="F115" s="91"/>
      <c r="G115" s="91"/>
      <c r="H115" s="91"/>
      <c r="I115" s="120" t="str">
        <f t="shared" si="5"/>
        <v/>
      </c>
      <c r="J115" s="91"/>
      <c r="K115" s="91"/>
      <c r="L115" s="120" t="str">
        <f t="shared" si="6"/>
        <v/>
      </c>
      <c r="M115" s="121" t="str">
        <f t="shared" si="7"/>
        <v/>
      </c>
      <c r="N115" s="121" t="str">
        <f t="shared" si="8"/>
        <v/>
      </c>
      <c r="O115" s="140"/>
      <c r="P115" s="140"/>
    </row>
    <row r="116" spans="1:16" x14ac:dyDescent="0.25">
      <c r="A116" s="122" t="str">
        <f t="shared" si="9"/>
        <v/>
      </c>
      <c r="B116" s="122"/>
      <c r="C116" s="91"/>
      <c r="D116" s="91"/>
      <c r="E116" s="91"/>
      <c r="F116" s="91"/>
      <c r="G116" s="91"/>
      <c r="H116" s="91"/>
      <c r="I116" s="120" t="str">
        <f t="shared" si="5"/>
        <v/>
      </c>
      <c r="J116" s="91"/>
      <c r="K116" s="91"/>
      <c r="L116" s="120" t="str">
        <f t="shared" si="6"/>
        <v/>
      </c>
      <c r="M116" s="121" t="str">
        <f t="shared" si="7"/>
        <v/>
      </c>
      <c r="N116" s="121" t="str">
        <f t="shared" si="8"/>
        <v/>
      </c>
      <c r="O116" s="140"/>
      <c r="P116" s="140"/>
    </row>
    <row r="117" spans="1:16" x14ac:dyDescent="0.25">
      <c r="A117" s="122" t="str">
        <f t="shared" si="9"/>
        <v/>
      </c>
      <c r="B117" s="122"/>
      <c r="C117" s="91"/>
      <c r="D117" s="91"/>
      <c r="E117" s="91"/>
      <c r="F117" s="91"/>
      <c r="G117" s="91"/>
      <c r="H117" s="91"/>
      <c r="I117" s="120" t="str">
        <f t="shared" si="5"/>
        <v/>
      </c>
      <c r="J117" s="91"/>
      <c r="K117" s="91"/>
      <c r="L117" s="120" t="str">
        <f t="shared" si="6"/>
        <v/>
      </c>
      <c r="M117" s="121" t="str">
        <f t="shared" si="7"/>
        <v/>
      </c>
      <c r="N117" s="121" t="str">
        <f t="shared" si="8"/>
        <v/>
      </c>
      <c r="O117" s="140"/>
      <c r="P117" s="140"/>
    </row>
    <row r="118" spans="1:16" x14ac:dyDescent="0.25">
      <c r="A118" s="122" t="str">
        <f t="shared" si="9"/>
        <v/>
      </c>
      <c r="B118" s="122"/>
      <c r="C118" s="91"/>
      <c r="D118" s="91"/>
      <c r="E118" s="91"/>
      <c r="F118" s="91"/>
      <c r="G118" s="91"/>
      <c r="H118" s="91"/>
      <c r="I118" s="120" t="str">
        <f t="shared" si="5"/>
        <v/>
      </c>
      <c r="J118" s="91"/>
      <c r="K118" s="91"/>
      <c r="L118" s="120" t="str">
        <f t="shared" si="6"/>
        <v/>
      </c>
      <c r="M118" s="121" t="str">
        <f t="shared" si="7"/>
        <v/>
      </c>
      <c r="N118" s="121" t="str">
        <f t="shared" si="8"/>
        <v/>
      </c>
      <c r="O118" s="140"/>
      <c r="P118" s="140"/>
    </row>
    <row r="119" spans="1:16" x14ac:dyDescent="0.25">
      <c r="A119" s="122" t="str">
        <f t="shared" si="9"/>
        <v/>
      </c>
      <c r="B119" s="122"/>
      <c r="C119" s="91"/>
      <c r="D119" s="91"/>
      <c r="E119" s="91"/>
      <c r="F119" s="91"/>
      <c r="G119" s="91"/>
      <c r="H119" s="91"/>
      <c r="I119" s="120" t="str">
        <f t="shared" si="5"/>
        <v/>
      </c>
      <c r="J119" s="91"/>
      <c r="K119" s="91"/>
      <c r="L119" s="120" t="str">
        <f t="shared" si="6"/>
        <v/>
      </c>
      <c r="M119" s="121" t="str">
        <f t="shared" si="7"/>
        <v/>
      </c>
      <c r="N119" s="121" t="str">
        <f t="shared" si="8"/>
        <v/>
      </c>
      <c r="O119" s="140"/>
      <c r="P119" s="140"/>
    </row>
    <row r="120" spans="1:16" x14ac:dyDescent="0.25">
      <c r="A120" s="122" t="str">
        <f t="shared" si="9"/>
        <v/>
      </c>
      <c r="B120" s="122"/>
      <c r="C120" s="91"/>
      <c r="D120" s="91"/>
      <c r="E120" s="91"/>
      <c r="F120" s="91"/>
      <c r="G120" s="91"/>
      <c r="H120" s="91"/>
      <c r="I120" s="120" t="str">
        <f t="shared" si="5"/>
        <v/>
      </c>
      <c r="J120" s="91"/>
      <c r="K120" s="91"/>
      <c r="L120" s="120" t="str">
        <f t="shared" si="6"/>
        <v/>
      </c>
      <c r="M120" s="121" t="str">
        <f t="shared" si="7"/>
        <v/>
      </c>
      <c r="N120" s="121" t="str">
        <f t="shared" si="8"/>
        <v/>
      </c>
      <c r="O120" s="140"/>
      <c r="P120" s="140"/>
    </row>
    <row r="121" spans="1:16" x14ac:dyDescent="0.25">
      <c r="A121" s="122" t="str">
        <f t="shared" si="9"/>
        <v/>
      </c>
      <c r="B121" s="122"/>
      <c r="C121" s="91"/>
      <c r="D121" s="91"/>
      <c r="E121" s="91"/>
      <c r="F121" s="91"/>
      <c r="G121" s="91"/>
      <c r="H121" s="91"/>
      <c r="I121" s="120" t="str">
        <f t="shared" si="5"/>
        <v/>
      </c>
      <c r="J121" s="91"/>
      <c r="K121" s="91"/>
      <c r="L121" s="120" t="str">
        <f t="shared" si="6"/>
        <v/>
      </c>
      <c r="M121" s="121" t="str">
        <f t="shared" si="7"/>
        <v/>
      </c>
      <c r="N121" s="121" t="str">
        <f t="shared" si="8"/>
        <v/>
      </c>
      <c r="O121" s="140"/>
      <c r="P121" s="140"/>
    </row>
    <row r="122" spans="1:16" x14ac:dyDescent="0.25">
      <c r="A122" s="122" t="str">
        <f t="shared" si="9"/>
        <v/>
      </c>
      <c r="B122" s="122"/>
      <c r="C122" s="91"/>
      <c r="D122" s="91"/>
      <c r="E122" s="91"/>
      <c r="F122" s="91"/>
      <c r="G122" s="91"/>
      <c r="H122" s="91"/>
      <c r="I122" s="120" t="str">
        <f t="shared" si="5"/>
        <v/>
      </c>
      <c r="J122" s="91"/>
      <c r="K122" s="91"/>
      <c r="L122" s="120" t="str">
        <f t="shared" si="6"/>
        <v/>
      </c>
      <c r="M122" s="121" t="str">
        <f t="shared" si="7"/>
        <v/>
      </c>
      <c r="N122" s="121" t="str">
        <f t="shared" si="8"/>
        <v/>
      </c>
      <c r="O122" s="140"/>
      <c r="P122" s="140"/>
    </row>
    <row r="123" spans="1:16" x14ac:dyDescent="0.25">
      <c r="A123" s="122" t="str">
        <f t="shared" si="9"/>
        <v/>
      </c>
      <c r="B123" s="122"/>
      <c r="C123" s="91"/>
      <c r="D123" s="91"/>
      <c r="E123" s="91"/>
      <c r="F123" s="91"/>
      <c r="G123" s="91"/>
      <c r="H123" s="91"/>
      <c r="I123" s="120" t="str">
        <f t="shared" si="5"/>
        <v/>
      </c>
      <c r="J123" s="91"/>
      <c r="K123" s="91"/>
      <c r="L123" s="120" t="str">
        <f t="shared" si="6"/>
        <v/>
      </c>
      <c r="M123" s="121" t="str">
        <f t="shared" si="7"/>
        <v/>
      </c>
      <c r="N123" s="121" t="str">
        <f t="shared" si="8"/>
        <v/>
      </c>
      <c r="O123" s="140"/>
      <c r="P123" s="140"/>
    </row>
    <row r="124" spans="1:16" x14ac:dyDescent="0.25">
      <c r="A124" s="122" t="str">
        <f t="shared" si="9"/>
        <v/>
      </c>
      <c r="B124" s="122"/>
      <c r="C124" s="91"/>
      <c r="D124" s="91"/>
      <c r="E124" s="91"/>
      <c r="F124" s="91"/>
      <c r="G124" s="91"/>
      <c r="H124" s="91"/>
      <c r="I124" s="120" t="str">
        <f t="shared" si="5"/>
        <v/>
      </c>
      <c r="J124" s="91"/>
      <c r="K124" s="91"/>
      <c r="L124" s="120" t="str">
        <f t="shared" si="6"/>
        <v/>
      </c>
      <c r="M124" s="121" t="str">
        <f t="shared" si="7"/>
        <v/>
      </c>
      <c r="N124" s="121" t="str">
        <f t="shared" si="8"/>
        <v/>
      </c>
      <c r="O124" s="140"/>
      <c r="P124" s="140"/>
    </row>
    <row r="125" spans="1:16" x14ac:dyDescent="0.25">
      <c r="A125" s="122" t="str">
        <f t="shared" si="9"/>
        <v/>
      </c>
      <c r="B125" s="122"/>
      <c r="C125" s="91"/>
      <c r="D125" s="91"/>
      <c r="E125" s="91"/>
      <c r="F125" s="91"/>
      <c r="G125" s="91"/>
      <c r="H125" s="91"/>
      <c r="I125" s="120" t="str">
        <f t="shared" si="5"/>
        <v/>
      </c>
      <c r="J125" s="91"/>
      <c r="K125" s="91"/>
      <c r="L125" s="120" t="str">
        <f t="shared" si="6"/>
        <v/>
      </c>
      <c r="M125" s="121" t="str">
        <f t="shared" si="7"/>
        <v/>
      </c>
      <c r="N125" s="121" t="str">
        <f t="shared" si="8"/>
        <v/>
      </c>
      <c r="O125" s="140"/>
      <c r="P125" s="140"/>
    </row>
    <row r="126" spans="1:16" x14ac:dyDescent="0.25">
      <c r="A126" s="122" t="str">
        <f t="shared" si="9"/>
        <v/>
      </c>
      <c r="B126" s="122"/>
      <c r="C126" s="91"/>
      <c r="D126" s="91"/>
      <c r="E126" s="91"/>
      <c r="F126" s="91"/>
      <c r="G126" s="91"/>
      <c r="H126" s="91"/>
      <c r="I126" s="120" t="str">
        <f t="shared" si="5"/>
        <v/>
      </c>
      <c r="J126" s="91"/>
      <c r="K126" s="91"/>
      <c r="L126" s="120" t="str">
        <f t="shared" si="6"/>
        <v/>
      </c>
      <c r="M126" s="121" t="str">
        <f t="shared" si="7"/>
        <v/>
      </c>
      <c r="N126" s="121" t="str">
        <f t="shared" si="8"/>
        <v/>
      </c>
      <c r="O126" s="140"/>
      <c r="P126" s="140"/>
    </row>
    <row r="127" spans="1:16" x14ac:dyDescent="0.25">
      <c r="A127" s="122" t="str">
        <f t="shared" si="9"/>
        <v/>
      </c>
      <c r="B127" s="122"/>
      <c r="C127" s="91"/>
      <c r="D127" s="91"/>
      <c r="E127" s="91"/>
      <c r="F127" s="91"/>
      <c r="G127" s="91"/>
      <c r="H127" s="91"/>
      <c r="I127" s="120" t="str">
        <f t="shared" si="5"/>
        <v/>
      </c>
      <c r="J127" s="91"/>
      <c r="K127" s="91"/>
      <c r="L127" s="120" t="str">
        <f t="shared" si="6"/>
        <v/>
      </c>
      <c r="M127" s="121" t="str">
        <f t="shared" si="7"/>
        <v/>
      </c>
      <c r="N127" s="121" t="str">
        <f t="shared" si="8"/>
        <v/>
      </c>
      <c r="O127" s="140"/>
      <c r="P127" s="140"/>
    </row>
    <row r="128" spans="1:16" x14ac:dyDescent="0.25">
      <c r="A128" s="122" t="str">
        <f t="shared" si="9"/>
        <v/>
      </c>
      <c r="B128" s="122"/>
      <c r="C128" s="91"/>
      <c r="D128" s="91"/>
      <c r="E128" s="91"/>
      <c r="F128" s="91"/>
      <c r="G128" s="91"/>
      <c r="H128" s="91"/>
      <c r="I128" s="120" t="str">
        <f t="shared" si="5"/>
        <v/>
      </c>
      <c r="J128" s="91"/>
      <c r="K128" s="91"/>
      <c r="L128" s="120" t="str">
        <f t="shared" si="6"/>
        <v/>
      </c>
      <c r="M128" s="121" t="str">
        <f t="shared" si="7"/>
        <v/>
      </c>
      <c r="N128" s="121" t="str">
        <f t="shared" si="8"/>
        <v/>
      </c>
      <c r="O128" s="140"/>
      <c r="P128" s="140"/>
    </row>
    <row r="129" spans="1:16" x14ac:dyDescent="0.25">
      <c r="A129" s="122" t="str">
        <f t="shared" si="9"/>
        <v/>
      </c>
      <c r="B129" s="122"/>
      <c r="C129" s="91"/>
      <c r="D129" s="91"/>
      <c r="E129" s="91"/>
      <c r="F129" s="91"/>
      <c r="G129" s="91"/>
      <c r="H129" s="91"/>
      <c r="I129" s="120" t="str">
        <f t="shared" si="5"/>
        <v/>
      </c>
      <c r="J129" s="91"/>
      <c r="K129" s="91"/>
      <c r="L129" s="120" t="str">
        <f t="shared" si="6"/>
        <v/>
      </c>
      <c r="M129" s="121" t="str">
        <f t="shared" si="7"/>
        <v/>
      </c>
      <c r="N129" s="121" t="str">
        <f t="shared" si="8"/>
        <v/>
      </c>
      <c r="O129" s="140"/>
      <c r="P129" s="140"/>
    </row>
    <row r="130" spans="1:16" x14ac:dyDescent="0.25">
      <c r="A130" s="122" t="str">
        <f t="shared" si="9"/>
        <v/>
      </c>
      <c r="B130" s="122"/>
      <c r="C130" s="91"/>
      <c r="D130" s="91"/>
      <c r="E130" s="91"/>
      <c r="F130" s="91"/>
      <c r="G130" s="91"/>
      <c r="H130" s="91"/>
      <c r="I130" s="120" t="str">
        <f t="shared" si="5"/>
        <v/>
      </c>
      <c r="J130" s="91"/>
      <c r="K130" s="91"/>
      <c r="L130" s="120" t="str">
        <f t="shared" si="6"/>
        <v/>
      </c>
      <c r="M130" s="121" t="str">
        <f t="shared" si="7"/>
        <v/>
      </c>
      <c r="N130" s="121" t="str">
        <f t="shared" si="8"/>
        <v/>
      </c>
      <c r="O130" s="140"/>
      <c r="P130" s="140"/>
    </row>
    <row r="131" spans="1:16" x14ac:dyDescent="0.25">
      <c r="A131" s="122" t="str">
        <f t="shared" si="9"/>
        <v/>
      </c>
      <c r="B131" s="122"/>
      <c r="C131" s="91"/>
      <c r="D131" s="91"/>
      <c r="E131" s="91"/>
      <c r="F131" s="91"/>
      <c r="G131" s="91"/>
      <c r="H131" s="91"/>
      <c r="I131" s="120" t="str">
        <f t="shared" ref="I131:I194" si="10">IF(H131&lt;&gt;"",H131/G131,"")</f>
        <v/>
      </c>
      <c r="J131" s="91"/>
      <c r="K131" s="91"/>
      <c r="L131" s="120" t="str">
        <f t="shared" ref="L131:L194" si="11">IF(K131&lt;&gt;"",K131/J131,"")</f>
        <v/>
      </c>
      <c r="M131" s="121" t="str">
        <f t="shared" ref="M131:M194" si="12">IF(L131&lt;&gt;"",MAX(I131,L131),"")</f>
        <v/>
      </c>
      <c r="N131" s="121" t="str">
        <f t="shared" ref="N131:N194" si="13">IF($M131&lt;&gt;"",IF($M131&lt;50%,0%,IF($M131&lt;80%,$M131,100%)),"")</f>
        <v/>
      </c>
      <c r="O131" s="140"/>
      <c r="P131" s="140"/>
    </row>
    <row r="132" spans="1:16" x14ac:dyDescent="0.25">
      <c r="A132" s="122" t="str">
        <f t="shared" ref="A132:A195" si="14">IF(C132&lt;&gt;"",A131+1,"")</f>
        <v/>
      </c>
      <c r="B132" s="122"/>
      <c r="C132" s="91"/>
      <c r="D132" s="91"/>
      <c r="E132" s="91"/>
      <c r="F132" s="91"/>
      <c r="G132" s="91"/>
      <c r="H132" s="91"/>
      <c r="I132" s="120" t="str">
        <f t="shared" si="10"/>
        <v/>
      </c>
      <c r="J132" s="91"/>
      <c r="K132" s="91"/>
      <c r="L132" s="120" t="str">
        <f t="shared" si="11"/>
        <v/>
      </c>
      <c r="M132" s="121" t="str">
        <f t="shared" si="12"/>
        <v/>
      </c>
      <c r="N132" s="121" t="str">
        <f t="shared" si="13"/>
        <v/>
      </c>
      <c r="O132" s="140"/>
      <c r="P132" s="140"/>
    </row>
    <row r="133" spans="1:16" x14ac:dyDescent="0.25">
      <c r="A133" s="122" t="str">
        <f t="shared" si="14"/>
        <v/>
      </c>
      <c r="B133" s="122"/>
      <c r="C133" s="91"/>
      <c r="D133" s="91"/>
      <c r="E133" s="91"/>
      <c r="F133" s="91"/>
      <c r="G133" s="91"/>
      <c r="H133" s="91"/>
      <c r="I133" s="120" t="str">
        <f t="shared" si="10"/>
        <v/>
      </c>
      <c r="J133" s="91"/>
      <c r="K133" s="91"/>
      <c r="L133" s="120" t="str">
        <f t="shared" si="11"/>
        <v/>
      </c>
      <c r="M133" s="121" t="str">
        <f t="shared" si="12"/>
        <v/>
      </c>
      <c r="N133" s="121" t="str">
        <f t="shared" si="13"/>
        <v/>
      </c>
      <c r="O133" s="140"/>
      <c r="P133" s="140"/>
    </row>
    <row r="134" spans="1:16" x14ac:dyDescent="0.25">
      <c r="A134" s="122" t="str">
        <f t="shared" si="14"/>
        <v/>
      </c>
      <c r="B134" s="122"/>
      <c r="C134" s="91"/>
      <c r="D134" s="91"/>
      <c r="E134" s="91"/>
      <c r="F134" s="91"/>
      <c r="G134" s="91"/>
      <c r="H134" s="91"/>
      <c r="I134" s="120" t="str">
        <f t="shared" si="10"/>
        <v/>
      </c>
      <c r="J134" s="91"/>
      <c r="K134" s="91"/>
      <c r="L134" s="120" t="str">
        <f t="shared" si="11"/>
        <v/>
      </c>
      <c r="M134" s="121" t="str">
        <f t="shared" si="12"/>
        <v/>
      </c>
      <c r="N134" s="121" t="str">
        <f t="shared" si="13"/>
        <v/>
      </c>
      <c r="O134" s="140"/>
      <c r="P134" s="140"/>
    </row>
    <row r="135" spans="1:16" x14ac:dyDescent="0.25">
      <c r="A135" s="122" t="str">
        <f t="shared" si="14"/>
        <v/>
      </c>
      <c r="B135" s="122"/>
      <c r="C135" s="91"/>
      <c r="D135" s="91"/>
      <c r="E135" s="91"/>
      <c r="F135" s="91"/>
      <c r="G135" s="91"/>
      <c r="H135" s="91"/>
      <c r="I135" s="120" t="str">
        <f t="shared" si="10"/>
        <v/>
      </c>
      <c r="J135" s="91"/>
      <c r="K135" s="91"/>
      <c r="L135" s="120" t="str">
        <f t="shared" si="11"/>
        <v/>
      </c>
      <c r="M135" s="121" t="str">
        <f t="shared" si="12"/>
        <v/>
      </c>
      <c r="N135" s="121" t="str">
        <f t="shared" si="13"/>
        <v/>
      </c>
      <c r="O135" s="140"/>
      <c r="P135" s="140"/>
    </row>
    <row r="136" spans="1:16" x14ac:dyDescent="0.25">
      <c r="A136" s="122" t="str">
        <f t="shared" si="14"/>
        <v/>
      </c>
      <c r="B136" s="122"/>
      <c r="C136" s="91"/>
      <c r="D136" s="91"/>
      <c r="E136" s="91"/>
      <c r="F136" s="91"/>
      <c r="G136" s="91"/>
      <c r="H136" s="91"/>
      <c r="I136" s="120" t="str">
        <f t="shared" si="10"/>
        <v/>
      </c>
      <c r="J136" s="91"/>
      <c r="K136" s="91"/>
      <c r="L136" s="120" t="str">
        <f t="shared" si="11"/>
        <v/>
      </c>
      <c r="M136" s="121" t="str">
        <f t="shared" si="12"/>
        <v/>
      </c>
      <c r="N136" s="121" t="str">
        <f t="shared" si="13"/>
        <v/>
      </c>
      <c r="O136" s="140"/>
      <c r="P136" s="140"/>
    </row>
    <row r="137" spans="1:16" x14ac:dyDescent="0.25">
      <c r="A137" s="122" t="str">
        <f t="shared" si="14"/>
        <v/>
      </c>
      <c r="B137" s="122"/>
      <c r="C137" s="91"/>
      <c r="D137" s="91"/>
      <c r="E137" s="91"/>
      <c r="F137" s="91"/>
      <c r="G137" s="91"/>
      <c r="H137" s="91"/>
      <c r="I137" s="120" t="str">
        <f t="shared" si="10"/>
        <v/>
      </c>
      <c r="J137" s="91"/>
      <c r="K137" s="91"/>
      <c r="L137" s="120" t="str">
        <f t="shared" si="11"/>
        <v/>
      </c>
      <c r="M137" s="121" t="str">
        <f t="shared" si="12"/>
        <v/>
      </c>
      <c r="N137" s="121" t="str">
        <f t="shared" si="13"/>
        <v/>
      </c>
      <c r="O137" s="140"/>
      <c r="P137" s="140"/>
    </row>
    <row r="138" spans="1:16" x14ac:dyDescent="0.25">
      <c r="A138" s="122" t="str">
        <f t="shared" si="14"/>
        <v/>
      </c>
      <c r="B138" s="122"/>
      <c r="C138" s="91"/>
      <c r="D138" s="91"/>
      <c r="E138" s="91"/>
      <c r="F138" s="91"/>
      <c r="G138" s="91"/>
      <c r="H138" s="91"/>
      <c r="I138" s="120" t="str">
        <f t="shared" si="10"/>
        <v/>
      </c>
      <c r="J138" s="91"/>
      <c r="K138" s="91"/>
      <c r="L138" s="120" t="str">
        <f t="shared" si="11"/>
        <v/>
      </c>
      <c r="M138" s="121" t="str">
        <f t="shared" si="12"/>
        <v/>
      </c>
      <c r="N138" s="121" t="str">
        <f t="shared" si="13"/>
        <v/>
      </c>
      <c r="O138" s="140"/>
      <c r="P138" s="140"/>
    </row>
    <row r="139" spans="1:16" x14ac:dyDescent="0.25">
      <c r="A139" s="122" t="str">
        <f t="shared" si="14"/>
        <v/>
      </c>
      <c r="B139" s="122"/>
      <c r="C139" s="91"/>
      <c r="D139" s="91"/>
      <c r="E139" s="91"/>
      <c r="F139" s="91"/>
      <c r="G139" s="91"/>
      <c r="H139" s="91"/>
      <c r="I139" s="120" t="str">
        <f t="shared" si="10"/>
        <v/>
      </c>
      <c r="J139" s="91"/>
      <c r="K139" s="91"/>
      <c r="L139" s="120" t="str">
        <f t="shared" si="11"/>
        <v/>
      </c>
      <c r="M139" s="121" t="str">
        <f t="shared" si="12"/>
        <v/>
      </c>
      <c r="N139" s="121" t="str">
        <f t="shared" si="13"/>
        <v/>
      </c>
      <c r="O139" s="140"/>
      <c r="P139" s="140"/>
    </row>
    <row r="140" spans="1:16" x14ac:dyDescent="0.25">
      <c r="A140" s="122" t="str">
        <f t="shared" si="14"/>
        <v/>
      </c>
      <c r="B140" s="122"/>
      <c r="C140" s="91"/>
      <c r="D140" s="91"/>
      <c r="E140" s="91"/>
      <c r="F140" s="91"/>
      <c r="G140" s="91"/>
      <c r="H140" s="91"/>
      <c r="I140" s="120" t="str">
        <f t="shared" si="10"/>
        <v/>
      </c>
      <c r="J140" s="91"/>
      <c r="K140" s="91"/>
      <c r="L140" s="120" t="str">
        <f t="shared" si="11"/>
        <v/>
      </c>
      <c r="M140" s="121" t="str">
        <f t="shared" si="12"/>
        <v/>
      </c>
      <c r="N140" s="121" t="str">
        <f t="shared" si="13"/>
        <v/>
      </c>
      <c r="O140" s="140"/>
      <c r="P140" s="140"/>
    </row>
    <row r="141" spans="1:16" x14ac:dyDescent="0.25">
      <c r="A141" s="122" t="str">
        <f t="shared" si="14"/>
        <v/>
      </c>
      <c r="B141" s="122"/>
      <c r="C141" s="91"/>
      <c r="D141" s="91"/>
      <c r="E141" s="91"/>
      <c r="F141" s="91"/>
      <c r="G141" s="91"/>
      <c r="H141" s="91"/>
      <c r="I141" s="120" t="str">
        <f t="shared" si="10"/>
        <v/>
      </c>
      <c r="J141" s="91"/>
      <c r="K141" s="91"/>
      <c r="L141" s="120" t="str">
        <f t="shared" si="11"/>
        <v/>
      </c>
      <c r="M141" s="121" t="str">
        <f t="shared" si="12"/>
        <v/>
      </c>
      <c r="N141" s="121" t="str">
        <f t="shared" si="13"/>
        <v/>
      </c>
      <c r="O141" s="140"/>
      <c r="P141" s="140"/>
    </row>
    <row r="142" spans="1:16" x14ac:dyDescent="0.25">
      <c r="A142" s="122" t="str">
        <f t="shared" si="14"/>
        <v/>
      </c>
      <c r="B142" s="122"/>
      <c r="C142" s="91"/>
      <c r="D142" s="91"/>
      <c r="E142" s="91"/>
      <c r="F142" s="91"/>
      <c r="G142" s="91"/>
      <c r="H142" s="91"/>
      <c r="I142" s="120" t="str">
        <f t="shared" si="10"/>
        <v/>
      </c>
      <c r="J142" s="91"/>
      <c r="K142" s="91"/>
      <c r="L142" s="120" t="str">
        <f t="shared" si="11"/>
        <v/>
      </c>
      <c r="M142" s="121" t="str">
        <f t="shared" si="12"/>
        <v/>
      </c>
      <c r="N142" s="121" t="str">
        <f t="shared" si="13"/>
        <v/>
      </c>
      <c r="O142" s="140"/>
      <c r="P142" s="140"/>
    </row>
    <row r="143" spans="1:16" x14ac:dyDescent="0.25">
      <c r="A143" s="122" t="str">
        <f t="shared" si="14"/>
        <v/>
      </c>
      <c r="B143" s="122"/>
      <c r="C143" s="91"/>
      <c r="D143" s="91"/>
      <c r="E143" s="91"/>
      <c r="F143" s="91"/>
      <c r="G143" s="91"/>
      <c r="H143" s="91"/>
      <c r="I143" s="120" t="str">
        <f t="shared" si="10"/>
        <v/>
      </c>
      <c r="J143" s="91"/>
      <c r="K143" s="91"/>
      <c r="L143" s="120" t="str">
        <f t="shared" si="11"/>
        <v/>
      </c>
      <c r="M143" s="121" t="str">
        <f t="shared" si="12"/>
        <v/>
      </c>
      <c r="N143" s="121" t="str">
        <f t="shared" si="13"/>
        <v/>
      </c>
      <c r="O143" s="140"/>
      <c r="P143" s="140"/>
    </row>
    <row r="144" spans="1:16" x14ac:dyDescent="0.25">
      <c r="A144" s="122" t="str">
        <f t="shared" si="14"/>
        <v/>
      </c>
      <c r="B144" s="122"/>
      <c r="C144" s="91"/>
      <c r="D144" s="91"/>
      <c r="E144" s="91"/>
      <c r="F144" s="91"/>
      <c r="G144" s="91"/>
      <c r="H144" s="91"/>
      <c r="I144" s="120" t="str">
        <f t="shared" si="10"/>
        <v/>
      </c>
      <c r="J144" s="91"/>
      <c r="K144" s="91"/>
      <c r="L144" s="120" t="str">
        <f t="shared" si="11"/>
        <v/>
      </c>
      <c r="M144" s="121" t="str">
        <f t="shared" si="12"/>
        <v/>
      </c>
      <c r="N144" s="121" t="str">
        <f t="shared" si="13"/>
        <v/>
      </c>
      <c r="O144" s="140"/>
      <c r="P144" s="140"/>
    </row>
    <row r="145" spans="1:16" x14ac:dyDescent="0.25">
      <c r="A145" s="122" t="str">
        <f t="shared" si="14"/>
        <v/>
      </c>
      <c r="B145" s="122"/>
      <c r="C145" s="91"/>
      <c r="D145" s="91"/>
      <c r="E145" s="91"/>
      <c r="F145" s="91"/>
      <c r="G145" s="91"/>
      <c r="H145" s="91"/>
      <c r="I145" s="120" t="str">
        <f t="shared" si="10"/>
        <v/>
      </c>
      <c r="J145" s="91"/>
      <c r="K145" s="91"/>
      <c r="L145" s="120" t="str">
        <f t="shared" si="11"/>
        <v/>
      </c>
      <c r="M145" s="121" t="str">
        <f t="shared" si="12"/>
        <v/>
      </c>
      <c r="N145" s="121" t="str">
        <f t="shared" si="13"/>
        <v/>
      </c>
      <c r="O145" s="140"/>
      <c r="P145" s="140"/>
    </row>
    <row r="146" spans="1:16" x14ac:dyDescent="0.25">
      <c r="A146" s="122" t="str">
        <f t="shared" si="14"/>
        <v/>
      </c>
      <c r="B146" s="122"/>
      <c r="C146" s="91"/>
      <c r="D146" s="91"/>
      <c r="E146" s="91"/>
      <c r="F146" s="91"/>
      <c r="G146" s="91"/>
      <c r="H146" s="91"/>
      <c r="I146" s="120" t="str">
        <f t="shared" si="10"/>
        <v/>
      </c>
      <c r="J146" s="91"/>
      <c r="K146" s="91"/>
      <c r="L146" s="120" t="str">
        <f t="shared" si="11"/>
        <v/>
      </c>
      <c r="M146" s="121" t="str">
        <f t="shared" si="12"/>
        <v/>
      </c>
      <c r="N146" s="121" t="str">
        <f t="shared" si="13"/>
        <v/>
      </c>
      <c r="O146" s="140"/>
      <c r="P146" s="140"/>
    </row>
    <row r="147" spans="1:16" x14ac:dyDescent="0.25">
      <c r="A147" s="122" t="str">
        <f t="shared" si="14"/>
        <v/>
      </c>
      <c r="B147" s="122"/>
      <c r="C147" s="91"/>
      <c r="D147" s="91"/>
      <c r="E147" s="91"/>
      <c r="F147" s="91"/>
      <c r="G147" s="91"/>
      <c r="H147" s="91"/>
      <c r="I147" s="120" t="str">
        <f t="shared" si="10"/>
        <v/>
      </c>
      <c r="J147" s="91"/>
      <c r="K147" s="91"/>
      <c r="L147" s="120" t="str">
        <f t="shared" si="11"/>
        <v/>
      </c>
      <c r="M147" s="121" t="str">
        <f t="shared" si="12"/>
        <v/>
      </c>
      <c r="N147" s="121" t="str">
        <f t="shared" si="13"/>
        <v/>
      </c>
      <c r="O147" s="140"/>
      <c r="P147" s="140"/>
    </row>
    <row r="148" spans="1:16" x14ac:dyDescent="0.25">
      <c r="A148" s="122" t="str">
        <f t="shared" si="14"/>
        <v/>
      </c>
      <c r="B148" s="122"/>
      <c r="C148" s="91"/>
      <c r="D148" s="91"/>
      <c r="E148" s="91"/>
      <c r="F148" s="91"/>
      <c r="G148" s="91"/>
      <c r="H148" s="91"/>
      <c r="I148" s="120" t="str">
        <f t="shared" si="10"/>
        <v/>
      </c>
      <c r="J148" s="91"/>
      <c r="K148" s="91"/>
      <c r="L148" s="120" t="str">
        <f t="shared" si="11"/>
        <v/>
      </c>
      <c r="M148" s="121" t="str">
        <f t="shared" si="12"/>
        <v/>
      </c>
      <c r="N148" s="121" t="str">
        <f t="shared" si="13"/>
        <v/>
      </c>
      <c r="O148" s="140"/>
      <c r="P148" s="140"/>
    </row>
    <row r="149" spans="1:16" x14ac:dyDescent="0.25">
      <c r="A149" s="122" t="str">
        <f t="shared" si="14"/>
        <v/>
      </c>
      <c r="B149" s="122"/>
      <c r="C149" s="91"/>
      <c r="D149" s="91"/>
      <c r="E149" s="91"/>
      <c r="F149" s="91"/>
      <c r="G149" s="91"/>
      <c r="H149" s="91"/>
      <c r="I149" s="120" t="str">
        <f t="shared" si="10"/>
        <v/>
      </c>
      <c r="J149" s="91"/>
      <c r="K149" s="91"/>
      <c r="L149" s="120" t="str">
        <f t="shared" si="11"/>
        <v/>
      </c>
      <c r="M149" s="121" t="str">
        <f t="shared" si="12"/>
        <v/>
      </c>
      <c r="N149" s="121" t="str">
        <f t="shared" si="13"/>
        <v/>
      </c>
      <c r="O149" s="140"/>
      <c r="P149" s="140"/>
    </row>
    <row r="150" spans="1:16" x14ac:dyDescent="0.25">
      <c r="A150" s="122" t="str">
        <f t="shared" si="14"/>
        <v/>
      </c>
      <c r="B150" s="122"/>
      <c r="C150" s="91"/>
      <c r="D150" s="91"/>
      <c r="E150" s="91"/>
      <c r="F150" s="91"/>
      <c r="G150" s="91"/>
      <c r="H150" s="91"/>
      <c r="I150" s="120" t="str">
        <f t="shared" si="10"/>
        <v/>
      </c>
      <c r="J150" s="91"/>
      <c r="K150" s="91"/>
      <c r="L150" s="120" t="str">
        <f t="shared" si="11"/>
        <v/>
      </c>
      <c r="M150" s="121" t="str">
        <f t="shared" si="12"/>
        <v/>
      </c>
      <c r="N150" s="121" t="str">
        <f t="shared" si="13"/>
        <v/>
      </c>
      <c r="O150" s="140"/>
      <c r="P150" s="140"/>
    </row>
    <row r="151" spans="1:16" x14ac:dyDescent="0.25">
      <c r="A151" s="122" t="str">
        <f t="shared" si="14"/>
        <v/>
      </c>
      <c r="B151" s="122"/>
      <c r="C151" s="91"/>
      <c r="D151" s="91"/>
      <c r="E151" s="91"/>
      <c r="F151" s="91"/>
      <c r="G151" s="91"/>
      <c r="H151" s="91"/>
      <c r="I151" s="120" t="str">
        <f t="shared" si="10"/>
        <v/>
      </c>
      <c r="J151" s="91"/>
      <c r="K151" s="91"/>
      <c r="L151" s="120" t="str">
        <f t="shared" si="11"/>
        <v/>
      </c>
      <c r="M151" s="121" t="str">
        <f t="shared" si="12"/>
        <v/>
      </c>
      <c r="N151" s="121" t="str">
        <f t="shared" si="13"/>
        <v/>
      </c>
      <c r="O151" s="140"/>
      <c r="P151" s="140"/>
    </row>
    <row r="152" spans="1:16" x14ac:dyDescent="0.25">
      <c r="A152" s="122" t="str">
        <f t="shared" si="14"/>
        <v/>
      </c>
      <c r="B152" s="122"/>
      <c r="C152" s="91"/>
      <c r="D152" s="91"/>
      <c r="E152" s="91"/>
      <c r="F152" s="91"/>
      <c r="G152" s="91"/>
      <c r="H152" s="91"/>
      <c r="I152" s="120" t="str">
        <f t="shared" si="10"/>
        <v/>
      </c>
      <c r="J152" s="91"/>
      <c r="K152" s="91"/>
      <c r="L152" s="120" t="str">
        <f t="shared" si="11"/>
        <v/>
      </c>
      <c r="M152" s="121" t="str">
        <f t="shared" si="12"/>
        <v/>
      </c>
      <c r="N152" s="121" t="str">
        <f t="shared" si="13"/>
        <v/>
      </c>
      <c r="O152" s="140"/>
      <c r="P152" s="140"/>
    </row>
    <row r="153" spans="1:16" x14ac:dyDescent="0.25">
      <c r="A153" s="122" t="str">
        <f t="shared" si="14"/>
        <v/>
      </c>
      <c r="B153" s="122"/>
      <c r="C153" s="91"/>
      <c r="D153" s="91"/>
      <c r="E153" s="91"/>
      <c r="F153" s="91"/>
      <c r="G153" s="91"/>
      <c r="H153" s="91"/>
      <c r="I153" s="120" t="str">
        <f t="shared" si="10"/>
        <v/>
      </c>
      <c r="J153" s="91"/>
      <c r="K153" s="91"/>
      <c r="L153" s="120" t="str">
        <f t="shared" si="11"/>
        <v/>
      </c>
      <c r="M153" s="121" t="str">
        <f t="shared" si="12"/>
        <v/>
      </c>
      <c r="N153" s="121" t="str">
        <f t="shared" si="13"/>
        <v/>
      </c>
      <c r="O153" s="140"/>
      <c r="P153" s="140"/>
    </row>
    <row r="154" spans="1:16" x14ac:dyDescent="0.25">
      <c r="A154" s="122" t="str">
        <f t="shared" si="14"/>
        <v/>
      </c>
      <c r="B154" s="122"/>
      <c r="C154" s="91"/>
      <c r="D154" s="91"/>
      <c r="E154" s="91"/>
      <c r="F154" s="91"/>
      <c r="G154" s="91"/>
      <c r="H154" s="91"/>
      <c r="I154" s="120" t="str">
        <f t="shared" si="10"/>
        <v/>
      </c>
      <c r="J154" s="91"/>
      <c r="K154" s="91"/>
      <c r="L154" s="120" t="str">
        <f t="shared" si="11"/>
        <v/>
      </c>
      <c r="M154" s="121" t="str">
        <f t="shared" si="12"/>
        <v/>
      </c>
      <c r="N154" s="121" t="str">
        <f t="shared" si="13"/>
        <v/>
      </c>
      <c r="O154" s="140"/>
      <c r="P154" s="140"/>
    </row>
    <row r="155" spans="1:16" x14ac:dyDescent="0.25">
      <c r="A155" s="122" t="str">
        <f t="shared" si="14"/>
        <v/>
      </c>
      <c r="B155" s="122"/>
      <c r="C155" s="91"/>
      <c r="D155" s="91"/>
      <c r="E155" s="91"/>
      <c r="F155" s="91"/>
      <c r="G155" s="91"/>
      <c r="H155" s="91"/>
      <c r="I155" s="120" t="str">
        <f t="shared" si="10"/>
        <v/>
      </c>
      <c r="J155" s="91"/>
      <c r="K155" s="91"/>
      <c r="L155" s="120" t="str">
        <f t="shared" si="11"/>
        <v/>
      </c>
      <c r="M155" s="121" t="str">
        <f t="shared" si="12"/>
        <v/>
      </c>
      <c r="N155" s="121" t="str">
        <f t="shared" si="13"/>
        <v/>
      </c>
      <c r="O155" s="140"/>
      <c r="P155" s="140"/>
    </row>
    <row r="156" spans="1:16" x14ac:dyDescent="0.25">
      <c r="A156" s="122" t="str">
        <f t="shared" si="14"/>
        <v/>
      </c>
      <c r="B156" s="122"/>
      <c r="C156" s="91"/>
      <c r="D156" s="91"/>
      <c r="E156" s="91"/>
      <c r="F156" s="91"/>
      <c r="G156" s="91"/>
      <c r="H156" s="91"/>
      <c r="I156" s="120" t="str">
        <f t="shared" si="10"/>
        <v/>
      </c>
      <c r="J156" s="91"/>
      <c r="K156" s="91"/>
      <c r="L156" s="120" t="str">
        <f t="shared" si="11"/>
        <v/>
      </c>
      <c r="M156" s="121" t="str">
        <f t="shared" si="12"/>
        <v/>
      </c>
      <c r="N156" s="121" t="str">
        <f t="shared" si="13"/>
        <v/>
      </c>
      <c r="O156" s="140"/>
      <c r="P156" s="140"/>
    </row>
    <row r="157" spans="1:16" x14ac:dyDescent="0.25">
      <c r="A157" s="122" t="str">
        <f t="shared" si="14"/>
        <v/>
      </c>
      <c r="B157" s="122"/>
      <c r="C157" s="91"/>
      <c r="D157" s="91"/>
      <c r="E157" s="91"/>
      <c r="F157" s="91"/>
      <c r="G157" s="91"/>
      <c r="H157" s="91"/>
      <c r="I157" s="120" t="str">
        <f t="shared" si="10"/>
        <v/>
      </c>
      <c r="J157" s="91"/>
      <c r="K157" s="91"/>
      <c r="L157" s="120" t="str">
        <f t="shared" si="11"/>
        <v/>
      </c>
      <c r="M157" s="121" t="str">
        <f t="shared" si="12"/>
        <v/>
      </c>
      <c r="N157" s="121" t="str">
        <f t="shared" si="13"/>
        <v/>
      </c>
      <c r="O157" s="140"/>
      <c r="P157" s="140"/>
    </row>
    <row r="158" spans="1:16" x14ac:dyDescent="0.25">
      <c r="A158" s="122" t="str">
        <f t="shared" si="14"/>
        <v/>
      </c>
      <c r="B158" s="122"/>
      <c r="C158" s="91"/>
      <c r="D158" s="91"/>
      <c r="E158" s="91"/>
      <c r="F158" s="91"/>
      <c r="G158" s="91"/>
      <c r="H158" s="91"/>
      <c r="I158" s="120" t="str">
        <f t="shared" si="10"/>
        <v/>
      </c>
      <c r="J158" s="91"/>
      <c r="K158" s="91"/>
      <c r="L158" s="120" t="str">
        <f t="shared" si="11"/>
        <v/>
      </c>
      <c r="M158" s="121" t="str">
        <f t="shared" si="12"/>
        <v/>
      </c>
      <c r="N158" s="121" t="str">
        <f t="shared" si="13"/>
        <v/>
      </c>
      <c r="O158" s="140"/>
      <c r="P158" s="140"/>
    </row>
    <row r="159" spans="1:16" x14ac:dyDescent="0.25">
      <c r="A159" s="122" t="str">
        <f t="shared" si="14"/>
        <v/>
      </c>
      <c r="B159" s="122"/>
      <c r="C159" s="91"/>
      <c r="D159" s="91"/>
      <c r="E159" s="91"/>
      <c r="F159" s="91"/>
      <c r="G159" s="91"/>
      <c r="H159" s="91"/>
      <c r="I159" s="120" t="str">
        <f t="shared" si="10"/>
        <v/>
      </c>
      <c r="J159" s="91"/>
      <c r="K159" s="91"/>
      <c r="L159" s="120" t="str">
        <f t="shared" si="11"/>
        <v/>
      </c>
      <c r="M159" s="121" t="str">
        <f t="shared" si="12"/>
        <v/>
      </c>
      <c r="N159" s="121" t="str">
        <f t="shared" si="13"/>
        <v/>
      </c>
      <c r="O159" s="140"/>
      <c r="P159" s="140"/>
    </row>
    <row r="160" spans="1:16" x14ac:dyDescent="0.25">
      <c r="A160" s="122" t="str">
        <f t="shared" si="14"/>
        <v/>
      </c>
      <c r="B160" s="122"/>
      <c r="C160" s="91"/>
      <c r="D160" s="91"/>
      <c r="E160" s="91"/>
      <c r="F160" s="91"/>
      <c r="G160" s="91"/>
      <c r="H160" s="91"/>
      <c r="I160" s="120" t="str">
        <f t="shared" si="10"/>
        <v/>
      </c>
      <c r="J160" s="91"/>
      <c r="K160" s="91"/>
      <c r="L160" s="120" t="str">
        <f t="shared" si="11"/>
        <v/>
      </c>
      <c r="M160" s="121" t="str">
        <f t="shared" si="12"/>
        <v/>
      </c>
      <c r="N160" s="121" t="str">
        <f t="shared" si="13"/>
        <v/>
      </c>
      <c r="O160" s="140"/>
      <c r="P160" s="140"/>
    </row>
    <row r="161" spans="1:16" x14ac:dyDescent="0.25">
      <c r="A161" s="122" t="str">
        <f t="shared" si="14"/>
        <v/>
      </c>
      <c r="B161" s="122"/>
      <c r="C161" s="91"/>
      <c r="D161" s="91"/>
      <c r="E161" s="91"/>
      <c r="F161" s="91"/>
      <c r="G161" s="91"/>
      <c r="H161" s="91"/>
      <c r="I161" s="120" t="str">
        <f t="shared" si="10"/>
        <v/>
      </c>
      <c r="J161" s="91"/>
      <c r="K161" s="91"/>
      <c r="L161" s="120" t="str">
        <f t="shared" si="11"/>
        <v/>
      </c>
      <c r="M161" s="121" t="str">
        <f t="shared" si="12"/>
        <v/>
      </c>
      <c r="N161" s="121" t="str">
        <f t="shared" si="13"/>
        <v/>
      </c>
      <c r="O161" s="140"/>
      <c r="P161" s="140"/>
    </row>
    <row r="162" spans="1:16" x14ac:dyDescent="0.25">
      <c r="A162" s="122" t="str">
        <f t="shared" si="14"/>
        <v/>
      </c>
      <c r="B162" s="122"/>
      <c r="C162" s="91"/>
      <c r="D162" s="91"/>
      <c r="E162" s="91"/>
      <c r="F162" s="91"/>
      <c r="G162" s="91"/>
      <c r="H162" s="91"/>
      <c r="I162" s="120" t="str">
        <f t="shared" si="10"/>
        <v/>
      </c>
      <c r="J162" s="91"/>
      <c r="K162" s="91"/>
      <c r="L162" s="120" t="str">
        <f t="shared" si="11"/>
        <v/>
      </c>
      <c r="M162" s="121" t="str">
        <f t="shared" si="12"/>
        <v/>
      </c>
      <c r="N162" s="121" t="str">
        <f t="shared" si="13"/>
        <v/>
      </c>
      <c r="O162" s="140"/>
      <c r="P162" s="140"/>
    </row>
    <row r="163" spans="1:16" x14ac:dyDescent="0.25">
      <c r="A163" s="122" t="str">
        <f t="shared" si="14"/>
        <v/>
      </c>
      <c r="B163" s="122"/>
      <c r="C163" s="91"/>
      <c r="D163" s="91"/>
      <c r="E163" s="91"/>
      <c r="F163" s="91"/>
      <c r="G163" s="91"/>
      <c r="H163" s="91"/>
      <c r="I163" s="120" t="str">
        <f t="shared" si="10"/>
        <v/>
      </c>
      <c r="J163" s="91"/>
      <c r="K163" s="91"/>
      <c r="L163" s="120" t="str">
        <f t="shared" si="11"/>
        <v/>
      </c>
      <c r="M163" s="121" t="str">
        <f t="shared" si="12"/>
        <v/>
      </c>
      <c r="N163" s="121" t="str">
        <f t="shared" si="13"/>
        <v/>
      </c>
      <c r="O163" s="140"/>
      <c r="P163" s="140"/>
    </row>
    <row r="164" spans="1:16" x14ac:dyDescent="0.25">
      <c r="A164" s="122" t="str">
        <f t="shared" si="14"/>
        <v/>
      </c>
      <c r="B164" s="122"/>
      <c r="C164" s="91"/>
      <c r="D164" s="91"/>
      <c r="E164" s="91"/>
      <c r="F164" s="91"/>
      <c r="G164" s="91"/>
      <c r="H164" s="91"/>
      <c r="I164" s="120" t="str">
        <f t="shared" si="10"/>
        <v/>
      </c>
      <c r="J164" s="91"/>
      <c r="K164" s="91"/>
      <c r="L164" s="120" t="str">
        <f t="shared" si="11"/>
        <v/>
      </c>
      <c r="M164" s="121" t="str">
        <f t="shared" si="12"/>
        <v/>
      </c>
      <c r="N164" s="121" t="str">
        <f t="shared" si="13"/>
        <v/>
      </c>
      <c r="O164" s="140"/>
      <c r="P164" s="140"/>
    </row>
    <row r="165" spans="1:16" x14ac:dyDescent="0.25">
      <c r="A165" s="122" t="str">
        <f t="shared" si="14"/>
        <v/>
      </c>
      <c r="B165" s="122"/>
      <c r="C165" s="91"/>
      <c r="D165" s="91"/>
      <c r="E165" s="91"/>
      <c r="F165" s="91"/>
      <c r="G165" s="91"/>
      <c r="H165" s="91"/>
      <c r="I165" s="120" t="str">
        <f t="shared" si="10"/>
        <v/>
      </c>
      <c r="J165" s="91"/>
      <c r="K165" s="91"/>
      <c r="L165" s="120" t="str">
        <f t="shared" si="11"/>
        <v/>
      </c>
      <c r="M165" s="121" t="str">
        <f t="shared" si="12"/>
        <v/>
      </c>
      <c r="N165" s="121" t="str">
        <f t="shared" si="13"/>
        <v/>
      </c>
      <c r="O165" s="140"/>
      <c r="P165" s="140"/>
    </row>
    <row r="166" spans="1:16" x14ac:dyDescent="0.25">
      <c r="A166" s="122" t="str">
        <f t="shared" si="14"/>
        <v/>
      </c>
      <c r="B166" s="122"/>
      <c r="C166" s="91"/>
      <c r="D166" s="91"/>
      <c r="E166" s="91"/>
      <c r="F166" s="91"/>
      <c r="G166" s="91"/>
      <c r="H166" s="91"/>
      <c r="I166" s="120" t="str">
        <f t="shared" si="10"/>
        <v/>
      </c>
      <c r="J166" s="91"/>
      <c r="K166" s="91"/>
      <c r="L166" s="120" t="str">
        <f t="shared" si="11"/>
        <v/>
      </c>
      <c r="M166" s="121" t="str">
        <f t="shared" si="12"/>
        <v/>
      </c>
      <c r="N166" s="121" t="str">
        <f t="shared" si="13"/>
        <v/>
      </c>
      <c r="O166" s="140"/>
      <c r="P166" s="140"/>
    </row>
    <row r="167" spans="1:16" x14ac:dyDescent="0.25">
      <c r="A167" s="122" t="str">
        <f t="shared" si="14"/>
        <v/>
      </c>
      <c r="B167" s="122"/>
      <c r="C167" s="91"/>
      <c r="D167" s="91"/>
      <c r="E167" s="91"/>
      <c r="F167" s="91"/>
      <c r="G167" s="91"/>
      <c r="H167" s="91"/>
      <c r="I167" s="120" t="str">
        <f t="shared" si="10"/>
        <v/>
      </c>
      <c r="J167" s="91"/>
      <c r="K167" s="91"/>
      <c r="L167" s="120" t="str">
        <f t="shared" si="11"/>
        <v/>
      </c>
      <c r="M167" s="121" t="str">
        <f t="shared" si="12"/>
        <v/>
      </c>
      <c r="N167" s="121" t="str">
        <f t="shared" si="13"/>
        <v/>
      </c>
      <c r="O167" s="140"/>
      <c r="P167" s="140"/>
    </row>
    <row r="168" spans="1:16" x14ac:dyDescent="0.25">
      <c r="A168" s="122" t="str">
        <f t="shared" si="14"/>
        <v/>
      </c>
      <c r="B168" s="122"/>
      <c r="C168" s="91"/>
      <c r="D168" s="91"/>
      <c r="E168" s="91"/>
      <c r="F168" s="91"/>
      <c r="G168" s="91"/>
      <c r="H168" s="91"/>
      <c r="I168" s="120" t="str">
        <f t="shared" si="10"/>
        <v/>
      </c>
      <c r="J168" s="91"/>
      <c r="K168" s="91"/>
      <c r="L168" s="120" t="str">
        <f t="shared" si="11"/>
        <v/>
      </c>
      <c r="M168" s="121" t="str">
        <f t="shared" si="12"/>
        <v/>
      </c>
      <c r="N168" s="121" t="str">
        <f t="shared" si="13"/>
        <v/>
      </c>
      <c r="O168" s="140"/>
      <c r="P168" s="140"/>
    </row>
    <row r="169" spans="1:16" x14ac:dyDescent="0.25">
      <c r="A169" s="122" t="str">
        <f t="shared" si="14"/>
        <v/>
      </c>
      <c r="B169" s="122"/>
      <c r="C169" s="91"/>
      <c r="D169" s="91"/>
      <c r="E169" s="91"/>
      <c r="F169" s="91"/>
      <c r="G169" s="91"/>
      <c r="H169" s="91"/>
      <c r="I169" s="120" t="str">
        <f t="shared" si="10"/>
        <v/>
      </c>
      <c r="J169" s="91"/>
      <c r="K169" s="91"/>
      <c r="L169" s="120" t="str">
        <f t="shared" si="11"/>
        <v/>
      </c>
      <c r="M169" s="121" t="str">
        <f t="shared" si="12"/>
        <v/>
      </c>
      <c r="N169" s="121" t="str">
        <f t="shared" si="13"/>
        <v/>
      </c>
      <c r="O169" s="140"/>
      <c r="P169" s="140"/>
    </row>
    <row r="170" spans="1:16" x14ac:dyDescent="0.25">
      <c r="A170" s="122" t="str">
        <f t="shared" si="14"/>
        <v/>
      </c>
      <c r="B170" s="122"/>
      <c r="C170" s="91"/>
      <c r="D170" s="91"/>
      <c r="E170" s="91"/>
      <c r="F170" s="91"/>
      <c r="G170" s="91"/>
      <c r="H170" s="91"/>
      <c r="I170" s="120" t="str">
        <f t="shared" si="10"/>
        <v/>
      </c>
      <c r="J170" s="91"/>
      <c r="K170" s="91"/>
      <c r="L170" s="120" t="str">
        <f t="shared" si="11"/>
        <v/>
      </c>
      <c r="M170" s="121" t="str">
        <f t="shared" si="12"/>
        <v/>
      </c>
      <c r="N170" s="121" t="str">
        <f t="shared" si="13"/>
        <v/>
      </c>
      <c r="O170" s="140"/>
      <c r="P170" s="140"/>
    </row>
    <row r="171" spans="1:16" x14ac:dyDescent="0.25">
      <c r="A171" s="122" t="str">
        <f t="shared" si="14"/>
        <v/>
      </c>
      <c r="B171" s="122"/>
      <c r="C171" s="91"/>
      <c r="D171" s="91"/>
      <c r="E171" s="91"/>
      <c r="F171" s="91"/>
      <c r="G171" s="91"/>
      <c r="H171" s="91"/>
      <c r="I171" s="120" t="str">
        <f t="shared" si="10"/>
        <v/>
      </c>
      <c r="J171" s="91"/>
      <c r="K171" s="91"/>
      <c r="L171" s="120" t="str">
        <f t="shared" si="11"/>
        <v/>
      </c>
      <c r="M171" s="121" t="str">
        <f t="shared" si="12"/>
        <v/>
      </c>
      <c r="N171" s="121" t="str">
        <f t="shared" si="13"/>
        <v/>
      </c>
      <c r="O171" s="140"/>
      <c r="P171" s="140"/>
    </row>
    <row r="172" spans="1:16" x14ac:dyDescent="0.25">
      <c r="A172" s="122" t="str">
        <f t="shared" si="14"/>
        <v/>
      </c>
      <c r="B172" s="122"/>
      <c r="C172" s="91"/>
      <c r="D172" s="91"/>
      <c r="E172" s="91"/>
      <c r="F172" s="91"/>
      <c r="G172" s="91"/>
      <c r="H172" s="91"/>
      <c r="I172" s="120" t="str">
        <f t="shared" si="10"/>
        <v/>
      </c>
      <c r="J172" s="91"/>
      <c r="K172" s="91"/>
      <c r="L172" s="120" t="str">
        <f t="shared" si="11"/>
        <v/>
      </c>
      <c r="M172" s="121" t="str">
        <f t="shared" si="12"/>
        <v/>
      </c>
      <c r="N172" s="121" t="str">
        <f t="shared" si="13"/>
        <v/>
      </c>
      <c r="O172" s="140"/>
      <c r="P172" s="140"/>
    </row>
    <row r="173" spans="1:16" x14ac:dyDescent="0.25">
      <c r="A173" s="122" t="str">
        <f t="shared" si="14"/>
        <v/>
      </c>
      <c r="B173" s="122"/>
      <c r="C173" s="91"/>
      <c r="D173" s="91"/>
      <c r="E173" s="91"/>
      <c r="F173" s="91"/>
      <c r="G173" s="91"/>
      <c r="H173" s="91"/>
      <c r="I173" s="120" t="str">
        <f t="shared" si="10"/>
        <v/>
      </c>
      <c r="J173" s="91"/>
      <c r="K173" s="91"/>
      <c r="L173" s="120" t="str">
        <f t="shared" si="11"/>
        <v/>
      </c>
      <c r="M173" s="121" t="str">
        <f t="shared" si="12"/>
        <v/>
      </c>
      <c r="N173" s="121" t="str">
        <f t="shared" si="13"/>
        <v/>
      </c>
      <c r="O173" s="140"/>
      <c r="P173" s="140"/>
    </row>
    <row r="174" spans="1:16" x14ac:dyDescent="0.25">
      <c r="A174" s="122" t="str">
        <f t="shared" si="14"/>
        <v/>
      </c>
      <c r="B174" s="122"/>
      <c r="C174" s="91"/>
      <c r="D174" s="91"/>
      <c r="E174" s="91"/>
      <c r="F174" s="91"/>
      <c r="G174" s="91"/>
      <c r="H174" s="91"/>
      <c r="I174" s="120" t="str">
        <f t="shared" si="10"/>
        <v/>
      </c>
      <c r="J174" s="91"/>
      <c r="K174" s="91"/>
      <c r="L174" s="120" t="str">
        <f t="shared" si="11"/>
        <v/>
      </c>
      <c r="M174" s="121" t="str">
        <f t="shared" si="12"/>
        <v/>
      </c>
      <c r="N174" s="121" t="str">
        <f t="shared" si="13"/>
        <v/>
      </c>
      <c r="O174" s="140"/>
      <c r="P174" s="140"/>
    </row>
    <row r="175" spans="1:16" x14ac:dyDescent="0.25">
      <c r="A175" s="122" t="str">
        <f t="shared" si="14"/>
        <v/>
      </c>
      <c r="B175" s="122"/>
      <c r="C175" s="91"/>
      <c r="D175" s="91"/>
      <c r="E175" s="91"/>
      <c r="F175" s="91"/>
      <c r="G175" s="91"/>
      <c r="H175" s="91"/>
      <c r="I175" s="120" t="str">
        <f t="shared" si="10"/>
        <v/>
      </c>
      <c r="J175" s="91"/>
      <c r="K175" s="91"/>
      <c r="L175" s="120" t="str">
        <f t="shared" si="11"/>
        <v/>
      </c>
      <c r="M175" s="121" t="str">
        <f t="shared" si="12"/>
        <v/>
      </c>
      <c r="N175" s="121" t="str">
        <f t="shared" si="13"/>
        <v/>
      </c>
      <c r="O175" s="140"/>
      <c r="P175" s="140"/>
    </row>
    <row r="176" spans="1:16" x14ac:dyDescent="0.25">
      <c r="A176" s="122" t="str">
        <f t="shared" si="14"/>
        <v/>
      </c>
      <c r="B176" s="122"/>
      <c r="C176" s="91"/>
      <c r="D176" s="91"/>
      <c r="E176" s="91"/>
      <c r="F176" s="91"/>
      <c r="G176" s="91"/>
      <c r="H176" s="91"/>
      <c r="I176" s="120" t="str">
        <f t="shared" si="10"/>
        <v/>
      </c>
      <c r="J176" s="91"/>
      <c r="K176" s="91"/>
      <c r="L176" s="120" t="str">
        <f t="shared" si="11"/>
        <v/>
      </c>
      <c r="M176" s="121" t="str">
        <f t="shared" si="12"/>
        <v/>
      </c>
      <c r="N176" s="121" t="str">
        <f t="shared" si="13"/>
        <v/>
      </c>
      <c r="O176" s="140"/>
      <c r="P176" s="140"/>
    </row>
    <row r="177" spans="1:16" x14ac:dyDescent="0.25">
      <c r="A177" s="122" t="str">
        <f t="shared" si="14"/>
        <v/>
      </c>
      <c r="B177" s="122"/>
      <c r="C177" s="91"/>
      <c r="D177" s="91"/>
      <c r="E177" s="91"/>
      <c r="F177" s="91"/>
      <c r="G177" s="91"/>
      <c r="H177" s="91"/>
      <c r="I177" s="120" t="str">
        <f t="shared" si="10"/>
        <v/>
      </c>
      <c r="J177" s="91"/>
      <c r="K177" s="91"/>
      <c r="L177" s="120" t="str">
        <f t="shared" si="11"/>
        <v/>
      </c>
      <c r="M177" s="121" t="str">
        <f t="shared" si="12"/>
        <v/>
      </c>
      <c r="N177" s="121" t="str">
        <f t="shared" si="13"/>
        <v/>
      </c>
      <c r="O177" s="140"/>
      <c r="P177" s="140"/>
    </row>
    <row r="178" spans="1:16" x14ac:dyDescent="0.25">
      <c r="A178" s="122" t="str">
        <f t="shared" si="14"/>
        <v/>
      </c>
      <c r="B178" s="122"/>
      <c r="C178" s="91"/>
      <c r="D178" s="91"/>
      <c r="E178" s="91"/>
      <c r="F178" s="91"/>
      <c r="G178" s="91"/>
      <c r="H178" s="91"/>
      <c r="I178" s="120" t="str">
        <f t="shared" si="10"/>
        <v/>
      </c>
      <c r="J178" s="91"/>
      <c r="K178" s="91"/>
      <c r="L178" s="120" t="str">
        <f t="shared" si="11"/>
        <v/>
      </c>
      <c r="M178" s="121" t="str">
        <f t="shared" si="12"/>
        <v/>
      </c>
      <c r="N178" s="121" t="str">
        <f t="shared" si="13"/>
        <v/>
      </c>
      <c r="O178" s="140"/>
      <c r="P178" s="140"/>
    </row>
    <row r="179" spans="1:16" x14ac:dyDescent="0.25">
      <c r="A179" s="122" t="str">
        <f t="shared" si="14"/>
        <v/>
      </c>
      <c r="B179" s="122"/>
      <c r="C179" s="91"/>
      <c r="D179" s="91"/>
      <c r="E179" s="91"/>
      <c r="F179" s="91"/>
      <c r="G179" s="91"/>
      <c r="H179" s="91"/>
      <c r="I179" s="120" t="str">
        <f t="shared" si="10"/>
        <v/>
      </c>
      <c r="J179" s="91"/>
      <c r="K179" s="91"/>
      <c r="L179" s="120" t="str">
        <f t="shared" si="11"/>
        <v/>
      </c>
      <c r="M179" s="121" t="str">
        <f t="shared" si="12"/>
        <v/>
      </c>
      <c r="N179" s="121" t="str">
        <f t="shared" si="13"/>
        <v/>
      </c>
      <c r="O179" s="140"/>
      <c r="P179" s="140"/>
    </row>
    <row r="180" spans="1:16" x14ac:dyDescent="0.25">
      <c r="A180" s="122" t="str">
        <f t="shared" si="14"/>
        <v/>
      </c>
      <c r="B180" s="122"/>
      <c r="C180" s="91"/>
      <c r="D180" s="91"/>
      <c r="E180" s="91"/>
      <c r="F180" s="91"/>
      <c r="G180" s="91"/>
      <c r="H180" s="91"/>
      <c r="I180" s="120" t="str">
        <f t="shared" si="10"/>
        <v/>
      </c>
      <c r="J180" s="91"/>
      <c r="K180" s="91"/>
      <c r="L180" s="120" t="str">
        <f t="shared" si="11"/>
        <v/>
      </c>
      <c r="M180" s="121" t="str">
        <f t="shared" si="12"/>
        <v/>
      </c>
      <c r="N180" s="121" t="str">
        <f t="shared" si="13"/>
        <v/>
      </c>
      <c r="O180" s="140"/>
      <c r="P180" s="140"/>
    </row>
    <row r="181" spans="1:16" x14ac:dyDescent="0.25">
      <c r="A181" s="122" t="str">
        <f t="shared" si="14"/>
        <v/>
      </c>
      <c r="B181" s="122"/>
      <c r="C181" s="91"/>
      <c r="D181" s="91"/>
      <c r="E181" s="91"/>
      <c r="F181" s="91"/>
      <c r="G181" s="91"/>
      <c r="H181" s="91"/>
      <c r="I181" s="120" t="str">
        <f t="shared" si="10"/>
        <v/>
      </c>
      <c r="J181" s="91"/>
      <c r="K181" s="91"/>
      <c r="L181" s="120" t="str">
        <f t="shared" si="11"/>
        <v/>
      </c>
      <c r="M181" s="121" t="str">
        <f t="shared" si="12"/>
        <v/>
      </c>
      <c r="N181" s="121" t="str">
        <f t="shared" si="13"/>
        <v/>
      </c>
      <c r="O181" s="140"/>
      <c r="P181" s="140"/>
    </row>
    <row r="182" spans="1:16" x14ac:dyDescent="0.25">
      <c r="A182" s="122" t="str">
        <f t="shared" si="14"/>
        <v/>
      </c>
      <c r="B182" s="122"/>
      <c r="C182" s="91"/>
      <c r="D182" s="91"/>
      <c r="E182" s="91"/>
      <c r="F182" s="91"/>
      <c r="G182" s="91"/>
      <c r="H182" s="91"/>
      <c r="I182" s="120" t="str">
        <f t="shared" si="10"/>
        <v/>
      </c>
      <c r="J182" s="91"/>
      <c r="K182" s="91"/>
      <c r="L182" s="120" t="str">
        <f t="shared" si="11"/>
        <v/>
      </c>
      <c r="M182" s="121" t="str">
        <f t="shared" si="12"/>
        <v/>
      </c>
      <c r="N182" s="121" t="str">
        <f t="shared" si="13"/>
        <v/>
      </c>
      <c r="O182" s="140"/>
      <c r="P182" s="140"/>
    </row>
    <row r="183" spans="1:16" x14ac:dyDescent="0.25">
      <c r="A183" s="122" t="str">
        <f t="shared" si="14"/>
        <v/>
      </c>
      <c r="B183" s="122"/>
      <c r="C183" s="91"/>
      <c r="D183" s="91"/>
      <c r="E183" s="91"/>
      <c r="F183" s="91"/>
      <c r="G183" s="91"/>
      <c r="H183" s="91"/>
      <c r="I183" s="120" t="str">
        <f t="shared" si="10"/>
        <v/>
      </c>
      <c r="J183" s="91"/>
      <c r="K183" s="91"/>
      <c r="L183" s="120" t="str">
        <f t="shared" si="11"/>
        <v/>
      </c>
      <c r="M183" s="121" t="str">
        <f t="shared" si="12"/>
        <v/>
      </c>
      <c r="N183" s="121" t="str">
        <f t="shared" si="13"/>
        <v/>
      </c>
      <c r="O183" s="140"/>
      <c r="P183" s="140"/>
    </row>
    <row r="184" spans="1:16" x14ac:dyDescent="0.25">
      <c r="A184" s="122" t="str">
        <f t="shared" si="14"/>
        <v/>
      </c>
      <c r="B184" s="122"/>
      <c r="C184" s="91"/>
      <c r="D184" s="91"/>
      <c r="E184" s="91"/>
      <c r="F184" s="91"/>
      <c r="G184" s="91"/>
      <c r="H184" s="91"/>
      <c r="I184" s="120" t="str">
        <f t="shared" si="10"/>
        <v/>
      </c>
      <c r="J184" s="91"/>
      <c r="K184" s="91"/>
      <c r="L184" s="120" t="str">
        <f t="shared" si="11"/>
        <v/>
      </c>
      <c r="M184" s="121" t="str">
        <f t="shared" si="12"/>
        <v/>
      </c>
      <c r="N184" s="121" t="str">
        <f t="shared" si="13"/>
        <v/>
      </c>
      <c r="O184" s="140"/>
      <c r="P184" s="140"/>
    </row>
    <row r="185" spans="1:16" x14ac:dyDescent="0.25">
      <c r="A185" s="122" t="str">
        <f t="shared" si="14"/>
        <v/>
      </c>
      <c r="B185" s="122"/>
      <c r="C185" s="91"/>
      <c r="D185" s="91"/>
      <c r="E185" s="91"/>
      <c r="F185" s="91"/>
      <c r="G185" s="91"/>
      <c r="H185" s="91"/>
      <c r="I185" s="120" t="str">
        <f t="shared" si="10"/>
        <v/>
      </c>
      <c r="J185" s="91"/>
      <c r="K185" s="91"/>
      <c r="L185" s="120" t="str">
        <f t="shared" si="11"/>
        <v/>
      </c>
      <c r="M185" s="121" t="str">
        <f t="shared" si="12"/>
        <v/>
      </c>
      <c r="N185" s="121" t="str">
        <f t="shared" si="13"/>
        <v/>
      </c>
      <c r="O185" s="140"/>
      <c r="P185" s="140"/>
    </row>
    <row r="186" spans="1:16" x14ac:dyDescent="0.25">
      <c r="A186" s="122" t="str">
        <f t="shared" si="14"/>
        <v/>
      </c>
      <c r="B186" s="122"/>
      <c r="C186" s="91"/>
      <c r="D186" s="91"/>
      <c r="E186" s="91"/>
      <c r="F186" s="91"/>
      <c r="G186" s="91"/>
      <c r="H186" s="91"/>
      <c r="I186" s="120" t="str">
        <f t="shared" si="10"/>
        <v/>
      </c>
      <c r="J186" s="91"/>
      <c r="K186" s="91"/>
      <c r="L186" s="120" t="str">
        <f t="shared" si="11"/>
        <v/>
      </c>
      <c r="M186" s="121" t="str">
        <f t="shared" si="12"/>
        <v/>
      </c>
      <c r="N186" s="121" t="str">
        <f t="shared" si="13"/>
        <v/>
      </c>
      <c r="O186" s="140"/>
      <c r="P186" s="140"/>
    </row>
    <row r="187" spans="1:16" x14ac:dyDescent="0.25">
      <c r="A187" s="122" t="str">
        <f t="shared" si="14"/>
        <v/>
      </c>
      <c r="B187" s="122"/>
      <c r="C187" s="91"/>
      <c r="D187" s="91"/>
      <c r="E187" s="91"/>
      <c r="F187" s="91"/>
      <c r="G187" s="91"/>
      <c r="H187" s="91"/>
      <c r="I187" s="120" t="str">
        <f t="shared" si="10"/>
        <v/>
      </c>
      <c r="J187" s="91"/>
      <c r="K187" s="91"/>
      <c r="L187" s="120" t="str">
        <f t="shared" si="11"/>
        <v/>
      </c>
      <c r="M187" s="121" t="str">
        <f t="shared" si="12"/>
        <v/>
      </c>
      <c r="N187" s="121" t="str">
        <f t="shared" si="13"/>
        <v/>
      </c>
      <c r="O187" s="140"/>
      <c r="P187" s="140"/>
    </row>
    <row r="188" spans="1:16" x14ac:dyDescent="0.25">
      <c r="A188" s="122" t="str">
        <f t="shared" si="14"/>
        <v/>
      </c>
      <c r="B188" s="122"/>
      <c r="C188" s="91"/>
      <c r="D188" s="91"/>
      <c r="E188" s="91"/>
      <c r="F188" s="91"/>
      <c r="G188" s="91"/>
      <c r="H188" s="91"/>
      <c r="I188" s="120" t="str">
        <f t="shared" si="10"/>
        <v/>
      </c>
      <c r="J188" s="91"/>
      <c r="K188" s="91"/>
      <c r="L188" s="120" t="str">
        <f t="shared" si="11"/>
        <v/>
      </c>
      <c r="M188" s="121" t="str">
        <f t="shared" si="12"/>
        <v/>
      </c>
      <c r="N188" s="121" t="str">
        <f t="shared" si="13"/>
        <v/>
      </c>
      <c r="O188" s="140"/>
      <c r="P188" s="140"/>
    </row>
    <row r="189" spans="1:16" x14ac:dyDescent="0.25">
      <c r="A189" s="122" t="str">
        <f t="shared" si="14"/>
        <v/>
      </c>
      <c r="B189" s="122"/>
      <c r="C189" s="91"/>
      <c r="D189" s="91"/>
      <c r="E189" s="91"/>
      <c r="F189" s="91"/>
      <c r="G189" s="91"/>
      <c r="H189" s="91"/>
      <c r="I189" s="120" t="str">
        <f t="shared" si="10"/>
        <v/>
      </c>
      <c r="J189" s="91"/>
      <c r="K189" s="91"/>
      <c r="L189" s="120" t="str">
        <f t="shared" si="11"/>
        <v/>
      </c>
      <c r="M189" s="121" t="str">
        <f t="shared" si="12"/>
        <v/>
      </c>
      <c r="N189" s="121" t="str">
        <f t="shared" si="13"/>
        <v/>
      </c>
      <c r="O189" s="140"/>
      <c r="P189" s="140"/>
    </row>
    <row r="190" spans="1:16" x14ac:dyDescent="0.25">
      <c r="A190" s="122" t="str">
        <f t="shared" si="14"/>
        <v/>
      </c>
      <c r="B190" s="122"/>
      <c r="C190" s="91"/>
      <c r="D190" s="91"/>
      <c r="E190" s="91"/>
      <c r="F190" s="91"/>
      <c r="G190" s="91"/>
      <c r="H190" s="91"/>
      <c r="I190" s="120" t="str">
        <f t="shared" si="10"/>
        <v/>
      </c>
      <c r="J190" s="91"/>
      <c r="K190" s="91"/>
      <c r="L190" s="120" t="str">
        <f t="shared" si="11"/>
        <v/>
      </c>
      <c r="M190" s="121" t="str">
        <f t="shared" si="12"/>
        <v/>
      </c>
      <c r="N190" s="121" t="str">
        <f t="shared" si="13"/>
        <v/>
      </c>
      <c r="O190" s="140"/>
      <c r="P190" s="140"/>
    </row>
    <row r="191" spans="1:16" x14ac:dyDescent="0.25">
      <c r="A191" s="122" t="str">
        <f t="shared" si="14"/>
        <v/>
      </c>
      <c r="B191" s="122"/>
      <c r="C191" s="91"/>
      <c r="D191" s="91"/>
      <c r="E191" s="91"/>
      <c r="F191" s="91"/>
      <c r="G191" s="91"/>
      <c r="H191" s="91"/>
      <c r="I191" s="120" t="str">
        <f t="shared" si="10"/>
        <v/>
      </c>
      <c r="J191" s="91"/>
      <c r="K191" s="91"/>
      <c r="L191" s="120" t="str">
        <f t="shared" si="11"/>
        <v/>
      </c>
      <c r="M191" s="121" t="str">
        <f t="shared" si="12"/>
        <v/>
      </c>
      <c r="N191" s="121" t="str">
        <f t="shared" si="13"/>
        <v/>
      </c>
      <c r="O191" s="140"/>
      <c r="P191" s="140"/>
    </row>
    <row r="192" spans="1:16" x14ac:dyDescent="0.25">
      <c r="A192" s="122" t="str">
        <f t="shared" si="14"/>
        <v/>
      </c>
      <c r="B192" s="122"/>
      <c r="C192" s="91"/>
      <c r="D192" s="91"/>
      <c r="E192" s="91"/>
      <c r="F192" s="91"/>
      <c r="G192" s="91"/>
      <c r="H192" s="91"/>
      <c r="I192" s="120" t="str">
        <f t="shared" si="10"/>
        <v/>
      </c>
      <c r="J192" s="91"/>
      <c r="K192" s="91"/>
      <c r="L192" s="120" t="str">
        <f t="shared" si="11"/>
        <v/>
      </c>
      <c r="M192" s="121" t="str">
        <f t="shared" si="12"/>
        <v/>
      </c>
      <c r="N192" s="121" t="str">
        <f t="shared" si="13"/>
        <v/>
      </c>
      <c r="O192" s="140"/>
      <c r="P192" s="140"/>
    </row>
    <row r="193" spans="1:16" x14ac:dyDescent="0.25">
      <c r="A193" s="122" t="str">
        <f t="shared" si="14"/>
        <v/>
      </c>
      <c r="B193" s="122"/>
      <c r="C193" s="91"/>
      <c r="D193" s="91"/>
      <c r="E193" s="91"/>
      <c r="F193" s="91"/>
      <c r="G193" s="91"/>
      <c r="H193" s="91"/>
      <c r="I193" s="120" t="str">
        <f t="shared" si="10"/>
        <v/>
      </c>
      <c r="J193" s="91"/>
      <c r="K193" s="91"/>
      <c r="L193" s="120" t="str">
        <f t="shared" si="11"/>
        <v/>
      </c>
      <c r="M193" s="121" t="str">
        <f t="shared" si="12"/>
        <v/>
      </c>
      <c r="N193" s="121" t="str">
        <f t="shared" si="13"/>
        <v/>
      </c>
      <c r="O193" s="140"/>
      <c r="P193" s="140"/>
    </row>
    <row r="194" spans="1:16" x14ac:dyDescent="0.25">
      <c r="A194" s="122" t="str">
        <f t="shared" si="14"/>
        <v/>
      </c>
      <c r="B194" s="122"/>
      <c r="C194" s="91"/>
      <c r="D194" s="91"/>
      <c r="E194" s="91"/>
      <c r="F194" s="91"/>
      <c r="G194" s="91"/>
      <c r="H194" s="91"/>
      <c r="I194" s="120" t="str">
        <f t="shared" si="10"/>
        <v/>
      </c>
      <c r="J194" s="91"/>
      <c r="K194" s="91"/>
      <c r="L194" s="120" t="str">
        <f t="shared" si="11"/>
        <v/>
      </c>
      <c r="M194" s="121" t="str">
        <f t="shared" si="12"/>
        <v/>
      </c>
      <c r="N194" s="121" t="str">
        <f t="shared" si="13"/>
        <v/>
      </c>
      <c r="O194" s="140"/>
      <c r="P194" s="140"/>
    </row>
    <row r="195" spans="1:16" x14ac:dyDescent="0.25">
      <c r="A195" s="122" t="str">
        <f t="shared" si="14"/>
        <v/>
      </c>
      <c r="B195" s="122"/>
      <c r="C195" s="91"/>
      <c r="D195" s="91"/>
      <c r="E195" s="91"/>
      <c r="F195" s="91"/>
      <c r="G195" s="91"/>
      <c r="H195" s="91"/>
      <c r="I195" s="120" t="str">
        <f t="shared" ref="I195:I258" si="15">IF(H195&lt;&gt;"",H195/G195,"")</f>
        <v/>
      </c>
      <c r="J195" s="91"/>
      <c r="K195" s="91"/>
      <c r="L195" s="120" t="str">
        <f t="shared" ref="L195:L258" si="16">IF(K195&lt;&gt;"",K195/J195,"")</f>
        <v/>
      </c>
      <c r="M195" s="121" t="str">
        <f t="shared" ref="M195:M258" si="17">IF(L195&lt;&gt;"",MAX(I195,L195),"")</f>
        <v/>
      </c>
      <c r="N195" s="121" t="str">
        <f t="shared" ref="N195:N258" si="18">IF($M195&lt;&gt;"",IF($M195&lt;50%,0%,IF($M195&lt;80%,$M195,100%)),"")</f>
        <v/>
      </c>
      <c r="O195" s="140"/>
      <c r="P195" s="140"/>
    </row>
    <row r="196" spans="1:16" x14ac:dyDescent="0.25">
      <c r="A196" s="122" t="str">
        <f t="shared" ref="A196:A259" si="19">IF(C196&lt;&gt;"",A195+1,"")</f>
        <v/>
      </c>
      <c r="B196" s="122"/>
      <c r="C196" s="91"/>
      <c r="D196" s="91"/>
      <c r="E196" s="91"/>
      <c r="F196" s="91"/>
      <c r="G196" s="91"/>
      <c r="H196" s="91"/>
      <c r="I196" s="120" t="str">
        <f t="shared" si="15"/>
        <v/>
      </c>
      <c r="J196" s="91"/>
      <c r="K196" s="91"/>
      <c r="L196" s="120" t="str">
        <f t="shared" si="16"/>
        <v/>
      </c>
      <c r="M196" s="121" t="str">
        <f t="shared" si="17"/>
        <v/>
      </c>
      <c r="N196" s="121" t="str">
        <f t="shared" si="18"/>
        <v/>
      </c>
      <c r="O196" s="140"/>
      <c r="P196" s="140"/>
    </row>
    <row r="197" spans="1:16" x14ac:dyDescent="0.25">
      <c r="A197" s="122" t="str">
        <f t="shared" si="19"/>
        <v/>
      </c>
      <c r="B197" s="122"/>
      <c r="C197" s="91"/>
      <c r="D197" s="91"/>
      <c r="E197" s="91"/>
      <c r="F197" s="91"/>
      <c r="G197" s="91"/>
      <c r="H197" s="91"/>
      <c r="I197" s="120" t="str">
        <f t="shared" si="15"/>
        <v/>
      </c>
      <c r="J197" s="91"/>
      <c r="K197" s="91"/>
      <c r="L197" s="120" t="str">
        <f t="shared" si="16"/>
        <v/>
      </c>
      <c r="M197" s="121" t="str">
        <f t="shared" si="17"/>
        <v/>
      </c>
      <c r="N197" s="121" t="str">
        <f t="shared" si="18"/>
        <v/>
      </c>
      <c r="O197" s="140"/>
      <c r="P197" s="140"/>
    </row>
    <row r="198" spans="1:16" x14ac:dyDescent="0.25">
      <c r="A198" s="122" t="str">
        <f t="shared" si="19"/>
        <v/>
      </c>
      <c r="B198" s="122"/>
      <c r="C198" s="91"/>
      <c r="D198" s="91"/>
      <c r="E198" s="91"/>
      <c r="F198" s="91"/>
      <c r="G198" s="91"/>
      <c r="H198" s="91"/>
      <c r="I198" s="120" t="str">
        <f t="shared" si="15"/>
        <v/>
      </c>
      <c r="J198" s="91"/>
      <c r="K198" s="91"/>
      <c r="L198" s="120" t="str">
        <f t="shared" si="16"/>
        <v/>
      </c>
      <c r="M198" s="121" t="str">
        <f t="shared" si="17"/>
        <v/>
      </c>
      <c r="N198" s="121" t="str">
        <f t="shared" si="18"/>
        <v/>
      </c>
      <c r="O198" s="140"/>
      <c r="P198" s="140"/>
    </row>
    <row r="199" spans="1:16" x14ac:dyDescent="0.25">
      <c r="A199" s="122" t="str">
        <f t="shared" si="19"/>
        <v/>
      </c>
      <c r="B199" s="122"/>
      <c r="C199" s="91"/>
      <c r="D199" s="91"/>
      <c r="E199" s="91"/>
      <c r="F199" s="91"/>
      <c r="G199" s="91"/>
      <c r="H199" s="91"/>
      <c r="I199" s="120" t="str">
        <f t="shared" si="15"/>
        <v/>
      </c>
      <c r="J199" s="91"/>
      <c r="K199" s="91"/>
      <c r="L199" s="120" t="str">
        <f t="shared" si="16"/>
        <v/>
      </c>
      <c r="M199" s="121" t="str">
        <f t="shared" si="17"/>
        <v/>
      </c>
      <c r="N199" s="121" t="str">
        <f t="shared" si="18"/>
        <v/>
      </c>
      <c r="O199" s="140"/>
      <c r="P199" s="140"/>
    </row>
    <row r="200" spans="1:16" x14ac:dyDescent="0.25">
      <c r="A200" s="122" t="str">
        <f t="shared" si="19"/>
        <v/>
      </c>
      <c r="B200" s="122"/>
      <c r="C200" s="91"/>
      <c r="D200" s="91"/>
      <c r="E200" s="91"/>
      <c r="F200" s="91"/>
      <c r="G200" s="91"/>
      <c r="H200" s="91"/>
      <c r="I200" s="120" t="str">
        <f t="shared" si="15"/>
        <v/>
      </c>
      <c r="J200" s="91"/>
      <c r="K200" s="91"/>
      <c r="L200" s="120" t="str">
        <f t="shared" si="16"/>
        <v/>
      </c>
      <c r="M200" s="121" t="str">
        <f t="shared" si="17"/>
        <v/>
      </c>
      <c r="N200" s="121" t="str">
        <f t="shared" si="18"/>
        <v/>
      </c>
      <c r="O200" s="140"/>
      <c r="P200" s="140"/>
    </row>
    <row r="201" spans="1:16" x14ac:dyDescent="0.25">
      <c r="A201" s="122" t="str">
        <f t="shared" si="19"/>
        <v/>
      </c>
      <c r="B201" s="122"/>
      <c r="C201" s="91"/>
      <c r="D201" s="91"/>
      <c r="E201" s="91"/>
      <c r="F201" s="91"/>
      <c r="G201" s="91"/>
      <c r="H201" s="91"/>
      <c r="I201" s="120" t="str">
        <f t="shared" si="15"/>
        <v/>
      </c>
      <c r="J201" s="91"/>
      <c r="K201" s="91"/>
      <c r="L201" s="120" t="str">
        <f t="shared" si="16"/>
        <v/>
      </c>
      <c r="M201" s="121" t="str">
        <f t="shared" si="17"/>
        <v/>
      </c>
      <c r="N201" s="121" t="str">
        <f t="shared" si="18"/>
        <v/>
      </c>
      <c r="O201" s="140"/>
      <c r="P201" s="140"/>
    </row>
    <row r="202" spans="1:16" x14ac:dyDescent="0.25">
      <c r="A202" s="122" t="str">
        <f t="shared" si="19"/>
        <v/>
      </c>
      <c r="B202" s="122"/>
      <c r="C202" s="91"/>
      <c r="D202" s="91"/>
      <c r="E202" s="91"/>
      <c r="F202" s="91"/>
      <c r="G202" s="91"/>
      <c r="H202" s="91"/>
      <c r="I202" s="120" t="str">
        <f t="shared" si="15"/>
        <v/>
      </c>
      <c r="J202" s="91"/>
      <c r="K202" s="91"/>
      <c r="L202" s="120" t="str">
        <f t="shared" si="16"/>
        <v/>
      </c>
      <c r="M202" s="121" t="str">
        <f t="shared" si="17"/>
        <v/>
      </c>
      <c r="N202" s="121" t="str">
        <f t="shared" si="18"/>
        <v/>
      </c>
      <c r="O202" s="140"/>
      <c r="P202" s="140"/>
    </row>
    <row r="203" spans="1:16" x14ac:dyDescent="0.25">
      <c r="A203" s="122" t="str">
        <f t="shared" si="19"/>
        <v/>
      </c>
      <c r="B203" s="122"/>
      <c r="C203" s="91"/>
      <c r="D203" s="91"/>
      <c r="E203" s="91"/>
      <c r="F203" s="91"/>
      <c r="G203" s="91"/>
      <c r="H203" s="91"/>
      <c r="I203" s="120" t="str">
        <f t="shared" si="15"/>
        <v/>
      </c>
      <c r="J203" s="91"/>
      <c r="K203" s="91"/>
      <c r="L203" s="120" t="str">
        <f t="shared" si="16"/>
        <v/>
      </c>
      <c r="M203" s="121" t="str">
        <f t="shared" si="17"/>
        <v/>
      </c>
      <c r="N203" s="121" t="str">
        <f t="shared" si="18"/>
        <v/>
      </c>
      <c r="O203" s="140"/>
      <c r="P203" s="140"/>
    </row>
    <row r="204" spans="1:16" x14ac:dyDescent="0.25">
      <c r="A204" s="122" t="str">
        <f t="shared" si="19"/>
        <v/>
      </c>
      <c r="B204" s="122"/>
      <c r="C204" s="91"/>
      <c r="D204" s="91"/>
      <c r="E204" s="91"/>
      <c r="F204" s="91"/>
      <c r="G204" s="91"/>
      <c r="H204" s="91"/>
      <c r="I204" s="120" t="str">
        <f t="shared" si="15"/>
        <v/>
      </c>
      <c r="J204" s="91"/>
      <c r="K204" s="91"/>
      <c r="L204" s="120" t="str">
        <f t="shared" si="16"/>
        <v/>
      </c>
      <c r="M204" s="121" t="str">
        <f t="shared" si="17"/>
        <v/>
      </c>
      <c r="N204" s="121" t="str">
        <f t="shared" si="18"/>
        <v/>
      </c>
      <c r="O204" s="140"/>
      <c r="P204" s="140"/>
    </row>
    <row r="205" spans="1:16" x14ac:dyDescent="0.25">
      <c r="A205" s="122" t="str">
        <f t="shared" si="19"/>
        <v/>
      </c>
      <c r="B205" s="122"/>
      <c r="C205" s="91"/>
      <c r="D205" s="91"/>
      <c r="E205" s="91"/>
      <c r="F205" s="91"/>
      <c r="G205" s="91"/>
      <c r="H205" s="91"/>
      <c r="I205" s="120" t="str">
        <f t="shared" si="15"/>
        <v/>
      </c>
      <c r="J205" s="91"/>
      <c r="K205" s="91"/>
      <c r="L205" s="120" t="str">
        <f t="shared" si="16"/>
        <v/>
      </c>
      <c r="M205" s="121" t="str">
        <f t="shared" si="17"/>
        <v/>
      </c>
      <c r="N205" s="121" t="str">
        <f t="shared" si="18"/>
        <v/>
      </c>
      <c r="O205" s="140"/>
      <c r="P205" s="140"/>
    </row>
    <row r="206" spans="1:16" x14ac:dyDescent="0.25">
      <c r="A206" s="122" t="str">
        <f t="shared" si="19"/>
        <v/>
      </c>
      <c r="B206" s="122"/>
      <c r="C206" s="91"/>
      <c r="D206" s="91"/>
      <c r="E206" s="91"/>
      <c r="F206" s="91"/>
      <c r="G206" s="91"/>
      <c r="H206" s="91"/>
      <c r="I206" s="120" t="str">
        <f t="shared" si="15"/>
        <v/>
      </c>
      <c r="J206" s="91"/>
      <c r="K206" s="91"/>
      <c r="L206" s="120" t="str">
        <f t="shared" si="16"/>
        <v/>
      </c>
      <c r="M206" s="121" t="str">
        <f t="shared" si="17"/>
        <v/>
      </c>
      <c r="N206" s="121" t="str">
        <f t="shared" si="18"/>
        <v/>
      </c>
      <c r="O206" s="140"/>
      <c r="P206" s="140"/>
    </row>
    <row r="207" spans="1:16" x14ac:dyDescent="0.25">
      <c r="A207" s="122" t="str">
        <f t="shared" si="19"/>
        <v/>
      </c>
      <c r="B207" s="122"/>
      <c r="C207" s="91"/>
      <c r="D207" s="91"/>
      <c r="E207" s="91"/>
      <c r="F207" s="91"/>
      <c r="G207" s="91"/>
      <c r="H207" s="91"/>
      <c r="I207" s="120" t="str">
        <f t="shared" si="15"/>
        <v/>
      </c>
      <c r="J207" s="91"/>
      <c r="K207" s="91"/>
      <c r="L207" s="120" t="str">
        <f t="shared" si="16"/>
        <v/>
      </c>
      <c r="M207" s="121" t="str">
        <f t="shared" si="17"/>
        <v/>
      </c>
      <c r="N207" s="121" t="str">
        <f t="shared" si="18"/>
        <v/>
      </c>
      <c r="O207" s="140"/>
      <c r="P207" s="140"/>
    </row>
    <row r="208" spans="1:16" x14ac:dyDescent="0.25">
      <c r="A208" s="122" t="str">
        <f t="shared" si="19"/>
        <v/>
      </c>
      <c r="B208" s="122"/>
      <c r="C208" s="91"/>
      <c r="D208" s="91"/>
      <c r="E208" s="91"/>
      <c r="F208" s="91"/>
      <c r="G208" s="91"/>
      <c r="H208" s="91"/>
      <c r="I208" s="120" t="str">
        <f t="shared" si="15"/>
        <v/>
      </c>
      <c r="J208" s="91"/>
      <c r="K208" s="91"/>
      <c r="L208" s="120" t="str">
        <f t="shared" si="16"/>
        <v/>
      </c>
      <c r="M208" s="121" t="str">
        <f t="shared" si="17"/>
        <v/>
      </c>
      <c r="N208" s="121" t="str">
        <f t="shared" si="18"/>
        <v/>
      </c>
      <c r="O208" s="140"/>
      <c r="P208" s="140"/>
    </row>
    <row r="209" spans="1:16" x14ac:dyDescent="0.25">
      <c r="A209" s="122" t="str">
        <f t="shared" si="19"/>
        <v/>
      </c>
      <c r="B209" s="122"/>
      <c r="C209" s="91"/>
      <c r="D209" s="91"/>
      <c r="E209" s="91"/>
      <c r="F209" s="91"/>
      <c r="G209" s="91"/>
      <c r="H209" s="91"/>
      <c r="I209" s="120" t="str">
        <f t="shared" si="15"/>
        <v/>
      </c>
      <c r="J209" s="91"/>
      <c r="K209" s="91"/>
      <c r="L209" s="120" t="str">
        <f t="shared" si="16"/>
        <v/>
      </c>
      <c r="M209" s="121" t="str">
        <f t="shared" si="17"/>
        <v/>
      </c>
      <c r="N209" s="121" t="str">
        <f t="shared" si="18"/>
        <v/>
      </c>
      <c r="O209" s="140"/>
      <c r="P209" s="140"/>
    </row>
    <row r="210" spans="1:16" x14ac:dyDescent="0.25">
      <c r="A210" s="122" t="str">
        <f t="shared" si="19"/>
        <v/>
      </c>
      <c r="B210" s="122"/>
      <c r="C210" s="91"/>
      <c r="D210" s="91"/>
      <c r="E210" s="91"/>
      <c r="F210" s="91"/>
      <c r="G210" s="91"/>
      <c r="H210" s="91"/>
      <c r="I210" s="120" t="str">
        <f t="shared" si="15"/>
        <v/>
      </c>
      <c r="J210" s="91"/>
      <c r="K210" s="91"/>
      <c r="L210" s="120" t="str">
        <f t="shared" si="16"/>
        <v/>
      </c>
      <c r="M210" s="121" t="str">
        <f t="shared" si="17"/>
        <v/>
      </c>
      <c r="N210" s="121" t="str">
        <f t="shared" si="18"/>
        <v/>
      </c>
      <c r="O210" s="140"/>
      <c r="P210" s="140"/>
    </row>
    <row r="211" spans="1:16" x14ac:dyDescent="0.25">
      <c r="A211" s="122" t="str">
        <f t="shared" si="19"/>
        <v/>
      </c>
      <c r="B211" s="122"/>
      <c r="C211" s="91"/>
      <c r="D211" s="91"/>
      <c r="E211" s="91"/>
      <c r="F211" s="91"/>
      <c r="G211" s="91"/>
      <c r="H211" s="91"/>
      <c r="I211" s="120" t="str">
        <f t="shared" si="15"/>
        <v/>
      </c>
      <c r="J211" s="91"/>
      <c r="K211" s="91"/>
      <c r="L211" s="120" t="str">
        <f t="shared" si="16"/>
        <v/>
      </c>
      <c r="M211" s="121" t="str">
        <f t="shared" si="17"/>
        <v/>
      </c>
      <c r="N211" s="121" t="str">
        <f t="shared" si="18"/>
        <v/>
      </c>
      <c r="O211" s="140"/>
      <c r="P211" s="140"/>
    </row>
    <row r="212" spans="1:16" x14ac:dyDescent="0.25">
      <c r="A212" s="122" t="str">
        <f t="shared" si="19"/>
        <v/>
      </c>
      <c r="B212" s="122"/>
      <c r="C212" s="91"/>
      <c r="D212" s="91"/>
      <c r="E212" s="91"/>
      <c r="F212" s="91"/>
      <c r="G212" s="91"/>
      <c r="H212" s="91"/>
      <c r="I212" s="120" t="str">
        <f t="shared" si="15"/>
        <v/>
      </c>
      <c r="J212" s="91"/>
      <c r="K212" s="91"/>
      <c r="L212" s="120" t="str">
        <f t="shared" si="16"/>
        <v/>
      </c>
      <c r="M212" s="121" t="str">
        <f t="shared" si="17"/>
        <v/>
      </c>
      <c r="N212" s="121" t="str">
        <f t="shared" si="18"/>
        <v/>
      </c>
      <c r="O212" s="140"/>
      <c r="P212" s="140"/>
    </row>
    <row r="213" spans="1:16" x14ac:dyDescent="0.25">
      <c r="A213" s="122" t="str">
        <f t="shared" si="19"/>
        <v/>
      </c>
      <c r="B213" s="122"/>
      <c r="C213" s="91"/>
      <c r="D213" s="91"/>
      <c r="E213" s="91"/>
      <c r="F213" s="91"/>
      <c r="G213" s="91"/>
      <c r="H213" s="91"/>
      <c r="I213" s="120" t="str">
        <f t="shared" si="15"/>
        <v/>
      </c>
      <c r="J213" s="91"/>
      <c r="K213" s="91"/>
      <c r="L213" s="120" t="str">
        <f t="shared" si="16"/>
        <v/>
      </c>
      <c r="M213" s="121" t="str">
        <f t="shared" si="17"/>
        <v/>
      </c>
      <c r="N213" s="121" t="str">
        <f t="shared" si="18"/>
        <v/>
      </c>
      <c r="O213" s="140"/>
      <c r="P213" s="140"/>
    </row>
    <row r="214" spans="1:16" x14ac:dyDescent="0.25">
      <c r="A214" s="122" t="str">
        <f t="shared" si="19"/>
        <v/>
      </c>
      <c r="B214" s="122"/>
      <c r="C214" s="91"/>
      <c r="D214" s="91"/>
      <c r="E214" s="91"/>
      <c r="F214" s="91"/>
      <c r="G214" s="91"/>
      <c r="H214" s="91"/>
      <c r="I214" s="120" t="str">
        <f t="shared" si="15"/>
        <v/>
      </c>
      <c r="J214" s="91"/>
      <c r="K214" s="91"/>
      <c r="L214" s="120" t="str">
        <f t="shared" si="16"/>
        <v/>
      </c>
      <c r="M214" s="121" t="str">
        <f t="shared" si="17"/>
        <v/>
      </c>
      <c r="N214" s="121" t="str">
        <f t="shared" si="18"/>
        <v/>
      </c>
      <c r="O214" s="140"/>
      <c r="P214" s="140"/>
    </row>
    <row r="215" spans="1:16" x14ac:dyDescent="0.25">
      <c r="A215" s="122" t="str">
        <f t="shared" si="19"/>
        <v/>
      </c>
      <c r="B215" s="122"/>
      <c r="C215" s="91"/>
      <c r="D215" s="91"/>
      <c r="E215" s="91"/>
      <c r="F215" s="91"/>
      <c r="G215" s="91"/>
      <c r="H215" s="91"/>
      <c r="I215" s="120" t="str">
        <f t="shared" si="15"/>
        <v/>
      </c>
      <c r="J215" s="91"/>
      <c r="K215" s="91"/>
      <c r="L215" s="120" t="str">
        <f t="shared" si="16"/>
        <v/>
      </c>
      <c r="M215" s="121" t="str">
        <f t="shared" si="17"/>
        <v/>
      </c>
      <c r="N215" s="121" t="str">
        <f t="shared" si="18"/>
        <v/>
      </c>
      <c r="O215" s="140"/>
      <c r="P215" s="140"/>
    </row>
    <row r="216" spans="1:16" x14ac:dyDescent="0.25">
      <c r="A216" s="122" t="str">
        <f t="shared" si="19"/>
        <v/>
      </c>
      <c r="B216" s="122"/>
      <c r="C216" s="91"/>
      <c r="D216" s="91"/>
      <c r="E216" s="91"/>
      <c r="F216" s="91"/>
      <c r="G216" s="91"/>
      <c r="H216" s="91"/>
      <c r="I216" s="120" t="str">
        <f t="shared" si="15"/>
        <v/>
      </c>
      <c r="J216" s="91"/>
      <c r="K216" s="91"/>
      <c r="L216" s="120" t="str">
        <f t="shared" si="16"/>
        <v/>
      </c>
      <c r="M216" s="121" t="str">
        <f t="shared" si="17"/>
        <v/>
      </c>
      <c r="N216" s="121" t="str">
        <f t="shared" si="18"/>
        <v/>
      </c>
      <c r="O216" s="140"/>
      <c r="P216" s="140"/>
    </row>
    <row r="217" spans="1:16" x14ac:dyDescent="0.25">
      <c r="A217" s="122" t="str">
        <f t="shared" si="19"/>
        <v/>
      </c>
      <c r="B217" s="122"/>
      <c r="C217" s="91"/>
      <c r="D217" s="91"/>
      <c r="E217" s="91"/>
      <c r="F217" s="91"/>
      <c r="G217" s="91"/>
      <c r="H217" s="91"/>
      <c r="I217" s="120" t="str">
        <f t="shared" si="15"/>
        <v/>
      </c>
      <c r="J217" s="91"/>
      <c r="K217" s="91"/>
      <c r="L217" s="120" t="str">
        <f t="shared" si="16"/>
        <v/>
      </c>
      <c r="M217" s="121" t="str">
        <f t="shared" si="17"/>
        <v/>
      </c>
      <c r="N217" s="121" t="str">
        <f t="shared" si="18"/>
        <v/>
      </c>
      <c r="O217" s="140"/>
      <c r="P217" s="140"/>
    </row>
    <row r="218" spans="1:16" x14ac:dyDescent="0.25">
      <c r="A218" s="122" t="str">
        <f t="shared" si="19"/>
        <v/>
      </c>
      <c r="B218" s="122"/>
      <c r="C218" s="91"/>
      <c r="D218" s="91"/>
      <c r="E218" s="91"/>
      <c r="F218" s="91"/>
      <c r="G218" s="91"/>
      <c r="H218" s="91"/>
      <c r="I218" s="120" t="str">
        <f t="shared" si="15"/>
        <v/>
      </c>
      <c r="J218" s="91"/>
      <c r="K218" s="91"/>
      <c r="L218" s="120" t="str">
        <f t="shared" si="16"/>
        <v/>
      </c>
      <c r="M218" s="121" t="str">
        <f t="shared" si="17"/>
        <v/>
      </c>
      <c r="N218" s="121" t="str">
        <f t="shared" si="18"/>
        <v/>
      </c>
      <c r="O218" s="140"/>
      <c r="P218" s="140"/>
    </row>
    <row r="219" spans="1:16" x14ac:dyDescent="0.25">
      <c r="A219" s="122" t="str">
        <f t="shared" si="19"/>
        <v/>
      </c>
      <c r="B219" s="122"/>
      <c r="C219" s="91"/>
      <c r="D219" s="91"/>
      <c r="E219" s="91"/>
      <c r="F219" s="91"/>
      <c r="G219" s="91"/>
      <c r="H219" s="91"/>
      <c r="I219" s="120" t="str">
        <f t="shared" si="15"/>
        <v/>
      </c>
      <c r="J219" s="91"/>
      <c r="K219" s="91"/>
      <c r="L219" s="120" t="str">
        <f t="shared" si="16"/>
        <v/>
      </c>
      <c r="M219" s="121" t="str">
        <f t="shared" si="17"/>
        <v/>
      </c>
      <c r="N219" s="121" t="str">
        <f t="shared" si="18"/>
        <v/>
      </c>
      <c r="O219" s="140"/>
      <c r="P219" s="140"/>
    </row>
    <row r="220" spans="1:16" x14ac:dyDescent="0.25">
      <c r="A220" s="122" t="str">
        <f t="shared" si="19"/>
        <v/>
      </c>
      <c r="B220" s="122"/>
      <c r="C220" s="91"/>
      <c r="D220" s="91"/>
      <c r="E220" s="91"/>
      <c r="F220" s="91"/>
      <c r="G220" s="91"/>
      <c r="H220" s="91"/>
      <c r="I220" s="120" t="str">
        <f t="shared" si="15"/>
        <v/>
      </c>
      <c r="J220" s="91"/>
      <c r="K220" s="91"/>
      <c r="L220" s="120" t="str">
        <f t="shared" si="16"/>
        <v/>
      </c>
      <c r="M220" s="121" t="str">
        <f t="shared" si="17"/>
        <v/>
      </c>
      <c r="N220" s="121" t="str">
        <f t="shared" si="18"/>
        <v/>
      </c>
      <c r="O220" s="140"/>
      <c r="P220" s="140"/>
    </row>
    <row r="221" spans="1:16" x14ac:dyDescent="0.25">
      <c r="A221" s="122" t="str">
        <f t="shared" si="19"/>
        <v/>
      </c>
      <c r="B221" s="122"/>
      <c r="C221" s="91"/>
      <c r="D221" s="91"/>
      <c r="E221" s="91"/>
      <c r="F221" s="91"/>
      <c r="G221" s="91"/>
      <c r="H221" s="91"/>
      <c r="I221" s="120" t="str">
        <f t="shared" si="15"/>
        <v/>
      </c>
      <c r="J221" s="91"/>
      <c r="K221" s="91"/>
      <c r="L221" s="120" t="str">
        <f t="shared" si="16"/>
        <v/>
      </c>
      <c r="M221" s="121" t="str">
        <f t="shared" si="17"/>
        <v/>
      </c>
      <c r="N221" s="121" t="str">
        <f t="shared" si="18"/>
        <v/>
      </c>
      <c r="O221" s="140"/>
      <c r="P221" s="140"/>
    </row>
    <row r="222" spans="1:16" x14ac:dyDescent="0.25">
      <c r="A222" s="122" t="str">
        <f t="shared" si="19"/>
        <v/>
      </c>
      <c r="B222" s="122"/>
      <c r="C222" s="91"/>
      <c r="D222" s="91"/>
      <c r="E222" s="91"/>
      <c r="F222" s="91"/>
      <c r="G222" s="91"/>
      <c r="H222" s="91"/>
      <c r="I222" s="120" t="str">
        <f t="shared" si="15"/>
        <v/>
      </c>
      <c r="J222" s="91"/>
      <c r="K222" s="91"/>
      <c r="L222" s="120" t="str">
        <f t="shared" si="16"/>
        <v/>
      </c>
      <c r="M222" s="121" t="str">
        <f t="shared" si="17"/>
        <v/>
      </c>
      <c r="N222" s="121" t="str">
        <f t="shared" si="18"/>
        <v/>
      </c>
      <c r="O222" s="140"/>
      <c r="P222" s="140"/>
    </row>
    <row r="223" spans="1:16" x14ac:dyDescent="0.25">
      <c r="A223" s="122" t="str">
        <f t="shared" si="19"/>
        <v/>
      </c>
      <c r="B223" s="122"/>
      <c r="C223" s="91"/>
      <c r="D223" s="91"/>
      <c r="E223" s="91"/>
      <c r="F223" s="91"/>
      <c r="G223" s="91"/>
      <c r="H223" s="91"/>
      <c r="I223" s="120" t="str">
        <f t="shared" si="15"/>
        <v/>
      </c>
      <c r="J223" s="91"/>
      <c r="K223" s="91"/>
      <c r="L223" s="120" t="str">
        <f t="shared" si="16"/>
        <v/>
      </c>
      <c r="M223" s="121" t="str">
        <f t="shared" si="17"/>
        <v/>
      </c>
      <c r="N223" s="121" t="str">
        <f t="shared" si="18"/>
        <v/>
      </c>
      <c r="O223" s="140"/>
      <c r="P223" s="140"/>
    </row>
    <row r="224" spans="1:16" x14ac:dyDescent="0.25">
      <c r="A224" s="122" t="str">
        <f t="shared" si="19"/>
        <v/>
      </c>
      <c r="B224" s="122"/>
      <c r="C224" s="91"/>
      <c r="D224" s="91"/>
      <c r="E224" s="91"/>
      <c r="F224" s="91"/>
      <c r="G224" s="91"/>
      <c r="H224" s="91"/>
      <c r="I224" s="120" t="str">
        <f t="shared" si="15"/>
        <v/>
      </c>
      <c r="J224" s="91"/>
      <c r="K224" s="91"/>
      <c r="L224" s="120" t="str">
        <f t="shared" si="16"/>
        <v/>
      </c>
      <c r="M224" s="121" t="str">
        <f t="shared" si="17"/>
        <v/>
      </c>
      <c r="N224" s="121" t="str">
        <f t="shared" si="18"/>
        <v/>
      </c>
      <c r="O224" s="140"/>
      <c r="P224" s="140"/>
    </row>
    <row r="225" spans="1:16" x14ac:dyDescent="0.25">
      <c r="A225" s="122" t="str">
        <f t="shared" si="19"/>
        <v/>
      </c>
      <c r="B225" s="122"/>
      <c r="C225" s="91"/>
      <c r="D225" s="91"/>
      <c r="E225" s="91"/>
      <c r="F225" s="91"/>
      <c r="G225" s="91"/>
      <c r="H225" s="91"/>
      <c r="I225" s="120" t="str">
        <f t="shared" si="15"/>
        <v/>
      </c>
      <c r="J225" s="91"/>
      <c r="K225" s="91"/>
      <c r="L225" s="120" t="str">
        <f t="shared" si="16"/>
        <v/>
      </c>
      <c r="M225" s="121" t="str">
        <f t="shared" si="17"/>
        <v/>
      </c>
      <c r="N225" s="121" t="str">
        <f t="shared" si="18"/>
        <v/>
      </c>
      <c r="O225" s="140"/>
      <c r="P225" s="140"/>
    </row>
    <row r="226" spans="1:16" x14ac:dyDescent="0.25">
      <c r="A226" s="122" t="str">
        <f t="shared" si="19"/>
        <v/>
      </c>
      <c r="B226" s="122"/>
      <c r="C226" s="91"/>
      <c r="D226" s="91"/>
      <c r="E226" s="91"/>
      <c r="F226" s="91"/>
      <c r="G226" s="91"/>
      <c r="H226" s="91"/>
      <c r="I226" s="120" t="str">
        <f t="shared" si="15"/>
        <v/>
      </c>
      <c r="J226" s="91"/>
      <c r="K226" s="91"/>
      <c r="L226" s="120" t="str">
        <f t="shared" si="16"/>
        <v/>
      </c>
      <c r="M226" s="121" t="str">
        <f t="shared" si="17"/>
        <v/>
      </c>
      <c r="N226" s="121" t="str">
        <f t="shared" si="18"/>
        <v/>
      </c>
      <c r="O226" s="140"/>
      <c r="P226" s="140"/>
    </row>
    <row r="227" spans="1:16" x14ac:dyDescent="0.25">
      <c r="A227" s="122" t="str">
        <f t="shared" si="19"/>
        <v/>
      </c>
      <c r="B227" s="122"/>
      <c r="C227" s="91"/>
      <c r="D227" s="91"/>
      <c r="E227" s="91"/>
      <c r="F227" s="91"/>
      <c r="G227" s="91"/>
      <c r="H227" s="91"/>
      <c r="I227" s="120" t="str">
        <f t="shared" si="15"/>
        <v/>
      </c>
      <c r="J227" s="91"/>
      <c r="K227" s="91"/>
      <c r="L227" s="120" t="str">
        <f t="shared" si="16"/>
        <v/>
      </c>
      <c r="M227" s="121" t="str">
        <f t="shared" si="17"/>
        <v/>
      </c>
      <c r="N227" s="121" t="str">
        <f t="shared" si="18"/>
        <v/>
      </c>
      <c r="O227" s="140"/>
      <c r="P227" s="140"/>
    </row>
    <row r="228" spans="1:16" x14ac:dyDescent="0.25">
      <c r="A228" s="122" t="str">
        <f t="shared" si="19"/>
        <v/>
      </c>
      <c r="B228" s="122"/>
      <c r="C228" s="91"/>
      <c r="D228" s="91"/>
      <c r="E228" s="91"/>
      <c r="F228" s="91"/>
      <c r="G228" s="91"/>
      <c r="H228" s="91"/>
      <c r="I228" s="120" t="str">
        <f t="shared" si="15"/>
        <v/>
      </c>
      <c r="J228" s="91"/>
      <c r="K228" s="91"/>
      <c r="L228" s="120" t="str">
        <f t="shared" si="16"/>
        <v/>
      </c>
      <c r="M228" s="121" t="str">
        <f t="shared" si="17"/>
        <v/>
      </c>
      <c r="N228" s="121" t="str">
        <f t="shared" si="18"/>
        <v/>
      </c>
      <c r="O228" s="140"/>
      <c r="P228" s="140"/>
    </row>
    <row r="229" spans="1:16" x14ac:dyDescent="0.25">
      <c r="A229" s="122" t="str">
        <f t="shared" si="19"/>
        <v/>
      </c>
      <c r="B229" s="122"/>
      <c r="C229" s="91"/>
      <c r="D229" s="91"/>
      <c r="E229" s="91"/>
      <c r="F229" s="91"/>
      <c r="G229" s="91"/>
      <c r="H229" s="91"/>
      <c r="I229" s="120" t="str">
        <f t="shared" si="15"/>
        <v/>
      </c>
      <c r="J229" s="91"/>
      <c r="K229" s="91"/>
      <c r="L229" s="120" t="str">
        <f t="shared" si="16"/>
        <v/>
      </c>
      <c r="M229" s="121" t="str">
        <f t="shared" si="17"/>
        <v/>
      </c>
      <c r="N229" s="121" t="str">
        <f t="shared" si="18"/>
        <v/>
      </c>
      <c r="O229" s="140"/>
      <c r="P229" s="140"/>
    </row>
    <row r="230" spans="1:16" x14ac:dyDescent="0.25">
      <c r="A230" s="122" t="str">
        <f t="shared" si="19"/>
        <v/>
      </c>
      <c r="B230" s="122"/>
      <c r="C230" s="91"/>
      <c r="D230" s="91"/>
      <c r="E230" s="91"/>
      <c r="F230" s="91"/>
      <c r="G230" s="91"/>
      <c r="H230" s="91"/>
      <c r="I230" s="120" t="str">
        <f t="shared" si="15"/>
        <v/>
      </c>
      <c r="J230" s="91"/>
      <c r="K230" s="91"/>
      <c r="L230" s="120" t="str">
        <f t="shared" si="16"/>
        <v/>
      </c>
      <c r="M230" s="121" t="str">
        <f t="shared" si="17"/>
        <v/>
      </c>
      <c r="N230" s="121" t="str">
        <f t="shared" si="18"/>
        <v/>
      </c>
      <c r="O230" s="140"/>
      <c r="P230" s="140"/>
    </row>
    <row r="231" spans="1:16" x14ac:dyDescent="0.25">
      <c r="A231" s="122" t="str">
        <f t="shared" si="19"/>
        <v/>
      </c>
      <c r="B231" s="122"/>
      <c r="C231" s="91"/>
      <c r="D231" s="91"/>
      <c r="E231" s="91"/>
      <c r="F231" s="91"/>
      <c r="G231" s="91"/>
      <c r="H231" s="91"/>
      <c r="I231" s="120" t="str">
        <f t="shared" si="15"/>
        <v/>
      </c>
      <c r="J231" s="91"/>
      <c r="K231" s="91"/>
      <c r="L231" s="120" t="str">
        <f t="shared" si="16"/>
        <v/>
      </c>
      <c r="M231" s="121" t="str">
        <f t="shared" si="17"/>
        <v/>
      </c>
      <c r="N231" s="121" t="str">
        <f t="shared" si="18"/>
        <v/>
      </c>
      <c r="O231" s="140"/>
      <c r="P231" s="140"/>
    </row>
    <row r="232" spans="1:16" x14ac:dyDescent="0.25">
      <c r="A232" s="122" t="str">
        <f t="shared" si="19"/>
        <v/>
      </c>
      <c r="B232" s="122"/>
      <c r="C232" s="91"/>
      <c r="D232" s="91"/>
      <c r="E232" s="91"/>
      <c r="F232" s="91"/>
      <c r="G232" s="91"/>
      <c r="H232" s="91"/>
      <c r="I232" s="120" t="str">
        <f t="shared" si="15"/>
        <v/>
      </c>
      <c r="J232" s="91"/>
      <c r="K232" s="91"/>
      <c r="L232" s="120" t="str">
        <f t="shared" si="16"/>
        <v/>
      </c>
      <c r="M232" s="121" t="str">
        <f t="shared" si="17"/>
        <v/>
      </c>
      <c r="N232" s="121" t="str">
        <f t="shared" si="18"/>
        <v/>
      </c>
      <c r="O232" s="140"/>
      <c r="P232" s="140"/>
    </row>
    <row r="233" spans="1:16" x14ac:dyDescent="0.25">
      <c r="A233" s="122" t="str">
        <f t="shared" si="19"/>
        <v/>
      </c>
      <c r="B233" s="122"/>
      <c r="C233" s="91"/>
      <c r="D233" s="91"/>
      <c r="E233" s="91"/>
      <c r="F233" s="91"/>
      <c r="G233" s="91"/>
      <c r="H233" s="91"/>
      <c r="I233" s="120" t="str">
        <f t="shared" si="15"/>
        <v/>
      </c>
      <c r="J233" s="91"/>
      <c r="K233" s="91"/>
      <c r="L233" s="120" t="str">
        <f t="shared" si="16"/>
        <v/>
      </c>
      <c r="M233" s="121" t="str">
        <f t="shared" si="17"/>
        <v/>
      </c>
      <c r="N233" s="121" t="str">
        <f t="shared" si="18"/>
        <v/>
      </c>
      <c r="O233" s="140"/>
      <c r="P233" s="140"/>
    </row>
    <row r="234" spans="1:16" x14ac:dyDescent="0.25">
      <c r="A234" s="122" t="str">
        <f t="shared" si="19"/>
        <v/>
      </c>
      <c r="B234" s="122"/>
      <c r="C234" s="91"/>
      <c r="D234" s="91"/>
      <c r="E234" s="91"/>
      <c r="F234" s="91"/>
      <c r="G234" s="91"/>
      <c r="H234" s="91"/>
      <c r="I234" s="120" t="str">
        <f t="shared" si="15"/>
        <v/>
      </c>
      <c r="J234" s="91"/>
      <c r="K234" s="91"/>
      <c r="L234" s="120" t="str">
        <f t="shared" si="16"/>
        <v/>
      </c>
      <c r="M234" s="121" t="str">
        <f t="shared" si="17"/>
        <v/>
      </c>
      <c r="N234" s="121" t="str">
        <f t="shared" si="18"/>
        <v/>
      </c>
      <c r="O234" s="140"/>
      <c r="P234" s="140"/>
    </row>
    <row r="235" spans="1:16" x14ac:dyDescent="0.25">
      <c r="A235" s="122" t="str">
        <f t="shared" si="19"/>
        <v/>
      </c>
      <c r="B235" s="122"/>
      <c r="C235" s="91"/>
      <c r="D235" s="91"/>
      <c r="E235" s="91"/>
      <c r="F235" s="91"/>
      <c r="G235" s="91"/>
      <c r="H235" s="91"/>
      <c r="I235" s="120" t="str">
        <f t="shared" si="15"/>
        <v/>
      </c>
      <c r="J235" s="91"/>
      <c r="K235" s="91"/>
      <c r="L235" s="120" t="str">
        <f t="shared" si="16"/>
        <v/>
      </c>
      <c r="M235" s="121" t="str">
        <f t="shared" si="17"/>
        <v/>
      </c>
      <c r="N235" s="121" t="str">
        <f t="shared" si="18"/>
        <v/>
      </c>
      <c r="O235" s="140"/>
      <c r="P235" s="140"/>
    </row>
    <row r="236" spans="1:16" x14ac:dyDescent="0.25">
      <c r="A236" s="122" t="str">
        <f t="shared" si="19"/>
        <v/>
      </c>
      <c r="B236" s="122"/>
      <c r="C236" s="91"/>
      <c r="D236" s="91"/>
      <c r="E236" s="91"/>
      <c r="F236" s="91"/>
      <c r="G236" s="91"/>
      <c r="H236" s="91"/>
      <c r="I236" s="120" t="str">
        <f t="shared" si="15"/>
        <v/>
      </c>
      <c r="J236" s="91"/>
      <c r="K236" s="91"/>
      <c r="L236" s="120" t="str">
        <f t="shared" si="16"/>
        <v/>
      </c>
      <c r="M236" s="121" t="str">
        <f t="shared" si="17"/>
        <v/>
      </c>
      <c r="N236" s="121" t="str">
        <f t="shared" si="18"/>
        <v/>
      </c>
      <c r="O236" s="140"/>
      <c r="P236" s="140"/>
    </row>
    <row r="237" spans="1:16" x14ac:dyDescent="0.25">
      <c r="A237" s="122" t="str">
        <f t="shared" si="19"/>
        <v/>
      </c>
      <c r="B237" s="122"/>
      <c r="C237" s="91"/>
      <c r="D237" s="91"/>
      <c r="E237" s="91"/>
      <c r="F237" s="91"/>
      <c r="G237" s="91"/>
      <c r="H237" s="91"/>
      <c r="I237" s="120" t="str">
        <f t="shared" si="15"/>
        <v/>
      </c>
      <c r="J237" s="91"/>
      <c r="K237" s="91"/>
      <c r="L237" s="120" t="str">
        <f t="shared" si="16"/>
        <v/>
      </c>
      <c r="M237" s="121" t="str">
        <f t="shared" si="17"/>
        <v/>
      </c>
      <c r="N237" s="121" t="str">
        <f t="shared" si="18"/>
        <v/>
      </c>
      <c r="O237" s="140"/>
      <c r="P237" s="140"/>
    </row>
    <row r="238" spans="1:16" x14ac:dyDescent="0.25">
      <c r="A238" s="122" t="str">
        <f t="shared" si="19"/>
        <v/>
      </c>
      <c r="B238" s="122"/>
      <c r="C238" s="91"/>
      <c r="D238" s="91"/>
      <c r="E238" s="91"/>
      <c r="F238" s="91"/>
      <c r="G238" s="91"/>
      <c r="H238" s="91"/>
      <c r="I238" s="120" t="str">
        <f t="shared" si="15"/>
        <v/>
      </c>
      <c r="J238" s="91"/>
      <c r="K238" s="91"/>
      <c r="L238" s="120" t="str">
        <f t="shared" si="16"/>
        <v/>
      </c>
      <c r="M238" s="121" t="str">
        <f t="shared" si="17"/>
        <v/>
      </c>
      <c r="N238" s="121" t="str">
        <f t="shared" si="18"/>
        <v/>
      </c>
      <c r="O238" s="140"/>
      <c r="P238" s="140"/>
    </row>
    <row r="239" spans="1:16" x14ac:dyDescent="0.25">
      <c r="A239" s="122" t="str">
        <f t="shared" si="19"/>
        <v/>
      </c>
      <c r="B239" s="122"/>
      <c r="C239" s="91"/>
      <c r="D239" s="91"/>
      <c r="E239" s="91"/>
      <c r="F239" s="91"/>
      <c r="G239" s="91"/>
      <c r="H239" s="91"/>
      <c r="I239" s="120" t="str">
        <f t="shared" si="15"/>
        <v/>
      </c>
      <c r="J239" s="91"/>
      <c r="K239" s="91"/>
      <c r="L239" s="120" t="str">
        <f t="shared" si="16"/>
        <v/>
      </c>
      <c r="M239" s="121" t="str">
        <f t="shared" si="17"/>
        <v/>
      </c>
      <c r="N239" s="121" t="str">
        <f t="shared" si="18"/>
        <v/>
      </c>
      <c r="O239" s="140"/>
      <c r="P239" s="140"/>
    </row>
    <row r="240" spans="1:16" x14ac:dyDescent="0.25">
      <c r="A240" s="122" t="str">
        <f t="shared" si="19"/>
        <v/>
      </c>
      <c r="B240" s="122"/>
      <c r="C240" s="91"/>
      <c r="D240" s="91"/>
      <c r="E240" s="91"/>
      <c r="F240" s="91"/>
      <c r="G240" s="91"/>
      <c r="H240" s="91"/>
      <c r="I240" s="120" t="str">
        <f t="shared" si="15"/>
        <v/>
      </c>
      <c r="J240" s="91"/>
      <c r="K240" s="91"/>
      <c r="L240" s="120" t="str">
        <f t="shared" si="16"/>
        <v/>
      </c>
      <c r="M240" s="121" t="str">
        <f t="shared" si="17"/>
        <v/>
      </c>
      <c r="N240" s="121" t="str">
        <f t="shared" si="18"/>
        <v/>
      </c>
      <c r="O240" s="140"/>
      <c r="P240" s="140"/>
    </row>
    <row r="241" spans="1:16" x14ac:dyDescent="0.25">
      <c r="A241" s="122" t="str">
        <f t="shared" si="19"/>
        <v/>
      </c>
      <c r="B241" s="122"/>
      <c r="C241" s="91"/>
      <c r="D241" s="91"/>
      <c r="E241" s="91"/>
      <c r="F241" s="91"/>
      <c r="G241" s="91"/>
      <c r="H241" s="91"/>
      <c r="I241" s="120" t="str">
        <f t="shared" si="15"/>
        <v/>
      </c>
      <c r="J241" s="91"/>
      <c r="K241" s="91"/>
      <c r="L241" s="120" t="str">
        <f t="shared" si="16"/>
        <v/>
      </c>
      <c r="M241" s="121" t="str">
        <f t="shared" si="17"/>
        <v/>
      </c>
      <c r="N241" s="121" t="str">
        <f t="shared" si="18"/>
        <v/>
      </c>
      <c r="O241" s="140"/>
      <c r="P241" s="140"/>
    </row>
    <row r="242" spans="1:16" x14ac:dyDescent="0.25">
      <c r="A242" s="122" t="str">
        <f t="shared" si="19"/>
        <v/>
      </c>
      <c r="B242" s="122"/>
      <c r="C242" s="91"/>
      <c r="D242" s="91"/>
      <c r="E242" s="91"/>
      <c r="F242" s="91"/>
      <c r="G242" s="91"/>
      <c r="H242" s="91"/>
      <c r="I242" s="120" t="str">
        <f t="shared" si="15"/>
        <v/>
      </c>
      <c r="J242" s="91"/>
      <c r="K242" s="91"/>
      <c r="L242" s="120" t="str">
        <f t="shared" si="16"/>
        <v/>
      </c>
      <c r="M242" s="121" t="str">
        <f t="shared" si="17"/>
        <v/>
      </c>
      <c r="N242" s="121" t="str">
        <f t="shared" si="18"/>
        <v/>
      </c>
      <c r="O242" s="140"/>
      <c r="P242" s="140"/>
    </row>
    <row r="243" spans="1:16" x14ac:dyDescent="0.25">
      <c r="A243" s="122" t="str">
        <f t="shared" si="19"/>
        <v/>
      </c>
      <c r="B243" s="122"/>
      <c r="C243" s="91"/>
      <c r="D243" s="91"/>
      <c r="E243" s="91"/>
      <c r="F243" s="91"/>
      <c r="G243" s="91"/>
      <c r="H243" s="91"/>
      <c r="I243" s="120" t="str">
        <f t="shared" si="15"/>
        <v/>
      </c>
      <c r="J243" s="91"/>
      <c r="K243" s="91"/>
      <c r="L243" s="120" t="str">
        <f t="shared" si="16"/>
        <v/>
      </c>
      <c r="M243" s="121" t="str">
        <f t="shared" si="17"/>
        <v/>
      </c>
      <c r="N243" s="121" t="str">
        <f t="shared" si="18"/>
        <v/>
      </c>
      <c r="O243" s="140"/>
      <c r="P243" s="140"/>
    </row>
    <row r="244" spans="1:16" x14ac:dyDescent="0.25">
      <c r="A244" s="122" t="str">
        <f t="shared" si="19"/>
        <v/>
      </c>
      <c r="B244" s="122"/>
      <c r="C244" s="91"/>
      <c r="D244" s="91"/>
      <c r="E244" s="91"/>
      <c r="F244" s="91"/>
      <c r="G244" s="91"/>
      <c r="H244" s="91"/>
      <c r="I244" s="120" t="str">
        <f t="shared" si="15"/>
        <v/>
      </c>
      <c r="J244" s="91"/>
      <c r="K244" s="91"/>
      <c r="L244" s="120" t="str">
        <f t="shared" si="16"/>
        <v/>
      </c>
      <c r="M244" s="121" t="str">
        <f t="shared" si="17"/>
        <v/>
      </c>
      <c r="N244" s="121" t="str">
        <f t="shared" si="18"/>
        <v/>
      </c>
      <c r="O244" s="140"/>
      <c r="P244" s="140"/>
    </row>
    <row r="245" spans="1:16" x14ac:dyDescent="0.25">
      <c r="A245" s="122" t="str">
        <f t="shared" si="19"/>
        <v/>
      </c>
      <c r="B245" s="122"/>
      <c r="C245" s="91"/>
      <c r="D245" s="91"/>
      <c r="E245" s="91"/>
      <c r="F245" s="91"/>
      <c r="G245" s="91"/>
      <c r="H245" s="91"/>
      <c r="I245" s="120" t="str">
        <f t="shared" si="15"/>
        <v/>
      </c>
      <c r="J245" s="91"/>
      <c r="K245" s="91"/>
      <c r="L245" s="120" t="str">
        <f t="shared" si="16"/>
        <v/>
      </c>
      <c r="M245" s="121" t="str">
        <f t="shared" si="17"/>
        <v/>
      </c>
      <c r="N245" s="121" t="str">
        <f t="shared" si="18"/>
        <v/>
      </c>
      <c r="O245" s="140"/>
      <c r="P245" s="140"/>
    </row>
    <row r="246" spans="1:16" x14ac:dyDescent="0.25">
      <c r="A246" s="122" t="str">
        <f t="shared" si="19"/>
        <v/>
      </c>
      <c r="B246" s="122"/>
      <c r="C246" s="91"/>
      <c r="D246" s="91"/>
      <c r="E246" s="91"/>
      <c r="F246" s="91"/>
      <c r="G246" s="91"/>
      <c r="H246" s="91"/>
      <c r="I246" s="120" t="str">
        <f t="shared" si="15"/>
        <v/>
      </c>
      <c r="J246" s="91"/>
      <c r="K246" s="91"/>
      <c r="L246" s="120" t="str">
        <f t="shared" si="16"/>
        <v/>
      </c>
      <c r="M246" s="121" t="str">
        <f t="shared" si="17"/>
        <v/>
      </c>
      <c r="N246" s="121" t="str">
        <f t="shared" si="18"/>
        <v/>
      </c>
      <c r="O246" s="140"/>
      <c r="P246" s="140"/>
    </row>
    <row r="247" spans="1:16" x14ac:dyDescent="0.25">
      <c r="A247" s="122" t="str">
        <f t="shared" si="19"/>
        <v/>
      </c>
      <c r="B247" s="122"/>
      <c r="C247" s="91"/>
      <c r="D247" s="91"/>
      <c r="E247" s="91"/>
      <c r="F247" s="91"/>
      <c r="G247" s="91"/>
      <c r="H247" s="91"/>
      <c r="I247" s="120" t="str">
        <f t="shared" si="15"/>
        <v/>
      </c>
      <c r="J247" s="91"/>
      <c r="K247" s="91"/>
      <c r="L247" s="120" t="str">
        <f t="shared" si="16"/>
        <v/>
      </c>
      <c r="M247" s="121" t="str">
        <f t="shared" si="17"/>
        <v/>
      </c>
      <c r="N247" s="121" t="str">
        <f t="shared" si="18"/>
        <v/>
      </c>
      <c r="O247" s="140"/>
      <c r="P247" s="140"/>
    </row>
    <row r="248" spans="1:16" x14ac:dyDescent="0.25">
      <c r="A248" s="122" t="str">
        <f t="shared" si="19"/>
        <v/>
      </c>
      <c r="B248" s="122"/>
      <c r="C248" s="91"/>
      <c r="D248" s="91"/>
      <c r="E248" s="91"/>
      <c r="F248" s="91"/>
      <c r="G248" s="91"/>
      <c r="H248" s="91"/>
      <c r="I248" s="120" t="str">
        <f t="shared" si="15"/>
        <v/>
      </c>
      <c r="J248" s="91"/>
      <c r="K248" s="91"/>
      <c r="L248" s="120" t="str">
        <f t="shared" si="16"/>
        <v/>
      </c>
      <c r="M248" s="121" t="str">
        <f t="shared" si="17"/>
        <v/>
      </c>
      <c r="N248" s="121" t="str">
        <f t="shared" si="18"/>
        <v/>
      </c>
      <c r="O248" s="140"/>
      <c r="P248" s="140"/>
    </row>
    <row r="249" spans="1:16" x14ac:dyDescent="0.25">
      <c r="A249" s="122" t="str">
        <f t="shared" si="19"/>
        <v/>
      </c>
      <c r="B249" s="122"/>
      <c r="C249" s="91"/>
      <c r="D249" s="91"/>
      <c r="E249" s="91"/>
      <c r="F249" s="91"/>
      <c r="G249" s="91"/>
      <c r="H249" s="91"/>
      <c r="I249" s="120" t="str">
        <f t="shared" si="15"/>
        <v/>
      </c>
      <c r="J249" s="91"/>
      <c r="K249" s="91"/>
      <c r="L249" s="120" t="str">
        <f t="shared" si="16"/>
        <v/>
      </c>
      <c r="M249" s="121" t="str">
        <f t="shared" si="17"/>
        <v/>
      </c>
      <c r="N249" s="121" t="str">
        <f t="shared" si="18"/>
        <v/>
      </c>
      <c r="O249" s="140"/>
      <c r="P249" s="140"/>
    </row>
    <row r="250" spans="1:16" x14ac:dyDescent="0.25">
      <c r="A250" s="122" t="str">
        <f t="shared" si="19"/>
        <v/>
      </c>
      <c r="B250" s="122"/>
      <c r="C250" s="91"/>
      <c r="D250" s="91"/>
      <c r="E250" s="91"/>
      <c r="F250" s="91"/>
      <c r="G250" s="91"/>
      <c r="H250" s="91"/>
      <c r="I250" s="120" t="str">
        <f t="shared" si="15"/>
        <v/>
      </c>
      <c r="J250" s="91"/>
      <c r="K250" s="91"/>
      <c r="L250" s="120" t="str">
        <f t="shared" si="16"/>
        <v/>
      </c>
      <c r="M250" s="121" t="str">
        <f t="shared" si="17"/>
        <v/>
      </c>
      <c r="N250" s="121" t="str">
        <f t="shared" si="18"/>
        <v/>
      </c>
      <c r="O250" s="140"/>
      <c r="P250" s="140"/>
    </row>
    <row r="251" spans="1:16" x14ac:dyDescent="0.25">
      <c r="A251" s="122" t="str">
        <f t="shared" si="19"/>
        <v/>
      </c>
      <c r="B251" s="122"/>
      <c r="C251" s="91"/>
      <c r="D251" s="91"/>
      <c r="E251" s="91"/>
      <c r="F251" s="91"/>
      <c r="G251" s="91"/>
      <c r="H251" s="91"/>
      <c r="I251" s="120" t="str">
        <f t="shared" si="15"/>
        <v/>
      </c>
      <c r="J251" s="91"/>
      <c r="K251" s="91"/>
      <c r="L251" s="120" t="str">
        <f t="shared" si="16"/>
        <v/>
      </c>
      <c r="M251" s="121" t="str">
        <f t="shared" si="17"/>
        <v/>
      </c>
      <c r="N251" s="121" t="str">
        <f t="shared" si="18"/>
        <v/>
      </c>
      <c r="O251" s="140"/>
      <c r="P251" s="140"/>
    </row>
    <row r="252" spans="1:16" x14ac:dyDescent="0.25">
      <c r="A252" s="122" t="str">
        <f t="shared" si="19"/>
        <v/>
      </c>
      <c r="B252" s="122"/>
      <c r="C252" s="91"/>
      <c r="D252" s="91"/>
      <c r="E252" s="91"/>
      <c r="F252" s="91"/>
      <c r="G252" s="91"/>
      <c r="H252" s="91"/>
      <c r="I252" s="120" t="str">
        <f t="shared" si="15"/>
        <v/>
      </c>
      <c r="J252" s="91"/>
      <c r="K252" s="91"/>
      <c r="L252" s="120" t="str">
        <f t="shared" si="16"/>
        <v/>
      </c>
      <c r="M252" s="121" t="str">
        <f t="shared" si="17"/>
        <v/>
      </c>
      <c r="N252" s="121" t="str">
        <f t="shared" si="18"/>
        <v/>
      </c>
      <c r="O252" s="140"/>
      <c r="P252" s="140"/>
    </row>
    <row r="253" spans="1:16" x14ac:dyDescent="0.25">
      <c r="A253" s="122" t="str">
        <f t="shared" si="19"/>
        <v/>
      </c>
      <c r="B253" s="122"/>
      <c r="C253" s="91"/>
      <c r="D253" s="91"/>
      <c r="E253" s="91"/>
      <c r="F253" s="91"/>
      <c r="G253" s="91"/>
      <c r="H253" s="91"/>
      <c r="I253" s="120" t="str">
        <f t="shared" si="15"/>
        <v/>
      </c>
      <c r="J253" s="91"/>
      <c r="K253" s="91"/>
      <c r="L253" s="120" t="str">
        <f t="shared" si="16"/>
        <v/>
      </c>
      <c r="M253" s="121" t="str">
        <f t="shared" si="17"/>
        <v/>
      </c>
      <c r="N253" s="121" t="str">
        <f t="shared" si="18"/>
        <v/>
      </c>
      <c r="O253" s="140"/>
      <c r="P253" s="140"/>
    </row>
    <row r="254" spans="1:16" x14ac:dyDescent="0.25">
      <c r="A254" s="122" t="str">
        <f t="shared" si="19"/>
        <v/>
      </c>
      <c r="B254" s="122"/>
      <c r="C254" s="91"/>
      <c r="D254" s="91"/>
      <c r="E254" s="91"/>
      <c r="F254" s="91"/>
      <c r="G254" s="91"/>
      <c r="H254" s="91"/>
      <c r="I254" s="120" t="str">
        <f t="shared" si="15"/>
        <v/>
      </c>
      <c r="J254" s="91"/>
      <c r="K254" s="91"/>
      <c r="L254" s="120" t="str">
        <f t="shared" si="16"/>
        <v/>
      </c>
      <c r="M254" s="121" t="str">
        <f t="shared" si="17"/>
        <v/>
      </c>
      <c r="N254" s="121" t="str">
        <f t="shared" si="18"/>
        <v/>
      </c>
      <c r="O254" s="140"/>
      <c r="P254" s="140"/>
    </row>
    <row r="255" spans="1:16" x14ac:dyDescent="0.25">
      <c r="A255" s="122" t="str">
        <f t="shared" si="19"/>
        <v/>
      </c>
      <c r="B255" s="122"/>
      <c r="C255" s="91"/>
      <c r="D255" s="91"/>
      <c r="E255" s="91"/>
      <c r="F255" s="91"/>
      <c r="G255" s="91"/>
      <c r="H255" s="91"/>
      <c r="I255" s="120" t="str">
        <f t="shared" si="15"/>
        <v/>
      </c>
      <c r="J255" s="91"/>
      <c r="K255" s="91"/>
      <c r="L255" s="120" t="str">
        <f t="shared" si="16"/>
        <v/>
      </c>
      <c r="M255" s="121" t="str">
        <f t="shared" si="17"/>
        <v/>
      </c>
      <c r="N255" s="121" t="str">
        <f t="shared" si="18"/>
        <v/>
      </c>
      <c r="O255" s="140"/>
      <c r="P255" s="140"/>
    </row>
    <row r="256" spans="1:16" x14ac:dyDescent="0.25">
      <c r="A256" s="122" t="str">
        <f t="shared" si="19"/>
        <v/>
      </c>
      <c r="B256" s="122"/>
      <c r="C256" s="91"/>
      <c r="D256" s="91"/>
      <c r="E256" s="91"/>
      <c r="F256" s="91"/>
      <c r="G256" s="91"/>
      <c r="H256" s="91"/>
      <c r="I256" s="120" t="str">
        <f t="shared" si="15"/>
        <v/>
      </c>
      <c r="J256" s="91"/>
      <c r="K256" s="91"/>
      <c r="L256" s="120" t="str">
        <f t="shared" si="16"/>
        <v/>
      </c>
      <c r="M256" s="121" t="str">
        <f t="shared" si="17"/>
        <v/>
      </c>
      <c r="N256" s="121" t="str">
        <f t="shared" si="18"/>
        <v/>
      </c>
      <c r="O256" s="140"/>
      <c r="P256" s="140"/>
    </row>
    <row r="257" spans="1:16" x14ac:dyDescent="0.25">
      <c r="A257" s="122" t="str">
        <f t="shared" si="19"/>
        <v/>
      </c>
      <c r="B257" s="122"/>
      <c r="C257" s="91"/>
      <c r="D257" s="91"/>
      <c r="E257" s="91"/>
      <c r="F257" s="91"/>
      <c r="G257" s="91"/>
      <c r="H257" s="91"/>
      <c r="I257" s="120" t="str">
        <f t="shared" si="15"/>
        <v/>
      </c>
      <c r="J257" s="91"/>
      <c r="K257" s="91"/>
      <c r="L257" s="120" t="str">
        <f t="shared" si="16"/>
        <v/>
      </c>
      <c r="M257" s="121" t="str">
        <f t="shared" si="17"/>
        <v/>
      </c>
      <c r="N257" s="121" t="str">
        <f t="shared" si="18"/>
        <v/>
      </c>
      <c r="O257" s="140"/>
      <c r="P257" s="140"/>
    </row>
    <row r="258" spans="1:16" x14ac:dyDescent="0.25">
      <c r="A258" s="122" t="str">
        <f t="shared" si="19"/>
        <v/>
      </c>
      <c r="B258" s="122"/>
      <c r="C258" s="91"/>
      <c r="D258" s="91"/>
      <c r="E258" s="91"/>
      <c r="F258" s="91"/>
      <c r="G258" s="91"/>
      <c r="H258" s="91"/>
      <c r="I258" s="120" t="str">
        <f t="shared" si="15"/>
        <v/>
      </c>
      <c r="J258" s="91"/>
      <c r="K258" s="91"/>
      <c r="L258" s="120" t="str">
        <f t="shared" si="16"/>
        <v/>
      </c>
      <c r="M258" s="121" t="str">
        <f t="shared" si="17"/>
        <v/>
      </c>
      <c r="N258" s="121" t="str">
        <f t="shared" si="18"/>
        <v/>
      </c>
      <c r="O258" s="140"/>
      <c r="P258" s="140"/>
    </row>
    <row r="259" spans="1:16" x14ac:dyDescent="0.25">
      <c r="A259" s="122" t="str">
        <f t="shared" si="19"/>
        <v/>
      </c>
      <c r="B259" s="122"/>
      <c r="C259" s="91"/>
      <c r="D259" s="91"/>
      <c r="E259" s="91"/>
      <c r="F259" s="91"/>
      <c r="G259" s="91"/>
      <c r="H259" s="91"/>
      <c r="I259" s="120" t="str">
        <f t="shared" ref="I259:I299" si="20">IF(H259&lt;&gt;"",H259/G259,"")</f>
        <v/>
      </c>
      <c r="J259" s="91"/>
      <c r="K259" s="91"/>
      <c r="L259" s="120" t="str">
        <f t="shared" ref="L259:L299" si="21">IF(K259&lt;&gt;"",K259/J259,"")</f>
        <v/>
      </c>
      <c r="M259" s="121" t="str">
        <f t="shared" ref="M259:M299" si="22">IF(L259&lt;&gt;"",MAX(I259,L259),"")</f>
        <v/>
      </c>
      <c r="N259" s="121" t="str">
        <f t="shared" ref="N259:N299" si="23">IF($M259&lt;&gt;"",IF($M259&lt;50%,0%,IF($M259&lt;80%,$M259,100%)),"")</f>
        <v/>
      </c>
      <c r="O259" s="140"/>
      <c r="P259" s="140"/>
    </row>
    <row r="260" spans="1:16" x14ac:dyDescent="0.25">
      <c r="A260" s="122" t="str">
        <f t="shared" ref="A260:A299" si="24">IF(C260&lt;&gt;"",A259+1,"")</f>
        <v/>
      </c>
      <c r="B260" s="122"/>
      <c r="C260" s="91"/>
      <c r="D260" s="91"/>
      <c r="E260" s="91"/>
      <c r="F260" s="91"/>
      <c r="G260" s="91"/>
      <c r="H260" s="91"/>
      <c r="I260" s="120" t="str">
        <f t="shared" si="20"/>
        <v/>
      </c>
      <c r="J260" s="91"/>
      <c r="K260" s="91"/>
      <c r="L260" s="120" t="str">
        <f t="shared" si="21"/>
        <v/>
      </c>
      <c r="M260" s="121" t="str">
        <f t="shared" si="22"/>
        <v/>
      </c>
      <c r="N260" s="121" t="str">
        <f t="shared" si="23"/>
        <v/>
      </c>
      <c r="O260" s="140"/>
      <c r="P260" s="140"/>
    </row>
    <row r="261" spans="1:16" x14ac:dyDescent="0.25">
      <c r="A261" s="122" t="str">
        <f t="shared" si="24"/>
        <v/>
      </c>
      <c r="B261" s="122"/>
      <c r="C261" s="91"/>
      <c r="D261" s="91"/>
      <c r="E261" s="91"/>
      <c r="F261" s="91"/>
      <c r="G261" s="91"/>
      <c r="H261" s="91"/>
      <c r="I261" s="120" t="str">
        <f t="shared" si="20"/>
        <v/>
      </c>
      <c r="J261" s="91"/>
      <c r="K261" s="91"/>
      <c r="L261" s="120" t="str">
        <f t="shared" si="21"/>
        <v/>
      </c>
      <c r="M261" s="121" t="str">
        <f t="shared" si="22"/>
        <v/>
      </c>
      <c r="N261" s="121" t="str">
        <f t="shared" si="23"/>
        <v/>
      </c>
      <c r="O261" s="140"/>
      <c r="P261" s="140"/>
    </row>
    <row r="262" spans="1:16" x14ac:dyDescent="0.25">
      <c r="A262" s="122" t="str">
        <f t="shared" si="24"/>
        <v/>
      </c>
      <c r="B262" s="122"/>
      <c r="C262" s="91"/>
      <c r="D262" s="91"/>
      <c r="E262" s="91"/>
      <c r="F262" s="91"/>
      <c r="G262" s="91"/>
      <c r="H262" s="91"/>
      <c r="I262" s="120" t="str">
        <f t="shared" si="20"/>
        <v/>
      </c>
      <c r="J262" s="91"/>
      <c r="K262" s="91"/>
      <c r="L262" s="120" t="str">
        <f t="shared" si="21"/>
        <v/>
      </c>
      <c r="M262" s="121" t="str">
        <f t="shared" si="22"/>
        <v/>
      </c>
      <c r="N262" s="121" t="str">
        <f t="shared" si="23"/>
        <v/>
      </c>
      <c r="O262" s="140"/>
      <c r="P262" s="140"/>
    </row>
    <row r="263" spans="1:16" x14ac:dyDescent="0.25">
      <c r="A263" s="122" t="str">
        <f t="shared" si="24"/>
        <v/>
      </c>
      <c r="B263" s="122"/>
      <c r="C263" s="91"/>
      <c r="D263" s="91"/>
      <c r="E263" s="91"/>
      <c r="F263" s="91"/>
      <c r="G263" s="91"/>
      <c r="H263" s="91"/>
      <c r="I263" s="120" t="str">
        <f t="shared" si="20"/>
        <v/>
      </c>
      <c r="J263" s="91"/>
      <c r="K263" s="91"/>
      <c r="L263" s="120" t="str">
        <f t="shared" si="21"/>
        <v/>
      </c>
      <c r="M263" s="121" t="str">
        <f t="shared" si="22"/>
        <v/>
      </c>
      <c r="N263" s="121" t="str">
        <f t="shared" si="23"/>
        <v/>
      </c>
      <c r="O263" s="140"/>
      <c r="P263" s="140"/>
    </row>
    <row r="264" spans="1:16" x14ac:dyDescent="0.25">
      <c r="A264" s="122" t="str">
        <f t="shared" si="24"/>
        <v/>
      </c>
      <c r="B264" s="122"/>
      <c r="C264" s="91"/>
      <c r="D264" s="91"/>
      <c r="E264" s="91"/>
      <c r="F264" s="91"/>
      <c r="G264" s="91"/>
      <c r="H264" s="91"/>
      <c r="I264" s="120" t="str">
        <f t="shared" si="20"/>
        <v/>
      </c>
      <c r="J264" s="91"/>
      <c r="K264" s="91"/>
      <c r="L264" s="120" t="str">
        <f t="shared" si="21"/>
        <v/>
      </c>
      <c r="M264" s="121" t="str">
        <f t="shared" si="22"/>
        <v/>
      </c>
      <c r="N264" s="121" t="str">
        <f t="shared" si="23"/>
        <v/>
      </c>
      <c r="O264" s="140"/>
      <c r="P264" s="140"/>
    </row>
    <row r="265" spans="1:16" x14ac:dyDescent="0.25">
      <c r="A265" s="122" t="str">
        <f t="shared" si="24"/>
        <v/>
      </c>
      <c r="B265" s="122"/>
      <c r="C265" s="91"/>
      <c r="D265" s="91"/>
      <c r="E265" s="91"/>
      <c r="F265" s="91"/>
      <c r="G265" s="91"/>
      <c r="H265" s="91"/>
      <c r="I265" s="120" t="str">
        <f t="shared" si="20"/>
        <v/>
      </c>
      <c r="J265" s="91"/>
      <c r="K265" s="91"/>
      <c r="L265" s="120" t="str">
        <f t="shared" si="21"/>
        <v/>
      </c>
      <c r="M265" s="121" t="str">
        <f t="shared" si="22"/>
        <v/>
      </c>
      <c r="N265" s="121" t="str">
        <f t="shared" si="23"/>
        <v/>
      </c>
      <c r="O265" s="140"/>
      <c r="P265" s="140"/>
    </row>
    <row r="266" spans="1:16" x14ac:dyDescent="0.25">
      <c r="A266" s="122" t="str">
        <f t="shared" si="24"/>
        <v/>
      </c>
      <c r="B266" s="122"/>
      <c r="C266" s="91"/>
      <c r="D266" s="91"/>
      <c r="E266" s="91"/>
      <c r="F266" s="91"/>
      <c r="G266" s="91"/>
      <c r="H266" s="91"/>
      <c r="I266" s="120" t="str">
        <f t="shared" si="20"/>
        <v/>
      </c>
      <c r="J266" s="91"/>
      <c r="K266" s="91"/>
      <c r="L266" s="120" t="str">
        <f t="shared" si="21"/>
        <v/>
      </c>
      <c r="M266" s="121" t="str">
        <f t="shared" si="22"/>
        <v/>
      </c>
      <c r="N266" s="121" t="str">
        <f t="shared" si="23"/>
        <v/>
      </c>
      <c r="O266" s="140"/>
      <c r="P266" s="140"/>
    </row>
    <row r="267" spans="1:16" x14ac:dyDescent="0.25">
      <c r="A267" s="122" t="str">
        <f t="shared" si="24"/>
        <v/>
      </c>
      <c r="B267" s="122"/>
      <c r="C267" s="91"/>
      <c r="D267" s="91"/>
      <c r="E267" s="91"/>
      <c r="F267" s="91"/>
      <c r="G267" s="91"/>
      <c r="H267" s="91"/>
      <c r="I267" s="120" t="str">
        <f t="shared" si="20"/>
        <v/>
      </c>
      <c r="J267" s="91"/>
      <c r="K267" s="91"/>
      <c r="L267" s="120" t="str">
        <f t="shared" si="21"/>
        <v/>
      </c>
      <c r="M267" s="121" t="str">
        <f t="shared" si="22"/>
        <v/>
      </c>
      <c r="N267" s="121" t="str">
        <f t="shared" si="23"/>
        <v/>
      </c>
      <c r="O267" s="140"/>
      <c r="P267" s="140"/>
    </row>
    <row r="268" spans="1:16" x14ac:dyDescent="0.25">
      <c r="A268" s="122" t="str">
        <f t="shared" si="24"/>
        <v/>
      </c>
      <c r="B268" s="122"/>
      <c r="C268" s="91"/>
      <c r="D268" s="91"/>
      <c r="E268" s="91"/>
      <c r="F268" s="91"/>
      <c r="G268" s="91"/>
      <c r="H268" s="91"/>
      <c r="I268" s="120" t="str">
        <f t="shared" si="20"/>
        <v/>
      </c>
      <c r="J268" s="91"/>
      <c r="K268" s="91"/>
      <c r="L268" s="120" t="str">
        <f t="shared" si="21"/>
        <v/>
      </c>
      <c r="M268" s="121" t="str">
        <f t="shared" si="22"/>
        <v/>
      </c>
      <c r="N268" s="121" t="str">
        <f t="shared" si="23"/>
        <v/>
      </c>
      <c r="O268" s="140"/>
      <c r="P268" s="140"/>
    </row>
    <row r="269" spans="1:16" x14ac:dyDescent="0.25">
      <c r="A269" s="122" t="str">
        <f t="shared" si="24"/>
        <v/>
      </c>
      <c r="B269" s="122"/>
      <c r="C269" s="91"/>
      <c r="D269" s="91"/>
      <c r="E269" s="91"/>
      <c r="F269" s="91"/>
      <c r="G269" s="91"/>
      <c r="H269" s="91"/>
      <c r="I269" s="120" t="str">
        <f t="shared" si="20"/>
        <v/>
      </c>
      <c r="J269" s="91"/>
      <c r="K269" s="91"/>
      <c r="L269" s="120" t="str">
        <f t="shared" si="21"/>
        <v/>
      </c>
      <c r="M269" s="121" t="str">
        <f t="shared" si="22"/>
        <v/>
      </c>
      <c r="N269" s="121" t="str">
        <f t="shared" si="23"/>
        <v/>
      </c>
      <c r="O269" s="140"/>
      <c r="P269" s="140"/>
    </row>
    <row r="270" spans="1:16" x14ac:dyDescent="0.25">
      <c r="A270" s="122" t="str">
        <f t="shared" si="24"/>
        <v/>
      </c>
      <c r="B270" s="122"/>
      <c r="C270" s="91"/>
      <c r="D270" s="91"/>
      <c r="E270" s="91"/>
      <c r="F270" s="91"/>
      <c r="G270" s="91"/>
      <c r="H270" s="91"/>
      <c r="I270" s="120" t="str">
        <f t="shared" si="20"/>
        <v/>
      </c>
      <c r="J270" s="91"/>
      <c r="K270" s="91"/>
      <c r="L270" s="120" t="str">
        <f t="shared" si="21"/>
        <v/>
      </c>
      <c r="M270" s="121" t="str">
        <f t="shared" si="22"/>
        <v/>
      </c>
      <c r="N270" s="121" t="str">
        <f t="shared" si="23"/>
        <v/>
      </c>
      <c r="O270" s="140"/>
      <c r="P270" s="140"/>
    </row>
    <row r="271" spans="1:16" x14ac:dyDescent="0.25">
      <c r="A271" s="122" t="str">
        <f t="shared" si="24"/>
        <v/>
      </c>
      <c r="B271" s="122"/>
      <c r="C271" s="91"/>
      <c r="D271" s="91"/>
      <c r="E271" s="91"/>
      <c r="F271" s="91"/>
      <c r="G271" s="91"/>
      <c r="H271" s="91"/>
      <c r="I271" s="120" t="str">
        <f t="shared" si="20"/>
        <v/>
      </c>
      <c r="J271" s="91"/>
      <c r="K271" s="91"/>
      <c r="L271" s="120" t="str">
        <f t="shared" si="21"/>
        <v/>
      </c>
      <c r="M271" s="121" t="str">
        <f t="shared" si="22"/>
        <v/>
      </c>
      <c r="N271" s="121" t="str">
        <f t="shared" si="23"/>
        <v/>
      </c>
      <c r="O271" s="140"/>
      <c r="P271" s="140"/>
    </row>
    <row r="272" spans="1:16" x14ac:dyDescent="0.25">
      <c r="A272" s="122" t="str">
        <f t="shared" si="24"/>
        <v/>
      </c>
      <c r="B272" s="122"/>
      <c r="C272" s="91"/>
      <c r="D272" s="91"/>
      <c r="E272" s="91"/>
      <c r="F272" s="91"/>
      <c r="G272" s="91"/>
      <c r="H272" s="91"/>
      <c r="I272" s="120" t="str">
        <f t="shared" si="20"/>
        <v/>
      </c>
      <c r="J272" s="91"/>
      <c r="K272" s="91"/>
      <c r="L272" s="120" t="str">
        <f t="shared" si="21"/>
        <v/>
      </c>
      <c r="M272" s="121" t="str">
        <f t="shared" si="22"/>
        <v/>
      </c>
      <c r="N272" s="121" t="str">
        <f t="shared" si="23"/>
        <v/>
      </c>
      <c r="O272" s="140"/>
      <c r="P272" s="140"/>
    </row>
    <row r="273" spans="1:16" x14ac:dyDescent="0.25">
      <c r="A273" s="122" t="str">
        <f t="shared" si="24"/>
        <v/>
      </c>
      <c r="B273" s="122"/>
      <c r="C273" s="91"/>
      <c r="D273" s="91"/>
      <c r="E273" s="91"/>
      <c r="F273" s="91"/>
      <c r="G273" s="91"/>
      <c r="H273" s="91"/>
      <c r="I273" s="120" t="str">
        <f t="shared" si="20"/>
        <v/>
      </c>
      <c r="J273" s="91"/>
      <c r="K273" s="91"/>
      <c r="L273" s="120" t="str">
        <f t="shared" si="21"/>
        <v/>
      </c>
      <c r="M273" s="121" t="str">
        <f t="shared" si="22"/>
        <v/>
      </c>
      <c r="N273" s="121" t="str">
        <f t="shared" si="23"/>
        <v/>
      </c>
      <c r="O273" s="140"/>
      <c r="P273" s="140"/>
    </row>
    <row r="274" spans="1:16" x14ac:dyDescent="0.25">
      <c r="A274" s="122" t="str">
        <f t="shared" si="24"/>
        <v/>
      </c>
      <c r="B274" s="122"/>
      <c r="C274" s="91"/>
      <c r="D274" s="91"/>
      <c r="E274" s="91"/>
      <c r="F274" s="91"/>
      <c r="G274" s="91"/>
      <c r="H274" s="91"/>
      <c r="I274" s="120" t="str">
        <f t="shared" si="20"/>
        <v/>
      </c>
      <c r="J274" s="91"/>
      <c r="K274" s="91"/>
      <c r="L274" s="120" t="str">
        <f t="shared" si="21"/>
        <v/>
      </c>
      <c r="M274" s="121" t="str">
        <f t="shared" si="22"/>
        <v/>
      </c>
      <c r="N274" s="121" t="str">
        <f t="shared" si="23"/>
        <v/>
      </c>
      <c r="O274" s="140"/>
      <c r="P274" s="140"/>
    </row>
    <row r="275" spans="1:16" x14ac:dyDescent="0.25">
      <c r="A275" s="122" t="str">
        <f t="shared" si="24"/>
        <v/>
      </c>
      <c r="B275" s="122"/>
      <c r="C275" s="91"/>
      <c r="D275" s="91"/>
      <c r="E275" s="91"/>
      <c r="F275" s="91"/>
      <c r="G275" s="91"/>
      <c r="H275" s="91"/>
      <c r="I275" s="120" t="str">
        <f t="shared" si="20"/>
        <v/>
      </c>
      <c r="J275" s="91"/>
      <c r="K275" s="91"/>
      <c r="L275" s="120" t="str">
        <f t="shared" si="21"/>
        <v/>
      </c>
      <c r="M275" s="121" t="str">
        <f t="shared" si="22"/>
        <v/>
      </c>
      <c r="N275" s="121" t="str">
        <f t="shared" si="23"/>
        <v/>
      </c>
      <c r="O275" s="140"/>
      <c r="P275" s="140"/>
    </row>
    <row r="276" spans="1:16" x14ac:dyDescent="0.25">
      <c r="A276" s="122" t="str">
        <f t="shared" si="24"/>
        <v/>
      </c>
      <c r="B276" s="122"/>
      <c r="C276" s="91"/>
      <c r="D276" s="91"/>
      <c r="E276" s="91"/>
      <c r="F276" s="91"/>
      <c r="G276" s="91"/>
      <c r="H276" s="91"/>
      <c r="I276" s="120" t="str">
        <f t="shared" si="20"/>
        <v/>
      </c>
      <c r="J276" s="91"/>
      <c r="K276" s="91"/>
      <c r="L276" s="120" t="str">
        <f t="shared" si="21"/>
        <v/>
      </c>
      <c r="M276" s="121" t="str">
        <f t="shared" si="22"/>
        <v/>
      </c>
      <c r="N276" s="121" t="str">
        <f t="shared" si="23"/>
        <v/>
      </c>
      <c r="O276" s="140"/>
      <c r="P276" s="140"/>
    </row>
    <row r="277" spans="1:16" x14ac:dyDescent="0.25">
      <c r="A277" s="122" t="str">
        <f t="shared" si="24"/>
        <v/>
      </c>
      <c r="B277" s="122"/>
      <c r="C277" s="91"/>
      <c r="D277" s="91"/>
      <c r="E277" s="91"/>
      <c r="F277" s="91"/>
      <c r="G277" s="91"/>
      <c r="H277" s="91"/>
      <c r="I277" s="120" t="str">
        <f t="shared" si="20"/>
        <v/>
      </c>
      <c r="J277" s="91"/>
      <c r="K277" s="91"/>
      <c r="L277" s="120" t="str">
        <f t="shared" si="21"/>
        <v/>
      </c>
      <c r="M277" s="121" t="str">
        <f t="shared" si="22"/>
        <v/>
      </c>
      <c r="N277" s="121" t="str">
        <f t="shared" si="23"/>
        <v/>
      </c>
      <c r="O277" s="140"/>
      <c r="P277" s="140"/>
    </row>
    <row r="278" spans="1:16" x14ac:dyDescent="0.25">
      <c r="A278" s="122" t="str">
        <f t="shared" si="24"/>
        <v/>
      </c>
      <c r="B278" s="122"/>
      <c r="C278" s="91"/>
      <c r="D278" s="91"/>
      <c r="E278" s="91"/>
      <c r="F278" s="91"/>
      <c r="G278" s="91"/>
      <c r="H278" s="91"/>
      <c r="I278" s="120" t="str">
        <f t="shared" si="20"/>
        <v/>
      </c>
      <c r="J278" s="91"/>
      <c r="K278" s="91"/>
      <c r="L278" s="120" t="str">
        <f t="shared" si="21"/>
        <v/>
      </c>
      <c r="M278" s="121" t="str">
        <f t="shared" si="22"/>
        <v/>
      </c>
      <c r="N278" s="121" t="str">
        <f t="shared" si="23"/>
        <v/>
      </c>
      <c r="O278" s="140"/>
      <c r="P278" s="140"/>
    </row>
    <row r="279" spans="1:16" x14ac:dyDescent="0.25">
      <c r="A279" s="122" t="str">
        <f t="shared" si="24"/>
        <v/>
      </c>
      <c r="B279" s="122"/>
      <c r="C279" s="91"/>
      <c r="D279" s="91"/>
      <c r="E279" s="91"/>
      <c r="F279" s="91"/>
      <c r="G279" s="91"/>
      <c r="H279" s="91"/>
      <c r="I279" s="120" t="str">
        <f t="shared" si="20"/>
        <v/>
      </c>
      <c r="J279" s="91"/>
      <c r="K279" s="91"/>
      <c r="L279" s="120" t="str">
        <f t="shared" si="21"/>
        <v/>
      </c>
      <c r="M279" s="121" t="str">
        <f t="shared" si="22"/>
        <v/>
      </c>
      <c r="N279" s="121" t="str">
        <f t="shared" si="23"/>
        <v/>
      </c>
      <c r="O279" s="140"/>
      <c r="P279" s="140"/>
    </row>
    <row r="280" spans="1:16" x14ac:dyDescent="0.25">
      <c r="A280" s="122" t="str">
        <f t="shared" si="24"/>
        <v/>
      </c>
      <c r="B280" s="122"/>
      <c r="C280" s="91"/>
      <c r="D280" s="91"/>
      <c r="E280" s="91"/>
      <c r="F280" s="91"/>
      <c r="G280" s="91"/>
      <c r="H280" s="91"/>
      <c r="I280" s="120" t="str">
        <f t="shared" si="20"/>
        <v/>
      </c>
      <c r="J280" s="91"/>
      <c r="K280" s="91"/>
      <c r="L280" s="120" t="str">
        <f t="shared" si="21"/>
        <v/>
      </c>
      <c r="M280" s="121" t="str">
        <f t="shared" si="22"/>
        <v/>
      </c>
      <c r="N280" s="121" t="str">
        <f t="shared" si="23"/>
        <v/>
      </c>
      <c r="O280" s="140"/>
      <c r="P280" s="140"/>
    </row>
    <row r="281" spans="1:16" x14ac:dyDescent="0.25">
      <c r="A281" s="122" t="str">
        <f t="shared" si="24"/>
        <v/>
      </c>
      <c r="B281" s="122"/>
      <c r="C281" s="91"/>
      <c r="D281" s="91"/>
      <c r="E281" s="91"/>
      <c r="F281" s="91"/>
      <c r="G281" s="91"/>
      <c r="H281" s="91"/>
      <c r="I281" s="120" t="str">
        <f t="shared" si="20"/>
        <v/>
      </c>
      <c r="J281" s="91"/>
      <c r="K281" s="91"/>
      <c r="L281" s="120" t="str">
        <f t="shared" si="21"/>
        <v/>
      </c>
      <c r="M281" s="121" t="str">
        <f t="shared" si="22"/>
        <v/>
      </c>
      <c r="N281" s="121" t="str">
        <f t="shared" si="23"/>
        <v/>
      </c>
      <c r="O281" s="140"/>
      <c r="P281" s="140"/>
    </row>
    <row r="282" spans="1:16" x14ac:dyDescent="0.25">
      <c r="A282" s="122" t="str">
        <f t="shared" si="24"/>
        <v/>
      </c>
      <c r="B282" s="122"/>
      <c r="C282" s="91"/>
      <c r="D282" s="91"/>
      <c r="E282" s="91"/>
      <c r="F282" s="91"/>
      <c r="G282" s="91"/>
      <c r="H282" s="91"/>
      <c r="I282" s="120" t="str">
        <f t="shared" si="20"/>
        <v/>
      </c>
      <c r="J282" s="91"/>
      <c r="K282" s="91"/>
      <c r="L282" s="120" t="str">
        <f t="shared" si="21"/>
        <v/>
      </c>
      <c r="M282" s="121" t="str">
        <f t="shared" si="22"/>
        <v/>
      </c>
      <c r="N282" s="121" t="str">
        <f t="shared" si="23"/>
        <v/>
      </c>
      <c r="O282" s="140"/>
      <c r="P282" s="140"/>
    </row>
    <row r="283" spans="1:16" x14ac:dyDescent="0.25">
      <c r="A283" s="122" t="str">
        <f t="shared" si="24"/>
        <v/>
      </c>
      <c r="B283" s="122"/>
      <c r="C283" s="91"/>
      <c r="D283" s="91"/>
      <c r="E283" s="91"/>
      <c r="F283" s="91"/>
      <c r="G283" s="91"/>
      <c r="H283" s="91"/>
      <c r="I283" s="120" t="str">
        <f t="shared" si="20"/>
        <v/>
      </c>
      <c r="J283" s="91"/>
      <c r="K283" s="91"/>
      <c r="L283" s="120" t="str">
        <f t="shared" si="21"/>
        <v/>
      </c>
      <c r="M283" s="121" t="str">
        <f t="shared" si="22"/>
        <v/>
      </c>
      <c r="N283" s="121" t="str">
        <f t="shared" si="23"/>
        <v/>
      </c>
      <c r="O283" s="140"/>
      <c r="P283" s="140"/>
    </row>
    <row r="284" spans="1:16" x14ac:dyDescent="0.25">
      <c r="A284" s="122" t="str">
        <f t="shared" si="24"/>
        <v/>
      </c>
      <c r="B284" s="122"/>
      <c r="C284" s="91"/>
      <c r="D284" s="91"/>
      <c r="E284" s="91"/>
      <c r="F284" s="91"/>
      <c r="G284" s="91"/>
      <c r="H284" s="91"/>
      <c r="I284" s="120" t="str">
        <f t="shared" si="20"/>
        <v/>
      </c>
      <c r="J284" s="91"/>
      <c r="K284" s="91"/>
      <c r="L284" s="120" t="str">
        <f t="shared" si="21"/>
        <v/>
      </c>
      <c r="M284" s="121" t="str">
        <f t="shared" si="22"/>
        <v/>
      </c>
      <c r="N284" s="121" t="str">
        <f t="shared" si="23"/>
        <v/>
      </c>
      <c r="O284" s="140"/>
      <c r="P284" s="140"/>
    </row>
    <row r="285" spans="1:16" x14ac:dyDescent="0.25">
      <c r="A285" s="122" t="str">
        <f t="shared" si="24"/>
        <v/>
      </c>
      <c r="B285" s="122"/>
      <c r="C285" s="91"/>
      <c r="D285" s="91"/>
      <c r="E285" s="91"/>
      <c r="F285" s="91"/>
      <c r="G285" s="91"/>
      <c r="H285" s="91"/>
      <c r="I285" s="120" t="str">
        <f t="shared" si="20"/>
        <v/>
      </c>
      <c r="J285" s="91"/>
      <c r="K285" s="91"/>
      <c r="L285" s="120" t="str">
        <f t="shared" si="21"/>
        <v/>
      </c>
      <c r="M285" s="121" t="str">
        <f t="shared" si="22"/>
        <v/>
      </c>
      <c r="N285" s="121" t="str">
        <f t="shared" si="23"/>
        <v/>
      </c>
      <c r="O285" s="140"/>
      <c r="P285" s="140"/>
    </row>
    <row r="286" spans="1:16" x14ac:dyDescent="0.25">
      <c r="A286" s="122" t="str">
        <f t="shared" si="24"/>
        <v/>
      </c>
      <c r="B286" s="122"/>
      <c r="C286" s="91"/>
      <c r="D286" s="91"/>
      <c r="E286" s="91"/>
      <c r="F286" s="91"/>
      <c r="G286" s="91"/>
      <c r="H286" s="91"/>
      <c r="I286" s="120" t="str">
        <f t="shared" si="20"/>
        <v/>
      </c>
      <c r="J286" s="91"/>
      <c r="K286" s="91"/>
      <c r="L286" s="120" t="str">
        <f t="shared" si="21"/>
        <v/>
      </c>
      <c r="M286" s="121" t="str">
        <f t="shared" si="22"/>
        <v/>
      </c>
      <c r="N286" s="121" t="str">
        <f t="shared" si="23"/>
        <v/>
      </c>
      <c r="O286" s="140"/>
      <c r="P286" s="140"/>
    </row>
    <row r="287" spans="1:16" x14ac:dyDescent="0.25">
      <c r="A287" s="122" t="str">
        <f t="shared" si="24"/>
        <v/>
      </c>
      <c r="B287" s="122"/>
      <c r="C287" s="91"/>
      <c r="D287" s="91"/>
      <c r="E287" s="91"/>
      <c r="F287" s="91"/>
      <c r="G287" s="91"/>
      <c r="H287" s="91"/>
      <c r="I287" s="120" t="str">
        <f t="shared" si="20"/>
        <v/>
      </c>
      <c r="J287" s="91"/>
      <c r="K287" s="91"/>
      <c r="L287" s="120" t="str">
        <f t="shared" si="21"/>
        <v/>
      </c>
      <c r="M287" s="121" t="str">
        <f t="shared" si="22"/>
        <v/>
      </c>
      <c r="N287" s="121" t="str">
        <f t="shared" si="23"/>
        <v/>
      </c>
      <c r="O287" s="140"/>
      <c r="P287" s="140"/>
    </row>
    <row r="288" spans="1:16" x14ac:dyDescent="0.25">
      <c r="A288" s="122" t="str">
        <f t="shared" si="24"/>
        <v/>
      </c>
      <c r="B288" s="122"/>
      <c r="C288" s="91"/>
      <c r="D288" s="91"/>
      <c r="E288" s="91"/>
      <c r="F288" s="91"/>
      <c r="G288" s="91"/>
      <c r="H288" s="91"/>
      <c r="I288" s="120" t="str">
        <f t="shared" si="20"/>
        <v/>
      </c>
      <c r="J288" s="91"/>
      <c r="K288" s="91"/>
      <c r="L288" s="120" t="str">
        <f t="shared" si="21"/>
        <v/>
      </c>
      <c r="M288" s="121" t="str">
        <f t="shared" si="22"/>
        <v/>
      </c>
      <c r="N288" s="121" t="str">
        <f t="shared" si="23"/>
        <v/>
      </c>
      <c r="O288" s="140"/>
      <c r="P288" s="140"/>
    </row>
    <row r="289" spans="1:16" x14ac:dyDescent="0.25">
      <c r="A289" s="122" t="str">
        <f t="shared" si="24"/>
        <v/>
      </c>
      <c r="B289" s="122"/>
      <c r="C289" s="91"/>
      <c r="D289" s="91"/>
      <c r="E289" s="91"/>
      <c r="F289" s="91"/>
      <c r="G289" s="91"/>
      <c r="H289" s="91"/>
      <c r="I289" s="120" t="str">
        <f t="shared" si="20"/>
        <v/>
      </c>
      <c r="J289" s="91"/>
      <c r="K289" s="91"/>
      <c r="L289" s="120" t="str">
        <f t="shared" si="21"/>
        <v/>
      </c>
      <c r="M289" s="121" t="str">
        <f t="shared" si="22"/>
        <v/>
      </c>
      <c r="N289" s="121" t="str">
        <f t="shared" si="23"/>
        <v/>
      </c>
      <c r="O289" s="140"/>
      <c r="P289" s="140"/>
    </row>
    <row r="290" spans="1:16" x14ac:dyDescent="0.25">
      <c r="A290" s="122" t="str">
        <f t="shared" si="24"/>
        <v/>
      </c>
      <c r="B290" s="122"/>
      <c r="C290" s="91"/>
      <c r="D290" s="91"/>
      <c r="E290" s="91"/>
      <c r="F290" s="91"/>
      <c r="G290" s="91"/>
      <c r="H290" s="91"/>
      <c r="I290" s="120" t="str">
        <f t="shared" si="20"/>
        <v/>
      </c>
      <c r="J290" s="91"/>
      <c r="K290" s="91"/>
      <c r="L290" s="120" t="str">
        <f t="shared" si="21"/>
        <v/>
      </c>
      <c r="M290" s="121" t="str">
        <f t="shared" si="22"/>
        <v/>
      </c>
      <c r="N290" s="121" t="str">
        <f t="shared" si="23"/>
        <v/>
      </c>
      <c r="O290" s="140"/>
      <c r="P290" s="140"/>
    </row>
    <row r="291" spans="1:16" x14ac:dyDescent="0.25">
      <c r="A291" s="122" t="str">
        <f t="shared" si="24"/>
        <v/>
      </c>
      <c r="B291" s="122"/>
      <c r="C291" s="91"/>
      <c r="D291" s="91"/>
      <c r="E291" s="91"/>
      <c r="F291" s="91"/>
      <c r="G291" s="91"/>
      <c r="H291" s="91"/>
      <c r="I291" s="120" t="str">
        <f t="shared" si="20"/>
        <v/>
      </c>
      <c r="J291" s="91"/>
      <c r="K291" s="91"/>
      <c r="L291" s="120" t="str">
        <f t="shared" si="21"/>
        <v/>
      </c>
      <c r="M291" s="121" t="str">
        <f t="shared" si="22"/>
        <v/>
      </c>
      <c r="N291" s="121" t="str">
        <f t="shared" si="23"/>
        <v/>
      </c>
      <c r="O291" s="140"/>
      <c r="P291" s="140"/>
    </row>
    <row r="292" spans="1:16" x14ac:dyDescent="0.25">
      <c r="A292" s="122" t="str">
        <f t="shared" si="24"/>
        <v/>
      </c>
      <c r="B292" s="122"/>
      <c r="C292" s="91"/>
      <c r="D292" s="91"/>
      <c r="E292" s="91"/>
      <c r="F292" s="91"/>
      <c r="G292" s="91"/>
      <c r="H292" s="91"/>
      <c r="I292" s="120" t="str">
        <f t="shared" si="20"/>
        <v/>
      </c>
      <c r="J292" s="91"/>
      <c r="K292" s="91"/>
      <c r="L292" s="120" t="str">
        <f t="shared" si="21"/>
        <v/>
      </c>
      <c r="M292" s="121" t="str">
        <f t="shared" si="22"/>
        <v/>
      </c>
      <c r="N292" s="121" t="str">
        <f t="shared" si="23"/>
        <v/>
      </c>
      <c r="O292" s="140"/>
      <c r="P292" s="140"/>
    </row>
    <row r="293" spans="1:16" x14ac:dyDescent="0.25">
      <c r="A293" s="122" t="str">
        <f t="shared" si="24"/>
        <v/>
      </c>
      <c r="B293" s="122"/>
      <c r="C293" s="91"/>
      <c r="D293" s="91"/>
      <c r="E293" s="91"/>
      <c r="F293" s="91"/>
      <c r="G293" s="91"/>
      <c r="H293" s="91"/>
      <c r="I293" s="120" t="str">
        <f t="shared" si="20"/>
        <v/>
      </c>
      <c r="J293" s="91"/>
      <c r="K293" s="91"/>
      <c r="L293" s="120" t="str">
        <f t="shared" si="21"/>
        <v/>
      </c>
      <c r="M293" s="121" t="str">
        <f t="shared" si="22"/>
        <v/>
      </c>
      <c r="N293" s="121" t="str">
        <f t="shared" si="23"/>
        <v/>
      </c>
      <c r="O293" s="140"/>
      <c r="P293" s="140"/>
    </row>
    <row r="294" spans="1:16" x14ac:dyDescent="0.25">
      <c r="A294" s="122" t="str">
        <f t="shared" si="24"/>
        <v/>
      </c>
      <c r="B294" s="122"/>
      <c r="C294" s="91"/>
      <c r="D294" s="91"/>
      <c r="E294" s="91"/>
      <c r="F294" s="91"/>
      <c r="G294" s="91"/>
      <c r="H294" s="91"/>
      <c r="I294" s="120" t="str">
        <f t="shared" si="20"/>
        <v/>
      </c>
      <c r="J294" s="91"/>
      <c r="K294" s="91"/>
      <c r="L294" s="120" t="str">
        <f t="shared" si="21"/>
        <v/>
      </c>
      <c r="M294" s="121" t="str">
        <f t="shared" si="22"/>
        <v/>
      </c>
      <c r="N294" s="121" t="str">
        <f t="shared" si="23"/>
        <v/>
      </c>
      <c r="O294" s="140"/>
      <c r="P294" s="140"/>
    </row>
    <row r="295" spans="1:16" x14ac:dyDescent="0.25">
      <c r="A295" s="122" t="str">
        <f t="shared" si="24"/>
        <v/>
      </c>
      <c r="B295" s="122"/>
      <c r="C295" s="91"/>
      <c r="D295" s="91"/>
      <c r="E295" s="91"/>
      <c r="F295" s="91"/>
      <c r="G295" s="91"/>
      <c r="H295" s="91"/>
      <c r="I295" s="120" t="str">
        <f t="shared" si="20"/>
        <v/>
      </c>
      <c r="J295" s="91"/>
      <c r="K295" s="91"/>
      <c r="L295" s="120" t="str">
        <f t="shared" si="21"/>
        <v/>
      </c>
      <c r="M295" s="121" t="str">
        <f t="shared" si="22"/>
        <v/>
      </c>
      <c r="N295" s="121" t="str">
        <f t="shared" si="23"/>
        <v/>
      </c>
      <c r="O295" s="140"/>
      <c r="P295" s="140"/>
    </row>
    <row r="296" spans="1:16" x14ac:dyDescent="0.25">
      <c r="A296" s="122" t="str">
        <f t="shared" si="24"/>
        <v/>
      </c>
      <c r="B296" s="122"/>
      <c r="C296" s="91"/>
      <c r="D296" s="91"/>
      <c r="E296" s="91"/>
      <c r="F296" s="91"/>
      <c r="G296" s="91"/>
      <c r="H296" s="91"/>
      <c r="I296" s="120" t="str">
        <f t="shared" si="20"/>
        <v/>
      </c>
      <c r="J296" s="91"/>
      <c r="K296" s="91"/>
      <c r="L296" s="120" t="str">
        <f t="shared" si="21"/>
        <v/>
      </c>
      <c r="M296" s="121" t="str">
        <f t="shared" si="22"/>
        <v/>
      </c>
      <c r="N296" s="121" t="str">
        <f t="shared" si="23"/>
        <v/>
      </c>
      <c r="O296" s="140"/>
      <c r="P296" s="140"/>
    </row>
    <row r="297" spans="1:16" x14ac:dyDescent="0.25">
      <c r="A297" s="122" t="str">
        <f t="shared" si="24"/>
        <v/>
      </c>
      <c r="B297" s="122"/>
      <c r="C297" s="91"/>
      <c r="D297" s="91"/>
      <c r="E297" s="91"/>
      <c r="F297" s="91"/>
      <c r="G297" s="91"/>
      <c r="H297" s="91"/>
      <c r="I297" s="120" t="str">
        <f t="shared" si="20"/>
        <v/>
      </c>
      <c r="J297" s="91"/>
      <c r="K297" s="91"/>
      <c r="L297" s="120" t="str">
        <f t="shared" si="21"/>
        <v/>
      </c>
      <c r="M297" s="121" t="str">
        <f t="shared" si="22"/>
        <v/>
      </c>
      <c r="N297" s="121" t="str">
        <f t="shared" si="23"/>
        <v/>
      </c>
      <c r="O297" s="140"/>
      <c r="P297" s="140"/>
    </row>
    <row r="298" spans="1:16" x14ac:dyDescent="0.25">
      <c r="A298" s="122" t="str">
        <f t="shared" si="24"/>
        <v/>
      </c>
      <c r="B298" s="122"/>
      <c r="C298" s="91"/>
      <c r="D298" s="91"/>
      <c r="E298" s="91"/>
      <c r="F298" s="91"/>
      <c r="G298" s="91"/>
      <c r="H298" s="91"/>
      <c r="I298" s="120" t="str">
        <f t="shared" si="20"/>
        <v/>
      </c>
      <c r="J298" s="91"/>
      <c r="K298" s="91"/>
      <c r="L298" s="120" t="str">
        <f t="shared" si="21"/>
        <v/>
      </c>
      <c r="M298" s="121" t="str">
        <f t="shared" si="22"/>
        <v/>
      </c>
      <c r="N298" s="121" t="str">
        <f t="shared" si="23"/>
        <v/>
      </c>
      <c r="O298" s="140"/>
      <c r="P298" s="140"/>
    </row>
    <row r="299" spans="1:16" x14ac:dyDescent="0.25">
      <c r="A299" s="122" t="str">
        <f t="shared" si="24"/>
        <v/>
      </c>
      <c r="B299" s="122"/>
      <c r="C299" s="91"/>
      <c r="D299" s="91"/>
      <c r="E299" s="91"/>
      <c r="F299" s="91"/>
      <c r="G299" s="91"/>
      <c r="H299" s="91"/>
      <c r="I299" s="120" t="str">
        <f t="shared" si="20"/>
        <v/>
      </c>
      <c r="J299" s="91"/>
      <c r="K299" s="91"/>
      <c r="L299" s="120" t="str">
        <f t="shared" si="21"/>
        <v/>
      </c>
      <c r="M299" s="121" t="str">
        <f t="shared" si="22"/>
        <v/>
      </c>
      <c r="N299" s="121" t="str">
        <f t="shared" si="23"/>
        <v/>
      </c>
      <c r="O299" s="140"/>
      <c r="P299" s="140"/>
    </row>
  </sheetData>
  <autoFilter ref="A2:CD2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Terminologies</vt:lpstr>
      <vt:lpstr>Instructions</vt:lpstr>
      <vt:lpstr>Route-Details</vt:lpstr>
      <vt:lpstr>Node Details</vt:lpstr>
      <vt:lpstr>Other Material</vt:lpstr>
      <vt:lpstr>Other Services</vt:lpstr>
      <vt:lpstr>PO Details</vt:lpstr>
      <vt:lpstr>Other Revenue</vt:lpstr>
      <vt:lpstr>HP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Chintan Shah</dc:creator>
  <cp:keywords/>
  <dc:description/>
  <cp:lastModifiedBy>Kirit Prajapati</cp:lastModifiedBy>
  <cp:revision/>
  <dcterms:created xsi:type="dcterms:W3CDTF">2022-10-14T07:42:24Z</dcterms:created>
  <dcterms:modified xsi:type="dcterms:W3CDTF">2026-03-10T09:45:16Z</dcterms:modified>
  <cp:category/>
  <cp:contentStatus/>
</cp:coreProperties>
</file>